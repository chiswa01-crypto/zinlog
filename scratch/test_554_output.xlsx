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 wrapText="1"/>
    </xf>
    <xf numFmtId="49" fontId="9" fillId="2" borderId="15" applyAlignment="1" pivotButton="0" quotePrefix="0" xfId="4">
      <alignment horizontal="center" vertical="center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0" fontId="9" fillId="2" borderId="15" applyAlignment="1" pivotButton="0" quotePrefix="0" xfId="4">
      <alignment horizontal="center" vertical="center"/>
    </xf>
    <xf numFmtId="14" fontId="13" fillId="2" borderId="15" applyAlignment="1" pivotButton="0" quotePrefix="0" xfId="4">
      <alignment horizontal="center" vertical="center" wrapText="1"/>
    </xf>
    <xf numFmtId="165" fontId="13" fillId="2" borderId="15" applyAlignment="1" pivotButton="0" quotePrefix="0" xfId="0">
      <alignment horizont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4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174" fontId="21" fillId="0" borderId="23" applyAlignment="1" pivotButton="0" quotePrefix="0" xfId="4">
      <alignment horizontal="left" vertical="center"/>
    </xf>
    <xf numFmtId="41" fontId="4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9" fontId="24" fillId="6" borderId="0" applyAlignment="1" pivotButton="0" quotePrefix="0" xfId="4">
      <alignment horizontal="left" vertical="center"/>
    </xf>
    <xf numFmtId="175" fontId="25" fillId="6" borderId="23" applyAlignment="1" pivotButton="0" quotePrefix="0" xfId="4">
      <alignment horizontal="right" vertical="center"/>
    </xf>
    <xf numFmtId="49" fontId="24" fillId="0" borderId="0" applyAlignment="1" pivotButton="0" quotePrefix="0" xfId="4">
      <alignment horizontal="left" vertical="center"/>
    </xf>
    <xf numFmtId="176" fontId="25" fillId="0" borderId="23" applyAlignment="1" pivotButton="0" quotePrefix="0" xfId="4">
      <alignment horizontal="right" vertical="center"/>
    </xf>
    <xf numFmtId="41" fontId="24" fillId="0" borderId="0" applyAlignment="1" pivotButton="0" quotePrefix="0" xfId="4">
      <alignment horizontal="left" vertical="center"/>
    </xf>
    <xf numFmtId="0" fontId="25" fillId="0" borderId="0" pivotButton="0" quotePrefix="0" xfId="0"/>
    <xf numFmtId="0" fontId="24" fillId="0" borderId="0" applyAlignment="1" pivotButton="0" quotePrefix="0" xfId="0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000030ZIK48020260803000554</t>
        </is>
      </c>
      <c r="C12" s="81" t="n">
        <v>390034</v>
      </c>
      <c r="D12" s="81" t="n">
        <v>389827</v>
      </c>
      <c r="E12" s="258" t="n">
        <v>46237</v>
      </c>
      <c r="F12" s="82" t="inlineStr">
        <is>
          <t>SAMPLE-ZIID26-0064-NCV</t>
        </is>
      </c>
      <c r="G12" s="258" t="n">
        <v>46233</v>
      </c>
      <c r="H12" s="83" t="n">
        <v>1</v>
      </c>
      <c r="I12" s="42" t="inlineStr"/>
      <c r="J12" s="42" t="inlineStr"/>
      <c r="K12" s="44" t="inlineStr">
        <is>
          <t>5IN GREEN TEA MF MATTRESS TW</t>
        </is>
      </c>
      <c r="L12" s="84" t="inlineStr">
        <is>
          <t>ZU-MFMA1ZZI-05T</t>
        </is>
      </c>
      <c r="M12" s="85" t="inlineStr"/>
      <c r="N12" s="44" t="inlineStr">
        <is>
          <t>F.MFM.05T.007.AD</t>
        </is>
      </c>
      <c r="O12" s="86" t="n">
        <v>811.52</v>
      </c>
      <c r="P12" s="86" t="n">
        <v>765.02</v>
      </c>
      <c r="Q12" s="259">
        <f>IFERROR(R12/H12, 0)</f>
        <v/>
      </c>
      <c r="R12" s="260" t="n">
        <v>30.64</v>
      </c>
      <c r="S12" s="261" t="n">
        <v>17937</v>
      </c>
      <c r="T12" s="261">
        <f>IFERROR(S12*R12, 0)</f>
        <v/>
      </c>
      <c r="U12" s="48" t="inlineStr">
        <is>
          <t>050100/KPPBC</t>
        </is>
      </c>
      <c r="V12" s="49" t="inlineStr">
        <is>
          <t>S. HATTA</t>
        </is>
      </c>
      <c r="W12" s="50" t="inlineStr">
        <is>
          <t>GUANGZHOU, US</t>
        </is>
      </c>
      <c r="X12" s="51" t="inlineStr">
        <is>
          <t>SGS-CSTC STANDARDS TECHNICAL SERVICES</t>
        </is>
      </c>
      <c r="Y12" s="52" t="inlineStr">
        <is>
          <t>PLIID2H02224</t>
        </is>
      </c>
      <c r="Z12" s="258" t="n">
        <v>46237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</v>
      </c>
      <c r="I13" s="42" t="inlineStr"/>
      <c r="J13" s="42" t="inlineStr"/>
      <c r="K13" s="44" t="inlineStr">
        <is>
          <t>6IN GREEN TEA MF MATTRESS QN</t>
        </is>
      </c>
      <c r="L13" s="84" t="inlineStr">
        <is>
          <t>ZU-MFMA1ZZI-06Q</t>
        </is>
      </c>
      <c r="M13" s="85" t="inlineStr"/>
      <c r="N13" s="44" t="inlineStr">
        <is>
          <t>F.MFM.06Q.007.AD</t>
        </is>
      </c>
      <c r="O13" s="86" t="n"/>
      <c r="P13" s="86" t="n"/>
      <c r="Q13" s="259">
        <f>IFERROR(R13/H13, 0)</f>
        <v/>
      </c>
      <c r="R13" s="260" t="n">
        <v>54.31</v>
      </c>
      <c r="S13" s="261" t="n">
        <v>17937</v>
      </c>
      <c r="T13" s="261">
        <f>IFERROR(S13*R13, 0)</f>
        <v/>
      </c>
      <c r="U13" s="48" t="n"/>
      <c r="V13" s="49" t="n"/>
      <c r="W13" s="50" t="inlineStr">
        <is>
          <t>ETD : 10-08-2026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</v>
      </c>
      <c r="I14" s="42" t="inlineStr"/>
      <c r="J14" s="42" t="inlineStr"/>
      <c r="K14" s="44" t="inlineStr">
        <is>
          <t>10IN GREEN TEA MF MATTRESS TX</t>
        </is>
      </c>
      <c r="L14" s="84" t="inlineStr">
        <is>
          <t>ZU-MFMA1ZZI-10X</t>
        </is>
      </c>
      <c r="M14" s="85" t="inlineStr"/>
      <c r="N14" s="44" t="inlineStr">
        <is>
          <t>F.MFM.10X.007.AD</t>
        </is>
      </c>
      <c r="O14" s="86" t="n"/>
      <c r="P14" s="86" t="n"/>
      <c r="Q14" s="259">
        <f>IFERROR(R14/H14, 0)</f>
        <v/>
      </c>
      <c r="R14" s="260" t="n">
        <v>67.67</v>
      </c>
      <c r="S14" s="261" t="n">
        <v>17937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1</v>
      </c>
      <c r="I15" s="42" t="inlineStr"/>
      <c r="J15" s="42" t="inlineStr"/>
      <c r="K15" s="44" t="inlineStr">
        <is>
          <t>12IN GREEN TEA MF MATTRESS TX</t>
        </is>
      </c>
      <c r="L15" s="84" t="inlineStr">
        <is>
          <t>ZU-MFMA1ZZI-12X</t>
        </is>
      </c>
      <c r="M15" s="85" t="inlineStr"/>
      <c r="N15" s="44" t="inlineStr">
        <is>
          <t>F.MFM.12X.006.AD</t>
        </is>
      </c>
      <c r="O15" s="86" t="n"/>
      <c r="P15" s="86" t="n"/>
      <c r="Q15" s="259">
        <f>IFERROR(R15/H15, 0)</f>
        <v/>
      </c>
      <c r="R15" s="260" t="n">
        <v>63.85</v>
      </c>
      <c r="S15" s="261" t="n">
        <v>17937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1</v>
      </c>
      <c r="I16" s="42" t="inlineStr"/>
      <c r="J16" s="42" t="inlineStr"/>
      <c r="K16" s="44" t="inlineStr">
        <is>
          <t>14IN GREEN TEA FOAM MATTRESS K</t>
        </is>
      </c>
      <c r="L16" s="84" t="inlineStr">
        <is>
          <t>ZU-MFMA1ZZI-14K</t>
        </is>
      </c>
      <c r="M16" s="85" t="inlineStr"/>
      <c r="N16" s="44" t="inlineStr">
        <is>
          <t>F.MFM.14K.000.AD</t>
        </is>
      </c>
      <c r="O16" s="86" t="n"/>
      <c r="P16" s="86" t="n"/>
      <c r="Q16" s="259">
        <f>IFERROR(R16/H16, 0)</f>
        <v/>
      </c>
      <c r="R16" s="260" t="n">
        <v>132.6</v>
      </c>
      <c r="S16" s="261" t="n">
        <v>17937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1</v>
      </c>
      <c r="I17" s="42" t="inlineStr"/>
      <c r="J17" s="42" t="inlineStr"/>
      <c r="K17" s="44" t="inlineStr">
        <is>
          <t>14IN GREEN TEA FOAM MATTRESS Q</t>
        </is>
      </c>
      <c r="L17" s="266" t="inlineStr">
        <is>
          <t>ZU-MFMA1ZZI-14Q</t>
        </is>
      </c>
      <c r="M17" s="42" t="inlineStr"/>
      <c r="N17" s="44" t="inlineStr">
        <is>
          <t>F.MFM.14Q.000.AD</t>
        </is>
      </c>
      <c r="O17" s="86" t="n"/>
      <c r="P17" s="86" t="n"/>
      <c r="Q17" s="259">
        <f>IFERROR(R17/H17, 0)</f>
        <v/>
      </c>
      <c r="R17" s="260" t="n">
        <v>108.23</v>
      </c>
      <c r="S17" s="261" t="n">
        <v>17937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</v>
      </c>
      <c r="I18" s="42" t="inlineStr"/>
      <c r="J18" s="42" t="inlineStr"/>
      <c r="K18" s="44" t="inlineStr">
        <is>
          <t>6IN GREEN TEA MF MATTRESS FL</t>
        </is>
      </c>
      <c r="L18" s="84" t="inlineStr">
        <is>
          <t>ZU-MFMA1ZZI-06F</t>
        </is>
      </c>
      <c r="M18" s="85" t="inlineStr"/>
      <c r="N18" s="44" t="inlineStr">
        <is>
          <t>F.MFM.06F.007.AD</t>
        </is>
      </c>
      <c r="O18" s="86" t="n"/>
      <c r="P18" s="86" t="n"/>
      <c r="Q18" s="259">
        <f>IFERROR(R18/H18, 0)</f>
        <v/>
      </c>
      <c r="R18" s="260" t="n">
        <v>92.09999999999999</v>
      </c>
      <c r="S18" s="261" t="n">
        <v>17937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2</v>
      </c>
      <c r="I19" s="42" t="inlineStr"/>
      <c r="J19" s="42" t="inlineStr"/>
      <c r="K19" s="44" t="inlineStr">
        <is>
          <t>6IN GREEN TEA MF MATTRESS EK</t>
        </is>
      </c>
      <c r="L19" s="84" t="inlineStr">
        <is>
          <t>ZU-MFMA1ZZI-06K</t>
        </is>
      </c>
      <c r="M19" s="85" t="inlineStr"/>
      <c r="N19" s="44" t="inlineStr">
        <is>
          <t>F.MFM.06K.007.AD</t>
        </is>
      </c>
      <c r="O19" s="86" t="n"/>
      <c r="P19" s="86" t="n"/>
      <c r="Q19" s="259">
        <f>IFERROR(R19/H19, 0)</f>
        <v/>
      </c>
      <c r="R19" s="260" t="n">
        <v>134.58</v>
      </c>
      <c r="S19" s="261" t="n">
        <v>17937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2</v>
      </c>
      <c r="I20" s="42" t="inlineStr"/>
      <c r="J20" s="42" t="inlineStr"/>
      <c r="K20" s="44" t="inlineStr">
        <is>
          <t>6IN GREEN TEA MF MATTRESS NT</t>
        </is>
      </c>
      <c r="L20" s="84" t="inlineStr">
        <is>
          <t>ZU-MFMA1ZZI-06N</t>
        </is>
      </c>
      <c r="M20" s="85" t="inlineStr"/>
      <c r="N20" s="44" t="inlineStr">
        <is>
          <t>F.MFM.06N.007.AD</t>
        </is>
      </c>
      <c r="O20" s="86" t="n"/>
      <c r="P20" s="86" t="n"/>
      <c r="Q20" s="259">
        <f>IFERROR(R20/H20, 0)</f>
        <v/>
      </c>
      <c r="R20" s="260" t="n">
        <v>57.94</v>
      </c>
      <c r="S20" s="261" t="n">
        <v>17937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2</v>
      </c>
      <c r="I21" s="42" t="inlineStr"/>
      <c r="J21" s="42" t="inlineStr"/>
      <c r="K21" s="44" t="inlineStr">
        <is>
          <t>6IN GREEN TEA MF MATTRESS TW</t>
        </is>
      </c>
      <c r="L21" s="84" t="inlineStr">
        <is>
          <t>ZU-MFMA1ZZI-06T</t>
        </is>
      </c>
      <c r="M21" s="85" t="inlineStr"/>
      <c r="N21" s="44" t="inlineStr">
        <is>
          <t>F.MFM.06T.007.AD</t>
        </is>
      </c>
      <c r="O21" s="86" t="n"/>
      <c r="P21" s="86" t="n"/>
      <c r="Q21" s="259">
        <f>IFERROR(R21/H21, 0)</f>
        <v/>
      </c>
      <c r="R21" s="260" t="n">
        <v>69.22</v>
      </c>
      <c r="S21" s="261" t="n">
        <v>17937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>
        <v>2</v>
      </c>
      <c r="I22" s="42" t="inlineStr"/>
      <c r="J22" s="42" t="inlineStr"/>
      <c r="K22" s="44" t="inlineStr">
        <is>
          <t>8IN GREEN TEA MF MATTRESS FL</t>
        </is>
      </c>
      <c r="L22" s="84" t="inlineStr">
        <is>
          <t>ZU-MFMA1ZZI-08F</t>
        </is>
      </c>
      <c r="M22" s="85" t="inlineStr"/>
      <c r="N22" s="44" t="inlineStr">
        <is>
          <t>F.MFM.08F.008.AD</t>
        </is>
      </c>
      <c r="O22" s="86" t="n"/>
      <c r="P22" s="86" t="n"/>
      <c r="Q22" s="259">
        <f>IFERROR(R22/H22, 0)</f>
        <v/>
      </c>
      <c r="R22" s="260" t="n">
        <v>118.74</v>
      </c>
      <c r="S22" s="261" t="n">
        <v>17937</v>
      </c>
      <c r="T22" s="261">
        <f>IFERROR(S22*R22, 0)</f>
        <v/>
      </c>
      <c r="U22" s="48" t="n"/>
      <c r="V22" s="49" t="n"/>
      <c r="W22" s="50" t="n"/>
      <c r="X22" s="51" t="n"/>
      <c r="Y22" s="52" t="n"/>
      <c r="Z22" s="258" t="n"/>
    </row>
    <row r="23" ht="16.5" customFormat="1" customHeight="1" s="262">
      <c r="A23" s="79" t="n"/>
      <c r="B23" s="80" t="n"/>
      <c r="C23" s="263" t="n"/>
      <c r="D23" s="263" t="n"/>
      <c r="E23" s="264" t="n"/>
      <c r="F23" s="265" t="n"/>
      <c r="G23" s="264" t="n"/>
      <c r="H23" s="42" t="n">
        <v>2</v>
      </c>
      <c r="I23" s="42" t="inlineStr"/>
      <c r="J23" s="42" t="inlineStr"/>
      <c r="K23" s="44" t="inlineStr">
        <is>
          <t>8IN GREEN TEA MF MATTRESS EK</t>
        </is>
      </c>
      <c r="L23" s="266" t="inlineStr">
        <is>
          <t>ZU-MFMA1ZZI-08K</t>
        </is>
      </c>
      <c r="M23" s="42" t="inlineStr"/>
      <c r="N23" s="44" t="inlineStr">
        <is>
          <t>F.MFM.08K.008.AD</t>
        </is>
      </c>
      <c r="O23" s="86" t="n"/>
      <c r="P23" s="86" t="n"/>
      <c r="Q23" s="259">
        <f>IFERROR(R23/H23, 0)</f>
        <v/>
      </c>
      <c r="R23" s="260" t="n">
        <v>171.92</v>
      </c>
      <c r="S23" s="261" t="n">
        <v>17937</v>
      </c>
      <c r="T23" s="261">
        <f>IFERROR(S23*R23, 0)</f>
        <v/>
      </c>
      <c r="U23" s="48" t="n"/>
      <c r="V23" s="49" t="n"/>
      <c r="W23" s="50" t="n"/>
      <c r="X23" s="51" t="n"/>
      <c r="Y23" s="267" t="n"/>
      <c r="Z23" s="268" t="n"/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2</v>
      </c>
      <c r="I24" s="42" t="inlineStr"/>
      <c r="J24" s="42" t="inlineStr"/>
      <c r="K24" s="44" t="inlineStr">
        <is>
          <t>8IN GREEN TEA MF MATTRESS QN</t>
        </is>
      </c>
      <c r="L24" s="84" t="inlineStr">
        <is>
          <t>ZU-MFMA1ZZI-08Q</t>
        </is>
      </c>
      <c r="M24" s="42" t="inlineStr"/>
      <c r="N24" s="44" t="inlineStr">
        <is>
          <t>F.MFM.08Q.008.AD</t>
        </is>
      </c>
      <c r="O24" s="86" t="n"/>
      <c r="P24" s="86" t="n"/>
      <c r="Q24" s="259">
        <f>IFERROR(R24/H24, 0)</f>
        <v/>
      </c>
      <c r="R24" s="260" t="n">
        <v>139.92</v>
      </c>
      <c r="S24" s="261" t="n">
        <v>17937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69" t="n"/>
      <c r="D25" s="270" t="n"/>
      <c r="E25" s="271" t="n"/>
      <c r="F25" s="272" t="n"/>
      <c r="G25" s="271" t="n"/>
      <c r="H25" s="51" t="n">
        <v>2</v>
      </c>
      <c r="I25" s="51" t="inlineStr"/>
      <c r="J25" s="51" t="inlineStr"/>
      <c r="K25" s="273" t="inlineStr">
        <is>
          <t>8IN GREEN TEA MF MATTRESS SQ</t>
        </is>
      </c>
      <c r="L25" s="274" t="inlineStr">
        <is>
          <t>ZU-MFMA1ZZI-08S</t>
        </is>
      </c>
      <c r="M25" s="51" t="inlineStr"/>
      <c r="N25" s="273" t="inlineStr">
        <is>
          <t>F.MFM.08S.011.AD</t>
        </is>
      </c>
      <c r="O25" s="275" t="n"/>
      <c r="P25" s="275" t="n"/>
      <c r="Q25" s="276">
        <f>IFERROR(R25/H25, 0)</f>
        <v/>
      </c>
      <c r="R25" s="277" t="n">
        <v>132.02</v>
      </c>
      <c r="S25" s="278" t="n">
        <v>17937</v>
      </c>
      <c r="T25" s="278">
        <f>IFERROR(S25*R25, 0)</f>
        <v/>
      </c>
      <c r="U25" s="279" t="n"/>
      <c r="V25" s="52" t="n"/>
      <c r="W25" s="280" t="n"/>
      <c r="X25" s="281" t="n"/>
      <c r="Y25" s="282" t="n"/>
      <c r="Z25" s="283" t="n"/>
    </row>
    <row r="26" ht="16.5" customFormat="1" customHeight="1" s="231" thickBot="1">
      <c r="A26" s="79" t="n"/>
      <c r="B26" s="80" t="n"/>
      <c r="C26" s="284" t="n"/>
      <c r="D26" s="284" t="n"/>
      <c r="E26" s="268" t="n"/>
      <c r="F26" s="285" t="n"/>
      <c r="G26" s="268" t="n"/>
      <c r="H26" s="286" t="n">
        <v>2</v>
      </c>
      <c r="I26" s="286" t="inlineStr"/>
      <c r="J26" s="51" t="inlineStr"/>
      <c r="K26" s="273" t="inlineStr">
        <is>
          <t>8IN GREEN TEA MF MATTRESS TW</t>
        </is>
      </c>
      <c r="L26" s="274" t="inlineStr">
        <is>
          <t>ZU-MFMA1ZZI-08T</t>
        </is>
      </c>
      <c r="M26" s="51" t="inlineStr"/>
      <c r="N26" s="273" t="inlineStr">
        <is>
          <t>F.MFM.08T.008.AD</t>
        </is>
      </c>
      <c r="O26" s="287" t="n"/>
      <c r="P26" s="287" t="n"/>
      <c r="Q26" s="288">
        <f>IFERROR(R26/H26, 0)</f>
        <v/>
      </c>
      <c r="R26" s="289" t="n">
        <v>88.31999999999999</v>
      </c>
      <c r="S26" s="290" t="n">
        <v>17937</v>
      </c>
      <c r="T26" s="290">
        <f>IFERROR(S26*R26, 0)</f>
        <v/>
      </c>
      <c r="U26" s="291" t="n"/>
      <c r="V26" s="282" t="n"/>
      <c r="W26" s="292" t="n"/>
      <c r="X26" s="281" t="n"/>
      <c r="Y26" s="282" t="n"/>
      <c r="Z26" s="283" t="n"/>
    </row>
    <row r="27" ht="16.5" customHeight="1" s="223">
      <c r="A27" s="79" t="n"/>
      <c r="B27" s="80" t="n"/>
      <c r="C27" s="270" t="n"/>
      <c r="D27" s="293" t="n"/>
      <c r="E27" s="271" t="n"/>
      <c r="F27" s="272" t="n"/>
      <c r="G27" s="271" t="n"/>
      <c r="H27" s="294" t="n">
        <v>2</v>
      </c>
      <c r="I27" s="294" t="inlineStr"/>
      <c r="J27" s="294" t="inlineStr"/>
      <c r="K27" s="273" t="inlineStr">
        <is>
          <t>10IN GREEN TEA MF MATTRESS FL</t>
        </is>
      </c>
      <c r="L27" s="274" t="inlineStr">
        <is>
          <t>ZU-MFMA1ZZI-10F</t>
        </is>
      </c>
      <c r="M27" s="51" t="inlineStr"/>
      <c r="N27" s="273" t="inlineStr">
        <is>
          <t>F.MFM.10F.007.AD</t>
        </is>
      </c>
      <c r="O27" s="295" t="n"/>
      <c r="P27" s="295" t="n"/>
      <c r="Q27" s="288">
        <f>IFERROR(R27/H27, 0)</f>
        <v/>
      </c>
      <c r="R27" s="296" t="n">
        <v>140.22</v>
      </c>
      <c r="S27" s="297" t="n">
        <v>17937</v>
      </c>
      <c r="T27" s="297">
        <f>IFERROR(S27*R27, 0)</f>
        <v/>
      </c>
      <c r="U27" s="291" t="n"/>
      <c r="V27" s="282" t="n"/>
      <c r="W27" s="292" t="n"/>
      <c r="X27" s="281" t="n"/>
      <c r="Y27" s="282" t="n"/>
      <c r="Z27" s="283" t="n"/>
    </row>
    <row r="28" ht="16.5" customHeight="1" s="223">
      <c r="A28" s="79" t="n"/>
      <c r="B28" s="80" t="n"/>
      <c r="C28" s="270" t="n"/>
      <c r="D28" s="293" t="n"/>
      <c r="E28" s="271" t="n"/>
      <c r="F28" s="272" t="n"/>
      <c r="G28" s="271" t="n"/>
      <c r="H28" s="294" t="n">
        <v>2</v>
      </c>
      <c r="I28" s="294" t="inlineStr"/>
      <c r="J28" s="294" t="inlineStr"/>
      <c r="K28" s="273" t="inlineStr">
        <is>
          <t>10IN GREEN TEA MF MATTRESS TW</t>
        </is>
      </c>
      <c r="L28" s="274" t="inlineStr">
        <is>
          <t>ZU-MFMA1ZZI-10T</t>
        </is>
      </c>
      <c r="M28" s="51" t="inlineStr"/>
      <c r="N28" s="273" t="inlineStr">
        <is>
          <t>F.MFM.10T.007.AD</t>
        </is>
      </c>
      <c r="O28" s="295" t="n"/>
      <c r="P28" s="295" t="n"/>
      <c r="Q28" s="288">
        <f>IFERROR(R28/H28, 0)</f>
        <v/>
      </c>
      <c r="R28" s="296" t="n">
        <v>105.98</v>
      </c>
      <c r="S28" s="297" t="n">
        <v>17937</v>
      </c>
      <c r="T28" s="297">
        <f>IFERROR(S28*R28, 0)</f>
        <v/>
      </c>
      <c r="U28" s="291" t="n"/>
      <c r="V28" s="282" t="n"/>
      <c r="W28" s="292" t="n"/>
      <c r="X28" s="281" t="n"/>
      <c r="Y28" s="282" t="n"/>
      <c r="Z28" s="283" t="n"/>
    </row>
    <row r="29" ht="16.5" customHeight="1" s="223">
      <c r="A29" s="79" t="n"/>
      <c r="B29" s="80" t="n"/>
      <c r="C29" s="270" t="n"/>
      <c r="D29" s="293" t="n"/>
      <c r="E29" s="271" t="n"/>
      <c r="F29" s="272" t="n"/>
      <c r="G29" s="271" t="n"/>
      <c r="H29" s="294" t="n">
        <v>2</v>
      </c>
      <c r="I29" s="294" t="inlineStr"/>
      <c r="J29" s="294" t="inlineStr"/>
      <c r="K29" s="298" t="inlineStr">
        <is>
          <t>12IN GREEN TEA MF MATTRESS CK</t>
        </is>
      </c>
      <c r="L29" s="299" t="inlineStr">
        <is>
          <t>ZU-MFMA1ZZI-12C</t>
        </is>
      </c>
      <c r="M29" s="300" t="inlineStr"/>
      <c r="N29" s="298" t="inlineStr">
        <is>
          <t>F.MFM.12C.006.AD</t>
        </is>
      </c>
      <c r="O29" s="295" t="n"/>
      <c r="P29" s="295" t="n"/>
      <c r="Q29" s="301">
        <f>IFERROR(R29/H29, 0)</f>
        <v/>
      </c>
      <c r="R29" s="296" t="n">
        <v>233.36</v>
      </c>
      <c r="S29" s="297" t="n">
        <v>17937</v>
      </c>
      <c r="T29" s="261">
        <f>IFERROR(S29*R29, 0)</f>
        <v/>
      </c>
      <c r="U29" s="302" t="n"/>
      <c r="V29" s="282" t="n"/>
      <c r="W29" s="292" t="n"/>
      <c r="X29" s="281" t="n"/>
      <c r="Y29" s="282" t="n"/>
      <c r="Z29" s="283" t="n"/>
    </row>
    <row r="30" ht="16.5" customHeight="1" s="223" thickBot="1">
      <c r="A30" s="79" t="n"/>
      <c r="B30" s="80" t="n"/>
      <c r="C30" s="270" t="n"/>
      <c r="D30" s="270" t="n"/>
      <c r="E30" s="271" t="n"/>
      <c r="F30" s="272" t="n"/>
      <c r="G30" s="271" t="n"/>
      <c r="H30" s="294" t="n">
        <v>2</v>
      </c>
      <c r="I30" s="294" t="inlineStr"/>
      <c r="J30" s="294" t="inlineStr"/>
      <c r="K30" s="273" t="inlineStr">
        <is>
          <t>12IN GREEN TEA MF MATTRESS FL</t>
        </is>
      </c>
      <c r="L30" s="274" t="inlineStr">
        <is>
          <t>ZU-MFMA1ZZI-12F</t>
        </is>
      </c>
      <c r="M30" s="51" t="inlineStr"/>
      <c r="N30" s="298" t="inlineStr">
        <is>
          <t>F.MFM.12F.006.AD</t>
        </is>
      </c>
      <c r="O30" s="295" t="n"/>
      <c r="P30" s="295" t="n"/>
      <c r="Q30" s="301">
        <f>IFERROR(R30/H30, 0)</f>
        <v/>
      </c>
      <c r="R30" s="260" t="n">
        <v>163.18</v>
      </c>
      <c r="S30" s="261" t="n">
        <v>17937</v>
      </c>
      <c r="T30" s="297">
        <f>IFERROR(S30*R30, 0)</f>
        <v/>
      </c>
      <c r="U30" s="303" t="n"/>
      <c r="V30" s="304" t="n"/>
      <c r="W30" s="305" t="n"/>
      <c r="X30" s="300" t="n"/>
      <c r="Y30" s="304" t="n"/>
      <c r="Z30" s="306" t="n"/>
    </row>
    <row r="31" ht="16.5" customHeight="1" s="223" thickTop="1">
      <c r="A31" s="79" t="n"/>
      <c r="B31" s="80" t="n"/>
      <c r="C31" s="270" t="n"/>
      <c r="D31" s="270" t="n"/>
      <c r="E31" s="271" t="n"/>
      <c r="F31" s="272" t="n"/>
      <c r="G31" s="271" t="n"/>
      <c r="H31" s="51" t="n">
        <v>2</v>
      </c>
      <c r="I31" s="51" t="inlineStr"/>
      <c r="J31" s="300" t="inlineStr"/>
      <c r="K31" s="273" t="inlineStr">
        <is>
          <t>12IN GREEN TEA MF MATTRESS TW</t>
        </is>
      </c>
      <c r="L31" s="274" t="inlineStr">
        <is>
          <t>ZU-MFMA1ZZI-12T</t>
        </is>
      </c>
      <c r="M31" s="51" t="inlineStr"/>
      <c r="N31" s="273" t="inlineStr">
        <is>
          <t>F.MFM.12T.006.AD</t>
        </is>
      </c>
      <c r="O31" s="295" t="n"/>
      <c r="P31" s="86" t="n"/>
      <c r="Q31" s="307">
        <f>IFERROR(R31/H31, 0)</f>
        <v/>
      </c>
      <c r="R31" s="260" t="n">
        <v>121.74</v>
      </c>
      <c r="S31" s="261" t="n">
        <v>17937</v>
      </c>
      <c r="T31" s="261">
        <f>IFERROR(S31*R31, 0)</f>
        <v/>
      </c>
      <c r="U31" s="303" t="n"/>
      <c r="V31" s="304" t="n"/>
      <c r="W31" s="305" t="n"/>
      <c r="X31" s="300" t="n"/>
      <c r="Y31" s="304" t="n"/>
      <c r="Z31" s="306" t="n"/>
    </row>
    <row r="32" ht="16.5" customHeight="1" s="223">
      <c r="A32" s="308" t="n"/>
      <c r="B32" s="80" t="n"/>
      <c r="C32" s="284" t="n"/>
      <c r="D32" s="293" t="n"/>
      <c r="E32" s="306" t="n"/>
      <c r="F32" s="309" t="n"/>
      <c r="G32" s="271" t="n"/>
      <c r="H32" s="51" t="n">
        <v>1</v>
      </c>
      <c r="I32" s="51" t="inlineStr"/>
      <c r="J32" s="300" t="inlineStr"/>
      <c r="K32" s="273" t="inlineStr">
        <is>
          <t>FOAM MATTRESS</t>
        </is>
      </c>
      <c r="L32" s="274" t="inlineStr"/>
      <c r="M32" s="51" t="inlineStr"/>
      <c r="N32" s="273" t="inlineStr">
        <is>
          <t>F.MFM.SAMP</t>
        </is>
      </c>
      <c r="O32" s="295" t="n"/>
      <c r="P32" s="86" t="n"/>
      <c r="Q32" s="307">
        <f>IFERROR(R32/H32, 0)</f>
        <v/>
      </c>
      <c r="R32" s="260" t="n">
        <v>51.34</v>
      </c>
      <c r="S32" s="261" t="n">
        <v>17937</v>
      </c>
      <c r="T32" s="261">
        <f>IFERROR(S32*R32, 0)</f>
        <v/>
      </c>
      <c r="U32" s="303" t="n"/>
      <c r="V32" s="304" t="n"/>
      <c r="W32" s="305" t="n"/>
      <c r="X32" s="300" t="n"/>
      <c r="Y32" s="304" t="n"/>
      <c r="Z32" s="306" t="n"/>
    </row>
    <row r="33" ht="16.5" customHeight="1" s="223">
      <c r="A33" s="308" t="n"/>
      <c r="B33" s="310" t="n"/>
      <c r="C33" s="284" t="n"/>
      <c r="D33" s="293" t="n"/>
      <c r="E33" s="306" t="n"/>
      <c r="F33" s="309" t="n"/>
      <c r="G33" s="306" t="n"/>
      <c r="H33" s="51" t="n">
        <v>1</v>
      </c>
      <c r="I33" s="51" t="inlineStr"/>
      <c r="J33" s="300" t="inlineStr"/>
      <c r="K33" s="273" t="inlineStr">
        <is>
          <t>FOAM MATTRESS</t>
        </is>
      </c>
      <c r="L33" s="274" t="inlineStr"/>
      <c r="M33" s="51" t="inlineStr"/>
      <c r="N33" s="273" t="inlineStr">
        <is>
          <t>F.MFM.SAMP</t>
        </is>
      </c>
      <c r="O33" s="295" t="n"/>
      <c r="P33" s="86" t="n"/>
      <c r="Q33" s="307">
        <f>IFERROR(R33/H33, 0)</f>
        <v/>
      </c>
      <c r="R33" s="260" t="n">
        <v>46.34</v>
      </c>
      <c r="S33" s="261" t="n">
        <v>17937</v>
      </c>
      <c r="T33" s="261">
        <f>IFERROR(S33*R33, 0)</f>
        <v/>
      </c>
      <c r="U33" s="303" t="n"/>
      <c r="V33" s="304" t="n"/>
      <c r="W33" s="305" t="n"/>
      <c r="X33" s="300" t="n"/>
      <c r="Y33" s="304" t="n"/>
      <c r="Z33" s="306" t="n"/>
    </row>
    <row r="34" ht="17.1" customHeight="1" s="223">
      <c r="A34" s="311" t="n"/>
      <c r="B34" s="312" t="n"/>
      <c r="C34" s="313" t="n"/>
      <c r="D34" s="314" t="n"/>
      <c r="E34" s="315" t="n"/>
      <c r="F34" s="315" t="n"/>
      <c r="G34" s="315" t="n"/>
      <c r="H34" s="316">
        <f>SUM(H12:H33)</f>
        <v/>
      </c>
      <c r="I34" s="317">
        <f>COUNTA(I12:I33)</f>
        <v/>
      </c>
      <c r="J34" s="316" t="n"/>
      <c r="K34" s="318" t="n"/>
      <c r="L34" s="319" t="n"/>
      <c r="M34" s="318" t="n"/>
      <c r="N34" s="318" t="n"/>
      <c r="O34" s="320">
        <f>SUM(O12:O33)</f>
        <v/>
      </c>
      <c r="P34" s="321">
        <f>SUM(P12:P33)</f>
        <v/>
      </c>
      <c r="Q34" s="322" t="n"/>
      <c r="R34" s="323">
        <f>SUM(R12:R33)</f>
        <v/>
      </c>
      <c r="S34" s="324" t="n"/>
      <c r="T34" s="324">
        <f>SUM(T12:T33)</f>
        <v/>
      </c>
      <c r="U34" s="318" t="n"/>
      <c r="V34" s="325" t="n"/>
      <c r="W34" s="326" t="n"/>
      <c r="X34" s="325" t="n"/>
      <c r="Y34" s="325" t="n"/>
      <c r="Z34" s="325" t="n"/>
    </row>
    <row r="35" ht="16.5" customHeight="1" s="223">
      <c r="A35" s="308">
        <f>COUNT(A12:A34)</f>
        <v/>
      </c>
      <c r="B35" s="310" t="n"/>
      <c r="C35" s="284" t="n"/>
      <c r="D35" s="293" t="n"/>
      <c r="E35" s="306" t="n"/>
      <c r="F35" s="309" t="n"/>
      <c r="G35" s="306" t="n"/>
      <c r="H35" s="300">
        <f>SUM(H34)</f>
        <v/>
      </c>
      <c r="I35" s="300">
        <f>SUM(I34)</f>
        <v/>
      </c>
      <c r="J35" s="300" t="n"/>
      <c r="K35" s="273" t="n"/>
      <c r="L35" s="274" t="n"/>
      <c r="M35" s="51" t="n"/>
      <c r="N35" s="273" t="n"/>
      <c r="O35" s="295">
        <f>SUM(O34)</f>
        <v/>
      </c>
      <c r="P35" s="86">
        <f>SUM(P34)</f>
        <v/>
      </c>
      <c r="Q35" s="307" t="n"/>
      <c r="R35" s="260">
        <f>SUM(R34)</f>
        <v/>
      </c>
      <c r="S35" s="261" t="n"/>
      <c r="T35" s="261">
        <f>SUM(T34)</f>
        <v/>
      </c>
      <c r="U35" s="303" t="n"/>
      <c r="V35" s="304" t="n"/>
      <c r="W35" s="305" t="n"/>
      <c r="X35" s="300" t="n"/>
      <c r="Y35" s="304" t="n"/>
      <c r="Z35" s="306" t="n"/>
    </row>
    <row r="36" ht="17.1" customHeight="1" s="223">
      <c r="A36" s="149" t="n"/>
      <c r="B36" s="152" t="n"/>
      <c r="C36" s="327" t="n"/>
      <c r="K36" s="221" t="n"/>
      <c r="L36" s="221" t="n"/>
      <c r="M36" s="221" t="n"/>
      <c r="N36" s="328" t="n"/>
      <c r="P36" s="329" t="n"/>
      <c r="Q36" s="330" t="n"/>
      <c r="R36" s="331" t="n"/>
      <c r="S36" s="332" t="n"/>
      <c r="T36" s="332" t="n"/>
      <c r="U36" s="148" t="n"/>
    </row>
    <row r="37" ht="20" customHeight="1" s="223">
      <c r="A37" s="149" t="n"/>
      <c r="B37" s="333" t="inlineStr">
        <is>
          <t>Total Qty Export :</t>
        </is>
      </c>
      <c r="C37" s="334">
        <f>H35-C38</f>
        <v/>
      </c>
      <c r="K37" s="221" t="n"/>
      <c r="L37" s="221" t="n"/>
      <c r="M37" s="221" t="n"/>
      <c r="N37" s="328" t="n"/>
      <c r="P37" s="329" t="n"/>
      <c r="Q37" s="330" t="n"/>
      <c r="R37" s="331" t="n"/>
      <c r="S37" s="332" t="n"/>
      <c r="T37" s="332" t="n"/>
      <c r="U37" s="148" t="n"/>
    </row>
    <row r="38" ht="20" customHeight="1" s="223">
      <c r="A38" s="160" t="n"/>
      <c r="B38" s="335" t="inlineStr">
        <is>
          <t>Total Qty Export Sample :</t>
        </is>
      </c>
      <c r="C38" s="336" t="n">
        <v>0</v>
      </c>
      <c r="K38" s="221" t="n"/>
      <c r="L38" s="221" t="n"/>
      <c r="M38" s="221" t="n"/>
      <c r="N38" s="328" t="n"/>
    </row>
    <row r="39" ht="16.2" customHeight="1" s="223" thickBot="1">
      <c r="A39" s="161" t="n"/>
      <c r="B39" s="162" t="n"/>
      <c r="C39" s="163" t="n"/>
      <c r="D39" s="164" t="n"/>
    </row>
    <row r="40" ht="20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337" t="inlineStr">
        <is>
          <t>Tangerang, 10 August 2026</t>
        </is>
      </c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20" customHeight="1" s="223">
      <c r="A41" s="338" t="inlineStr">
        <is>
          <t>Total Document</t>
        </is>
      </c>
      <c r="C41" s="338">
        <f>A35</f>
        <v/>
      </c>
      <c r="U41" s="339" t="inlineStr">
        <is>
          <t>Kasubsi Hanggar Pabean dan Cukai</t>
        </is>
      </c>
    </row>
    <row r="42" ht="20" customHeight="1" s="223">
      <c r="A42" s="338" t="inlineStr">
        <is>
          <t>Gross Weight</t>
        </is>
      </c>
      <c r="C42" s="338">
        <f>O35</f>
        <v/>
      </c>
    </row>
    <row r="43" ht="20" customHeight="1" s="223">
      <c r="A43" s="338" t="inlineStr">
        <is>
          <t>Nett Weight</t>
        </is>
      </c>
      <c r="C43" s="338">
        <f>P35</f>
        <v/>
      </c>
    </row>
    <row r="44" ht="20" customHeight="1" s="223">
      <c r="A44" s="338" t="inlineStr">
        <is>
          <t>Amount</t>
        </is>
      </c>
      <c r="C44" s="338">
        <f>R35</f>
        <v/>
      </c>
    </row>
    <row r="45" ht="20" customHeight="1" s="223">
      <c r="A45" s="338" t="inlineStr">
        <is>
          <t>Jumlah Container</t>
        </is>
      </c>
      <c r="C45" s="338">
        <f>I35</f>
        <v/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0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1" t="n"/>
      <c r="L333" s="341" t="n"/>
      <c r="M333" s="341" t="n"/>
      <c r="N333" s="342" t="n"/>
      <c r="O333" s="343" t="n"/>
      <c r="P333" s="343" t="n"/>
      <c r="Q333" s="344" t="n"/>
      <c r="R333" s="345" t="n"/>
      <c r="S333" s="346" t="n"/>
      <c r="T333" s="346" t="n"/>
      <c r="U333" s="347" t="n"/>
      <c r="V333" s="347" t="n"/>
      <c r="W333" s="347" t="n"/>
      <c r="X333" s="347" t="n"/>
      <c r="Y333" s="347" t="n"/>
      <c r="Z333" s="347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2026-08-09T17:00:24Z</dcterms:modified>
  <cp:lastModifiedBy>Chiswa Dian Hermansyah(ZINUS ZDI)</cp:lastModifiedBy>
</cp:coreProperties>
</file>