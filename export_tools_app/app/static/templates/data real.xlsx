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"/>
    </mc:Choice>
  </mc:AlternateContent>
  <xr:revisionPtr revIDLastSave="0" documentId="13_ncr:1_{B1109F9B-30CC-4E00-B75E-69019B95510D}" xr6:coauthVersionLast="47" xr6:coauthVersionMax="47" xr10:uidLastSave="{00000000-0000-0000-0000-000000000000}"/>
  <bookViews>
    <workbookView xWindow="-108" yWindow="-108" windowWidth="23256" windowHeight="12456" xr2:uid="{777349C8-90E9-4212-A398-C587EF93F9FA}"/>
  </bookViews>
  <sheets>
    <sheet name="bulan" sheetId="1" r:id="rId1"/>
  </sheets>
  <externalReferences>
    <externalReference r:id="rId2"/>
  </externalReferences>
  <definedNames>
    <definedName name="_xlnm._FilterDatabase" localSheetId="0" hidden="1">bulan!$A$10:$Z$11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" i="1" l="1"/>
  <c r="C26" i="1" s="1"/>
  <c r="I19" i="1"/>
  <c r="H19" i="1"/>
  <c r="C30" i="1"/>
  <c r="U25" i="1"/>
  <c r="A19" i="1"/>
  <c r="C25" i="1" s="1"/>
  <c r="T17" i="1"/>
  <c r="T19" i="1" s="1"/>
  <c r="R17" i="1"/>
  <c r="R19" i="1" s="1"/>
  <c r="P17" i="1"/>
  <c r="P19" i="1" s="1"/>
  <c r="O17" i="1"/>
  <c r="I17" i="1"/>
  <c r="H17" i="1"/>
  <c r="T12" i="1"/>
  <c r="Q12" i="1"/>
  <c r="C27" i="1" l="1"/>
  <c r="C21" i="1"/>
  <c r="C28" i="1"/>
  <c r="C29" i="1"/>
  <c r="C31" i="1" s="1"/>
</calcChain>
</file>

<file path=xl/sharedStrings.xml><?xml version="1.0" encoding="utf-8"?>
<sst xmlns="http://schemas.openxmlformats.org/spreadsheetml/2006/main" count="52" uniqueCount="47">
  <si>
    <t>KEMENTERIAN KEUANGAN REPUBLIK INDONESIA</t>
  </si>
  <si>
    <t>DIREKTORAT JENDERAL BEA DAN CUKAI</t>
  </si>
  <si>
    <t>KANTOR WILAYAH DJBC BANTEN</t>
  </si>
  <si>
    <t>KANTOR PENGAWASAN DAN PELAYANAN BEA DAN CUKAI TIPE MADYA PABEAN A TANGERANG</t>
  </si>
  <si>
    <t>LAPORAN BULANAN  EKSPOR (BC 3.0)</t>
  </si>
  <si>
    <t>PT. ZINUS DREAM INDONESIA</t>
  </si>
  <si>
    <t>NO</t>
  </si>
  <si>
    <t>NO AJU</t>
  </si>
  <si>
    <t>NOMOR</t>
  </si>
  <si>
    <t>TANGGAL</t>
  </si>
  <si>
    <t>INVOICE</t>
  </si>
  <si>
    <t>TANGGAL INVOICE</t>
  </si>
  <si>
    <t>JUMLAH BARANG</t>
  </si>
  <si>
    <t>KONTAINER/SIZE</t>
  </si>
  <si>
    <t>URAIAN JENIS BARANG</t>
  </si>
  <si>
    <t>SKU</t>
  </si>
  <si>
    <t>Nomor PO</t>
  </si>
  <si>
    <t>F-CODE</t>
  </si>
  <si>
    <t>BRUTO</t>
  </si>
  <si>
    <t>NETTO</t>
  </si>
  <si>
    <t>UNIT PRICE</t>
  </si>
  <si>
    <t>FOB</t>
  </si>
  <si>
    <t>KURS</t>
  </si>
  <si>
    <t>IDR</t>
  </si>
  <si>
    <t>KANTOR PABEAN</t>
  </si>
  <si>
    <t>PELABUHAN</t>
  </si>
  <si>
    <t>NEGARA</t>
  </si>
  <si>
    <t>PENERIMA BARANG</t>
  </si>
  <si>
    <t>NOMOR B/L / AWB</t>
  </si>
  <si>
    <t>TANGGAL B/L</t>
  </si>
  <si>
    <t xml:space="preserve">PEB </t>
  </si>
  <si>
    <t>NPE</t>
  </si>
  <si>
    <t>(KG)</t>
  </si>
  <si>
    <t>(USD)</t>
  </si>
  <si>
    <t>MUAT / EKSPOR</t>
  </si>
  <si>
    <t>MUAT</t>
  </si>
  <si>
    <t>TUJUAN</t>
  </si>
  <si>
    <t/>
  </si>
  <si>
    <t>Total Qty Export :</t>
  </si>
  <si>
    <t>Total Qty Export Sample :</t>
  </si>
  <si>
    <t>Total Document</t>
  </si>
  <si>
    <t>Gross Weight</t>
  </si>
  <si>
    <t>Nett Weight</t>
  </si>
  <si>
    <t>Amount</t>
  </si>
  <si>
    <t>Jumlah Container</t>
  </si>
  <si>
    <t xml:space="preserve">BULAN : </t>
  </si>
  <si>
    <t>Tangerang, dd mm 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</si>
</sst>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00000"/>
    <numFmt numFmtId="165" formatCode="_(* #,##0_);_(* \(#,##0\);_(* &quot;-&quot;_);_(@_)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;@"/>
    <numFmt numFmtId="172" formatCode="_(* #,##0.00_);_(* \(#,##0.00\);_(* &quot;-&quot;??_);_(@_)"/>
    <numFmt numFmtId="173" formatCode="[$-409]d\-mmm\-yyyy;@"/>
    <numFmt numFmtId="174" formatCode="_([$$-409]* #,##0.00_);_([$$-409]* \(#,##0.00\);_([$$-409]* &quot;-&quot;??_);_(@_)"/>
    <numFmt numFmtId="175" formatCode="&quot;:&quot;\ General\ &quot;Document&quot;"/>
    <numFmt numFmtId="176" formatCode="&quot;:&quot;\ #,##0.00\ &quot;KGS&quot;"/>
    <numFmt numFmtId="177" formatCode="&quot;: $&quot;\ #,##0.00"/>
    <numFmt numFmtId="178" formatCode="&quot;:&quot;\ General&quot;X40FT&quot;"/>
    <numFmt numFmtId="179" formatCode="&quot;:&quot;\ General&quot;X20FT&quot;"/>
    <numFmt numFmtId="180" formatCode="&quot;=&quot;\ #,##0\ &quot;TEUS&quot;"/>
  </numFmts>
  <fonts count="24">
    <font>
      <sz val="10"/>
      <name val="Arial"/>
      <charset val="134"/>
    </font>
    <font>
      <sz val="11"/>
      <color theme="1"/>
      <name val="Calibri"/>
      <family val="2"/>
      <charset val="1"/>
      <scheme val="minor"/>
    </font>
    <font>
      <sz val="14"/>
      <name val="Times New Roman"/>
      <family val="1"/>
    </font>
    <font>
      <sz val="11"/>
      <name val="Times New Roman"/>
      <family val="1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2"/>
      <name val="Calibri"/>
      <family val="2"/>
      <scheme val="minor"/>
    </font>
    <font>
      <sz val="12"/>
      <name val="宋体"/>
      <family val="3"/>
      <charset val="134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바탕체"/>
      <family val="3"/>
    </font>
    <font>
      <b/>
      <sz val="12"/>
      <color indexed="8"/>
      <name val="Times New Roman"/>
      <family val="1"/>
    </font>
    <font>
      <sz val="12"/>
      <color theme="0"/>
      <name val="Times New Roman"/>
      <family val="1"/>
    </font>
    <font>
      <sz val="11"/>
      <color indexed="10"/>
      <name val="Times New Roman"/>
      <family val="1"/>
    </font>
    <font>
      <b/>
      <sz val="11"/>
      <color theme="7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1">
    <xf numFmtId="0" fontId="0" fillId="0" borderId="0">
      <alignment vertical="center"/>
    </xf>
    <xf numFmtId="172" fontId="12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165" fontId="1" fillId="0" borderId="0" applyFont="0" applyFill="0" applyBorder="0" applyAlignment="0" applyProtection="0"/>
    <xf numFmtId="0" fontId="10" fillId="0" borderId="0">
      <alignment vertical="center"/>
    </xf>
    <xf numFmtId="172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>
      <alignment vertical="center"/>
    </xf>
    <xf numFmtId="1" fontId="2" fillId="0" borderId="0" xfId="4" applyNumberFormat="1" applyFont="1" applyAlignment="1">
      <alignment horizontal="center" vertical="center"/>
    </xf>
    <xf numFmtId="49" fontId="2" fillId="0" borderId="0" xfId="4" applyNumberFormat="1" applyFont="1" applyAlignment="1">
      <alignment horizontal="left"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0" xfId="4" applyFont="1" applyAlignment="1">
      <alignment horizontal="left" vertical="center"/>
    </xf>
    <xf numFmtId="49" fontId="3" fillId="0" borderId="0" xfId="4" applyNumberFormat="1" applyFont="1" applyAlignment="1">
      <alignment horizontal="center" vertical="center"/>
    </xf>
    <xf numFmtId="165" fontId="3" fillId="0" borderId="0" xfId="4" applyNumberFormat="1" applyFont="1" applyAlignment="1">
      <alignment horizontal="center" vertical="center" shrinkToFit="1"/>
    </xf>
    <xf numFmtId="165" fontId="4" fillId="0" borderId="0" xfId="4" applyNumberFormat="1" applyFont="1" applyAlignment="1">
      <alignment horizontal="center" vertical="center" shrinkToFit="1"/>
    </xf>
    <xf numFmtId="166" fontId="3" fillId="0" borderId="0" xfId="2" applyNumberFormat="1" applyFont="1" applyAlignment="1">
      <alignment horizontal="right" vertical="center"/>
    </xf>
    <xf numFmtId="167" fontId="3" fillId="0" borderId="0" xfId="4" applyNumberFormat="1" applyFont="1" applyAlignment="1">
      <alignment horizontal="right" vertical="center"/>
    </xf>
    <xf numFmtId="168" fontId="3" fillId="0" borderId="0" xfId="3" applyFont="1" applyAlignment="1">
      <alignment horizontal="right" vertical="center"/>
    </xf>
    <xf numFmtId="169" fontId="3" fillId="0" borderId="0" xfId="3" applyNumberFormat="1" applyFont="1" applyAlignment="1">
      <alignment horizontal="right" vertical="center"/>
    </xf>
    <xf numFmtId="165" fontId="3" fillId="0" borderId="0" xfId="4" applyNumberFormat="1" applyFont="1" applyAlignment="1">
      <alignment horizontal="center" vertical="center"/>
    </xf>
    <xf numFmtId="165" fontId="3" fillId="0" borderId="0" xfId="4" applyNumberFormat="1" applyFont="1" applyAlignment="1">
      <alignment vertical="center"/>
    </xf>
    <xf numFmtId="1" fontId="2" fillId="0" borderId="0" xfId="5" applyNumberFormat="1" applyFont="1" applyAlignment="1">
      <alignment horizontal="center" vertical="center"/>
    </xf>
    <xf numFmtId="49" fontId="2" fillId="0" borderId="0" xfId="5" applyNumberFormat="1" applyFont="1" applyAlignment="1">
      <alignment horizontal="left" vertical="center"/>
    </xf>
    <xf numFmtId="1" fontId="3" fillId="0" borderId="0" xfId="4" applyNumberFormat="1" applyFont="1" applyAlignment="1">
      <alignment horizontal="center" vertical="center"/>
    </xf>
    <xf numFmtId="1" fontId="3" fillId="0" borderId="1" xfId="4" applyNumberFormat="1" applyFont="1" applyBorder="1" applyAlignment="1">
      <alignment horizontal="center" vertical="center"/>
    </xf>
    <xf numFmtId="49" fontId="3" fillId="0" borderId="1" xfId="4" applyNumberFormat="1" applyFont="1" applyBorder="1" applyAlignment="1">
      <alignment horizontal="center" vertical="center"/>
    </xf>
    <xf numFmtId="164" fontId="3" fillId="0" borderId="1" xfId="4" applyNumberFormat="1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 shrinkToFit="1"/>
    </xf>
    <xf numFmtId="0" fontId="3" fillId="0" borderId="1" xfId="4" applyFont="1" applyBorder="1" applyAlignment="1">
      <alignment horizontal="left" vertical="center" shrinkToFit="1"/>
    </xf>
    <xf numFmtId="165" fontId="3" fillId="0" borderId="1" xfId="4" applyNumberFormat="1" applyFont="1" applyBorder="1" applyAlignment="1">
      <alignment horizontal="center" vertical="center"/>
    </xf>
    <xf numFmtId="165" fontId="4" fillId="0" borderId="1" xfId="4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167" fontId="3" fillId="0" borderId="1" xfId="4" applyNumberFormat="1" applyFont="1" applyBorder="1" applyAlignment="1">
      <alignment horizontal="center" vertical="center"/>
    </xf>
    <xf numFmtId="168" fontId="3" fillId="0" borderId="1" xfId="3" applyFont="1" applyBorder="1" applyAlignment="1">
      <alignment horizontal="center" vertical="center"/>
    </xf>
    <xf numFmtId="169" fontId="3" fillId="0" borderId="1" xfId="3" applyNumberFormat="1" applyFont="1" applyBorder="1" applyAlignment="1">
      <alignment horizontal="center" vertical="center"/>
    </xf>
    <xf numFmtId="166" fontId="7" fillId="0" borderId="2" xfId="2" applyNumberFormat="1" applyFont="1" applyBorder="1" applyAlignment="1">
      <alignment horizontal="center" vertical="center"/>
    </xf>
    <xf numFmtId="168" fontId="7" fillId="0" borderId="2" xfId="3" applyFont="1" applyBorder="1" applyAlignment="1">
      <alignment horizontal="center" vertical="center"/>
    </xf>
    <xf numFmtId="169" fontId="7" fillId="0" borderId="2" xfId="3" applyNumberFormat="1" applyFont="1" applyBorder="1" applyAlignment="1">
      <alignment horizontal="center" vertical="center"/>
    </xf>
    <xf numFmtId="170" fontId="7" fillId="0" borderId="2" xfId="6" applyNumberFormat="1" applyFont="1" applyBorder="1" applyAlignment="1">
      <alignment horizontal="center" vertical="center"/>
    </xf>
    <xf numFmtId="165" fontId="7" fillId="0" borderId="0" xfId="4" applyNumberFormat="1" applyFont="1" applyAlignment="1">
      <alignment vertical="center"/>
    </xf>
    <xf numFmtId="165" fontId="7" fillId="0" borderId="8" xfId="4" applyNumberFormat="1" applyFont="1" applyBorder="1" applyAlignment="1">
      <alignment horizontal="center" vertical="center" wrapText="1"/>
    </xf>
    <xf numFmtId="164" fontId="7" fillId="0" borderId="8" xfId="4" applyNumberFormat="1" applyFont="1" applyBorder="1" applyAlignment="1">
      <alignment horizontal="center" vertical="center" wrapText="1"/>
    </xf>
    <xf numFmtId="166" fontId="7" fillId="0" borderId="7" xfId="2" quotePrefix="1" applyNumberFormat="1" applyFont="1" applyBorder="1" applyAlignment="1">
      <alignment horizontal="center" vertical="center"/>
    </xf>
    <xf numFmtId="166" fontId="7" fillId="0" borderId="7" xfId="2" applyNumberFormat="1" applyFont="1" applyBorder="1" applyAlignment="1">
      <alignment horizontal="center" vertical="center"/>
    </xf>
    <xf numFmtId="168" fontId="7" fillId="0" borderId="7" xfId="3" applyFont="1" applyBorder="1" applyAlignment="1">
      <alignment horizontal="center" vertical="center"/>
    </xf>
    <xf numFmtId="169" fontId="7" fillId="0" borderId="7" xfId="3" applyNumberFormat="1" applyFont="1" applyBorder="1" applyAlignment="1">
      <alignment horizontal="center" vertical="center"/>
    </xf>
    <xf numFmtId="170" fontId="7" fillId="0" borderId="7" xfId="6" applyNumberFormat="1" applyFont="1" applyBorder="1" applyAlignment="1">
      <alignment horizontal="center" vertical="center"/>
    </xf>
    <xf numFmtId="171" fontId="4" fillId="0" borderId="12" xfId="5" quotePrefix="1" applyNumberFormat="1" applyFont="1" applyBorder="1" applyAlignment="1">
      <alignment horizontal="center" vertical="center" wrapText="1"/>
    </xf>
    <xf numFmtId="0" fontId="4" fillId="0" borderId="12" xfId="5" applyFont="1" applyBorder="1" applyAlignment="1">
      <alignment horizontal="center" vertical="center"/>
    </xf>
    <xf numFmtId="0" fontId="11" fillId="0" borderId="13" xfId="5" applyFont="1" applyBorder="1" applyAlignment="1">
      <alignment horizontal="center"/>
    </xf>
    <xf numFmtId="0" fontId="4" fillId="0" borderId="12" xfId="5" applyFont="1" applyBorder="1" applyAlignment="1">
      <alignment horizontal="center"/>
    </xf>
    <xf numFmtId="167" fontId="4" fillId="0" borderId="12" xfId="1" applyNumberFormat="1" applyFont="1" applyFill="1" applyBorder="1" applyAlignment="1">
      <alignment vertical="center" wrapText="1"/>
    </xf>
    <xf numFmtId="168" fontId="4" fillId="0" borderId="13" xfId="3" applyFont="1" applyFill="1" applyBorder="1" applyAlignment="1">
      <alignment horizontal="center" vertical="center" wrapText="1"/>
    </xf>
    <xf numFmtId="169" fontId="4" fillId="0" borderId="12" xfId="3" applyNumberFormat="1" applyFont="1" applyFill="1" applyBorder="1" applyAlignment="1">
      <alignment horizontal="center" vertical="center" wrapText="1"/>
    </xf>
    <xf numFmtId="0" fontId="4" fillId="0" borderId="12" xfId="5" applyFont="1" applyBorder="1" applyAlignment="1">
      <alignment horizontal="center" vertical="top" wrapText="1"/>
    </xf>
    <xf numFmtId="0" fontId="4" fillId="0" borderId="12" xfId="5" applyFont="1" applyBorder="1" applyAlignment="1">
      <alignment horizontal="center" vertical="center" wrapText="1"/>
    </xf>
    <xf numFmtId="0" fontId="11" fillId="0" borderId="12" xfId="5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0" fontId="4" fillId="0" borderId="12" xfId="4" quotePrefix="1" applyFont="1" applyBorder="1" applyAlignment="1">
      <alignment horizontal="center" vertical="center" wrapText="1"/>
    </xf>
    <xf numFmtId="165" fontId="4" fillId="0" borderId="0" xfId="4" applyNumberFormat="1" applyFont="1" applyAlignment="1">
      <alignment vertical="center" wrapText="1"/>
    </xf>
    <xf numFmtId="1" fontId="4" fillId="0" borderId="13" xfId="4" quotePrefix="1" applyNumberFormat="1" applyFont="1" applyBorder="1" applyAlignment="1">
      <alignment horizontal="center" vertical="center" wrapText="1"/>
    </xf>
    <xf numFmtId="49" fontId="4" fillId="0" borderId="13" xfId="4" quotePrefix="1" applyNumberFormat="1" applyFont="1" applyBorder="1" applyAlignment="1">
      <alignment horizontal="center" vertical="center"/>
    </xf>
    <xf numFmtId="49" fontId="4" fillId="0" borderId="13" xfId="5" quotePrefix="1" applyNumberFormat="1" applyFont="1" applyBorder="1" applyAlignment="1">
      <alignment horizontal="center" vertical="center" wrapText="1"/>
    </xf>
    <xf numFmtId="171" fontId="4" fillId="0" borderId="13" xfId="5" quotePrefix="1" applyNumberFormat="1" applyFont="1" applyBorder="1" applyAlignment="1">
      <alignment horizontal="center" vertical="center" wrapText="1"/>
    </xf>
    <xf numFmtId="14" fontId="4" fillId="0" borderId="13" xfId="5" quotePrefix="1" applyNumberFormat="1" applyFont="1" applyBorder="1" applyAlignment="1">
      <alignment horizontal="center" vertical="center" wrapText="1"/>
    </xf>
    <xf numFmtId="0" fontId="4" fillId="0" borderId="14" xfId="5" applyFont="1" applyBorder="1" applyAlignment="1">
      <alignment horizontal="center" vertical="center"/>
    </xf>
    <xf numFmtId="0" fontId="4" fillId="0" borderId="13" xfId="5" applyFont="1" applyBorder="1" applyAlignment="1">
      <alignment horizontal="center"/>
    </xf>
    <xf numFmtId="39" fontId="4" fillId="0" borderId="13" xfId="2" applyNumberFormat="1" applyFont="1" applyFill="1" applyBorder="1" applyAlignment="1">
      <alignment vertical="center"/>
    </xf>
    <xf numFmtId="0" fontId="4" fillId="0" borderId="13" xfId="4" applyFont="1" applyBorder="1" applyAlignment="1">
      <alignment horizontal="center" vertical="center"/>
    </xf>
    <xf numFmtId="0" fontId="4" fillId="0" borderId="13" xfId="4" quotePrefix="1" applyFont="1" applyBorder="1" applyAlignment="1">
      <alignment horizontal="center" vertical="center" wrapText="1"/>
    </xf>
    <xf numFmtId="1" fontId="9" fillId="2" borderId="15" xfId="4" quotePrefix="1" applyNumberFormat="1" applyFont="1" applyFill="1" applyBorder="1" applyAlignment="1">
      <alignment horizontal="center" vertical="center" wrapText="1"/>
    </xf>
    <xf numFmtId="49" fontId="9" fillId="2" borderId="15" xfId="4" quotePrefix="1" applyNumberFormat="1" applyFont="1" applyFill="1" applyBorder="1" applyAlignment="1">
      <alignment horizontal="center" vertical="center" wrapText="1"/>
    </xf>
    <xf numFmtId="49" fontId="9" fillId="2" borderId="15" xfId="5" applyNumberFormat="1" applyFont="1" applyFill="1" applyBorder="1" applyAlignment="1">
      <alignment horizontal="center" vertical="center"/>
    </xf>
    <xf numFmtId="14" fontId="9" fillId="2" borderId="15" xfId="5" applyNumberFormat="1" applyFont="1" applyFill="1" applyBorder="1" applyAlignment="1">
      <alignment horizontal="center" vertical="center"/>
    </xf>
    <xf numFmtId="0" fontId="9" fillId="2" borderId="15" xfId="5" applyFont="1" applyFill="1" applyBorder="1" applyAlignment="1">
      <alignment horizontal="center" vertical="center"/>
    </xf>
    <xf numFmtId="0" fontId="9" fillId="2" borderId="16" xfId="5" applyFont="1" applyFill="1" applyBorder="1" applyAlignment="1">
      <alignment horizontal="center"/>
    </xf>
    <xf numFmtId="14" fontId="13" fillId="2" borderId="15" xfId="5" quotePrefix="1" applyNumberFormat="1" applyFont="1" applyFill="1" applyBorder="1" applyAlignment="1">
      <alignment horizontal="center" vertical="center" wrapText="1"/>
    </xf>
    <xf numFmtId="166" fontId="13" fillId="2" borderId="15" xfId="2" applyNumberFormat="1" applyFont="1" applyFill="1" applyBorder="1" applyAlignment="1">
      <alignment horizontal="center"/>
    </xf>
    <xf numFmtId="167" fontId="9" fillId="2" borderId="15" xfId="1" applyNumberFormat="1" applyFont="1" applyFill="1" applyBorder="1" applyAlignment="1">
      <alignment vertical="center" wrapText="1"/>
    </xf>
    <xf numFmtId="168" fontId="9" fillId="2" borderId="15" xfId="3" applyFont="1" applyFill="1" applyBorder="1" applyAlignment="1">
      <alignment horizontal="center" vertical="center" wrapText="1"/>
    </xf>
    <xf numFmtId="169" fontId="9" fillId="2" borderId="15" xfId="3" applyNumberFormat="1" applyFont="1" applyFill="1" applyBorder="1" applyAlignment="1">
      <alignment horizontal="center" vertical="center" wrapText="1"/>
    </xf>
    <xf numFmtId="0" fontId="9" fillId="2" borderId="15" xfId="5" applyFont="1" applyFill="1" applyBorder="1" applyAlignment="1">
      <alignment horizontal="center" vertical="center" wrapText="1"/>
    </xf>
    <xf numFmtId="0" fontId="9" fillId="2" borderId="15" xfId="5" applyFont="1" applyFill="1" applyBorder="1" applyAlignment="1">
      <alignment horizontal="center"/>
    </xf>
    <xf numFmtId="0" fontId="9" fillId="2" borderId="15" xfId="4" applyFont="1" applyFill="1" applyBorder="1" applyAlignment="1">
      <alignment horizontal="center" vertical="center" wrapText="1"/>
    </xf>
    <xf numFmtId="165" fontId="9" fillId="0" borderId="0" xfId="4" applyNumberFormat="1" applyFont="1" applyAlignment="1">
      <alignment vertical="center" wrapText="1"/>
    </xf>
    <xf numFmtId="1" fontId="4" fillId="0" borderId="12" xfId="4" quotePrefix="1" applyNumberFormat="1" applyFont="1" applyBorder="1" applyAlignment="1">
      <alignment horizontal="center" vertical="center" wrapText="1"/>
    </xf>
    <xf numFmtId="49" fontId="4" fillId="0" borderId="12" xfId="4" quotePrefix="1" applyNumberFormat="1" applyFont="1" applyBorder="1" applyAlignment="1">
      <alignment horizontal="center" vertical="center"/>
    </xf>
    <xf numFmtId="49" fontId="4" fillId="0" borderId="12" xfId="5" quotePrefix="1" applyNumberFormat="1" applyFont="1" applyBorder="1" applyAlignment="1">
      <alignment horizontal="center" vertical="center" wrapText="1"/>
    </xf>
    <xf numFmtId="14" fontId="4" fillId="0" borderId="12" xfId="5" quotePrefix="1" applyNumberFormat="1" applyFont="1" applyBorder="1" applyAlignment="1">
      <alignment horizontal="center" vertical="center" wrapText="1"/>
    </xf>
    <xf numFmtId="0" fontId="4" fillId="0" borderId="12" xfId="7" applyFont="1" applyBorder="1" applyAlignment="1">
      <alignment horizontal="center" vertical="center"/>
    </xf>
    <xf numFmtId="0" fontId="11" fillId="0" borderId="12" xfId="5" applyFont="1" applyBorder="1" applyAlignment="1">
      <alignment horizontal="center"/>
    </xf>
    <xf numFmtId="0" fontId="4" fillId="0" borderId="12" xfId="5" quotePrefix="1" applyFont="1" applyBorder="1" applyAlignment="1">
      <alignment horizontal="center" vertical="center"/>
    </xf>
    <xf numFmtId="39" fontId="4" fillId="0" borderId="12" xfId="2" applyNumberFormat="1" applyFont="1" applyFill="1" applyBorder="1" applyAlignment="1">
      <alignment vertical="center"/>
    </xf>
    <xf numFmtId="168" fontId="4" fillId="0" borderId="12" xfId="3" applyFont="1" applyFill="1" applyBorder="1" applyAlignment="1">
      <alignment horizontal="center" vertical="center" wrapText="1"/>
    </xf>
    <xf numFmtId="0" fontId="4" fillId="0" borderId="13" xfId="7" applyFont="1" applyBorder="1" applyAlignment="1">
      <alignment horizontal="center" vertical="center"/>
    </xf>
    <xf numFmtId="1" fontId="3" fillId="0" borderId="9" xfId="4" quotePrefix="1" applyNumberFormat="1" applyFont="1" applyBorder="1" applyAlignment="1">
      <alignment horizontal="center" vertical="center"/>
    </xf>
    <xf numFmtId="49" fontId="3" fillId="0" borderId="1" xfId="4" quotePrefix="1" applyNumberFormat="1" applyFont="1" applyBorder="1" applyAlignment="1">
      <alignment horizontal="center" vertical="center"/>
    </xf>
    <xf numFmtId="164" fontId="3" fillId="3" borderId="1" xfId="8" quotePrefix="1" applyNumberFormat="1" applyFont="1" applyFill="1" applyBorder="1" applyAlignment="1">
      <alignment horizontal="center" vertical="center" wrapText="1"/>
    </xf>
    <xf numFmtId="164" fontId="14" fillId="3" borderId="1" xfId="4" quotePrefix="1" applyNumberFormat="1" applyFont="1" applyFill="1" applyBorder="1" applyAlignment="1">
      <alignment horizontal="center" vertical="center"/>
    </xf>
    <xf numFmtId="173" fontId="3" fillId="3" borderId="1" xfId="4" quotePrefix="1" applyNumberFormat="1" applyFont="1" applyFill="1" applyBorder="1" applyAlignment="1">
      <alignment horizontal="center" vertical="center" wrapText="1"/>
    </xf>
    <xf numFmtId="173" fontId="3" fillId="3" borderId="1" xfId="4" quotePrefix="1" applyNumberFormat="1" applyFont="1" applyFill="1" applyBorder="1" applyAlignment="1">
      <alignment horizontal="left" vertical="center" wrapText="1"/>
    </xf>
    <xf numFmtId="0" fontId="3" fillId="0" borderId="1" xfId="4" applyFont="1" applyBorder="1" applyAlignment="1">
      <alignment horizontal="center" vertical="center"/>
    </xf>
    <xf numFmtId="166" fontId="3" fillId="3" borderId="1" xfId="2" quotePrefix="1" applyNumberFormat="1" applyFont="1" applyFill="1" applyBorder="1" applyAlignment="1">
      <alignment horizontal="right" vertical="center" wrapText="1"/>
    </xf>
    <xf numFmtId="167" fontId="3" fillId="3" borderId="1" xfId="4" quotePrefix="1" applyNumberFormat="1" applyFont="1" applyFill="1" applyBorder="1" applyAlignment="1">
      <alignment horizontal="right" vertical="center" wrapText="1"/>
    </xf>
    <xf numFmtId="168" fontId="3" fillId="3" borderId="1" xfId="3" quotePrefix="1" applyFont="1" applyFill="1" applyBorder="1" applyAlignment="1">
      <alignment horizontal="right" vertical="center" wrapText="1"/>
    </xf>
    <xf numFmtId="169" fontId="3" fillId="3" borderId="1" xfId="3" quotePrefix="1" applyNumberFormat="1" applyFont="1" applyFill="1" applyBorder="1" applyAlignment="1">
      <alignment horizontal="right" vertical="center" wrapText="1"/>
    </xf>
    <xf numFmtId="172" fontId="3" fillId="3" borderId="1" xfId="4" quotePrefix="1" applyNumberFormat="1" applyFont="1" applyFill="1" applyBorder="1" applyAlignment="1">
      <alignment horizontal="center" vertical="center" wrapText="1"/>
    </xf>
    <xf numFmtId="4" fontId="3" fillId="0" borderId="10" xfId="9" applyNumberFormat="1" applyFont="1" applyBorder="1" applyAlignment="1">
      <alignment horizontal="center" vertical="center"/>
    </xf>
    <xf numFmtId="4" fontId="3" fillId="0" borderId="0" xfId="9" applyNumberFormat="1" applyFont="1" applyBorder="1" applyAlignment="1">
      <alignment horizontal="center" vertical="center"/>
    </xf>
    <xf numFmtId="1" fontId="15" fillId="0" borderId="8" xfId="4" quotePrefix="1" applyNumberFormat="1" applyFont="1" applyBorder="1" applyAlignment="1">
      <alignment horizontal="center" vertical="center"/>
    </xf>
    <xf numFmtId="49" fontId="15" fillId="0" borderId="3" xfId="4" quotePrefix="1" applyNumberFormat="1" applyFont="1" applyBorder="1" applyAlignment="1">
      <alignment horizontal="center" vertical="center"/>
    </xf>
    <xf numFmtId="165" fontId="15" fillId="0" borderId="3" xfId="4" applyNumberFormat="1" applyFont="1" applyBorder="1" applyAlignment="1">
      <alignment vertical="center"/>
    </xf>
    <xf numFmtId="165" fontId="15" fillId="0" borderId="17" xfId="4" applyNumberFormat="1" applyFont="1" applyBorder="1" applyAlignment="1">
      <alignment vertical="center"/>
    </xf>
    <xf numFmtId="3" fontId="17" fillId="0" borderId="18" xfId="10" applyNumberFormat="1" applyFont="1" applyBorder="1" applyAlignment="1">
      <alignment horizontal="center" vertical="center"/>
    </xf>
    <xf numFmtId="0" fontId="15" fillId="0" borderId="4" xfId="4" applyFont="1" applyBorder="1" applyAlignment="1">
      <alignment horizontal="center" vertical="center"/>
    </xf>
    <xf numFmtId="165" fontId="15" fillId="0" borderId="4" xfId="4" applyNumberFormat="1" applyFont="1" applyBorder="1" applyAlignment="1">
      <alignment vertical="center"/>
    </xf>
    <xf numFmtId="165" fontId="15" fillId="0" borderId="4" xfId="4" applyNumberFormat="1" applyFont="1" applyBorder="1" applyAlignment="1">
      <alignment horizontal="center" vertical="center"/>
    </xf>
    <xf numFmtId="165" fontId="15" fillId="0" borderId="8" xfId="4" applyNumberFormat="1" applyFont="1" applyBorder="1" applyAlignment="1">
      <alignment horizontal="center" vertical="center"/>
    </xf>
    <xf numFmtId="165" fontId="9" fillId="0" borderId="8" xfId="4" applyNumberFormat="1" applyFont="1" applyBorder="1" applyAlignment="1">
      <alignment horizontal="center" vertical="center"/>
    </xf>
    <xf numFmtId="4" fontId="17" fillId="0" borderId="18" xfId="10" applyNumberFormat="1" applyFont="1" applyBorder="1" applyAlignment="1">
      <alignment horizontal="center" vertical="center"/>
    </xf>
    <xf numFmtId="167" fontId="15" fillId="0" borderId="8" xfId="9" applyNumberFormat="1" applyFont="1" applyBorder="1" applyAlignment="1">
      <alignment horizontal="right" vertical="center"/>
    </xf>
    <xf numFmtId="174" fontId="17" fillId="0" borderId="18" xfId="10" applyNumberFormat="1" applyFont="1" applyBorder="1" applyAlignment="1">
      <alignment horizontal="center" vertical="center"/>
    </xf>
    <xf numFmtId="169" fontId="17" fillId="0" borderId="4" xfId="10" applyNumberFormat="1" applyFont="1" applyBorder="1" applyAlignment="1">
      <alignment horizontal="center" vertical="center"/>
    </xf>
    <xf numFmtId="169" fontId="17" fillId="0" borderId="18" xfId="10" applyNumberFormat="1" applyFont="1" applyBorder="1" applyAlignment="1">
      <alignment horizontal="center" vertical="center"/>
    </xf>
    <xf numFmtId="4" fontId="15" fillId="0" borderId="8" xfId="9" applyNumberFormat="1" applyFont="1" applyBorder="1" applyAlignment="1">
      <alignment horizontal="center" vertical="center"/>
    </xf>
    <xf numFmtId="4" fontId="15" fillId="0" borderId="0" xfId="9" applyNumberFormat="1" applyFont="1" applyBorder="1" applyAlignment="1">
      <alignment horizontal="center" vertical="center"/>
    </xf>
    <xf numFmtId="1" fontId="3" fillId="0" borderId="0" xfId="4" quotePrefix="1" applyNumberFormat="1" applyFont="1" applyAlignment="1">
      <alignment horizontal="center" vertical="center"/>
    </xf>
    <xf numFmtId="49" fontId="3" fillId="0" borderId="0" xfId="4" quotePrefix="1" applyNumberFormat="1" applyFont="1" applyAlignment="1">
      <alignment horizontal="center" vertical="center"/>
    </xf>
    <xf numFmtId="164" fontId="3" fillId="0" borderId="0" xfId="4" quotePrefix="1" applyNumberFormat="1" applyFont="1" applyAlignment="1">
      <alignment horizontal="center" vertical="center"/>
    </xf>
    <xf numFmtId="0" fontId="3" fillId="0" borderId="0" xfId="4" quotePrefix="1" applyFont="1" applyAlignment="1">
      <alignment horizontal="center" vertical="center"/>
    </xf>
    <xf numFmtId="0" fontId="3" fillId="0" borderId="0" xfId="4" quotePrefix="1" applyFont="1" applyAlignment="1">
      <alignment horizontal="left" vertical="center"/>
    </xf>
    <xf numFmtId="165" fontId="7" fillId="0" borderId="0" xfId="4" quotePrefix="1" applyNumberFormat="1" applyFont="1" applyAlignment="1">
      <alignment horizontal="center" vertical="center"/>
    </xf>
    <xf numFmtId="165" fontId="3" fillId="0" borderId="0" xfId="4" quotePrefix="1" applyNumberFormat="1" applyFont="1" applyAlignment="1">
      <alignment horizontal="center" vertical="center"/>
    </xf>
    <xf numFmtId="165" fontId="4" fillId="0" borderId="0" xfId="4" applyNumberFormat="1" applyFont="1" applyAlignment="1">
      <alignment horizontal="center" vertical="center"/>
    </xf>
    <xf numFmtId="167" fontId="3" fillId="0" borderId="0" xfId="9" applyNumberFormat="1" applyFont="1" applyAlignment="1">
      <alignment horizontal="right" vertical="center"/>
    </xf>
    <xf numFmtId="4" fontId="3" fillId="0" borderId="0" xfId="9" applyNumberFormat="1" applyFont="1" applyAlignment="1">
      <alignment horizontal="center" vertical="center"/>
    </xf>
    <xf numFmtId="49" fontId="18" fillId="4" borderId="0" xfId="4" quotePrefix="1" applyNumberFormat="1" applyFont="1" applyFill="1" applyAlignment="1">
      <alignment horizontal="center" vertical="center"/>
    </xf>
    <xf numFmtId="3" fontId="15" fillId="4" borderId="0" xfId="4" quotePrefix="1" applyNumberFormat="1" applyFont="1" applyFill="1" applyAlignment="1">
      <alignment horizontal="center" vertical="center"/>
    </xf>
    <xf numFmtId="49" fontId="18" fillId="5" borderId="0" xfId="4" quotePrefix="1" applyNumberFormat="1" applyFont="1" applyFill="1" applyAlignment="1">
      <alignment horizontal="center" vertical="center"/>
    </xf>
    <xf numFmtId="3" fontId="15" fillId="5" borderId="0" xfId="4" quotePrefix="1" applyNumberFormat="1" applyFont="1" applyFill="1" applyAlignment="1">
      <alignment horizontal="center" vertical="center"/>
    </xf>
    <xf numFmtId="165" fontId="2" fillId="0" borderId="0" xfId="4" quotePrefix="1" applyNumberFormat="1" applyFont="1" applyAlignment="1">
      <alignment horizontal="center" vertical="center"/>
    </xf>
    <xf numFmtId="169" fontId="3" fillId="0" borderId="0" xfId="3" applyNumberFormat="1" applyFont="1" applyAlignment="1">
      <alignment horizontal="left" vertical="center"/>
    </xf>
    <xf numFmtId="49" fontId="3" fillId="0" borderId="0" xfId="4" quotePrefix="1" applyNumberFormat="1" applyFont="1" applyAlignment="1">
      <alignment vertical="center"/>
    </xf>
    <xf numFmtId="168" fontId="3" fillId="0" borderId="0" xfId="3" applyFont="1" applyAlignment="1">
      <alignment horizontal="left" vertical="center"/>
    </xf>
    <xf numFmtId="4" fontId="3" fillId="0" borderId="0" xfId="4" applyNumberFormat="1" applyFont="1" applyAlignment="1">
      <alignment horizontal="center" vertical="center"/>
    </xf>
    <xf numFmtId="1" fontId="3" fillId="0" borderId="19" xfId="4" quotePrefix="1" applyNumberFormat="1" applyFont="1" applyBorder="1" applyAlignment="1">
      <alignment horizontal="center" vertical="center"/>
    </xf>
    <xf numFmtId="49" fontId="3" fillId="0" borderId="20" xfId="4" quotePrefix="1" applyNumberFormat="1" applyFont="1" applyBorder="1" applyAlignment="1">
      <alignment horizontal="center" vertical="center"/>
    </xf>
    <xf numFmtId="164" fontId="3" fillId="0" borderId="20" xfId="4" quotePrefix="1" applyNumberFormat="1" applyFont="1" applyBorder="1" applyAlignment="1">
      <alignment horizontal="center" vertical="center"/>
    </xf>
    <xf numFmtId="164" fontId="3" fillId="0" borderId="21" xfId="4" quotePrefix="1" applyNumberFormat="1" applyFont="1" applyBorder="1" applyAlignment="1">
      <alignment horizontal="center" vertical="center"/>
    </xf>
    <xf numFmtId="0" fontId="19" fillId="0" borderId="0" xfId="4" quotePrefix="1" applyFont="1" applyAlignment="1">
      <alignment horizontal="center" vertical="center"/>
    </xf>
    <xf numFmtId="0" fontId="19" fillId="0" borderId="0" xfId="4" quotePrefix="1" applyFont="1" applyAlignment="1">
      <alignment horizontal="left" vertical="center"/>
    </xf>
    <xf numFmtId="0" fontId="20" fillId="0" borderId="0" xfId="4" applyFont="1" applyAlignment="1">
      <alignment horizontal="center" vertical="center"/>
    </xf>
    <xf numFmtId="166" fontId="3" fillId="0" borderId="0" xfId="2" applyNumberFormat="1" applyFont="1" applyAlignment="1">
      <alignment horizontal="left" vertical="center"/>
    </xf>
    <xf numFmtId="167" fontId="3" fillId="0" borderId="0" xfId="4" applyNumberFormat="1" applyFont="1" applyAlignment="1">
      <alignment horizontal="left" vertical="center"/>
    </xf>
    <xf numFmtId="4" fontId="3" fillId="0" borderId="0" xfId="4" applyNumberFormat="1" applyFont="1" applyAlignment="1">
      <alignment horizontal="left" vertical="center"/>
    </xf>
    <xf numFmtId="1" fontId="21" fillId="0" borderId="22" xfId="4" applyNumberFormat="1" applyFont="1" applyBorder="1" applyAlignment="1">
      <alignment vertical="center"/>
    </xf>
    <xf numFmtId="49" fontId="2" fillId="0" borderId="0" xfId="4" quotePrefix="1" applyNumberFormat="1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49" fontId="2" fillId="0" borderId="0" xfId="4" applyNumberFormat="1" applyFont="1" applyAlignment="1">
      <alignment horizontal="center" vertical="center"/>
    </xf>
    <xf numFmtId="49" fontId="22" fillId="0" borderId="0" xfId="4" applyNumberFormat="1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166" fontId="3" fillId="0" borderId="0" xfId="2" applyNumberFormat="1" applyFont="1" applyAlignment="1">
      <alignment vertical="center"/>
    </xf>
    <xf numFmtId="167" fontId="3" fillId="0" borderId="0" xfId="4" applyNumberFormat="1" applyFont="1" applyAlignment="1">
      <alignment vertical="center"/>
    </xf>
    <xf numFmtId="168" fontId="3" fillId="0" borderId="0" xfId="3" applyFont="1" applyAlignment="1">
      <alignment vertical="center"/>
    </xf>
    <xf numFmtId="169" fontId="3" fillId="0" borderId="0" xfId="3" applyNumberFormat="1" applyFont="1" applyAlignment="1">
      <alignment vertical="center"/>
    </xf>
    <xf numFmtId="4" fontId="23" fillId="0" borderId="0" xfId="4" applyNumberFormat="1" applyFont="1" applyAlignment="1">
      <alignment horizontal="left" vertical="center"/>
    </xf>
    <xf numFmtId="1" fontId="2" fillId="0" borderId="22" xfId="4" applyNumberFormat="1" applyFont="1" applyBorder="1" applyAlignment="1">
      <alignment horizontal="center" vertical="center"/>
    </xf>
    <xf numFmtId="1" fontId="3" fillId="0" borderId="24" xfId="4" applyNumberFormat="1" applyFont="1" applyBorder="1" applyAlignment="1">
      <alignment horizontal="center" vertical="center"/>
    </xf>
    <xf numFmtId="49" fontId="3" fillId="0" borderId="25" xfId="4" applyNumberFormat="1" applyFont="1" applyBorder="1" applyAlignment="1">
      <alignment horizontal="center" vertical="center"/>
    </xf>
    <xf numFmtId="164" fontId="3" fillId="0" borderId="25" xfId="4" applyNumberFormat="1" applyFont="1" applyBorder="1" applyAlignment="1">
      <alignment horizontal="center" vertical="center"/>
    </xf>
    <xf numFmtId="164" fontId="3" fillId="0" borderId="26" xfId="4" applyNumberFormat="1" applyFont="1" applyBorder="1" applyAlignment="1">
      <alignment horizontal="center" vertical="center"/>
    </xf>
    <xf numFmtId="165" fontId="6" fillId="0" borderId="0" xfId="4" applyNumberFormat="1" applyFont="1" applyAlignment="1">
      <alignment horizontal="left" vertical="center"/>
    </xf>
    <xf numFmtId="164" fontId="6" fillId="0" borderId="0" xfId="4" applyNumberFormat="1" applyFont="1" applyAlignment="1">
      <alignment horizontal="left" vertical="center"/>
    </xf>
    <xf numFmtId="1" fontId="7" fillId="0" borderId="2" xfId="4" applyNumberFormat="1" applyFont="1" applyBorder="1" applyAlignment="1">
      <alignment horizontal="center" vertical="center" wrapText="1"/>
    </xf>
    <xf numFmtId="1" fontId="7" fillId="0" borderId="7" xfId="4" applyNumberFormat="1" applyFont="1" applyBorder="1" applyAlignment="1">
      <alignment horizontal="center" vertical="center" wrapText="1"/>
    </xf>
    <xf numFmtId="49" fontId="7" fillId="0" borderId="2" xfId="4" applyNumberFormat="1" applyFont="1" applyBorder="1" applyAlignment="1">
      <alignment horizontal="center" vertical="center" wrapText="1"/>
    </xf>
    <xf numFmtId="49" fontId="7" fillId="0" borderId="7" xfId="4" applyNumberFormat="1" applyFont="1" applyBorder="1" applyAlignment="1">
      <alignment horizontal="center" vertical="center" wrapText="1"/>
    </xf>
    <xf numFmtId="165" fontId="7" fillId="0" borderId="3" xfId="4" applyNumberFormat="1" applyFont="1" applyBorder="1" applyAlignment="1">
      <alignment horizontal="center" vertical="center" wrapText="1"/>
    </xf>
    <xf numFmtId="165" fontId="7" fillId="0" borderId="4" xfId="4" applyNumberFormat="1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 wrapText="1"/>
    </xf>
    <xf numFmtId="0" fontId="8" fillId="0" borderId="5" xfId="4" applyFont="1" applyBorder="1" applyAlignment="1">
      <alignment horizontal="center" vertical="center" wrapText="1"/>
    </xf>
    <xf numFmtId="0" fontId="8" fillId="0" borderId="9" xfId="4" applyFont="1" applyBorder="1" applyAlignment="1">
      <alignment horizontal="center" vertical="center" wrapText="1"/>
    </xf>
    <xf numFmtId="49" fontId="7" fillId="0" borderId="6" xfId="4" applyNumberFormat="1" applyFont="1" applyBorder="1" applyAlignment="1">
      <alignment horizontal="center" vertical="center" wrapText="1"/>
    </xf>
    <xf numFmtId="49" fontId="7" fillId="0" borderId="10" xfId="4" applyNumberFormat="1" applyFont="1" applyBorder="1" applyAlignment="1">
      <alignment horizontal="center" vertical="center" wrapText="1"/>
    </xf>
    <xf numFmtId="170" fontId="7" fillId="0" borderId="2" xfId="6" applyNumberFormat="1" applyFont="1" applyBorder="1" applyAlignment="1">
      <alignment horizontal="center" vertical="center"/>
    </xf>
    <xf numFmtId="170" fontId="7" fillId="0" borderId="7" xfId="6" applyNumberFormat="1" applyFont="1" applyBorder="1" applyAlignment="1">
      <alignment horizontal="center" vertical="center"/>
    </xf>
    <xf numFmtId="175" fontId="21" fillId="0" borderId="0" xfId="4" applyNumberFormat="1" applyFont="1" applyAlignment="1">
      <alignment horizontal="left" vertical="center"/>
    </xf>
    <xf numFmtId="175" fontId="21" fillId="0" borderId="23" xfId="4" applyNumberFormat="1" applyFont="1" applyBorder="1" applyAlignment="1">
      <alignment horizontal="left" vertical="center"/>
    </xf>
    <xf numFmtId="176" fontId="21" fillId="0" borderId="0" xfId="4" applyNumberFormat="1" applyFont="1" applyAlignment="1">
      <alignment horizontal="left" vertical="center"/>
    </xf>
    <xf numFmtId="176" fontId="21" fillId="0" borderId="23" xfId="4" applyNumberFormat="1" applyFont="1" applyBorder="1" applyAlignment="1">
      <alignment horizontal="left" vertical="center"/>
    </xf>
    <xf numFmtId="49" fontId="7" fillId="0" borderId="5" xfId="4" applyNumberFormat="1" applyFont="1" applyBorder="1" applyAlignment="1">
      <alignment horizontal="center" vertical="center" wrapText="1"/>
    </xf>
    <xf numFmtId="49" fontId="7" fillId="0" borderId="9" xfId="4" applyNumberFormat="1" applyFont="1" applyBorder="1" applyAlignment="1">
      <alignment horizontal="center" vertical="center" wrapText="1"/>
    </xf>
    <xf numFmtId="49" fontId="7" fillId="0" borderId="11" xfId="4" applyNumberFormat="1" applyFont="1" applyBorder="1" applyAlignment="1">
      <alignment horizontal="center" vertical="center" wrapText="1"/>
    </xf>
    <xf numFmtId="165" fontId="7" fillId="0" borderId="2" xfId="4" applyNumberFormat="1" applyFont="1" applyBorder="1" applyAlignment="1">
      <alignment horizontal="center" vertical="center" wrapText="1"/>
    </xf>
    <xf numFmtId="165" fontId="7" fillId="0" borderId="7" xfId="4" applyNumberFormat="1" applyFont="1" applyBorder="1" applyAlignment="1">
      <alignment horizontal="center" vertical="center" wrapText="1"/>
    </xf>
    <xf numFmtId="165" fontId="9" fillId="0" borderId="2" xfId="4" applyNumberFormat="1" applyFont="1" applyBorder="1" applyAlignment="1">
      <alignment horizontal="center" vertical="center" wrapText="1"/>
    </xf>
    <xf numFmtId="165" fontId="9" fillId="0" borderId="7" xfId="4" applyNumberFormat="1" applyFont="1" applyBorder="1" applyAlignment="1">
      <alignment horizontal="center" vertical="center" wrapText="1"/>
    </xf>
    <xf numFmtId="167" fontId="7" fillId="0" borderId="2" xfId="6" applyNumberFormat="1" applyFont="1" applyBorder="1" applyAlignment="1">
      <alignment horizontal="center" vertical="center" wrapText="1"/>
    </xf>
    <xf numFmtId="167" fontId="7" fillId="0" borderId="7" xfId="6" applyNumberFormat="1" applyFont="1" applyBorder="1" applyAlignment="1">
      <alignment horizontal="center" vertical="center" wrapText="1"/>
    </xf>
    <xf numFmtId="177" fontId="21" fillId="0" borderId="0" xfId="4" applyNumberFormat="1" applyFont="1" applyAlignment="1">
      <alignment horizontal="left" vertical="center"/>
    </xf>
    <xf numFmtId="177" fontId="21" fillId="0" borderId="23" xfId="4" applyNumberFormat="1" applyFont="1" applyBorder="1" applyAlignment="1">
      <alignment horizontal="left" vertical="center"/>
    </xf>
    <xf numFmtId="178" fontId="21" fillId="0" borderId="0" xfId="4" applyNumberFormat="1" applyFont="1" applyAlignment="1">
      <alignment horizontal="left" vertical="center"/>
    </xf>
    <xf numFmtId="178" fontId="21" fillId="0" borderId="23" xfId="4" applyNumberFormat="1" applyFont="1" applyBorder="1" applyAlignment="1">
      <alignment horizontal="left" vertical="center"/>
    </xf>
    <xf numFmtId="179" fontId="21" fillId="0" borderId="0" xfId="4" applyNumberFormat="1" applyFont="1" applyAlignment="1">
      <alignment horizontal="left" vertical="center"/>
    </xf>
    <xf numFmtId="179" fontId="21" fillId="0" borderId="23" xfId="4" applyNumberFormat="1" applyFont="1" applyBorder="1" applyAlignment="1">
      <alignment horizontal="left" vertical="center"/>
    </xf>
    <xf numFmtId="180" fontId="21" fillId="0" borderId="0" xfId="4" applyNumberFormat="1" applyFont="1" applyAlignment="1">
      <alignment horizontal="left" vertical="center"/>
    </xf>
    <xf numFmtId="180" fontId="21" fillId="0" borderId="23" xfId="4" applyNumberFormat="1" applyFont="1" applyBorder="1" applyAlignment="1">
      <alignment horizontal="left" vertical="center"/>
    </xf>
  </cellXfs>
  <cellStyles count="11">
    <cellStyle name="Comma" xfId="1" builtinId="3"/>
    <cellStyle name="Comma [0]" xfId="2" builtinId="6"/>
    <cellStyle name="Comma [0] 2 2" xfId="6" xr:uid="{2E2864D3-EBE5-415D-A91B-786C921B1571}"/>
    <cellStyle name="Comma 10" xfId="8" xr:uid="{52004F0C-0713-4CAF-A65B-928148D7134B}"/>
    <cellStyle name="Comma 2 2" xfId="9" xr:uid="{1E28EDDD-CA04-4C61-AEC3-87DFAE46B471}"/>
    <cellStyle name="Currency" xfId="3" builtinId="4"/>
    <cellStyle name="Normal" xfId="0" builtinId="0"/>
    <cellStyle name="Normal 3 2" xfId="4" xr:uid="{E882BD4D-1972-44BF-A750-1A13FFED53D2}"/>
    <cellStyle name="Normal 4" xfId="5" xr:uid="{2BBDE3AD-7E85-4600-9FA9-0ACC67A07356}"/>
    <cellStyle name="常规 3 8" xfId="7" xr:uid="{BDEF10F1-0693-4E24-BEE1-D688899AB966}"/>
    <cellStyle name="常规_Jct99-0009" xfId="10" xr:uid="{45B1ABCB-E3ED-4CD2-82A8-4F927CB07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inus.sharepoint.com/Users/Welcome/Downloads/Laporan%20BC%20Bulan%20Juli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3FEB-0CDE-47C4-A75F-B85FF5239DDE}">
  <dimension ref="A1:KD33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defaultColWidth="9.109375" defaultRowHeight="15.6"/>
  <cols>
    <col min="1" max="1" width="6.5546875" style="17" customWidth="1"/>
    <col min="2" max="2" width="34.109375" style="6" customWidth="1"/>
    <col min="3" max="4" width="27.33203125" style="3" customWidth="1"/>
    <col min="5" max="5" width="16.109375" style="4" customWidth="1"/>
    <col min="6" max="6" width="27.6640625" style="5" customWidth="1"/>
    <col min="7" max="7" width="13.109375" style="5" customWidth="1"/>
    <col min="8" max="8" width="13.5546875" style="6" customWidth="1"/>
    <col min="9" max="9" width="19.109375" style="6" customWidth="1"/>
    <col min="10" max="10" width="5.6640625" style="6" customWidth="1"/>
    <col min="11" max="11" width="92.109375" style="7" customWidth="1"/>
    <col min="12" max="12" width="63.44140625" style="7" customWidth="1"/>
    <col min="13" max="13" width="16.5546875" style="7" customWidth="1"/>
    <col min="14" max="14" width="21.5546875" style="8" customWidth="1"/>
    <col min="15" max="16" width="16.33203125" style="9" customWidth="1"/>
    <col min="17" max="17" width="13.88671875" style="10" customWidth="1"/>
    <col min="18" max="18" width="20.33203125" style="11" customWidth="1"/>
    <col min="19" max="19" width="15.5546875" style="12" customWidth="1"/>
    <col min="20" max="20" width="28.44140625" style="12" customWidth="1"/>
    <col min="21" max="21" width="22.33203125" style="13" customWidth="1"/>
    <col min="22" max="22" width="18.6640625" style="13" customWidth="1"/>
    <col min="23" max="23" width="33.5546875" style="13" customWidth="1"/>
    <col min="24" max="24" width="64" style="13" customWidth="1"/>
    <col min="25" max="25" width="26.6640625" style="13" customWidth="1"/>
    <col min="26" max="26" width="22.5546875" style="13" customWidth="1"/>
    <col min="27" max="289" width="9.109375" style="14"/>
    <col min="290" max="290" width="24.88671875" style="14" bestFit="1" customWidth="1"/>
    <col min="291" max="16384" width="9.109375" style="14"/>
  </cols>
  <sheetData>
    <row r="1" spans="1:26" ht="18" hidden="1" customHeight="1">
      <c r="A1" s="1" t="s">
        <v>0</v>
      </c>
      <c r="B1" s="2"/>
    </row>
    <row r="2" spans="1:26" ht="18" hidden="1" customHeight="1">
      <c r="A2" s="1" t="s">
        <v>1</v>
      </c>
      <c r="B2" s="2"/>
    </row>
    <row r="3" spans="1:26" ht="18" hidden="1" customHeight="1">
      <c r="A3" s="15" t="s">
        <v>2</v>
      </c>
      <c r="B3" s="16"/>
    </row>
    <row r="4" spans="1:26" ht="18" hidden="1" customHeight="1">
      <c r="A4" s="15" t="s">
        <v>3</v>
      </c>
      <c r="B4" s="16"/>
    </row>
    <row r="5" spans="1:26" ht="14.25" customHeight="1"/>
    <row r="6" spans="1:26" ht="24.75" customHeight="1">
      <c r="A6" s="165" t="s">
        <v>4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spans="1:26" ht="24.75" customHeight="1">
      <c r="A7" s="165" t="s">
        <v>5</v>
      </c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spans="1:26" ht="24.75" customHeight="1">
      <c r="A8" s="166" t="s">
        <v>45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spans="1:26" ht="14.25" customHeight="1" thickBot="1">
      <c r="A9" s="18"/>
      <c r="B9" s="19"/>
      <c r="C9" s="20"/>
      <c r="D9" s="20"/>
      <c r="E9" s="21"/>
      <c r="F9" s="22"/>
      <c r="G9" s="22"/>
      <c r="H9" s="19"/>
      <c r="I9" s="19"/>
      <c r="J9" s="19"/>
      <c r="K9" s="23"/>
      <c r="L9" s="23"/>
      <c r="M9" s="23"/>
      <c r="N9" s="24"/>
      <c r="O9" s="25"/>
      <c r="P9" s="25"/>
      <c r="Q9" s="26"/>
      <c r="R9" s="27"/>
      <c r="S9" s="28"/>
      <c r="T9" s="28"/>
      <c r="U9" s="23"/>
      <c r="V9" s="23"/>
      <c r="W9" s="23"/>
      <c r="X9" s="23"/>
    </row>
    <row r="10" spans="1:26" s="33" customFormat="1" ht="20.100000000000001" customHeight="1" thickBot="1">
      <c r="A10" s="167" t="s">
        <v>6</v>
      </c>
      <c r="B10" s="169" t="s">
        <v>7</v>
      </c>
      <c r="C10" s="171" t="s">
        <v>8</v>
      </c>
      <c r="D10" s="172"/>
      <c r="E10" s="173" t="s">
        <v>9</v>
      </c>
      <c r="F10" s="173" t="s">
        <v>10</v>
      </c>
      <c r="G10" s="175" t="s">
        <v>11</v>
      </c>
      <c r="H10" s="177" t="s">
        <v>12</v>
      </c>
      <c r="I10" s="185" t="s">
        <v>13</v>
      </c>
      <c r="J10" s="177"/>
      <c r="K10" s="188" t="s">
        <v>14</v>
      </c>
      <c r="L10" s="173" t="s">
        <v>15</v>
      </c>
      <c r="M10" s="188" t="s">
        <v>16</v>
      </c>
      <c r="N10" s="190" t="s">
        <v>17</v>
      </c>
      <c r="O10" s="29" t="s">
        <v>18</v>
      </c>
      <c r="P10" s="29" t="s">
        <v>19</v>
      </c>
      <c r="Q10" s="192" t="s">
        <v>20</v>
      </c>
      <c r="R10" s="30" t="s">
        <v>21</v>
      </c>
      <c r="S10" s="31" t="s">
        <v>22</v>
      </c>
      <c r="T10" s="31" t="s">
        <v>23</v>
      </c>
      <c r="U10" s="32" t="s">
        <v>24</v>
      </c>
      <c r="V10" s="32" t="s">
        <v>25</v>
      </c>
      <c r="W10" s="32" t="s">
        <v>26</v>
      </c>
      <c r="X10" s="179" t="s">
        <v>27</v>
      </c>
      <c r="Y10" s="179" t="s">
        <v>28</v>
      </c>
      <c r="Z10" s="179" t="s">
        <v>29</v>
      </c>
    </row>
    <row r="11" spans="1:26" s="33" customFormat="1" ht="20.100000000000001" customHeight="1" thickBot="1">
      <c r="A11" s="168"/>
      <c r="B11" s="170"/>
      <c r="C11" s="34" t="s">
        <v>30</v>
      </c>
      <c r="D11" s="35" t="s">
        <v>31</v>
      </c>
      <c r="E11" s="174"/>
      <c r="F11" s="174"/>
      <c r="G11" s="176"/>
      <c r="H11" s="178"/>
      <c r="I11" s="186"/>
      <c r="J11" s="187"/>
      <c r="K11" s="189"/>
      <c r="L11" s="174"/>
      <c r="M11" s="189"/>
      <c r="N11" s="191"/>
      <c r="O11" s="36" t="s">
        <v>32</v>
      </c>
      <c r="P11" s="37" t="s">
        <v>32</v>
      </c>
      <c r="Q11" s="193"/>
      <c r="R11" s="38" t="s">
        <v>33</v>
      </c>
      <c r="S11" s="39"/>
      <c r="T11" s="39"/>
      <c r="U11" s="40" t="s">
        <v>34</v>
      </c>
      <c r="V11" s="40" t="s">
        <v>35</v>
      </c>
      <c r="W11" s="40" t="s">
        <v>36</v>
      </c>
      <c r="X11" s="180"/>
      <c r="Y11" s="180"/>
      <c r="Z11" s="180"/>
    </row>
    <row r="12" spans="1:26" s="53" customFormat="1" ht="16.5" customHeight="1">
      <c r="A12" s="79"/>
      <c r="B12" s="80"/>
      <c r="C12" s="81"/>
      <c r="D12" s="81"/>
      <c r="E12" s="41"/>
      <c r="F12" s="82"/>
      <c r="G12" s="41"/>
      <c r="H12" s="83"/>
      <c r="I12" s="42"/>
      <c r="J12" s="42"/>
      <c r="K12" s="44"/>
      <c r="L12" s="84"/>
      <c r="M12" s="85" t="s">
        <v>37</v>
      </c>
      <c r="N12" s="44"/>
      <c r="O12" s="86"/>
      <c r="P12" s="86"/>
      <c r="Q12" s="45" t="e">
        <f>R12/H12</f>
        <v>#DIV/0!</v>
      </c>
      <c r="R12" s="87"/>
      <c r="S12" s="47"/>
      <c r="T12" s="47">
        <f>S12*R12</f>
        <v>0</v>
      </c>
      <c r="U12" s="48"/>
      <c r="V12" s="49"/>
      <c r="W12" s="50"/>
      <c r="X12" s="51"/>
      <c r="Y12" s="52"/>
      <c r="Z12" s="41"/>
    </row>
    <row r="13" spans="1:26" s="53" customFormat="1" ht="16.5" customHeight="1">
      <c r="A13" s="54"/>
      <c r="B13" s="55"/>
      <c r="C13" s="56"/>
      <c r="D13" s="56"/>
      <c r="E13" s="57"/>
      <c r="F13" s="58"/>
      <c r="G13" s="57"/>
      <c r="H13" s="88"/>
      <c r="I13" s="59"/>
      <c r="J13" s="42"/>
      <c r="K13" s="60"/>
      <c r="L13" s="43"/>
      <c r="M13" s="85" t="s">
        <v>37</v>
      </c>
      <c r="N13" s="44"/>
      <c r="O13" s="61"/>
      <c r="P13" s="61"/>
      <c r="Q13" s="45"/>
      <c r="R13" s="46"/>
      <c r="S13" s="47"/>
      <c r="T13" s="47"/>
      <c r="U13" s="48"/>
      <c r="V13" s="49"/>
      <c r="W13" s="50"/>
      <c r="X13" s="62"/>
      <c r="Y13" s="63"/>
      <c r="Z13" s="57"/>
    </row>
    <row r="14" spans="1:26" s="53" customFormat="1" ht="16.5" customHeight="1">
      <c r="A14" s="54"/>
      <c r="B14" s="55"/>
      <c r="C14" s="56"/>
      <c r="D14" s="56"/>
      <c r="E14" s="57"/>
      <c r="F14" s="58"/>
      <c r="G14" s="57"/>
      <c r="H14" s="88"/>
      <c r="I14" s="59"/>
      <c r="J14" s="42"/>
      <c r="K14" s="60"/>
      <c r="L14" s="43"/>
      <c r="M14" s="85" t="s">
        <v>37</v>
      </c>
      <c r="N14" s="44"/>
      <c r="O14" s="61"/>
      <c r="P14" s="61"/>
      <c r="Q14" s="45"/>
      <c r="R14" s="46"/>
      <c r="S14" s="47"/>
      <c r="T14" s="47"/>
      <c r="U14" s="48"/>
      <c r="V14" s="49"/>
      <c r="W14" s="50"/>
      <c r="X14" s="62"/>
      <c r="Y14" s="63"/>
      <c r="Z14" s="57"/>
    </row>
    <row r="15" spans="1:26" s="53" customFormat="1" ht="16.5" customHeight="1">
      <c r="A15" s="54"/>
      <c r="B15" s="55"/>
      <c r="C15" s="56"/>
      <c r="D15" s="56"/>
      <c r="E15" s="57"/>
      <c r="F15" s="58"/>
      <c r="G15" s="57"/>
      <c r="H15" s="88"/>
      <c r="I15" s="59"/>
      <c r="J15" s="42"/>
      <c r="K15" s="60"/>
      <c r="L15" s="43"/>
      <c r="M15" s="85" t="s">
        <v>37</v>
      </c>
      <c r="N15" s="44"/>
      <c r="O15" s="61"/>
      <c r="P15" s="61"/>
      <c r="Q15" s="45"/>
      <c r="R15" s="46"/>
      <c r="S15" s="47"/>
      <c r="T15" s="47"/>
      <c r="U15" s="48"/>
      <c r="V15" s="49"/>
      <c r="W15" s="50"/>
      <c r="X15" s="62"/>
      <c r="Y15" s="63"/>
      <c r="Z15" s="57"/>
    </row>
    <row r="16" spans="1:26" s="53" customFormat="1" ht="16.5" customHeight="1">
      <c r="A16" s="54"/>
      <c r="B16" s="55"/>
      <c r="C16" s="56"/>
      <c r="D16" s="56"/>
      <c r="E16" s="57"/>
      <c r="F16" s="58"/>
      <c r="G16" s="57"/>
      <c r="H16" s="88"/>
      <c r="I16" s="59"/>
      <c r="J16" s="42"/>
      <c r="K16" s="60"/>
      <c r="L16" s="43"/>
      <c r="M16" s="85" t="s">
        <v>37</v>
      </c>
      <c r="N16" s="44"/>
      <c r="O16" s="61"/>
      <c r="P16" s="61"/>
      <c r="Q16" s="45"/>
      <c r="R16" s="46"/>
      <c r="S16" s="47"/>
      <c r="T16" s="47"/>
      <c r="U16" s="48"/>
      <c r="V16" s="49"/>
      <c r="W16" s="50"/>
      <c r="X16" s="62"/>
      <c r="Y16" s="63"/>
      <c r="Z16" s="57"/>
    </row>
    <row r="17" spans="1:26" s="78" customFormat="1" ht="17.100000000000001" customHeight="1">
      <c r="A17" s="64"/>
      <c r="B17" s="65"/>
      <c r="C17" s="66"/>
      <c r="D17" s="66"/>
      <c r="E17" s="67"/>
      <c r="F17" s="67"/>
      <c r="G17" s="67"/>
      <c r="H17" s="68">
        <f>SUM(H12:H16)</f>
        <v>0</v>
      </c>
      <c r="I17" s="69">
        <f>COUNTA(I12:I16)</f>
        <v>0</v>
      </c>
      <c r="J17" s="68"/>
      <c r="K17" s="68"/>
      <c r="L17" s="70"/>
      <c r="M17" s="68"/>
      <c r="N17" s="68"/>
      <c r="O17" s="71">
        <f>SUM(O12:O16)</f>
        <v>0</v>
      </c>
      <c r="P17" s="71">
        <f>SUM(P12:P16)</f>
        <v>0</v>
      </c>
      <c r="Q17" s="72"/>
      <c r="R17" s="73">
        <f>SUM(R12:R16)</f>
        <v>0</v>
      </c>
      <c r="S17" s="74"/>
      <c r="T17" s="74">
        <f>SUM(T12:T16)</f>
        <v>0</v>
      </c>
      <c r="U17" s="68"/>
      <c r="V17" s="75"/>
      <c r="W17" s="76"/>
      <c r="X17" s="77"/>
      <c r="Y17" s="77"/>
      <c r="Z17" s="77"/>
    </row>
    <row r="18" spans="1:26" ht="8.1" customHeight="1" thickBot="1">
      <c r="A18" s="89"/>
      <c r="B18" s="90"/>
      <c r="C18" s="91"/>
      <c r="D18" s="92"/>
      <c r="E18" s="93"/>
      <c r="F18" s="94"/>
      <c r="G18" s="94"/>
      <c r="H18" s="95"/>
      <c r="I18" s="19"/>
      <c r="J18" s="19"/>
      <c r="K18" s="23"/>
      <c r="L18" s="23"/>
      <c r="M18" s="23"/>
      <c r="N18" s="24"/>
      <c r="O18" s="96"/>
      <c r="P18" s="96"/>
      <c r="Q18" s="97"/>
      <c r="R18" s="98"/>
      <c r="S18" s="99"/>
      <c r="T18" s="99"/>
      <c r="U18" s="100"/>
      <c r="V18" s="100"/>
      <c r="W18" s="100"/>
      <c r="X18" s="101"/>
      <c r="Y18" s="102"/>
      <c r="Z18" s="102"/>
    </row>
    <row r="19" spans="1:26" s="33" customFormat="1" ht="20.100000000000001" customHeight="1" thickBot="1">
      <c r="A19" s="103">
        <f>COUNT(A12:A18)</f>
        <v>0</v>
      </c>
      <c r="B19" s="104"/>
      <c r="C19" s="105"/>
      <c r="D19" s="106"/>
      <c r="E19" s="106"/>
      <c r="F19" s="106"/>
      <c r="G19" s="106"/>
      <c r="H19" s="107">
        <f>H17</f>
        <v>0</v>
      </c>
      <c r="I19" s="107">
        <f>I17</f>
        <v>0</v>
      </c>
      <c r="J19" s="108"/>
      <c r="K19" s="109"/>
      <c r="L19" s="110"/>
      <c r="M19" s="111"/>
      <c r="N19" s="112"/>
      <c r="O19" s="113">
        <f>O17</f>
        <v>0</v>
      </c>
      <c r="P19" s="113">
        <f>P17</f>
        <v>0</v>
      </c>
      <c r="Q19" s="114"/>
      <c r="R19" s="115">
        <f>R17</f>
        <v>0</v>
      </c>
      <c r="S19" s="116"/>
      <c r="T19" s="117">
        <f>T17</f>
        <v>0</v>
      </c>
      <c r="U19" s="118"/>
      <c r="V19" s="118"/>
      <c r="W19" s="118"/>
      <c r="X19" s="118"/>
      <c r="Y19" s="119"/>
      <c r="Z19" s="119"/>
    </row>
    <row r="20" spans="1:26" ht="17.100000000000001" customHeight="1">
      <c r="A20" s="120"/>
      <c r="B20" s="121"/>
      <c r="C20" s="122"/>
      <c r="E20" s="123"/>
      <c r="F20" s="124"/>
      <c r="G20" s="124"/>
      <c r="H20" s="125"/>
      <c r="I20" s="125"/>
      <c r="J20" s="126"/>
      <c r="K20" s="13"/>
      <c r="L20" s="13"/>
      <c r="M20" s="13"/>
      <c r="N20" s="127"/>
      <c r="Q20" s="128"/>
      <c r="U20" s="129"/>
      <c r="V20" s="129"/>
      <c r="W20" s="129"/>
      <c r="X20" s="129"/>
      <c r="Y20" s="129"/>
      <c r="Z20" s="129"/>
    </row>
    <row r="21" spans="1:26" ht="17.100000000000001" customHeight="1">
      <c r="A21" s="120"/>
      <c r="B21" s="130" t="s">
        <v>38</v>
      </c>
      <c r="C21" s="131">
        <f>H19-C22</f>
        <v>0</v>
      </c>
      <c r="E21" s="123"/>
      <c r="F21" s="124"/>
      <c r="G21" s="124"/>
      <c r="H21" s="126"/>
      <c r="I21" s="126"/>
      <c r="J21" s="126"/>
      <c r="K21" s="13"/>
      <c r="L21" s="13"/>
      <c r="M21" s="13"/>
      <c r="N21" s="127"/>
      <c r="Q21" s="128"/>
      <c r="U21" s="129"/>
      <c r="V21" s="129"/>
      <c r="W21" s="129"/>
      <c r="X21" s="129"/>
      <c r="Y21" s="129"/>
      <c r="Z21" s="129"/>
    </row>
    <row r="22" spans="1:26" ht="17.100000000000001" customHeight="1">
      <c r="A22" s="120"/>
      <c r="B22" s="132" t="s">
        <v>39</v>
      </c>
      <c r="C22" s="133"/>
      <c r="E22" s="123"/>
      <c r="F22" s="124"/>
      <c r="G22" s="124"/>
      <c r="H22" s="134"/>
      <c r="I22" s="134"/>
      <c r="J22" s="126"/>
      <c r="T22" s="135"/>
      <c r="V22" s="129"/>
      <c r="W22" s="129"/>
      <c r="X22" s="129"/>
      <c r="Y22" s="129"/>
      <c r="Z22" s="129"/>
    </row>
    <row r="23" spans="1:26" ht="17.100000000000001" customHeight="1" thickBot="1">
      <c r="A23" s="120"/>
      <c r="B23" s="136"/>
      <c r="C23" s="122"/>
      <c r="D23" s="122"/>
      <c r="E23" s="123"/>
      <c r="F23" s="124"/>
      <c r="G23" s="124"/>
      <c r="H23" s="126"/>
      <c r="I23" s="126"/>
      <c r="J23" s="126"/>
      <c r="K23" s="13"/>
      <c r="L23" s="13"/>
      <c r="M23" s="13"/>
      <c r="R23" s="137"/>
      <c r="S23" s="135"/>
      <c r="U23" s="138"/>
    </row>
    <row r="24" spans="1:26" ht="17.100000000000001" customHeight="1" thickTop="1">
      <c r="A24" s="139"/>
      <c r="B24" s="140"/>
      <c r="C24" s="141"/>
      <c r="D24" s="142"/>
      <c r="E24" s="143"/>
      <c r="F24" s="144"/>
      <c r="G24" s="144"/>
      <c r="H24" s="145"/>
      <c r="I24" s="145"/>
      <c r="K24" s="13"/>
      <c r="L24" s="13"/>
      <c r="M24" s="13"/>
      <c r="N24" s="127"/>
      <c r="P24" s="146"/>
      <c r="Q24" s="147"/>
      <c r="R24" s="137"/>
      <c r="S24" s="135"/>
      <c r="T24" s="135"/>
      <c r="U24" s="148" t="s">
        <v>46</v>
      </c>
    </row>
    <row r="25" spans="1:26" ht="17.100000000000001" customHeight="1">
      <c r="A25" s="149" t="s">
        <v>40</v>
      </c>
      <c r="B25" s="150"/>
      <c r="C25" s="181">
        <f>A19</f>
        <v>0</v>
      </c>
      <c r="D25" s="182"/>
      <c r="G25" s="144"/>
      <c r="H25" s="151"/>
      <c r="I25" s="151"/>
      <c r="K25" s="13"/>
      <c r="L25" s="13"/>
      <c r="M25" s="13"/>
      <c r="N25" s="127"/>
      <c r="P25" s="146"/>
      <c r="Q25" s="147"/>
      <c r="R25" s="137"/>
      <c r="S25" s="135"/>
      <c r="T25" s="135"/>
      <c r="U25" s="148" t="str">
        <f>+[1]REKAP!X34</f>
        <v>Kasubsi Hanggar Pabean dan Cukai</v>
      </c>
    </row>
    <row r="26" spans="1:26" ht="17.100000000000001" customHeight="1">
      <c r="A26" s="149" t="s">
        <v>41</v>
      </c>
      <c r="B26" s="152"/>
      <c r="C26" s="183">
        <f>O19</f>
        <v>0</v>
      </c>
      <c r="D26" s="184"/>
      <c r="H26" s="153"/>
      <c r="I26" s="154"/>
      <c r="K26" s="13"/>
      <c r="L26" s="13"/>
      <c r="M26" s="13"/>
      <c r="N26" s="127"/>
      <c r="P26" s="155"/>
      <c r="Q26" s="156"/>
      <c r="R26" s="157"/>
      <c r="S26" s="158"/>
      <c r="T26" s="158"/>
      <c r="U26" s="4"/>
    </row>
    <row r="27" spans="1:26" ht="17.100000000000001" customHeight="1">
      <c r="A27" s="149" t="s">
        <v>42</v>
      </c>
      <c r="B27" s="152"/>
      <c r="C27" s="183">
        <f>P19</f>
        <v>0</v>
      </c>
      <c r="D27" s="184"/>
      <c r="K27" s="13"/>
      <c r="L27" s="13"/>
      <c r="M27" s="13"/>
      <c r="N27" s="127"/>
      <c r="P27" s="155"/>
      <c r="Q27" s="156"/>
      <c r="R27" s="157"/>
      <c r="S27" s="158"/>
      <c r="T27" s="158"/>
      <c r="U27" s="4"/>
    </row>
    <row r="28" spans="1:26" ht="17.100000000000001" customHeight="1">
      <c r="A28" s="149" t="s">
        <v>43</v>
      </c>
      <c r="B28" s="152"/>
      <c r="C28" s="194">
        <f>R19</f>
        <v>0</v>
      </c>
      <c r="D28" s="195"/>
      <c r="K28" s="13"/>
      <c r="L28" s="13"/>
      <c r="M28" s="13"/>
      <c r="N28" s="127"/>
      <c r="P28" s="155"/>
      <c r="Q28" s="156"/>
      <c r="R28" s="157"/>
      <c r="S28" s="158"/>
      <c r="T28" s="158"/>
      <c r="U28" s="159"/>
    </row>
    <row r="29" spans="1:26" ht="17.100000000000001" customHeight="1">
      <c r="A29" s="149" t="s">
        <v>44</v>
      </c>
      <c r="B29" s="152"/>
      <c r="C29" s="196">
        <f>I19-C30</f>
        <v>0</v>
      </c>
      <c r="D29" s="197"/>
      <c r="K29" s="13"/>
      <c r="L29" s="13"/>
      <c r="M29" s="13"/>
      <c r="N29" s="127"/>
      <c r="P29" s="155"/>
      <c r="Q29" s="156"/>
      <c r="R29" s="157"/>
      <c r="S29" s="158"/>
      <c r="T29" s="158"/>
      <c r="U29" s="148"/>
    </row>
    <row r="30" spans="1:26" ht="17.100000000000001" customHeight="1">
      <c r="A30" s="149"/>
      <c r="B30" s="152"/>
      <c r="C30" s="198">
        <f>I21</f>
        <v>0</v>
      </c>
      <c r="D30" s="199"/>
      <c r="K30" s="13"/>
      <c r="L30" s="13"/>
      <c r="M30" s="13"/>
      <c r="N30" s="127"/>
      <c r="P30" s="155"/>
      <c r="Q30" s="156"/>
      <c r="R30" s="157"/>
      <c r="S30" s="158"/>
      <c r="T30" s="158"/>
      <c r="U30" s="148"/>
    </row>
    <row r="31" spans="1:26" ht="17.100000000000001" customHeight="1">
      <c r="A31" s="160"/>
      <c r="B31" s="152"/>
      <c r="C31" s="200">
        <f>C29*2+C30</f>
        <v>0</v>
      </c>
      <c r="D31" s="201"/>
      <c r="K31" s="13"/>
      <c r="L31" s="13"/>
      <c r="M31" s="13"/>
      <c r="N31" s="127"/>
    </row>
    <row r="32" spans="1:26" ht="16.2" thickBot="1">
      <c r="A32" s="161"/>
      <c r="B32" s="162"/>
      <c r="C32" s="163"/>
      <c r="D32" s="164"/>
    </row>
    <row r="33" spans="2:290" s="17" customFormat="1" ht="16.2" thickTop="1">
      <c r="B33" s="6"/>
      <c r="C33" s="3"/>
      <c r="D33" s="3"/>
      <c r="E33" s="4"/>
      <c r="F33" s="5"/>
      <c r="G33" s="5"/>
      <c r="H33" s="6"/>
      <c r="I33" s="6"/>
      <c r="J33" s="6"/>
      <c r="K33" s="7"/>
      <c r="L33" s="7"/>
      <c r="M33" s="7"/>
      <c r="N33" s="8"/>
      <c r="O33" s="9"/>
      <c r="P33" s="9"/>
      <c r="Q33" s="10"/>
      <c r="R33" s="11"/>
      <c r="S33" s="12"/>
      <c r="T33" s="12"/>
      <c r="U33" s="13"/>
      <c r="V33" s="13"/>
      <c r="W33" s="13"/>
      <c r="X33" s="13"/>
      <c r="Y33" s="13"/>
      <c r="Z33" s="13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</row>
  </sheetData>
  <autoFilter ref="A10:Z11" xr:uid="{0A1DE5A9-EE77-40D2-B57C-9674A1BD72B6}">
    <filterColumn colId="2" showButton="0"/>
    <filterColumn colId="8" showButton="0"/>
  </autoFilter>
  <mergeCells count="26">
    <mergeCell ref="C28:D28"/>
    <mergeCell ref="C29:D29"/>
    <mergeCell ref="C30:D30"/>
    <mergeCell ref="C31:D31"/>
    <mergeCell ref="X10:X11"/>
    <mergeCell ref="C25:D25"/>
    <mergeCell ref="C26:D26"/>
    <mergeCell ref="C27:D27"/>
    <mergeCell ref="I10:J11"/>
    <mergeCell ref="K10:K11"/>
    <mergeCell ref="A6:Z6"/>
    <mergeCell ref="A7:Z7"/>
    <mergeCell ref="A8:Z8"/>
    <mergeCell ref="A10:A11"/>
    <mergeCell ref="B10:B11"/>
    <mergeCell ref="C10:D10"/>
    <mergeCell ref="E10:E11"/>
    <mergeCell ref="F10:F11"/>
    <mergeCell ref="G10:G11"/>
    <mergeCell ref="H10:H11"/>
    <mergeCell ref="Y10:Y11"/>
    <mergeCell ref="Z10:Z11"/>
    <mergeCell ref="L10:L11"/>
    <mergeCell ref="M10:M11"/>
    <mergeCell ref="N10:N11"/>
    <mergeCell ref="Q10:Q11"/>
  </mergeCells>
  <pageMargins left="0.7" right="0.7" top="0.75" bottom="0.75" header="0.3" footer="0.3"/>
  <pageSetup paperSize="9" orientation="portrait" horizontalDpi="4294967295" verticalDpi="4294967295" r:id="rId1"/>
  <headerFoot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Chiswa Dian Hermansyah(ZINUS ZDI)</dc:creator>
  <cp:lastModifiedBy>Chiswa Dian Hermansyah(ZINUS ZDI)</cp:lastModifiedBy>
  <dcterms:created xsi:type="dcterms:W3CDTF">2026-07-25T07:40:00Z</dcterms:created>
  <dcterms:modified xsi:type="dcterms:W3CDTF">2026-08-17T05:59:25Z</dcterms:modified>
</cp:coreProperties>
</file>