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79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000030ZIK48020260807000588</t>
        </is>
      </c>
      <c r="C12" s="245" t="n">
        <v>499694</v>
      </c>
      <c r="D12" s="245" t="n">
        <v>499644</v>
      </c>
      <c r="E12" s="246" t="n">
        <v>46244</v>
      </c>
      <c r="F12" s="245" t="inlineStr">
        <is>
          <t>ID2608-8007</t>
        </is>
      </c>
      <c r="G12" s="246" t="n">
        <v>46237</v>
      </c>
      <c r="H12" s="247" t="n">
        <v>900</v>
      </c>
      <c r="I12" s="245" t="inlineStr">
        <is>
          <t>HLXU8329993</t>
        </is>
      </c>
      <c r="J12" s="245" t="inlineStr">
        <is>
          <t>40FT</t>
        </is>
      </c>
      <c r="K12" s="245" t="inlineStr">
        <is>
          <t>8IN GREEN TEA MF MATTRESS QN</t>
        </is>
      </c>
      <c r="L12" s="245" t="inlineStr">
        <is>
          <t>SCF-STR-800Q</t>
        </is>
      </c>
      <c r="M12" s="248" t="inlineStr">
        <is>
          <t>0993631126</t>
        </is>
      </c>
      <c r="N12" s="245" t="inlineStr">
        <is>
          <t>F.MFM.08Q.000.WS</t>
        </is>
      </c>
      <c r="O12" s="249" t="n">
        <v>21510</v>
      </c>
      <c r="P12" s="249" t="n">
        <v>19188</v>
      </c>
      <c r="Q12" s="250">
        <f>R12/H12</f>
        <v/>
      </c>
      <c r="R12" s="251" t="n">
        <v>84573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CHARLESTON, US</t>
        </is>
      </c>
      <c r="X12" s="245" t="inlineStr">
        <is>
          <t>WALMART, INC.</t>
        </is>
      </c>
      <c r="Y12" s="245" t="inlineStr">
        <is>
          <t>HLCUJK1260816670</t>
        </is>
      </c>
      <c r="Z12" s="246" t="n">
        <v>46244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FSCU8082112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14-08-2026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000030ZIK48020260807000589</t>
        </is>
      </c>
      <c r="C15" s="245" t="n">
        <v>499796</v>
      </c>
      <c r="D15" s="245" t="n">
        <v>499746</v>
      </c>
      <c r="E15" s="246" t="n">
        <v>46244</v>
      </c>
      <c r="F15" s="245" t="inlineStr">
        <is>
          <t>ID2608-8008</t>
        </is>
      </c>
      <c r="G15" s="246" t="n">
        <v>46237</v>
      </c>
      <c r="H15" s="247" t="n">
        <v>1040</v>
      </c>
      <c r="I15" s="245" t="inlineStr">
        <is>
          <t>FANU1920397</t>
        </is>
      </c>
      <c r="J15" s="245" t="inlineStr">
        <is>
          <t>40FT</t>
        </is>
      </c>
      <c r="K15" s="245" t="inlineStr">
        <is>
          <t>8IN GREEN TEA MF MATTRESS FL</t>
        </is>
      </c>
      <c r="L15" s="245" t="inlineStr">
        <is>
          <t>SCF-STR-800F</t>
        </is>
      </c>
      <c r="M15" s="248" t="inlineStr">
        <is>
          <t>0993630621</t>
        </is>
      </c>
      <c r="N15" s="245" t="inlineStr">
        <is>
          <t>F.MFM.08F.000.WS</t>
        </is>
      </c>
      <c r="O15" s="249" t="n">
        <v>21236.8</v>
      </c>
      <c r="P15" s="249" t="n">
        <v>18740.8</v>
      </c>
      <c r="Q15" s="250">
        <f>R15/H15</f>
        <v/>
      </c>
      <c r="R15" s="251" t="n">
        <v>82960.8</v>
      </c>
      <c r="S15" s="249" t="n">
        <v>18062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CHARLESTON, US</t>
        </is>
      </c>
      <c r="X15" s="245" t="inlineStr">
        <is>
          <t>WALMART, INC.</t>
        </is>
      </c>
      <c r="Y15" s="245" t="inlineStr">
        <is>
          <t>HLCUJK1260830208</t>
        </is>
      </c>
      <c r="Z15" s="246" t="n">
        <v>46244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5" t="inlineStr">
        <is>
          <t>HLBU1568941</t>
        </is>
      </c>
      <c r="J16" s="245" t="inlineStr">
        <is>
          <t>40FT</t>
        </is>
      </c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14-08-2026</t>
        </is>
      </c>
      <c r="X16" s="245" t="n"/>
      <c r="Y16" s="245" t="n"/>
      <c r="Z16" s="245" t="n"/>
    </row>
    <row r="17" ht="17.1" customFormat="1" customHeight="1" s="258">
      <c r="A17" s="253" t="n"/>
      <c r="B17" s="253" t="n"/>
      <c r="C17" s="253" t="n"/>
      <c r="D17" s="253" t="n"/>
      <c r="E17" s="253" t="n"/>
      <c r="F17" s="253" t="n"/>
      <c r="G17" s="253" t="n"/>
      <c r="H17" s="254">
        <f>SUM(H15:H16)</f>
        <v/>
      </c>
      <c r="I17" s="253">
        <f>COUNTA(I15:I16)</f>
        <v/>
      </c>
      <c r="J17" s="253" t="n"/>
      <c r="K17" s="253" t="n"/>
      <c r="L17" s="253" t="n"/>
      <c r="M17" s="253" t="n"/>
      <c r="N17" s="253" t="n"/>
      <c r="O17" s="255">
        <f>SUM(O15:O16)</f>
        <v/>
      </c>
      <c r="P17" s="255">
        <f>SUM(P15:P16)</f>
        <v/>
      </c>
      <c r="Q17" s="253" t="n"/>
      <c r="R17" s="256">
        <f>SUM(R15:R16)</f>
        <v/>
      </c>
      <c r="S17" s="253" t="n"/>
      <c r="T17" s="257">
        <f>SUM(T15:T16)</f>
        <v/>
      </c>
      <c r="U17" s="253" t="n"/>
      <c r="V17" s="253" t="n"/>
      <c r="W17" s="253" t="n"/>
      <c r="X17" s="253" t="n"/>
      <c r="Y17" s="253" t="n"/>
      <c r="Z17" s="253" t="n"/>
    </row>
    <row r="18" ht="16.5" customHeight="1" s="202" thickBot="1">
      <c r="A18" s="245" t="n">
        <v>3</v>
      </c>
      <c r="B18" s="245" t="inlineStr">
        <is>
          <t>000030ZIK48020260807000590</t>
        </is>
      </c>
      <c r="C18" s="245" t="n">
        <v>498964</v>
      </c>
      <c r="D18" s="245" t="n">
        <v>498916</v>
      </c>
      <c r="E18" s="246" t="n">
        <v>46244</v>
      </c>
      <c r="F18" s="245" t="inlineStr">
        <is>
          <t>ID2608-8009</t>
        </is>
      </c>
      <c r="G18" s="246" t="n">
        <v>46237</v>
      </c>
      <c r="H18" s="247" t="n">
        <v>1300</v>
      </c>
      <c r="I18" s="245" t="inlineStr">
        <is>
          <t>MRKU0606408</t>
        </is>
      </c>
      <c r="J18" s="245" t="inlineStr">
        <is>
          <t>40FT</t>
        </is>
      </c>
      <c r="K18" s="245" t="inlineStr">
        <is>
          <t>8IN GEL INFUSED FOAM MATT. TW</t>
        </is>
      </c>
      <c r="L18" s="245" t="inlineStr">
        <is>
          <t>CLE-08T</t>
        </is>
      </c>
      <c r="M18" s="248" t="inlineStr">
        <is>
          <t>0001230699</t>
        </is>
      </c>
      <c r="N18" s="245" t="inlineStr">
        <is>
          <t>F.MFG.08T.003.WT</t>
        </is>
      </c>
      <c r="O18" s="249" t="n">
        <v>20210.72</v>
      </c>
      <c r="P18" s="249" t="n">
        <v>16890.8</v>
      </c>
      <c r="Q18" s="250">
        <f>R18/H18</f>
        <v/>
      </c>
      <c r="R18" s="251" t="n">
        <v>53703</v>
      </c>
      <c r="S18" s="249" t="n">
        <v>18062</v>
      </c>
      <c r="T18" s="252">
        <f>S18*R18</f>
        <v/>
      </c>
      <c r="U18" s="245" t="inlineStr">
        <is>
          <t>040300/KPPBC</t>
        </is>
      </c>
      <c r="V18" s="245" t="inlineStr">
        <is>
          <t>TG. PRIOK</t>
        </is>
      </c>
      <c r="W18" s="245" t="inlineStr">
        <is>
          <t>CHARLESTON, US</t>
        </is>
      </c>
      <c r="X18" s="245" t="inlineStr">
        <is>
          <t>WALMART, INC.</t>
        </is>
      </c>
      <c r="Y18" s="245" t="inlineStr">
        <is>
          <t>MAEU274412219</t>
        </is>
      </c>
      <c r="Z18" s="246" t="n">
        <v>46244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19</v>
      </c>
      <c r="I19" s="245" t="inlineStr">
        <is>
          <t>MSKU6814484</t>
        </is>
      </c>
      <c r="J19" s="245" t="inlineStr">
        <is>
          <t>40FT</t>
        </is>
      </c>
      <c r="K19" s="245" t="inlineStr">
        <is>
          <t>6IN MYGEL FOAM MATTRESS FL</t>
        </is>
      </c>
      <c r="L19" s="245" t="inlineStr">
        <is>
          <t>MFGN-06F</t>
        </is>
      </c>
      <c r="M19" s="248" t="inlineStr">
        <is>
          <t>0001230699</t>
        </is>
      </c>
      <c r="N19" s="245" t="inlineStr">
        <is>
          <t>F.MFG.06F.002.WT</t>
        </is>
      </c>
      <c r="O19" s="245" t="n"/>
      <c r="P19" s="245" t="n"/>
      <c r="Q19" s="250">
        <f>R19/H19</f>
        <v/>
      </c>
      <c r="R19" s="251" t="n">
        <v>1181.61</v>
      </c>
      <c r="S19" s="249" t="n">
        <v>18062</v>
      </c>
      <c r="T19" s="252">
        <f>S19*R19</f>
        <v/>
      </c>
      <c r="U19" s="245" t="n"/>
      <c r="V19" s="245" t="n"/>
      <c r="W19" s="245" t="inlineStr">
        <is>
          <t>ETD : 16-08-2026</t>
        </is>
      </c>
      <c r="X19" s="245" t="n"/>
      <c r="Y19" s="245" t="n"/>
      <c r="Z19" s="245" t="n"/>
    </row>
    <row r="20" ht="17.1" customHeight="1" s="202">
      <c r="A20" s="253" t="n"/>
      <c r="B20" s="253" t="n"/>
      <c r="C20" s="253" t="n"/>
      <c r="D20" s="253" t="n"/>
      <c r="E20" s="253" t="n"/>
      <c r="F20" s="253" t="n"/>
      <c r="G20" s="253" t="n"/>
      <c r="H20" s="254">
        <f>SUM(H18:H19)</f>
        <v/>
      </c>
      <c r="I20" s="253">
        <f>COUNTA(I18:I19)</f>
        <v/>
      </c>
      <c r="J20" s="253" t="n"/>
      <c r="K20" s="253" t="n"/>
      <c r="L20" s="253" t="n"/>
      <c r="M20" s="253" t="n"/>
      <c r="N20" s="253" t="n"/>
      <c r="O20" s="255">
        <f>SUM(O18:O19)</f>
        <v/>
      </c>
      <c r="P20" s="255">
        <f>SUM(P18:P19)</f>
        <v/>
      </c>
      <c r="Q20" s="253" t="n"/>
      <c r="R20" s="256">
        <f>SUM(R18:R19)</f>
        <v/>
      </c>
      <c r="S20" s="253" t="n"/>
      <c r="T20" s="257">
        <f>SUM(T18:T19)</f>
        <v/>
      </c>
      <c r="U20" s="253" t="n"/>
      <c r="V20" s="253" t="n"/>
      <c r="W20" s="253" t="n"/>
      <c r="X20" s="253" t="n"/>
      <c r="Y20" s="253" t="n"/>
      <c r="Z20" s="253" t="n"/>
    </row>
    <row r="21" ht="16.5" customHeight="1" s="202">
      <c r="A21" s="245" t="n">
        <v>4</v>
      </c>
      <c r="B21" s="245" t="inlineStr">
        <is>
          <t>000030ZIK48020260807000591</t>
        </is>
      </c>
      <c r="C21" s="245" t="n">
        <v>499788</v>
      </c>
      <c r="D21" s="245" t="n">
        <v>499738</v>
      </c>
      <c r="E21" s="246" t="n">
        <v>46244</v>
      </c>
      <c r="F21" s="245" t="inlineStr">
        <is>
          <t>ID2608-8071</t>
        </is>
      </c>
      <c r="G21" s="246" t="n">
        <v>46241</v>
      </c>
      <c r="H21" s="247" t="n">
        <v>1744</v>
      </c>
      <c r="I21" s="245" t="inlineStr">
        <is>
          <t>BEAU5641196</t>
        </is>
      </c>
      <c r="J21" s="245" t="inlineStr">
        <is>
          <t>40FT</t>
        </is>
      </c>
      <c r="K21" s="245" t="inlineStr">
        <is>
          <t>6IN MSS24-6TW</t>
        </is>
      </c>
      <c r="L21" s="245" t="inlineStr">
        <is>
          <t>MS24-6T</t>
        </is>
      </c>
      <c r="M21" s="248" t="inlineStr">
        <is>
          <t>1007404364</t>
        </is>
      </c>
      <c r="N21" s="245" t="inlineStr">
        <is>
          <t>F.MSS.06T.002.WS</t>
        </is>
      </c>
      <c r="O21" s="249" t="n">
        <v>31252.48</v>
      </c>
      <c r="P21" s="249" t="n">
        <v>27904</v>
      </c>
      <c r="Q21" s="250">
        <f>R21/H21</f>
        <v/>
      </c>
      <c r="R21" s="251" t="n">
        <v>55180.16</v>
      </c>
      <c r="S21" s="249" t="n">
        <v>18062</v>
      </c>
      <c r="T21" s="252">
        <f>S21*R21</f>
        <v/>
      </c>
      <c r="U21" s="245" t="inlineStr">
        <is>
          <t>040300/KPPBC</t>
        </is>
      </c>
      <c r="V21" s="245" t="inlineStr">
        <is>
          <t>TG. PRIOK</t>
        </is>
      </c>
      <c r="W21" s="245" t="inlineStr">
        <is>
          <t>NORFOLK, US</t>
        </is>
      </c>
      <c r="X21" s="245" t="inlineStr">
        <is>
          <t>WALMART, INC.</t>
        </is>
      </c>
      <c r="Y21" s="245" t="inlineStr">
        <is>
          <t>CMDUDJA1516406</t>
        </is>
      </c>
      <c r="Z21" s="246" t="n">
        <v>46244</v>
      </c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5" t="n"/>
      <c r="I22" s="245" t="inlineStr">
        <is>
          <t>SEKU6041090</t>
        </is>
      </c>
      <c r="J22" s="245" t="inlineStr">
        <is>
          <t>40FT</t>
        </is>
      </c>
      <c r="K22" s="245" t="n"/>
      <c r="L22" s="245" t="n"/>
      <c r="M22" s="245" t="n"/>
      <c r="N22" s="245" t="n"/>
      <c r="O22" s="245" t="n"/>
      <c r="P22" s="245" t="n"/>
      <c r="Q22" s="245" t="n"/>
      <c r="R22" s="245" t="n"/>
      <c r="S22" s="245" t="n"/>
      <c r="T22" s="245" t="n"/>
      <c r="U22" s="245" t="n"/>
      <c r="V22" s="245" t="n"/>
      <c r="W22" s="245" t="inlineStr">
        <is>
          <t>ETD : 15-08-2026</t>
        </is>
      </c>
      <c r="X22" s="245" t="n"/>
      <c r="Y22" s="245" t="n"/>
      <c r="Z22" s="245" t="n"/>
    </row>
    <row r="23" ht="17.1" customHeight="1" s="202" thickBot="1">
      <c r="A23" s="253" t="n"/>
      <c r="B23" s="253" t="n"/>
      <c r="C23" s="253" t="n"/>
      <c r="D23" s="253" t="n"/>
      <c r="E23" s="253" t="n"/>
      <c r="F23" s="253" t="n"/>
      <c r="G23" s="253" t="n"/>
      <c r="H23" s="254">
        <f>SUM(H21:H22)</f>
        <v/>
      </c>
      <c r="I23" s="253">
        <f>COUNTA(I21:I22)</f>
        <v/>
      </c>
      <c r="J23" s="253" t="n"/>
      <c r="K23" s="253" t="n"/>
      <c r="L23" s="253" t="n"/>
      <c r="M23" s="253" t="n"/>
      <c r="N23" s="253" t="n"/>
      <c r="O23" s="255">
        <f>SUM(O21:O22)</f>
        <v/>
      </c>
      <c r="P23" s="255">
        <f>SUM(P21:P22)</f>
        <v/>
      </c>
      <c r="Q23" s="253" t="n"/>
      <c r="R23" s="256">
        <f>SUM(R21:R22)</f>
        <v/>
      </c>
      <c r="S23" s="253" t="n"/>
      <c r="T23" s="257">
        <f>SUM(T21:T22)</f>
        <v/>
      </c>
      <c r="U23" s="253" t="n"/>
      <c r="V23" s="253" t="n"/>
      <c r="W23" s="253" t="n"/>
      <c r="X23" s="253" t="n"/>
      <c r="Y23" s="253" t="n"/>
      <c r="Z23" s="253" t="n"/>
    </row>
    <row r="24" ht="16.5" customHeight="1" s="202" thickTop="1">
      <c r="A24" s="245" t="n">
        <v>5</v>
      </c>
      <c r="B24" s="245" t="inlineStr">
        <is>
          <t>000030ZIK48020260807000592</t>
        </is>
      </c>
      <c r="C24" s="245" t="n">
        <v>498871</v>
      </c>
      <c r="D24" s="245" t="n">
        <v>498823</v>
      </c>
      <c r="E24" s="246" t="n">
        <v>46244</v>
      </c>
      <c r="F24" s="245" t="inlineStr">
        <is>
          <t>ID2608-8072</t>
        </is>
      </c>
      <c r="G24" s="246" t="n">
        <v>46241</v>
      </c>
      <c r="H24" s="247" t="n">
        <v>900</v>
      </c>
      <c r="I24" s="245" t="inlineStr">
        <is>
          <t>TGBU4173611</t>
        </is>
      </c>
      <c r="J24" s="245" t="inlineStr">
        <is>
          <t>40FT</t>
        </is>
      </c>
      <c r="K24" s="245" t="inlineStr">
        <is>
          <t>8IN GREEN TEA MF MATTRESS QN</t>
        </is>
      </c>
      <c r="L24" s="245" t="inlineStr">
        <is>
          <t>SCF-STR-800Q</t>
        </is>
      </c>
      <c r="M24" s="248" t="inlineStr">
        <is>
          <t>0993631071</t>
        </is>
      </c>
      <c r="N24" s="245" t="inlineStr">
        <is>
          <t>F.MFM.08Q.000.WS</t>
        </is>
      </c>
      <c r="O24" s="249" t="n">
        <v>21510</v>
      </c>
      <c r="P24" s="249" t="n">
        <v>19188</v>
      </c>
      <c r="Q24" s="250">
        <f>R24/H24</f>
        <v/>
      </c>
      <c r="R24" s="251" t="n">
        <v>84573</v>
      </c>
      <c r="S24" s="249" t="n">
        <v>18062</v>
      </c>
      <c r="T24" s="252">
        <f>S24*R24</f>
        <v/>
      </c>
      <c r="U24" s="245" t="inlineStr">
        <is>
          <t>040300/KPPBC</t>
        </is>
      </c>
      <c r="V24" s="245" t="inlineStr">
        <is>
          <t>TG. PRIOK</t>
        </is>
      </c>
      <c r="W24" s="245" t="inlineStr">
        <is>
          <t>LOS ANGELES, US</t>
        </is>
      </c>
      <c r="X24" s="245" t="inlineStr">
        <is>
          <t>WALMART, INC.</t>
        </is>
      </c>
      <c r="Y24" s="245" t="inlineStr">
        <is>
          <t>CMDUDJA1510357</t>
        </is>
      </c>
      <c r="Z24" s="246" t="n">
        <v>46244</v>
      </c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5" t="n"/>
      <c r="I25" s="245" t="inlineStr">
        <is>
          <t>TXGU5270291</t>
        </is>
      </c>
      <c r="J25" s="245" t="inlineStr">
        <is>
          <t>40FT</t>
        </is>
      </c>
      <c r="K25" s="245" t="n"/>
      <c r="L25" s="245" t="n"/>
      <c r="M25" s="245" t="n"/>
      <c r="N25" s="245" t="n"/>
      <c r="O25" s="245" t="n"/>
      <c r="P25" s="245" t="n"/>
      <c r="Q25" s="245" t="n"/>
      <c r="R25" s="245" t="n"/>
      <c r="S25" s="245" t="n"/>
      <c r="T25" s="245" t="n"/>
      <c r="U25" s="245" t="n"/>
      <c r="V25" s="245" t="n"/>
      <c r="W25" s="245" t="inlineStr">
        <is>
          <t>ETD : 15-08-2026</t>
        </is>
      </c>
      <c r="X25" s="245" t="n"/>
      <c r="Y25" s="245" t="n"/>
      <c r="Z25" s="245" t="n"/>
    </row>
    <row r="26" ht="17.1" customHeight="1" s="202">
      <c r="A26" s="253" t="n"/>
      <c r="B26" s="253" t="n"/>
      <c r="C26" s="253" t="n"/>
      <c r="D26" s="253" t="n"/>
      <c r="E26" s="253" t="n"/>
      <c r="F26" s="253" t="n"/>
      <c r="G26" s="253" t="n"/>
      <c r="H26" s="254">
        <f>SUM(H24:H25)</f>
        <v/>
      </c>
      <c r="I26" s="253">
        <f>COUNTA(I24:I25)</f>
        <v/>
      </c>
      <c r="J26" s="253" t="n"/>
      <c r="K26" s="253" t="n"/>
      <c r="L26" s="253" t="n"/>
      <c r="M26" s="253" t="n"/>
      <c r="N26" s="253" t="n"/>
      <c r="O26" s="255">
        <f>SUM(O24:O25)</f>
        <v/>
      </c>
      <c r="P26" s="255">
        <f>SUM(P24:P25)</f>
        <v/>
      </c>
      <c r="Q26" s="253" t="n"/>
      <c r="R26" s="256">
        <f>SUM(R24:R25)</f>
        <v/>
      </c>
      <c r="S26" s="253" t="n"/>
      <c r="T26" s="257">
        <f>SUM(T24:T25)</f>
        <v/>
      </c>
      <c r="U26" s="253" t="n"/>
      <c r="V26" s="253" t="n"/>
      <c r="W26" s="253" t="n"/>
      <c r="X26" s="253" t="n"/>
      <c r="Y26" s="253" t="n"/>
      <c r="Z26" s="253" t="n"/>
    </row>
    <row r="27" ht="16.5" customHeight="1" s="202">
      <c r="A27" s="245" t="n">
        <v>6</v>
      </c>
      <c r="B27" s="245" t="inlineStr">
        <is>
          <t>000030ZIK48020260807000593</t>
        </is>
      </c>
      <c r="C27" s="245" t="n">
        <v>498906</v>
      </c>
      <c r="D27" s="245" t="n">
        <v>498858</v>
      </c>
      <c r="E27" s="246" t="n">
        <v>46244</v>
      </c>
      <c r="F27" s="245" t="inlineStr">
        <is>
          <t>ID2608-8073</t>
        </is>
      </c>
      <c r="G27" s="246" t="n">
        <v>46241</v>
      </c>
      <c r="H27" s="247" t="n">
        <v>1040</v>
      </c>
      <c r="I27" s="245" t="inlineStr">
        <is>
          <t>SEKU4529125</t>
        </is>
      </c>
      <c r="J27" s="245" t="inlineStr">
        <is>
          <t>40FT</t>
        </is>
      </c>
      <c r="K27" s="245" t="inlineStr">
        <is>
          <t>8IN GREEN TEA MF MATTRESS FL</t>
        </is>
      </c>
      <c r="L27" s="245" t="inlineStr">
        <is>
          <t>SCF-STR-800F</t>
        </is>
      </c>
      <c r="M27" s="248" t="inlineStr">
        <is>
          <t>0993630551</t>
        </is>
      </c>
      <c r="N27" s="245" t="inlineStr">
        <is>
          <t>F.MFM.08F.000.WS</t>
        </is>
      </c>
      <c r="O27" s="249" t="n">
        <v>21236.8</v>
      </c>
      <c r="P27" s="249" t="n">
        <v>18740.8</v>
      </c>
      <c r="Q27" s="250">
        <f>R27/H27</f>
        <v/>
      </c>
      <c r="R27" s="251" t="n">
        <v>82960.8</v>
      </c>
      <c r="S27" s="249" t="n">
        <v>18062</v>
      </c>
      <c r="T27" s="252">
        <f>S27*R27</f>
        <v/>
      </c>
      <c r="U27" s="245" t="inlineStr">
        <is>
          <t>040300/KPPBC</t>
        </is>
      </c>
      <c r="V27" s="245" t="inlineStr">
        <is>
          <t>TG. PRIOK</t>
        </is>
      </c>
      <c r="W27" s="245" t="inlineStr">
        <is>
          <t>LOS ANGELES, US</t>
        </is>
      </c>
      <c r="X27" s="245" t="inlineStr">
        <is>
          <t>WALMART, INC.</t>
        </is>
      </c>
      <c r="Y27" s="245" t="inlineStr">
        <is>
          <t>CMDUDJA1510366</t>
        </is>
      </c>
      <c r="Z27" s="246" t="n">
        <v>46244</v>
      </c>
    </row>
    <row r="28" ht="16.5" customHeight="1" s="202">
      <c r="A28" s="245" t="n"/>
      <c r="B28" s="245" t="n"/>
      <c r="C28" s="245" t="n"/>
      <c r="D28" s="245" t="n"/>
      <c r="E28" s="245" t="n"/>
      <c r="F28" s="245" t="n"/>
      <c r="G28" s="245" t="n"/>
      <c r="H28" s="245" t="n"/>
      <c r="I28" s="245" t="inlineStr">
        <is>
          <t>TRHU6411142</t>
        </is>
      </c>
      <c r="J28" s="245" t="inlineStr">
        <is>
          <t>40FT</t>
        </is>
      </c>
      <c r="K28" s="245" t="n"/>
      <c r="L28" s="245" t="n"/>
      <c r="M28" s="245" t="n"/>
      <c r="N28" s="245" t="n"/>
      <c r="O28" s="245" t="n"/>
      <c r="P28" s="245" t="n"/>
      <c r="Q28" s="245" t="n"/>
      <c r="R28" s="245" t="n"/>
      <c r="S28" s="245" t="n"/>
      <c r="T28" s="245" t="n"/>
      <c r="U28" s="245" t="n"/>
      <c r="V28" s="245" t="n"/>
      <c r="W28" s="245" t="inlineStr">
        <is>
          <t>ETD : 15-08-2026</t>
        </is>
      </c>
      <c r="X28" s="245" t="n"/>
      <c r="Y28" s="245" t="n"/>
      <c r="Z28" s="245" t="n"/>
    </row>
    <row r="29" ht="17.1" customHeight="1" s="202">
      <c r="A29" s="253" t="n"/>
      <c r="B29" s="253" t="n"/>
      <c r="C29" s="253" t="n"/>
      <c r="D29" s="253" t="n"/>
      <c r="E29" s="253" t="n"/>
      <c r="F29" s="253" t="n"/>
      <c r="G29" s="253" t="n"/>
      <c r="H29" s="254">
        <f>SUM(H27:H28)</f>
        <v/>
      </c>
      <c r="I29" s="253">
        <f>COUNTA(I27:I28)</f>
        <v/>
      </c>
      <c r="J29" s="253" t="n"/>
      <c r="K29" s="253" t="n"/>
      <c r="L29" s="253" t="n"/>
      <c r="M29" s="253" t="n"/>
      <c r="N29" s="253" t="n"/>
      <c r="O29" s="255">
        <f>SUM(O27:O28)</f>
        <v/>
      </c>
      <c r="P29" s="255">
        <f>SUM(P27:P28)</f>
        <v/>
      </c>
      <c r="Q29" s="253" t="n"/>
      <c r="R29" s="256">
        <f>SUM(R27:R28)</f>
        <v/>
      </c>
      <c r="S29" s="253" t="n"/>
      <c r="T29" s="257">
        <f>SUM(T27:T28)</f>
        <v/>
      </c>
      <c r="U29" s="253" t="n"/>
      <c r="V29" s="253" t="n"/>
      <c r="W29" s="253" t="n"/>
      <c r="X29" s="253" t="n"/>
      <c r="Y29" s="253" t="n"/>
      <c r="Z29" s="253" t="n"/>
    </row>
    <row r="30" ht="16.5" customHeight="1" s="202">
      <c r="A30" s="245" t="n">
        <v>7</v>
      </c>
      <c r="B30" s="245" t="inlineStr">
        <is>
          <t>000030ZIK48020260807000594</t>
        </is>
      </c>
      <c r="C30" s="245" t="n">
        <v>498800</v>
      </c>
      <c r="D30" s="245" t="n">
        <v>498752</v>
      </c>
      <c r="E30" s="246" t="n">
        <v>46244</v>
      </c>
      <c r="F30" s="245" t="inlineStr">
        <is>
          <t>ID2608-8074</t>
        </is>
      </c>
      <c r="G30" s="246" t="n">
        <v>46241</v>
      </c>
      <c r="H30" s="247" t="n">
        <v>450</v>
      </c>
      <c r="I30" s="245" t="inlineStr">
        <is>
          <t>CMAU7830180</t>
        </is>
      </c>
      <c r="J30" s="245" t="inlineStr">
        <is>
          <t>40FT</t>
        </is>
      </c>
      <c r="K30" s="245" t="inlineStr">
        <is>
          <t>8IN GREEN TEA MF MATTRESS QN</t>
        </is>
      </c>
      <c r="L30" s="245" t="inlineStr">
        <is>
          <t>SCF-STR-800Q</t>
        </is>
      </c>
      <c r="M30" s="248" t="inlineStr">
        <is>
          <t>0993631228</t>
        </is>
      </c>
      <c r="N30" s="245" t="inlineStr">
        <is>
          <t>F.MFM.08Q.000.WS</t>
        </is>
      </c>
      <c r="O30" s="249" t="n">
        <v>10755</v>
      </c>
      <c r="P30" s="249" t="n">
        <v>9594</v>
      </c>
      <c r="Q30" s="250">
        <f>R30/H30</f>
        <v/>
      </c>
      <c r="R30" s="251" t="n">
        <v>42286.5</v>
      </c>
      <c r="S30" s="249" t="n">
        <v>18062</v>
      </c>
      <c r="T30" s="252">
        <f>S30*R30</f>
        <v/>
      </c>
      <c r="U30" s="245" t="inlineStr">
        <is>
          <t>040300/KPPBC</t>
        </is>
      </c>
      <c r="V30" s="245" t="inlineStr">
        <is>
          <t>TG. PRIOK</t>
        </is>
      </c>
      <c r="W30" s="245" t="inlineStr">
        <is>
          <t>LOS ANGELES, US</t>
        </is>
      </c>
      <c r="X30" s="245" t="inlineStr">
        <is>
          <t>WALMART, INC.</t>
        </is>
      </c>
      <c r="Y30" s="245" t="inlineStr">
        <is>
          <t>CMDUDJA1512157</t>
        </is>
      </c>
      <c r="Z30" s="246" t="n">
        <v>46244</v>
      </c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5" t="n"/>
      <c r="I31" s="245" t="n"/>
      <c r="J31" s="245" t="n"/>
      <c r="K31" s="245" t="n"/>
      <c r="L31" s="245" t="n"/>
      <c r="M31" s="245" t="n"/>
      <c r="N31" s="245" t="n"/>
      <c r="O31" s="245" t="n"/>
      <c r="P31" s="245" t="n"/>
      <c r="Q31" s="245" t="n"/>
      <c r="R31" s="245" t="n"/>
      <c r="S31" s="245" t="n"/>
      <c r="T31" s="245" t="n"/>
      <c r="U31" s="245" t="n"/>
      <c r="V31" s="245" t="n"/>
      <c r="W31" s="245" t="inlineStr">
        <is>
          <t>ETD : 15-08-2026</t>
        </is>
      </c>
      <c r="X31" s="245" t="n"/>
      <c r="Y31" s="245" t="n"/>
      <c r="Z31" s="245" t="n"/>
    </row>
    <row r="32" ht="17.1" customHeight="1" s="202" thickBot="1">
      <c r="A32" s="253" t="n"/>
      <c r="B32" s="253" t="n"/>
      <c r="C32" s="253" t="n"/>
      <c r="D32" s="253" t="n"/>
      <c r="E32" s="253" t="n"/>
      <c r="F32" s="253" t="n"/>
      <c r="G32" s="253" t="n"/>
      <c r="H32" s="254">
        <f>SUM(H30:H31)</f>
        <v/>
      </c>
      <c r="I32" s="253">
        <f>COUNTA(I30:I31)</f>
        <v/>
      </c>
      <c r="J32" s="253" t="n"/>
      <c r="K32" s="253" t="n"/>
      <c r="L32" s="253" t="n"/>
      <c r="M32" s="253" t="n"/>
      <c r="N32" s="253" t="n"/>
      <c r="O32" s="255">
        <f>SUM(O30:O31)</f>
        <v/>
      </c>
      <c r="P32" s="255">
        <f>SUM(P30:P31)</f>
        <v/>
      </c>
      <c r="Q32" s="253" t="n"/>
      <c r="R32" s="256">
        <f>SUM(R30:R31)</f>
        <v/>
      </c>
      <c r="S32" s="253" t="n"/>
      <c r="T32" s="257">
        <f>SUM(T30:T31)</f>
        <v/>
      </c>
      <c r="U32" s="253" t="n"/>
      <c r="V32" s="253" t="n"/>
      <c r="W32" s="253" t="n"/>
      <c r="X32" s="253" t="n"/>
      <c r="Y32" s="253" t="n"/>
      <c r="Z32" s="253" t="n"/>
    </row>
    <row r="33" ht="16.5" customFormat="1" customHeight="1" s="17" thickTop="1">
      <c r="A33" s="245" t="n">
        <v>8</v>
      </c>
      <c r="B33" s="245" t="inlineStr">
        <is>
          <t>000030ZIK48020260807000595</t>
        </is>
      </c>
      <c r="C33" s="245" t="n">
        <v>498851</v>
      </c>
      <c r="D33" s="245" t="n">
        <v>498803</v>
      </c>
      <c r="E33" s="246" t="n">
        <v>46244</v>
      </c>
      <c r="F33" s="245" t="inlineStr">
        <is>
          <t>ID2608-8075</t>
        </is>
      </c>
      <c r="G33" s="246" t="n">
        <v>46241</v>
      </c>
      <c r="H33" s="247" t="n">
        <v>1040</v>
      </c>
      <c r="I33" s="245" t="inlineStr">
        <is>
          <t>TIIU4739312</t>
        </is>
      </c>
      <c r="J33" s="245" t="inlineStr">
        <is>
          <t>40FT</t>
        </is>
      </c>
      <c r="K33" s="245" t="inlineStr">
        <is>
          <t>8IN GREEN TEA MF MATTRESS FL</t>
        </is>
      </c>
      <c r="L33" s="245" t="inlineStr">
        <is>
          <t>SCF-STR-800F</t>
        </is>
      </c>
      <c r="M33" s="248" t="inlineStr">
        <is>
          <t>0993630697</t>
        </is>
      </c>
      <c r="N33" s="245" t="inlineStr">
        <is>
          <t>F.MFM.08F.000.WS</t>
        </is>
      </c>
      <c r="O33" s="249" t="n">
        <v>21236.8</v>
      </c>
      <c r="P33" s="249" t="n">
        <v>18740.8</v>
      </c>
      <c r="Q33" s="250">
        <f>R33/H33</f>
        <v/>
      </c>
      <c r="R33" s="251" t="n">
        <v>82960.8</v>
      </c>
      <c r="S33" s="249" t="n">
        <v>18062</v>
      </c>
      <c r="T33" s="252">
        <f>S33*R33</f>
        <v/>
      </c>
      <c r="U33" s="245" t="inlineStr">
        <is>
          <t>040300/KPPBC</t>
        </is>
      </c>
      <c r="V33" s="245" t="inlineStr">
        <is>
          <t>TG. PRIOK</t>
        </is>
      </c>
      <c r="W33" s="245" t="inlineStr">
        <is>
          <t>HOUSTON, US</t>
        </is>
      </c>
      <c r="X33" s="245" t="inlineStr">
        <is>
          <t>WALMART, INC.</t>
        </is>
      </c>
      <c r="Y33" s="245" t="inlineStr">
        <is>
          <t>CMDUDJA1512625A</t>
        </is>
      </c>
      <c r="Z33" s="246" t="n">
        <v>46244</v>
      </c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5" t="n"/>
      <c r="I34" s="245" t="inlineStr">
        <is>
          <t>TRHU8952763</t>
        </is>
      </c>
      <c r="J34" s="245" t="inlineStr">
        <is>
          <t>40FT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inlineStr">
        <is>
          <t>ETD : 15-08-2026</t>
        </is>
      </c>
      <c r="X34" s="245" t="n"/>
      <c r="Y34" s="245" t="n"/>
      <c r="Z34" s="245" t="n"/>
    </row>
    <row r="35" ht="17.1" customHeight="1" s="202">
      <c r="A35" s="253" t="n"/>
      <c r="B35" s="253" t="n"/>
      <c r="C35" s="253" t="n"/>
      <c r="D35" s="253" t="n"/>
      <c r="E35" s="253" t="n"/>
      <c r="F35" s="253" t="n"/>
      <c r="G35" s="253" t="n"/>
      <c r="H35" s="254">
        <f>SUM(H33:H34)</f>
        <v/>
      </c>
      <c r="I35" s="253">
        <f>COUNTA(I33:I34)</f>
        <v/>
      </c>
      <c r="J35" s="253" t="n"/>
      <c r="K35" s="253" t="n"/>
      <c r="L35" s="253" t="n"/>
      <c r="M35" s="253" t="n"/>
      <c r="N35" s="253" t="n"/>
      <c r="O35" s="255">
        <f>SUM(O33:O34)</f>
        <v/>
      </c>
      <c r="P35" s="255">
        <f>SUM(P33:P34)</f>
        <v/>
      </c>
      <c r="Q35" s="253" t="n"/>
      <c r="R35" s="256">
        <f>SUM(R33:R34)</f>
        <v/>
      </c>
      <c r="S35" s="253" t="n"/>
      <c r="T35" s="257">
        <f>SUM(T33:T34)</f>
        <v/>
      </c>
      <c r="U35" s="253" t="n"/>
      <c r="V35" s="253" t="n"/>
      <c r="W35" s="253" t="n"/>
      <c r="X35" s="253" t="n"/>
      <c r="Y35" s="253" t="n"/>
      <c r="Z35" s="253" t="n"/>
    </row>
    <row r="36" ht="16.5" customHeight="1" s="202">
      <c r="A36" s="245" t="n">
        <v>9</v>
      </c>
      <c r="B36" s="245" t="inlineStr">
        <is>
          <t>000030ZIK48020260807000596</t>
        </is>
      </c>
      <c r="C36" s="245" t="n">
        <v>498828</v>
      </c>
      <c r="D36" s="245" t="n">
        <v>498780</v>
      </c>
      <c r="E36" s="246" t="n">
        <v>46244</v>
      </c>
      <c r="F36" s="245" t="inlineStr">
        <is>
          <t>ID2608-8076</t>
        </is>
      </c>
      <c r="G36" s="246" t="n">
        <v>46241</v>
      </c>
      <c r="H36" s="247" t="n">
        <v>900</v>
      </c>
      <c r="I36" s="245" t="inlineStr">
        <is>
          <t>TRHU8279420</t>
        </is>
      </c>
      <c r="J36" s="245" t="inlineStr">
        <is>
          <t>40FT</t>
        </is>
      </c>
      <c r="K36" s="245" t="inlineStr">
        <is>
          <t>8IN GREEN TEA MF MATTRESS QN</t>
        </is>
      </c>
      <c r="L36" s="245" t="inlineStr">
        <is>
          <t>SCF-STR-800Q</t>
        </is>
      </c>
      <c r="M36" s="248" t="inlineStr">
        <is>
          <t>0993631152</t>
        </is>
      </c>
      <c r="N36" s="245" t="inlineStr">
        <is>
          <t>F.MFM.08Q.000.WS</t>
        </is>
      </c>
      <c r="O36" s="249" t="n">
        <v>21510</v>
      </c>
      <c r="P36" s="249" t="n">
        <v>19188</v>
      </c>
      <c r="Q36" s="250">
        <f>R36/H36</f>
        <v/>
      </c>
      <c r="R36" s="251" t="n">
        <v>84573</v>
      </c>
      <c r="S36" s="249" t="n">
        <v>18062</v>
      </c>
      <c r="T36" s="252">
        <f>S36*R36</f>
        <v/>
      </c>
      <c r="U36" s="245" t="inlineStr">
        <is>
          <t>040300/KPPBC</t>
        </is>
      </c>
      <c r="V36" s="245" t="inlineStr">
        <is>
          <t>TG. PRIOK</t>
        </is>
      </c>
      <c r="W36" s="245" t="inlineStr">
        <is>
          <t>HOUSTON, US</t>
        </is>
      </c>
      <c r="X36" s="245" t="inlineStr">
        <is>
          <t>WALMART, INC.</t>
        </is>
      </c>
      <c r="Y36" s="245" t="inlineStr">
        <is>
          <t>CMDUDJA1512625B</t>
        </is>
      </c>
      <c r="Z36" s="246" t="n">
        <v>46244</v>
      </c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5" t="n"/>
      <c r="I37" s="245" t="inlineStr">
        <is>
          <t>TGBU9311987</t>
        </is>
      </c>
      <c r="J37" s="245" t="inlineStr">
        <is>
          <t>40FT</t>
        </is>
      </c>
      <c r="K37" s="245" t="n"/>
      <c r="L37" s="245" t="n"/>
      <c r="M37" s="245" t="n"/>
      <c r="N37" s="245" t="n"/>
      <c r="O37" s="245" t="n"/>
      <c r="P37" s="245" t="n"/>
      <c r="Q37" s="245" t="n"/>
      <c r="R37" s="245" t="n"/>
      <c r="S37" s="245" t="n"/>
      <c r="T37" s="245" t="n"/>
      <c r="U37" s="245" t="n"/>
      <c r="V37" s="245" t="n"/>
      <c r="W37" s="245" t="inlineStr">
        <is>
          <t>ETD : 15-08-2026</t>
        </is>
      </c>
      <c r="X37" s="245" t="n"/>
      <c r="Y37" s="245" t="n"/>
      <c r="Z37" s="245" t="n"/>
    </row>
    <row r="38" ht="17.1" customHeight="1" s="202">
      <c r="A38" s="253" t="n"/>
      <c r="B38" s="253" t="n"/>
      <c r="C38" s="253" t="n"/>
      <c r="D38" s="253" t="n"/>
      <c r="E38" s="253" t="n"/>
      <c r="F38" s="253" t="n"/>
      <c r="G38" s="253" t="n"/>
      <c r="H38" s="254">
        <f>SUM(H36:H37)</f>
        <v/>
      </c>
      <c r="I38" s="253">
        <f>COUNTA(I36:I37)</f>
        <v/>
      </c>
      <c r="J38" s="253" t="n"/>
      <c r="K38" s="253" t="n"/>
      <c r="L38" s="253" t="n"/>
      <c r="M38" s="253" t="n"/>
      <c r="N38" s="253" t="n"/>
      <c r="O38" s="255">
        <f>SUM(O36:O37)</f>
        <v/>
      </c>
      <c r="P38" s="255">
        <f>SUM(P36:P37)</f>
        <v/>
      </c>
      <c r="Q38" s="253" t="n"/>
      <c r="R38" s="256">
        <f>SUM(R36:R37)</f>
        <v/>
      </c>
      <c r="S38" s="253" t="n"/>
      <c r="T38" s="257">
        <f>SUM(T36:T37)</f>
        <v/>
      </c>
      <c r="U38" s="253" t="n"/>
      <c r="V38" s="253" t="n"/>
      <c r="W38" s="253" t="n"/>
      <c r="X38" s="253" t="n"/>
      <c r="Y38" s="253" t="n"/>
      <c r="Z38" s="253" t="n"/>
    </row>
    <row r="39" ht="16.5" customHeight="1" s="202">
      <c r="A39" s="245" t="n">
        <v>10</v>
      </c>
      <c r="B39" s="245" t="inlineStr">
        <is>
          <t>000030ZIK48020260807000597</t>
        </is>
      </c>
      <c r="C39" s="245" t="n">
        <v>498987</v>
      </c>
      <c r="D39" s="245" t="n">
        <v>498939</v>
      </c>
      <c r="E39" s="246" t="n">
        <v>46244</v>
      </c>
      <c r="F39" s="245" t="inlineStr">
        <is>
          <t>ID2608-8077</t>
        </is>
      </c>
      <c r="G39" s="246" t="n">
        <v>46241</v>
      </c>
      <c r="H39" s="247" t="n">
        <v>900</v>
      </c>
      <c r="I39" s="245" t="inlineStr">
        <is>
          <t>SEKU4321234</t>
        </is>
      </c>
      <c r="J39" s="245" t="inlineStr">
        <is>
          <t>40FT</t>
        </is>
      </c>
      <c r="K39" s="245" t="inlineStr">
        <is>
          <t>8IN GREEN TEA MF MATTRESS QN</t>
        </is>
      </c>
      <c r="L39" s="245" t="inlineStr">
        <is>
          <t>SCF-STR-800Q</t>
        </is>
      </c>
      <c r="M39" s="248" t="inlineStr">
        <is>
          <t>0993630479</t>
        </is>
      </c>
      <c r="N39" s="245" t="inlineStr">
        <is>
          <t>F.MFM.08Q.000.WS</t>
        </is>
      </c>
      <c r="O39" s="249" t="n">
        <v>21510</v>
      </c>
      <c r="P39" s="249" t="n">
        <v>19188</v>
      </c>
      <c r="Q39" s="250">
        <f>R39/H39</f>
        <v/>
      </c>
      <c r="R39" s="251" t="n">
        <v>84573</v>
      </c>
      <c r="S39" s="249" t="n">
        <v>18062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CHARLESTON, US</t>
        </is>
      </c>
      <c r="X39" s="245" t="inlineStr">
        <is>
          <t>WALMART, INC.</t>
        </is>
      </c>
      <c r="Y39" s="245" t="inlineStr">
        <is>
          <t>CMDUDJA1516054A</t>
        </is>
      </c>
      <c r="Z39" s="246" t="n">
        <v>46244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5" t="n"/>
      <c r="I40" s="245" t="inlineStr">
        <is>
          <t>TLLU8305907</t>
        </is>
      </c>
      <c r="J40" s="245" t="inlineStr">
        <is>
          <t>40FT</t>
        </is>
      </c>
      <c r="K40" s="245" t="n"/>
      <c r="L40" s="245" t="n"/>
      <c r="M40" s="245" t="n"/>
      <c r="N40" s="245" t="n"/>
      <c r="O40" s="245" t="n"/>
      <c r="P40" s="245" t="n"/>
      <c r="Q40" s="245" t="n"/>
      <c r="R40" s="245" t="n"/>
      <c r="S40" s="245" t="n"/>
      <c r="T40" s="245" t="n"/>
      <c r="U40" s="245" t="n"/>
      <c r="V40" s="245" t="n"/>
      <c r="W40" s="245" t="inlineStr">
        <is>
          <t>ETD : 15-08-2026</t>
        </is>
      </c>
      <c r="X40" s="245" t="n"/>
      <c r="Y40" s="245" t="n"/>
      <c r="Z40" s="245" t="n"/>
    </row>
    <row r="41" ht="17.1" customHeight="1" s="202">
      <c r="A41" s="253" t="n"/>
      <c r="B41" s="253" t="n"/>
      <c r="C41" s="253" t="n"/>
      <c r="D41" s="253" t="n"/>
      <c r="E41" s="253" t="n"/>
      <c r="F41" s="253" t="n"/>
      <c r="G41" s="253" t="n"/>
      <c r="H41" s="254">
        <f>SUM(H39:H40)</f>
        <v/>
      </c>
      <c r="I41" s="253">
        <f>COUNTA(I39:I40)</f>
        <v/>
      </c>
      <c r="J41" s="253" t="n"/>
      <c r="K41" s="253" t="n"/>
      <c r="L41" s="253" t="n"/>
      <c r="M41" s="253" t="n"/>
      <c r="N41" s="253" t="n"/>
      <c r="O41" s="255">
        <f>SUM(O39:O40)</f>
        <v/>
      </c>
      <c r="P41" s="255">
        <f>SUM(P39:P40)</f>
        <v/>
      </c>
      <c r="Q41" s="253" t="n"/>
      <c r="R41" s="256">
        <f>SUM(R39:R40)</f>
        <v/>
      </c>
      <c r="S41" s="253" t="n"/>
      <c r="T41" s="257">
        <f>SUM(T39:T40)</f>
        <v/>
      </c>
      <c r="U41" s="253" t="n"/>
      <c r="V41" s="253" t="n"/>
      <c r="W41" s="253" t="n"/>
      <c r="X41" s="253" t="n"/>
      <c r="Y41" s="253" t="n"/>
      <c r="Z41" s="253" t="n"/>
    </row>
    <row r="42" ht="16.5" customHeight="1" s="202">
      <c r="A42" s="245" t="n">
        <v>11</v>
      </c>
      <c r="B42" s="245" t="inlineStr">
        <is>
          <t>000030ZIK48020260807000598</t>
        </is>
      </c>
      <c r="C42" s="245" t="n">
        <v>498919</v>
      </c>
      <c r="D42" s="245" t="n">
        <v>498871</v>
      </c>
      <c r="E42" s="246" t="n">
        <v>46244</v>
      </c>
      <c r="F42" s="245" t="inlineStr">
        <is>
          <t>ID2608-8078</t>
        </is>
      </c>
      <c r="G42" s="246" t="n">
        <v>46241</v>
      </c>
      <c r="H42" s="247" t="n">
        <v>693</v>
      </c>
      <c r="I42" s="245" t="inlineStr">
        <is>
          <t>FSCU8648880</t>
        </is>
      </c>
      <c r="J42" s="245" t="inlineStr">
        <is>
          <t>40FT</t>
        </is>
      </c>
      <c r="K42" s="245" t="inlineStr">
        <is>
          <t>8IN GREEN TEA MF MATTRESS TW</t>
        </is>
      </c>
      <c r="L42" s="245" t="inlineStr">
        <is>
          <t>SCF-STR-800T</t>
        </is>
      </c>
      <c r="M42" s="248" t="inlineStr">
        <is>
          <t>0993631104</t>
        </is>
      </c>
      <c r="N42" s="245" t="inlineStr">
        <is>
          <t>F.MFM.08T.000.WS</t>
        </is>
      </c>
      <c r="O42" s="249" t="n">
        <v>10526.67</v>
      </c>
      <c r="P42" s="249" t="n">
        <v>9140.67</v>
      </c>
      <c r="Q42" s="250">
        <f>R42/H42</f>
        <v/>
      </c>
      <c r="R42" s="251" t="n">
        <v>42619.5</v>
      </c>
      <c r="S42" s="249" t="n">
        <v>18062</v>
      </c>
      <c r="T42" s="252">
        <f>S42*R42</f>
        <v/>
      </c>
      <c r="U42" s="245" t="inlineStr">
        <is>
          <t>040300/KPPBC</t>
        </is>
      </c>
      <c r="V42" s="245" t="inlineStr">
        <is>
          <t>TG. PRIOK</t>
        </is>
      </c>
      <c r="W42" s="245" t="inlineStr">
        <is>
          <t>CHARLESTON, US</t>
        </is>
      </c>
      <c r="X42" s="245" t="inlineStr">
        <is>
          <t>WALMART, INC.</t>
        </is>
      </c>
      <c r="Y42" s="245" t="inlineStr">
        <is>
          <t>CMDUDJA1516054B</t>
        </is>
      </c>
      <c r="Z42" s="246" t="n">
        <v>46244</v>
      </c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5" t="n"/>
      <c r="I43" s="245" t="n"/>
      <c r="J43" s="245" t="n"/>
      <c r="K43" s="245" t="n"/>
      <c r="L43" s="245" t="n"/>
      <c r="M43" s="245" t="n"/>
      <c r="N43" s="245" t="n"/>
      <c r="O43" s="245" t="n"/>
      <c r="P43" s="245" t="n"/>
      <c r="Q43" s="245" t="n"/>
      <c r="R43" s="245" t="n"/>
      <c r="S43" s="245" t="n"/>
      <c r="T43" s="245" t="n"/>
      <c r="U43" s="245" t="n"/>
      <c r="V43" s="245" t="n"/>
      <c r="W43" s="245" t="inlineStr">
        <is>
          <t>ETD : 15-08-2026</t>
        </is>
      </c>
      <c r="X43" s="245" t="n"/>
      <c r="Y43" s="245" t="n"/>
      <c r="Z43" s="245" t="n"/>
    </row>
    <row r="44" ht="17.1" customHeight="1" s="202">
      <c r="A44" s="253" t="n"/>
      <c r="B44" s="253" t="n"/>
      <c r="C44" s="253" t="n"/>
      <c r="D44" s="253" t="n"/>
      <c r="E44" s="253" t="n"/>
      <c r="F44" s="253" t="n"/>
      <c r="G44" s="253" t="n"/>
      <c r="H44" s="254">
        <f>SUM(H42:H43)</f>
        <v/>
      </c>
      <c r="I44" s="253">
        <f>COUNTA(I42:I43)</f>
        <v/>
      </c>
      <c r="J44" s="253" t="n"/>
      <c r="K44" s="253" t="n"/>
      <c r="L44" s="253" t="n"/>
      <c r="M44" s="253" t="n"/>
      <c r="N44" s="253" t="n"/>
      <c r="O44" s="255">
        <f>SUM(O42:O43)</f>
        <v/>
      </c>
      <c r="P44" s="255">
        <f>SUM(P42:P43)</f>
        <v/>
      </c>
      <c r="Q44" s="253" t="n"/>
      <c r="R44" s="256">
        <f>SUM(R42:R43)</f>
        <v/>
      </c>
      <c r="S44" s="253" t="n"/>
      <c r="T44" s="257">
        <f>SUM(T42:T43)</f>
        <v/>
      </c>
      <c r="U44" s="253" t="n"/>
      <c r="V44" s="253" t="n"/>
      <c r="W44" s="253" t="n"/>
      <c r="X44" s="253" t="n"/>
      <c r="Y44" s="253" t="n"/>
      <c r="Z44" s="253" t="n"/>
    </row>
    <row r="45" ht="16.5" customHeight="1" s="202">
      <c r="A45" s="245" t="n">
        <v>12</v>
      </c>
      <c r="B45" s="245" t="inlineStr">
        <is>
          <t>000030ZIK48020260807000599</t>
        </is>
      </c>
      <c r="C45" s="245" t="n">
        <v>498945</v>
      </c>
      <c r="D45" s="245" t="n">
        <v>498897</v>
      </c>
      <c r="E45" s="246" t="n">
        <v>46244</v>
      </c>
      <c r="F45" s="245" t="inlineStr">
        <is>
          <t>ID2608-8079</t>
        </is>
      </c>
      <c r="G45" s="246" t="n">
        <v>46241</v>
      </c>
      <c r="H45" s="247" t="n">
        <v>520</v>
      </c>
      <c r="I45" s="245" t="inlineStr">
        <is>
          <t>TCKU6042513</t>
        </is>
      </c>
      <c r="J45" s="245" t="inlineStr">
        <is>
          <t>40FT</t>
        </is>
      </c>
      <c r="K45" s="245" t="inlineStr">
        <is>
          <t>8IN GREEN TEA MF MATTRESS FL</t>
        </is>
      </c>
      <c r="L45" s="245" t="inlineStr">
        <is>
          <t>SCF-STR-800F</t>
        </is>
      </c>
      <c r="M45" s="248" t="inlineStr">
        <is>
          <t>0993630748</t>
        </is>
      </c>
      <c r="N45" s="245" t="inlineStr">
        <is>
          <t>F.MFM.08F.000.WS</t>
        </is>
      </c>
      <c r="O45" s="249" t="n">
        <v>10618.4</v>
      </c>
      <c r="P45" s="249" t="n">
        <v>9370.4</v>
      </c>
      <c r="Q45" s="250">
        <f>R45/H45</f>
        <v/>
      </c>
      <c r="R45" s="251" t="n">
        <v>41480.4</v>
      </c>
      <c r="S45" s="249" t="n">
        <v>18062</v>
      </c>
      <c r="T45" s="252">
        <f>S45*R45</f>
        <v/>
      </c>
      <c r="U45" s="245" t="inlineStr">
        <is>
          <t>040300/KPPBC</t>
        </is>
      </c>
      <c r="V45" s="245" t="inlineStr">
        <is>
          <t>TG. PRIOK</t>
        </is>
      </c>
      <c r="W45" s="245" t="inlineStr">
        <is>
          <t>CHARLESTON, US</t>
        </is>
      </c>
      <c r="X45" s="245" t="inlineStr">
        <is>
          <t>WALMART, INC.</t>
        </is>
      </c>
      <c r="Y45" s="245" t="inlineStr">
        <is>
          <t>CMDUDJA1516054C</t>
        </is>
      </c>
      <c r="Z45" s="246" t="n">
        <v>46244</v>
      </c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5" t="n"/>
      <c r="I46" s="245" t="n"/>
      <c r="J46" s="245" t="n"/>
      <c r="K46" s="245" t="n"/>
      <c r="L46" s="245" t="n"/>
      <c r="M46" s="245" t="n"/>
      <c r="N46" s="245" t="n"/>
      <c r="O46" s="245" t="n"/>
      <c r="P46" s="245" t="n"/>
      <c r="Q46" s="245" t="n"/>
      <c r="R46" s="245" t="n"/>
      <c r="S46" s="245" t="n"/>
      <c r="T46" s="245" t="n"/>
      <c r="U46" s="245" t="n"/>
      <c r="V46" s="245" t="n"/>
      <c r="W46" s="245" t="inlineStr">
        <is>
          <t>ETD : 15-08-2026</t>
        </is>
      </c>
      <c r="X46" s="245" t="n"/>
      <c r="Y46" s="245" t="n"/>
      <c r="Z46" s="245" t="n"/>
    </row>
    <row r="47" ht="17.1" customHeight="1" s="202">
      <c r="A47" s="253" t="n"/>
      <c r="B47" s="253" t="n"/>
      <c r="C47" s="253" t="n"/>
      <c r="D47" s="253" t="n"/>
      <c r="E47" s="253" t="n"/>
      <c r="F47" s="253" t="n"/>
      <c r="G47" s="253" t="n"/>
      <c r="H47" s="254">
        <f>SUM(H45:H46)</f>
        <v/>
      </c>
      <c r="I47" s="253">
        <f>COUNTA(I45:I46)</f>
        <v/>
      </c>
      <c r="J47" s="253" t="n"/>
      <c r="K47" s="253" t="n"/>
      <c r="L47" s="253" t="n"/>
      <c r="M47" s="253" t="n"/>
      <c r="N47" s="253" t="n"/>
      <c r="O47" s="255">
        <f>SUM(O45:O46)</f>
        <v/>
      </c>
      <c r="P47" s="255">
        <f>SUM(P45:P46)</f>
        <v/>
      </c>
      <c r="Q47" s="253" t="n"/>
      <c r="R47" s="256">
        <f>SUM(R45:R46)</f>
        <v/>
      </c>
      <c r="S47" s="253" t="n"/>
      <c r="T47" s="257">
        <f>SUM(T45:T46)</f>
        <v/>
      </c>
      <c r="U47" s="253" t="n"/>
      <c r="V47" s="253" t="n"/>
      <c r="W47" s="253" t="n"/>
      <c r="X47" s="253" t="n"/>
      <c r="Y47" s="253" t="n"/>
      <c r="Z47" s="253" t="n"/>
    </row>
    <row r="48" ht="8.1" customHeight="1" s="202"/>
    <row r="49" ht="20.1" customHeight="1" s="202">
      <c r="A49" s="259">
        <f>COUNT(A12:A48)</f>
        <v/>
      </c>
      <c r="B49" s="260" t="n"/>
      <c r="C49" s="260" t="n"/>
      <c r="D49" s="260" t="n"/>
      <c r="E49" s="260" t="n"/>
      <c r="F49" s="260" t="n"/>
      <c r="G49" s="260" t="n"/>
      <c r="H49" s="261">
        <f>SUM(H14,H17,H20,H23,H26,H29,H32,H35,H38,H41,H44,H47)</f>
        <v/>
      </c>
      <c r="I49" s="261">
        <f>SUM(I14,I17,I20,I23,I26,I29,I32,I35,I38,I41,I44,I47)</f>
        <v/>
      </c>
      <c r="J49" s="260" t="n"/>
      <c r="K49" s="260" t="n"/>
      <c r="L49" s="260" t="n"/>
      <c r="M49" s="260" t="n"/>
      <c r="N49" s="260" t="n"/>
      <c r="O49" s="262">
        <f>SUM(O14,O17,O20,O23,O26,O29,O32,O35,O38,O41,O44,O47)</f>
        <v/>
      </c>
      <c r="P49" s="262">
        <f>SUM(P14,P17,P20,P23,P26,P29,P32,P35,P38,P41,P44,P47)</f>
        <v/>
      </c>
      <c r="Q49" s="260" t="n"/>
      <c r="R49" s="263">
        <f>SUM(R14,R17,R20,R23,R26,R29,R32,R35,R38,R41,R44,R47)</f>
        <v/>
      </c>
      <c r="S49" s="260" t="n"/>
      <c r="T49" s="264">
        <f>SUM(T14,T17,T20,T23,T26,T29,T32,T35,T38,T41,T44,T47)</f>
        <v/>
      </c>
      <c r="U49" s="260" t="n"/>
      <c r="V49" s="260" t="n"/>
      <c r="W49" s="260" t="n"/>
      <c r="X49" s="260" t="n"/>
      <c r="Y49" s="260" t="n"/>
      <c r="Z49" s="260" t="n"/>
    </row>
    <row r="50" ht="17.1" customHeight="1" s="202"/>
    <row r="51" ht="17.1" customHeight="1" s="202">
      <c r="B51" s="265" t="inlineStr">
        <is>
          <t>Total Qty Export :</t>
        </is>
      </c>
      <c r="C51" s="266">
        <f>H49-C52</f>
        <v/>
      </c>
    </row>
    <row r="52" ht="17.1" customHeight="1" s="202">
      <c r="B52" s="267" t="inlineStr">
        <is>
          <t>Total Qty Export Sample :</t>
        </is>
      </c>
      <c r="C52" s="268" t="inlineStr"/>
    </row>
    <row r="54" ht="17.1" customHeight="1" s="202">
      <c r="A54" s="269" t="n"/>
      <c r="B54" s="270" t="n"/>
      <c r="C54" s="270" t="n"/>
      <c r="D54" s="271" t="n"/>
      <c r="U54" s="272" t="inlineStr">
        <is>
          <t>Tangerang, 17 August 2026</t>
        </is>
      </c>
    </row>
    <row r="55" ht="17.1" customHeight="1" s="202">
      <c r="A55" s="273" t="inlineStr">
        <is>
          <t>Total Document</t>
        </is>
      </c>
      <c r="C55" s="274">
        <f>A49</f>
        <v/>
      </c>
      <c r="D55" s="275" t="n"/>
      <c r="U55" s="272" t="inlineStr">
        <is>
          <t>Kasubsi Hanggar Pabean dan Cukai</t>
        </is>
      </c>
    </row>
    <row r="56" ht="17.1" customHeight="1" s="202">
      <c r="A56" s="273" t="inlineStr">
        <is>
          <t>Gross Weight</t>
        </is>
      </c>
      <c r="C56" s="276">
        <f>O49</f>
        <v/>
      </c>
      <c r="D56" s="275" t="n"/>
    </row>
    <row r="57" ht="17.1" customHeight="1" s="202">
      <c r="A57" s="273" t="inlineStr">
        <is>
          <t>Nett Weight</t>
        </is>
      </c>
      <c r="C57" s="276">
        <f>P49</f>
        <v/>
      </c>
      <c r="D57" s="275" t="n"/>
    </row>
    <row r="58" ht="17.1" customHeight="1" s="202">
      <c r="A58" s="273" t="inlineStr">
        <is>
          <t>Amount</t>
        </is>
      </c>
      <c r="C58" s="277">
        <f>R49</f>
        <v/>
      </c>
      <c r="D58" s="275" t="n"/>
    </row>
    <row r="59" ht="17.1" customHeight="1" s="202">
      <c r="A59" s="273" t="inlineStr">
        <is>
          <t>Jumlah Container</t>
        </is>
      </c>
      <c r="C59" s="278">
        <f>I49-C60</f>
        <v/>
      </c>
      <c r="D59" s="275" t="n"/>
    </row>
    <row r="60" ht="17.1" customHeight="1" s="202">
      <c r="A60" s="279" t="n"/>
      <c r="C60" s="280" t="inlineStr"/>
      <c r="D60" s="275" t="n"/>
    </row>
    <row r="61" ht="17.1" customHeight="1" s="202">
      <c r="A61" s="279" t="n"/>
      <c r="C61" s="281">
        <f>C59*2+C60</f>
        <v/>
      </c>
      <c r="D61" s="275" t="n"/>
    </row>
    <row r="62" ht="16.2" customHeight="1" s="202">
      <c r="A62" s="282" t="n"/>
      <c r="B62" s="283" t="n"/>
      <c r="C62" s="283" t="n"/>
      <c r="D62" s="284" t="n"/>
    </row>
  </sheetData>
  <autoFilter ref="A10:Z11">
    <filterColumn colId="2" hiddenButton="0" showButton="0"/>
    <filterColumn colId="8" hiddenButton="0" showButton="0"/>
  </autoFilter>
  <mergeCells count="26">
    <mergeCell ref="C58:D58"/>
    <mergeCell ref="E10:E11"/>
    <mergeCell ref="G10:G11"/>
    <mergeCell ref="M10:M11"/>
    <mergeCell ref="Y10:Y11"/>
    <mergeCell ref="Q10:Q11"/>
    <mergeCell ref="C10:D10"/>
    <mergeCell ref="I10:J11"/>
    <mergeCell ref="A6:Z6"/>
    <mergeCell ref="C55:D55"/>
    <mergeCell ref="B10:B11"/>
    <mergeCell ref="A7:Z7"/>
    <mergeCell ref="C56:D56"/>
    <mergeCell ref="L10:L11"/>
    <mergeCell ref="C59:D59"/>
    <mergeCell ref="X10:X11"/>
    <mergeCell ref="N10:N11"/>
    <mergeCell ref="Z10:Z11"/>
    <mergeCell ref="C60:D60"/>
    <mergeCell ref="C61:D61"/>
    <mergeCell ref="A10:A11"/>
    <mergeCell ref="K10:K11"/>
    <mergeCell ref="A8:Z8"/>
    <mergeCell ref="C57:D5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2026-08-17T10:32:04Z</dcterms:modified>
  <cp:lastModifiedBy>Chiswa Dian Hermansyah(ZINUS ZDI)</cp:lastModifiedBy>
</cp:coreProperties>
</file>