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000040ZIK48020260814002720</t>
        </is>
      </c>
      <c r="C12" s="245" t="inlineStr"/>
      <c r="D12" s="245" t="inlineStr"/>
      <c r="E12" s="247" t="n">
        <v>46248</v>
      </c>
      <c r="F12" s="246" t="inlineStr">
        <is>
          <t>08-2026-10006</t>
        </is>
      </c>
      <c r="G12" s="245" t="inlineStr"/>
      <c r="H12" s="248" t="n"/>
      <c r="I12" s="246" t="n"/>
      <c r="J12" s="245" t="n"/>
      <c r="K12" s="246" t="n"/>
      <c r="L12" s="246" t="n"/>
      <c r="M12" s="249" t="n"/>
      <c r="N12" s="245" t="n"/>
      <c r="O12" s="250" t="inlineStr"/>
      <c r="P12" s="250" t="inlineStr"/>
      <c r="Q12" s="251">
        <f>R12/H12</f>
        <v/>
      </c>
      <c r="R12" s="252" t="n"/>
      <c r="S12" s="250" t="n"/>
      <c r="T12" s="253">
        <f>S12*R12</f>
        <v/>
      </c>
      <c r="U12" s="246" t="inlineStr">
        <is>
          <t>KPPBC TMP A TANGERANG F. KOLOM KHUSUS BEA DAN CUKAI</t>
        </is>
      </c>
      <c r="V12" s="246" t="inlineStr"/>
      <c r="W12" s="245" t="inlineStr">
        <is>
          <t>US</t>
        </is>
      </c>
      <c r="X12" s="246" t="inlineStr"/>
      <c r="Y12" s="246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U21" s="270" t="inlineStr">
        <is>
          <t>Tangerang, 17 August 2026</t>
        </is>
      </c>
    </row>
    <row r="22" ht="17.1" customHeight="1" s="202">
      <c r="A22" s="271" t="inlineStr">
        <is>
          <t>Total Document</t>
        </is>
      </c>
      <c r="C22" s="272">
        <f>A16</f>
        <v/>
      </c>
      <c r="U22" s="270" t="inlineStr">
        <is>
          <t>Kasubsi Hanggar Pabean dan Cukai</t>
        </is>
      </c>
    </row>
    <row r="23" ht="17.1" customHeight="1" s="202" thickBot="1">
      <c r="A23" s="271" t="inlineStr">
        <is>
          <t>Gross Weight</t>
        </is>
      </c>
      <c r="C23" s="273">
        <f>O16</f>
        <v/>
      </c>
    </row>
    <row r="24" ht="17.1" customHeight="1" s="202" thickTop="1">
      <c r="A24" s="271" t="inlineStr">
        <is>
          <t>Nett Weight</t>
        </is>
      </c>
      <c r="C24" s="273">
        <f>P16</f>
        <v/>
      </c>
    </row>
    <row r="25" ht="17.1" customHeight="1" s="202">
      <c r="A25" s="271" t="inlineStr">
        <is>
          <t>Amount</t>
        </is>
      </c>
      <c r="C25" s="274">
        <f>R16</f>
        <v/>
      </c>
    </row>
    <row r="26" ht="17.1" customHeight="1" s="202">
      <c r="A26" s="271" t="inlineStr">
        <is>
          <t>Jumlah Container</t>
        </is>
      </c>
      <c r="C26" s="275">
        <f>I16-C27</f>
        <v/>
      </c>
    </row>
    <row r="27" ht="17.1" customHeight="1" s="202">
      <c r="C27" s="276" t="inlineStr"/>
    </row>
    <row r="28" ht="17.1" customHeight="1" s="202">
      <c r="C28" s="277">
        <f>C26*2+C27</f>
        <v/>
      </c>
    </row>
    <row r="29" ht="17.1" customHeight="1" s="202"/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9">
    <mergeCell ref="C30:D30"/>
    <mergeCell ref="C24:D24"/>
    <mergeCell ref="C26:D26"/>
    <mergeCell ref="E10:E11"/>
    <mergeCell ref="G10:G11"/>
    <mergeCell ref="M10:M11"/>
    <mergeCell ref="Y10:Y11"/>
    <mergeCell ref="Q10:Q11"/>
    <mergeCell ref="C29:D29"/>
    <mergeCell ref="C10:D10"/>
    <mergeCell ref="C25:D25"/>
    <mergeCell ref="I10:J11"/>
    <mergeCell ref="A6:Z6"/>
    <mergeCell ref="C22:D22"/>
    <mergeCell ref="B10:B11"/>
    <mergeCell ref="C31:D3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2026-08-17T06:12:23Z</dcterms:modified>
  <cp:lastModifiedBy>Chiswa Dian Hermansyah(ZINUS ZDI)</cp:lastModifiedBy>
</cp:coreProperties>
</file>