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000030ZIK48020260814000632</t>
        </is>
      </c>
      <c r="C12" s="245" t="n">
        <v>412335</v>
      </c>
      <c r="D12" s="245" t="n">
        <v>412091</v>
      </c>
      <c r="E12" s="246" t="n">
        <v>46248</v>
      </c>
      <c r="F12" s="245" t="inlineStr">
        <is>
          <t>SAMPLE-ZIID26-0065-NCV</t>
        </is>
      </c>
      <c r="G12" s="246" t="n">
        <v>46246</v>
      </c>
      <c r="H12" s="247" t="n">
        <v>38</v>
      </c>
      <c r="I12" s="245" t="inlineStr"/>
      <c r="J12" s="245" t="inlineStr"/>
      <c r="K12" s="245" t="inlineStr">
        <is>
          <t>43. No, Ukuran, Jenis Muatan, &amp; Tipe Peti Kemas : - 38 CARTON/ - DATA BARANG EKSPOR</t>
        </is>
      </c>
      <c r="L12" s="245" t="inlineStr"/>
      <c r="M12" s="248" t="inlineStr"/>
      <c r="N12" s="245" t="inlineStr">
        <is>
          <t>-</t>
        </is>
      </c>
      <c r="O12" s="249" t="n">
        <v>973.17</v>
      </c>
      <c r="P12" s="249" t="n">
        <v>915.65</v>
      </c>
      <c r="Q12" s="250">
        <f>R12/H12</f>
        <v/>
      </c>
      <c r="R12" s="251" t="n">
        <v>0</v>
      </c>
      <c r="S12" s="249" t="n">
        <v>17960</v>
      </c>
      <c r="T12" s="252">
        <f>S12*R12</f>
        <v/>
      </c>
      <c r="U12" s="245" t="inlineStr">
        <is>
          <t>050100/KPPBC</t>
        </is>
      </c>
      <c r="V12" s="245" t="inlineStr">
        <is>
          <t>S. HATTA</t>
        </is>
      </c>
      <c r="W12" s="245" t="inlineStr">
        <is>
          <t>GUANGZHOU, US</t>
        </is>
      </c>
      <c r="X12" s="245" t="inlineStr">
        <is>
          <t>SGS-CSTC STANDARDS TECHNICAL SERVICES</t>
        </is>
      </c>
      <c r="Y12" s="245" t="inlineStr">
        <is>
          <t>PLIID2H02332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FOAM MATTRESSES</t>
        </is>
      </c>
      <c r="L13" s="245" t="inlineStr">
        <is>
          <t>ZU-MFMA1FZI-06F</t>
        </is>
      </c>
      <c r="M13" s="248" t="inlineStr"/>
      <c r="N13" s="245" t="inlineStr">
        <is>
          <t>F.MFM.06F.006.AD</t>
        </is>
      </c>
      <c r="O13" s="245" t="n"/>
      <c r="P13" s="245" t="n"/>
      <c r="Q13" s="250">
        <f>R13/H13</f>
        <v/>
      </c>
      <c r="R13" s="251" t="n">
        <v>46.1</v>
      </c>
      <c r="S13" s="249" t="n">
        <v>17960</v>
      </c>
      <c r="T13" s="252">
        <f>S13*R13</f>
        <v/>
      </c>
      <c r="U13" s="245" t="n"/>
      <c r="V13" s="245" t="n"/>
      <c r="W13" s="245" t="inlineStr">
        <is>
          <t>ETD : 21-08-2026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FOAM MATTRESSES</t>
        </is>
      </c>
      <c r="L14" s="245" t="inlineStr">
        <is>
          <t>ZU-MFMA1FZI-06Q</t>
        </is>
      </c>
      <c r="M14" s="248" t="inlineStr"/>
      <c r="N14" s="245" t="inlineStr">
        <is>
          <t>F.MFM.06Q.006.AD</t>
        </is>
      </c>
      <c r="O14" s="245" t="n"/>
      <c r="P14" s="245" t="n"/>
      <c r="Q14" s="250">
        <f>R14/H14</f>
        <v/>
      </c>
      <c r="R14" s="251" t="n">
        <v>54.03</v>
      </c>
      <c r="S14" s="249" t="n">
        <v>17960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FOAM MATTRESSES</t>
        </is>
      </c>
      <c r="L15" s="245" t="inlineStr">
        <is>
          <t>ZU-MFMA1FZI-08F</t>
        </is>
      </c>
      <c r="M15" s="248" t="inlineStr"/>
      <c r="N15" s="245" t="inlineStr">
        <is>
          <t>F.MFM.08F.012.AD</t>
        </is>
      </c>
      <c r="O15" s="245" t="n"/>
      <c r="P15" s="245" t="n"/>
      <c r="Q15" s="250">
        <f>R15/H15</f>
        <v/>
      </c>
      <c r="R15" s="251" t="n">
        <v>62.15</v>
      </c>
      <c r="S15" s="249" t="n">
        <v>17960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FOAM MATTRESSES</t>
        </is>
      </c>
      <c r="L16" s="245" t="inlineStr">
        <is>
          <t>ZU-MFMA1FZI-10F</t>
        </is>
      </c>
      <c r="M16" s="248" t="inlineStr"/>
      <c r="N16" s="245" t="inlineStr">
        <is>
          <t>F.MFM.10F.009.AD</t>
        </is>
      </c>
      <c r="O16" s="245" t="n"/>
      <c r="P16" s="245" t="n"/>
      <c r="Q16" s="250">
        <f>R16/H16</f>
        <v/>
      </c>
      <c r="R16" s="251" t="n">
        <v>74.5</v>
      </c>
      <c r="S16" s="249" t="n">
        <v>17960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FOAM MATTRESSES</t>
        </is>
      </c>
      <c r="L17" s="245" t="inlineStr">
        <is>
          <t>ZU-MFMA1FZI-12F</t>
        </is>
      </c>
      <c r="M17" s="248" t="inlineStr"/>
      <c r="N17" s="245" t="inlineStr">
        <is>
          <t>F.MFM.12F.008.AD</t>
        </is>
      </c>
      <c r="O17" s="245" t="n"/>
      <c r="P17" s="245" t="n"/>
      <c r="Q17" s="250">
        <f>R17/H17</f>
        <v/>
      </c>
      <c r="R17" s="251" t="n">
        <v>82.38</v>
      </c>
      <c r="S17" s="249" t="n">
        <v>17960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</v>
      </c>
      <c r="I18" s="245" t="inlineStr"/>
      <c r="J18" s="245" t="inlineStr"/>
      <c r="K18" s="245" t="inlineStr">
        <is>
          <t>FOAM MATTRESSES</t>
        </is>
      </c>
      <c r="L18" s="245" t="inlineStr">
        <is>
          <t>ZU-MFMA1FZI-12Q</t>
        </is>
      </c>
      <c r="M18" s="248" t="inlineStr"/>
      <c r="N18" s="245" t="inlineStr">
        <is>
          <t>F.MFM.12Q.008.AD</t>
        </is>
      </c>
      <c r="O18" s="245" t="n"/>
      <c r="P18" s="245" t="n"/>
      <c r="Q18" s="250">
        <f>R18/H18</f>
        <v/>
      </c>
      <c r="R18" s="251" t="n">
        <v>95.89</v>
      </c>
      <c r="S18" s="249" t="n">
        <v>17960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</v>
      </c>
      <c r="I19" s="245" t="inlineStr"/>
      <c r="J19" s="245" t="inlineStr"/>
      <c r="K19" s="245" t="inlineStr">
        <is>
          <t>SPRING MATTRESSES</t>
        </is>
      </c>
      <c r="L19" s="245" t="inlineStr">
        <is>
          <t>ZU-MSHO2SZI-12F</t>
        </is>
      </c>
      <c r="M19" s="248" t="inlineStr"/>
      <c r="N19" s="245" t="inlineStr">
        <is>
          <t>F.MSH.12F.000.AD</t>
        </is>
      </c>
      <c r="O19" s="245" t="n"/>
      <c r="P19" s="245" t="n"/>
      <c r="Q19" s="250">
        <f>R19/H19</f>
        <v/>
      </c>
      <c r="R19" s="251" t="n">
        <v>79.01000000000001</v>
      </c>
      <c r="S19" s="249" t="n">
        <v>17960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</v>
      </c>
      <c r="I20" s="245" t="inlineStr"/>
      <c r="J20" s="245" t="inlineStr"/>
      <c r="K20" s="245" t="inlineStr">
        <is>
          <t>SPRING MATTRESSES</t>
        </is>
      </c>
      <c r="L20" s="245" t="inlineStr">
        <is>
          <t>ZU-MSHO2SZI-12K</t>
        </is>
      </c>
      <c r="M20" s="248" t="inlineStr"/>
      <c r="N20" s="245" t="inlineStr">
        <is>
          <t>F.MSH.12K.000.AD</t>
        </is>
      </c>
      <c r="O20" s="245" t="n"/>
      <c r="P20" s="245" t="n"/>
      <c r="Q20" s="250">
        <f>R20/H20</f>
        <v/>
      </c>
      <c r="R20" s="251" t="n">
        <v>110.98</v>
      </c>
      <c r="S20" s="249" t="n">
        <v>17960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SPRING MATTRESSES</t>
        </is>
      </c>
      <c r="L21" s="245" t="inlineStr">
        <is>
          <t>ZU-MSHO2SZI-12Q</t>
        </is>
      </c>
      <c r="M21" s="248" t="inlineStr"/>
      <c r="N21" s="245" t="inlineStr">
        <is>
          <t>F.MSH.12Q.000.AD</t>
        </is>
      </c>
      <c r="O21" s="245" t="n"/>
      <c r="P21" s="245" t="n"/>
      <c r="Q21" s="250">
        <f>R21/H21</f>
        <v/>
      </c>
      <c r="R21" s="251" t="n">
        <v>90.88</v>
      </c>
      <c r="S21" s="249" t="n">
        <v>17960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</v>
      </c>
      <c r="I22" s="245" t="inlineStr"/>
      <c r="J22" s="245" t="inlineStr"/>
      <c r="K22" s="245" t="inlineStr">
        <is>
          <t>SPRING MATTRESSES</t>
        </is>
      </c>
      <c r="L22" s="245" t="inlineStr">
        <is>
          <t>ZU-MSHO2SZI-13K</t>
        </is>
      </c>
      <c r="M22" s="248" t="inlineStr"/>
      <c r="N22" s="245" t="inlineStr">
        <is>
          <t>F.MSH.13K.000.AD</t>
        </is>
      </c>
      <c r="O22" s="245" t="n"/>
      <c r="P22" s="245" t="n"/>
      <c r="Q22" s="250">
        <f>R22/H22</f>
        <v/>
      </c>
      <c r="R22" s="251" t="n">
        <v>118.27</v>
      </c>
      <c r="S22" s="249" t="n">
        <v>17960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SPRING MATTRESSES</t>
        </is>
      </c>
      <c r="L23" s="245" t="inlineStr">
        <is>
          <t>ZU-MSHO2SZI-13Q</t>
        </is>
      </c>
      <c r="M23" s="248" t="inlineStr"/>
      <c r="N23" s="245" t="inlineStr">
        <is>
          <t>F.MSH.13Q.000.AD</t>
        </is>
      </c>
      <c r="O23" s="245" t="n"/>
      <c r="P23" s="245" t="n"/>
      <c r="Q23" s="250">
        <f>R23/H23</f>
        <v/>
      </c>
      <c r="R23" s="251" t="n">
        <v>96.76000000000001</v>
      </c>
      <c r="S23" s="249" t="n">
        <v>17960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FOAM MATTRESSES</t>
        </is>
      </c>
      <c r="L24" s="245" t="inlineStr">
        <is>
          <t>ZU-MFGN1YZI-08S</t>
        </is>
      </c>
      <c r="M24" s="248" t="inlineStr"/>
      <c r="N24" s="245" t="inlineStr">
        <is>
          <t>F.MFG.08S.003.AD</t>
        </is>
      </c>
      <c r="O24" s="245" t="n"/>
      <c r="P24" s="245" t="n"/>
      <c r="Q24" s="250">
        <f>R24/H24</f>
        <v/>
      </c>
      <c r="R24" s="251" t="n">
        <v>66.15000000000001</v>
      </c>
      <c r="S24" s="249" t="n">
        <v>17960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FOAM MATTRESSES</t>
        </is>
      </c>
      <c r="L25" s="245" t="inlineStr">
        <is>
          <t>*SAMPLE*</t>
        </is>
      </c>
      <c r="M25" s="248" t="inlineStr"/>
      <c r="N25" s="245" t="inlineStr">
        <is>
          <t>F.MFM.SAMP</t>
        </is>
      </c>
      <c r="O25" s="245" t="n"/>
      <c r="P25" s="245" t="n"/>
      <c r="Q25" s="250">
        <f>R25/H25</f>
        <v/>
      </c>
      <c r="R25" s="251" t="n">
        <v>34.98</v>
      </c>
      <c r="S25" s="249" t="n">
        <v>17960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FOAM MATTRESSES</t>
        </is>
      </c>
      <c r="L26" s="245" t="inlineStr">
        <is>
          <t>*SAMPLE*</t>
        </is>
      </c>
      <c r="M26" s="248" t="inlineStr"/>
      <c r="N26" s="245" t="inlineStr">
        <is>
          <t>F.MFM.SAMP</t>
        </is>
      </c>
      <c r="O26" s="245" t="n"/>
      <c r="P26" s="245" t="n"/>
      <c r="Q26" s="250">
        <f>R26/H26</f>
        <v/>
      </c>
      <c r="R26" s="251" t="n">
        <v>72.95999999999999</v>
      </c>
      <c r="S26" s="249" t="n">
        <v>17960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</v>
      </c>
      <c r="I27" s="245" t="inlineStr"/>
      <c r="J27" s="245" t="inlineStr"/>
      <c r="K27" s="245" t="inlineStr">
        <is>
          <t>FOAM MATTRESSES</t>
        </is>
      </c>
      <c r="L27" s="245" t="inlineStr">
        <is>
          <t>*SAMPLE*</t>
        </is>
      </c>
      <c r="M27" s="248" t="inlineStr"/>
      <c r="N27" s="245" t="inlineStr">
        <is>
          <t>F.MFM.SAMP</t>
        </is>
      </c>
      <c r="O27" s="245" t="n"/>
      <c r="P27" s="245" t="n"/>
      <c r="Q27" s="250">
        <f>R27/H27</f>
        <v/>
      </c>
      <c r="R27" s="251" t="n">
        <v>46.55</v>
      </c>
      <c r="S27" s="249" t="n">
        <v>17960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1</v>
      </c>
      <c r="I28" s="245" t="inlineStr"/>
      <c r="J28" s="245" t="inlineStr"/>
      <c r="K28" s="245" t="inlineStr">
        <is>
          <t>FOAM MATTRESSES</t>
        </is>
      </c>
      <c r="L28" s="245" t="inlineStr">
        <is>
          <t>*SAMPLE*</t>
        </is>
      </c>
      <c r="M28" s="248" t="inlineStr"/>
      <c r="N28" s="245" t="inlineStr">
        <is>
          <t>F.MFM.SAMP</t>
        </is>
      </c>
      <c r="O28" s="245" t="n"/>
      <c r="P28" s="245" t="n"/>
      <c r="Q28" s="250">
        <f>R28/H28</f>
        <v/>
      </c>
      <c r="R28" s="251" t="n">
        <v>87.81999999999999</v>
      </c>
      <c r="S28" s="249" t="n">
        <v>17960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</v>
      </c>
      <c r="I29" s="245" t="inlineStr"/>
      <c r="J29" s="245" t="inlineStr"/>
      <c r="K29" s="245" t="inlineStr">
        <is>
          <t>FOAM MATTRESSES</t>
        </is>
      </c>
      <c r="L29" s="245" t="inlineStr">
        <is>
          <t>*SAMPLE*</t>
        </is>
      </c>
      <c r="M29" s="248" t="inlineStr"/>
      <c r="N29" s="245" t="inlineStr">
        <is>
          <t>F.MFM.SAMP</t>
        </is>
      </c>
      <c r="O29" s="245" t="n"/>
      <c r="P29" s="245" t="n"/>
      <c r="Q29" s="250">
        <f>R29/H29</f>
        <v/>
      </c>
      <c r="R29" s="251" t="n">
        <v>56.58</v>
      </c>
      <c r="S29" s="249" t="n">
        <v>17960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</v>
      </c>
      <c r="I30" s="245" t="inlineStr"/>
      <c r="J30" s="245" t="inlineStr"/>
      <c r="K30" s="245" t="inlineStr">
        <is>
          <t>FOAM MATTRESSES</t>
        </is>
      </c>
      <c r="L30" s="245" t="inlineStr">
        <is>
          <t>*SAMPLE*</t>
        </is>
      </c>
      <c r="M30" s="248" t="inlineStr"/>
      <c r="N30" s="245" t="inlineStr">
        <is>
          <t>F.MFM.SAMP</t>
        </is>
      </c>
      <c r="O30" s="245" t="n"/>
      <c r="P30" s="245" t="n"/>
      <c r="Q30" s="250">
        <f>R30/H30</f>
        <v/>
      </c>
      <c r="R30" s="251" t="n">
        <v>117.32</v>
      </c>
      <c r="S30" s="249" t="n">
        <v>17960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</v>
      </c>
      <c r="I31" s="245" t="inlineStr"/>
      <c r="J31" s="245" t="inlineStr"/>
      <c r="K31" s="245" t="inlineStr">
        <is>
          <t>FOAM MATTRESSES</t>
        </is>
      </c>
      <c r="L31" s="245" t="inlineStr">
        <is>
          <t>*SAMPLE*</t>
        </is>
      </c>
      <c r="M31" s="248" t="inlineStr"/>
      <c r="N31" s="245" t="inlineStr">
        <is>
          <t>F.MFM.SAMP</t>
        </is>
      </c>
      <c r="O31" s="245" t="n"/>
      <c r="P31" s="245" t="n"/>
      <c r="Q31" s="250">
        <f>R31/H31</f>
        <v/>
      </c>
      <c r="R31" s="251" t="n">
        <v>61.99</v>
      </c>
      <c r="S31" s="249" t="n">
        <v>17960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FOAM MATTRESSES</t>
        </is>
      </c>
      <c r="L32" s="245" t="inlineStr">
        <is>
          <t>GFM-10F</t>
        </is>
      </c>
      <c r="M32" s="248" t="inlineStr"/>
      <c r="N32" s="245" t="inlineStr">
        <is>
          <t>F.MFG.10F.000.BD</t>
        </is>
      </c>
      <c r="O32" s="245" t="n"/>
      <c r="P32" s="245" t="n"/>
      <c r="Q32" s="250">
        <f>R32/H32</f>
        <v/>
      </c>
      <c r="R32" s="251" t="n">
        <v>63.53</v>
      </c>
      <c r="S32" s="249" t="n">
        <v>17960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FOAM MATTRESSES</t>
        </is>
      </c>
      <c r="L33" s="245" t="inlineStr">
        <is>
          <t>GFM-10K</t>
        </is>
      </c>
      <c r="M33" s="248" t="inlineStr"/>
      <c r="N33" s="245" t="inlineStr">
        <is>
          <t>F.MFG.10K.000.BD</t>
        </is>
      </c>
      <c r="O33" s="245" t="n"/>
      <c r="P33" s="245" t="n"/>
      <c r="Q33" s="250">
        <f>R33/H33</f>
        <v/>
      </c>
      <c r="R33" s="251" t="n">
        <v>92.59</v>
      </c>
      <c r="S33" s="249" t="n">
        <v>17960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1</v>
      </c>
      <c r="I34" s="245" t="inlineStr"/>
      <c r="J34" s="245" t="inlineStr"/>
      <c r="K34" s="245" t="inlineStr">
        <is>
          <t>FOAM MATTRESSES</t>
        </is>
      </c>
      <c r="L34" s="245" t="inlineStr">
        <is>
          <t>GFM-10Q</t>
        </is>
      </c>
      <c r="M34" s="248" t="inlineStr"/>
      <c r="N34" s="245" t="inlineStr">
        <is>
          <t>F.MFG.10Q.000.BD</t>
        </is>
      </c>
      <c r="O34" s="245" t="n"/>
      <c r="P34" s="245" t="n"/>
      <c r="Q34" s="250">
        <f>R34/H34</f>
        <v/>
      </c>
      <c r="R34" s="251" t="n">
        <v>75.42</v>
      </c>
      <c r="S34" s="249" t="n">
        <v>17960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FOAM MATTRESSES</t>
        </is>
      </c>
      <c r="L35" s="245" t="inlineStr">
        <is>
          <t>GFM-10T</t>
        </is>
      </c>
      <c r="M35" s="248" t="inlineStr"/>
      <c r="N35" s="245" t="inlineStr">
        <is>
          <t>F.MFG.10T.000.BD</t>
        </is>
      </c>
      <c r="O35" s="245" t="n"/>
      <c r="P35" s="245" t="n"/>
      <c r="Q35" s="250">
        <f>R35/H35</f>
        <v/>
      </c>
      <c r="R35" s="251" t="n">
        <v>48.09</v>
      </c>
      <c r="S35" s="249" t="n">
        <v>17960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</v>
      </c>
      <c r="I36" s="245" t="inlineStr"/>
      <c r="J36" s="245" t="inlineStr"/>
      <c r="K36" s="245" t="inlineStr">
        <is>
          <t>FOAM MATTRESSES</t>
        </is>
      </c>
      <c r="L36" s="245" t="inlineStr">
        <is>
          <t>GFM-12F</t>
        </is>
      </c>
      <c r="M36" s="248" t="inlineStr"/>
      <c r="N36" s="245" t="inlineStr">
        <is>
          <t>F.MFG.12F.000.BD</t>
        </is>
      </c>
      <c r="O36" s="245" t="n"/>
      <c r="P36" s="245" t="n"/>
      <c r="Q36" s="250">
        <f>R36/H36</f>
        <v/>
      </c>
      <c r="R36" s="251" t="n">
        <v>73.37</v>
      </c>
      <c r="S36" s="249" t="n">
        <v>17960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</v>
      </c>
      <c r="I37" s="245" t="inlineStr"/>
      <c r="J37" s="245" t="inlineStr"/>
      <c r="K37" s="245" t="inlineStr">
        <is>
          <t>FOAM MATTRESSES</t>
        </is>
      </c>
      <c r="L37" s="245" t="inlineStr">
        <is>
          <t>GFM-12K</t>
        </is>
      </c>
      <c r="M37" s="248" t="inlineStr"/>
      <c r="N37" s="245" t="inlineStr">
        <is>
          <t>F.MFG.12K.000.BD</t>
        </is>
      </c>
      <c r="O37" s="245" t="n"/>
      <c r="P37" s="245" t="n"/>
      <c r="Q37" s="250">
        <f>R37/H37</f>
        <v/>
      </c>
      <c r="R37" s="251" t="n">
        <v>105.47</v>
      </c>
      <c r="S37" s="249" t="n">
        <v>17960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/>
      <c r="J38" s="245" t="inlineStr"/>
      <c r="K38" s="245" t="inlineStr">
        <is>
          <t>FOAM MATTRESSES</t>
        </is>
      </c>
      <c r="L38" s="245" t="inlineStr">
        <is>
          <t>GFM-12Q</t>
        </is>
      </c>
      <c r="M38" s="248" t="inlineStr"/>
      <c r="N38" s="245" t="inlineStr">
        <is>
          <t>F.MFG.12Q.000.BD</t>
        </is>
      </c>
      <c r="O38" s="245" t="n"/>
      <c r="P38" s="245" t="n"/>
      <c r="Q38" s="250">
        <f>R38/H38</f>
        <v/>
      </c>
      <c r="R38" s="251" t="n">
        <v>85.84999999999999</v>
      </c>
      <c r="S38" s="249" t="n">
        <v>17960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/>
      <c r="J39" s="245" t="inlineStr"/>
      <c r="K39" s="245" t="inlineStr">
        <is>
          <t>FOAM MATTRESSES</t>
        </is>
      </c>
      <c r="L39" s="245" t="inlineStr">
        <is>
          <t>GFM-12T</t>
        </is>
      </c>
      <c r="M39" s="248" t="inlineStr"/>
      <c r="N39" s="245" t="inlineStr">
        <is>
          <t>F.MFG.12T.000.BD</t>
        </is>
      </c>
      <c r="O39" s="245" t="n"/>
      <c r="P39" s="245" t="n"/>
      <c r="Q39" s="250">
        <f>R39/H39</f>
        <v/>
      </c>
      <c r="R39" s="251" t="n">
        <v>54.81</v>
      </c>
      <c r="S39" s="249" t="n">
        <v>17960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</v>
      </c>
      <c r="I40" s="245" t="inlineStr"/>
      <c r="J40" s="245" t="inlineStr"/>
      <c r="K40" s="245" t="inlineStr">
        <is>
          <t>FOAM MATTRESSES</t>
        </is>
      </c>
      <c r="L40" s="245" t="inlineStr">
        <is>
          <t>GFM-5T</t>
        </is>
      </c>
      <c r="M40" s="248" t="inlineStr"/>
      <c r="N40" s="245" t="inlineStr">
        <is>
          <t>F.MFG.05T.000.BD</t>
        </is>
      </c>
      <c r="O40" s="245" t="n"/>
      <c r="P40" s="245" t="n"/>
      <c r="Q40" s="250">
        <f>R40/H40</f>
        <v/>
      </c>
      <c r="R40" s="251" t="n">
        <v>31.76</v>
      </c>
      <c r="S40" s="249" t="n">
        <v>17960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</v>
      </c>
      <c r="I41" s="245" t="inlineStr"/>
      <c r="J41" s="245" t="inlineStr"/>
      <c r="K41" s="245" t="inlineStr">
        <is>
          <t>FOAM MATTRESSES</t>
        </is>
      </c>
      <c r="L41" s="245" t="inlineStr">
        <is>
          <t>GFM-6F</t>
        </is>
      </c>
      <c r="M41" s="248" t="inlineStr"/>
      <c r="N41" s="245" t="inlineStr">
        <is>
          <t>F.MFG.06F.000.BD</t>
        </is>
      </c>
      <c r="O41" s="245" t="n"/>
      <c r="P41" s="245" t="n"/>
      <c r="Q41" s="250">
        <f>R41/H41</f>
        <v/>
      </c>
      <c r="R41" s="251" t="n">
        <v>45.03</v>
      </c>
      <c r="S41" s="249" t="n">
        <v>17960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/>
      <c r="J42" s="245" t="inlineStr"/>
      <c r="K42" s="245" t="inlineStr">
        <is>
          <t>FOAM MATTRESSES</t>
        </is>
      </c>
      <c r="L42" s="245" t="inlineStr">
        <is>
          <t>GFM-6Q</t>
        </is>
      </c>
      <c r="M42" s="248" t="inlineStr"/>
      <c r="N42" s="245" t="inlineStr">
        <is>
          <t>F.MFG.06Q.000.BD</t>
        </is>
      </c>
      <c r="O42" s="245" t="n"/>
      <c r="P42" s="245" t="n"/>
      <c r="Q42" s="250">
        <f>R42/H42</f>
        <v/>
      </c>
      <c r="R42" s="251" t="n">
        <v>53.22</v>
      </c>
      <c r="S42" s="249" t="n">
        <v>17960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MATTRESSES</t>
        </is>
      </c>
      <c r="L43" s="245" t="inlineStr">
        <is>
          <t>GFM-6T</t>
        </is>
      </c>
      <c r="M43" s="248" t="inlineStr"/>
      <c r="N43" s="245" t="inlineStr">
        <is>
          <t>F.MFG.06T.000.BD</t>
        </is>
      </c>
      <c r="O43" s="245" t="n"/>
      <c r="P43" s="245" t="n"/>
      <c r="Q43" s="250">
        <f>R43/H43</f>
        <v/>
      </c>
      <c r="R43" s="251" t="n">
        <v>33.78</v>
      </c>
      <c r="S43" s="249" t="n">
        <v>17960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MATTRESSES</t>
        </is>
      </c>
      <c r="L44" s="245" t="inlineStr">
        <is>
          <t>GFM-8F</t>
        </is>
      </c>
      <c r="M44" s="248" t="inlineStr"/>
      <c r="N44" s="245" t="inlineStr">
        <is>
          <t>F.MFG.08F.000.BD</t>
        </is>
      </c>
      <c r="O44" s="245" t="n"/>
      <c r="P44" s="245" t="n"/>
      <c r="Q44" s="250">
        <f>R44/H44</f>
        <v/>
      </c>
      <c r="R44" s="251" t="n">
        <v>54.9</v>
      </c>
      <c r="S44" s="249" t="n">
        <v>17960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1</v>
      </c>
      <c r="I45" s="245" t="inlineStr"/>
      <c r="J45" s="245" t="inlineStr"/>
      <c r="K45" s="245" t="inlineStr">
        <is>
          <t>FOAM MATTRESSES</t>
        </is>
      </c>
      <c r="L45" s="245" t="inlineStr">
        <is>
          <t>GFM-8Q</t>
        </is>
      </c>
      <c r="M45" s="248" t="inlineStr"/>
      <c r="N45" s="245" t="inlineStr">
        <is>
          <t>F.MFG.08Q.000.BD</t>
        </is>
      </c>
      <c r="O45" s="245" t="n"/>
      <c r="P45" s="245" t="n"/>
      <c r="Q45" s="250">
        <f>R45/H45</f>
        <v/>
      </c>
      <c r="R45" s="251" t="n">
        <v>64.81</v>
      </c>
      <c r="S45" s="249" t="n">
        <v>17960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1</v>
      </c>
      <c r="I46" s="245" t="inlineStr"/>
      <c r="J46" s="245" t="inlineStr"/>
      <c r="K46" s="245" t="inlineStr">
        <is>
          <t>FOAM MATTRESSES</t>
        </is>
      </c>
      <c r="L46" s="245" t="inlineStr">
        <is>
          <t>GFM-8T</t>
        </is>
      </c>
      <c r="M46" s="248" t="inlineStr"/>
      <c r="N46" s="245" t="inlineStr">
        <is>
          <t>F.MFG.08T.000.BD</t>
        </is>
      </c>
      <c r="O46" s="245" t="n"/>
      <c r="P46" s="245" t="n"/>
      <c r="Q46" s="250">
        <f>R46/H46</f>
        <v/>
      </c>
      <c r="R46" s="251" t="n">
        <v>40.7</v>
      </c>
      <c r="S46" s="249" t="n">
        <v>17960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4</v>
      </c>
      <c r="I47" s="245" t="inlineStr"/>
      <c r="J47" s="245" t="inlineStr"/>
      <c r="K47" s="245" t="inlineStr">
        <is>
          <t>TOPPERS</t>
        </is>
      </c>
      <c r="L47" s="245" t="inlineStr">
        <is>
          <t>MF-TGTNM4ZI-04T</t>
        </is>
      </c>
      <c r="M47" s="248" t="inlineStr"/>
      <c r="N47" s="245" t="inlineStr">
        <is>
          <t>F.TGT.04T.002.ZU</t>
        </is>
      </c>
      <c r="O47" s="245" t="n"/>
      <c r="P47" s="245" t="n"/>
      <c r="Q47" s="250">
        <f>R47/H47</f>
        <v/>
      </c>
      <c r="R47" s="251" t="n">
        <v>134.24</v>
      </c>
      <c r="S47" s="249" t="n">
        <v>17960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7.1" customHeight="1" s="202">
      <c r="A48" s="254" t="n"/>
      <c r="B48" s="254" t="n"/>
      <c r="C48" s="254" t="n"/>
      <c r="D48" s="254" t="n"/>
      <c r="E48" s="254" t="n"/>
      <c r="F48" s="254" t="n"/>
      <c r="G48" s="254" t="n"/>
      <c r="H48" s="255">
        <f>SUM(H12:H47)</f>
        <v/>
      </c>
      <c r="I48" s="254">
        <f>COUNTA(I12:I47)</f>
        <v/>
      </c>
      <c r="J48" s="254" t="n"/>
      <c r="K48" s="254" t="n"/>
      <c r="L48" s="254" t="n"/>
      <c r="M48" s="254" t="n"/>
      <c r="N48" s="254" t="n"/>
      <c r="O48" s="256">
        <f>SUM(O12:O47)</f>
        <v/>
      </c>
      <c r="P48" s="256">
        <f>SUM(P12:P47)</f>
        <v/>
      </c>
      <c r="Q48" s="254" t="n"/>
      <c r="R48" s="257">
        <f>SUM(R12:R47)</f>
        <v/>
      </c>
      <c r="S48" s="254" t="n"/>
      <c r="T48" s="258">
        <f>SUM(T12:T47)</f>
        <v/>
      </c>
      <c r="U48" s="254" t="n"/>
      <c r="V48" s="254" t="n"/>
      <c r="W48" s="254" t="n"/>
      <c r="X48" s="254" t="n"/>
      <c r="Y48" s="254" t="n"/>
      <c r="Z48" s="254" t="n"/>
    </row>
    <row r="49" ht="8.1" customHeight="1" s="202"/>
    <row r="50" ht="20.1" customHeight="1" s="202">
      <c r="A50" s="259">
        <f>COUNT(A12:A49)</f>
        <v/>
      </c>
      <c r="B50" s="260" t="n"/>
      <c r="C50" s="260" t="n"/>
      <c r="D50" s="260" t="n"/>
      <c r="E50" s="260" t="n"/>
      <c r="F50" s="260" t="n"/>
      <c r="G50" s="260" t="n"/>
      <c r="H50" s="261">
        <f>H48</f>
        <v/>
      </c>
      <c r="I50" s="261">
        <f>I48</f>
        <v/>
      </c>
      <c r="J50" s="260" t="n"/>
      <c r="K50" s="260" t="n"/>
      <c r="L50" s="260" t="n"/>
      <c r="M50" s="260" t="n"/>
      <c r="N50" s="260" t="n"/>
      <c r="O50" s="262">
        <f>O48</f>
        <v/>
      </c>
      <c r="P50" s="262">
        <f>P48</f>
        <v/>
      </c>
      <c r="Q50" s="260" t="n"/>
      <c r="R50" s="263">
        <f>R48</f>
        <v/>
      </c>
      <c r="S50" s="260" t="n"/>
      <c r="T50" s="264">
        <f>T48</f>
        <v/>
      </c>
      <c r="U50" s="260" t="n"/>
      <c r="V50" s="260" t="n"/>
      <c r="W50" s="260" t="n"/>
      <c r="X50" s="260" t="n"/>
      <c r="Y50" s="260" t="n"/>
      <c r="Z50" s="260" t="n"/>
    </row>
    <row r="51" ht="17.1" customHeight="1" s="202"/>
    <row r="52" ht="17.1" customHeight="1" s="202">
      <c r="B52" s="265" t="inlineStr">
        <is>
          <t>Total Qty Export :</t>
        </is>
      </c>
      <c r="C52" s="266">
        <f>H50-C53</f>
        <v/>
      </c>
    </row>
    <row r="53" ht="17.1" customHeight="1" s="202">
      <c r="B53" s="267" t="inlineStr">
        <is>
          <t>Total Qty Export Sample :</t>
        </is>
      </c>
      <c r="C53" s="268" t="inlineStr"/>
    </row>
    <row r="55" ht="17.1" customHeight="1" s="202">
      <c r="A55" s="269" t="n"/>
      <c r="B55" s="270" t="n"/>
      <c r="C55" s="270" t="n"/>
      <c r="D55" s="271" t="n"/>
      <c r="U55" s="272" t="inlineStr">
        <is>
          <t>Tangerang, 18 August 2026</t>
        </is>
      </c>
    </row>
    <row r="56" ht="17.1" customHeight="1" s="202">
      <c r="A56" s="273" t="inlineStr">
        <is>
          <t>Total Document</t>
        </is>
      </c>
      <c r="C56" s="274">
        <f>A50</f>
        <v/>
      </c>
      <c r="D56" s="275" t="n"/>
      <c r="U56" s="272" t="inlineStr">
        <is>
          <t>Kasubsi Hanggar Pabean dan Cukai</t>
        </is>
      </c>
    </row>
    <row r="57" ht="17.1" customHeight="1" s="202">
      <c r="A57" s="273" t="inlineStr">
        <is>
          <t>Gross Weight</t>
        </is>
      </c>
      <c r="C57" s="276">
        <f>O50</f>
        <v/>
      </c>
      <c r="D57" s="275" t="n"/>
    </row>
    <row r="58" ht="17.1" customHeight="1" s="202">
      <c r="A58" s="273" t="inlineStr">
        <is>
          <t>Nett Weight</t>
        </is>
      </c>
      <c r="C58" s="276">
        <f>P50</f>
        <v/>
      </c>
      <c r="D58" s="275" t="n"/>
    </row>
    <row r="59" ht="17.1" customHeight="1" s="202">
      <c r="A59" s="273" t="inlineStr">
        <is>
          <t>Amount</t>
        </is>
      </c>
      <c r="C59" s="277">
        <f>R50</f>
        <v/>
      </c>
      <c r="D59" s="275" t="n"/>
    </row>
    <row r="60" ht="17.1" customHeight="1" s="202">
      <c r="A60" s="273" t="inlineStr">
        <is>
          <t>Jumlah Container</t>
        </is>
      </c>
      <c r="C60" s="278">
        <f>I50-C61</f>
        <v/>
      </c>
      <c r="D60" s="275" t="n"/>
    </row>
    <row r="61" ht="17.1" customHeight="1" s="202">
      <c r="A61" s="279" t="n"/>
      <c r="C61" s="280" t="inlineStr"/>
      <c r="D61" s="275" t="n"/>
    </row>
    <row r="62" ht="17.1" customHeight="1" s="202">
      <c r="A62" s="279" t="n"/>
      <c r="C62" s="281">
        <f>C60*2+C61</f>
        <v/>
      </c>
      <c r="D62" s="275" t="n"/>
    </row>
    <row r="63" ht="16.2" customHeight="1" s="202">
      <c r="A63" s="282" t="n"/>
      <c r="B63" s="283" t="n"/>
      <c r="C63" s="283" t="n"/>
      <c r="D63" s="284" t="n"/>
    </row>
  </sheetData>
  <autoFilter ref="A10:Z11">
    <filterColumn colId="2" hiddenButton="0" showButton="0"/>
    <filterColumn colId="8" hiddenButton="0" showButton="0"/>
  </autoFilter>
  <mergeCells count="26">
    <mergeCell ref="C62:D62"/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2026-08-17T17:21:22Z</dcterms:modified>
  <cp:lastModifiedBy>Chiswa Dian Hermansyah(ZINUS ZDI)</cp:lastModifiedBy>
</cp:coreProperties>
</file>