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000030ZIK48020260721000496</t>
        </is>
      </c>
      <c r="C12" s="81" t="n">
        <v>453367</v>
      </c>
      <c r="D12" s="81" t="n">
        <v>453314</v>
      </c>
      <c r="E12" s="258" t="n">
        <v>46225</v>
      </c>
      <c r="F12" s="82" t="inlineStr">
        <is>
          <t>ID2607-7863</t>
        </is>
      </c>
      <c r="G12" s="258" t="n">
        <v>46223</v>
      </c>
      <c r="H12" s="83" t="n">
        <v>850</v>
      </c>
      <c r="I12" s="42" t="inlineStr">
        <is>
          <t>EITU1290269</t>
        </is>
      </c>
      <c r="J12" s="42" t="inlineStr">
        <is>
          <t>40FT</t>
        </is>
      </c>
      <c r="K12" s="44" t="inlineStr">
        <is>
          <t>6IN GREEN TEA MF MATTRESS FL</t>
        </is>
      </c>
      <c r="L12" s="84" t="inlineStr">
        <is>
          <t>EB-FMS-0600F-IN</t>
        </is>
      </c>
      <c r="M12" s="85" t="inlineStr">
        <is>
          <t>37CB9HFP</t>
        </is>
      </c>
      <c r="N12" s="44" t="inlineStr">
        <is>
          <t>F.MFM.06F.002.BD</t>
        </is>
      </c>
      <c r="O12" s="86" t="n">
        <v>12962.5</v>
      </c>
      <c r="P12" s="86" t="n">
        <v>11730</v>
      </c>
      <c r="Q12" s="259">
        <f>IFERROR(R12/H12, 0)</f>
        <v/>
      </c>
      <c r="R12" s="260" t="n">
        <v>40018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EGLV080600443158</t>
        </is>
      </c>
      <c r="Z12" s="258" t="n">
        <v>46225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 t="n">
        <v>2</v>
      </c>
      <c r="B15" s="80" t="inlineStr">
        <is>
          <t>000030ZIK48020260721000497</t>
        </is>
      </c>
      <c r="C15" s="81" t="n">
        <v>455172</v>
      </c>
      <c r="D15" s="81" t="n">
        <v>455111</v>
      </c>
      <c r="E15" s="258" t="n">
        <v>46226</v>
      </c>
      <c r="F15" s="82" t="inlineStr">
        <is>
          <t>ID2607-7868</t>
        </is>
      </c>
      <c r="G15" s="258" t="n">
        <v>46224</v>
      </c>
      <c r="H15" s="83" t="n">
        <v>352</v>
      </c>
      <c r="I15" s="42" t="inlineStr">
        <is>
          <t>EGHU9312682</t>
        </is>
      </c>
      <c r="J15" s="42" t="inlineStr">
        <is>
          <t>40FT</t>
        </is>
      </c>
      <c r="K15" s="44" t="inlineStr">
        <is>
          <t>14IN GREEN TEA FOAM MATTRESS Q</t>
        </is>
      </c>
      <c r="L15" s="84" t="inlineStr">
        <is>
          <t>ZU-MFMA1ZZI-14Q</t>
        </is>
      </c>
      <c r="M15" s="85" t="inlineStr">
        <is>
          <t>6VRK1DRL</t>
        </is>
      </c>
      <c r="N15" s="44" t="inlineStr">
        <is>
          <t>F.MFM.14Q.000.AD</t>
        </is>
      </c>
      <c r="O15" s="86" t="n">
        <v>24598.94</v>
      </c>
      <c r="P15" s="86" t="n">
        <v>22252.54</v>
      </c>
      <c r="Q15" s="259">
        <f>IFERROR(R15/H15, 0)</f>
        <v/>
      </c>
      <c r="R15" s="260" t="n">
        <v>36097.6</v>
      </c>
      <c r="S15" s="261" t="n">
        <v>18056</v>
      </c>
      <c r="T15" s="261">
        <f>IFERROR(S15*R15, 0)</f>
        <v/>
      </c>
      <c r="U15" s="48" t="inlineStr">
        <is>
          <t>040300/KPPBC</t>
        </is>
      </c>
      <c r="V15" s="49" t="inlineStr">
        <is>
          <t>TG. PRIOK</t>
        </is>
      </c>
      <c r="W15" s="50" t="inlineStr">
        <is>
          <t>SAVANNAH</t>
        </is>
      </c>
      <c r="X15" s="51" t="inlineStr">
        <is>
          <t>AMAZON.COM SERVICES LLC</t>
        </is>
      </c>
      <c r="Y15" s="52" t="inlineStr">
        <is>
          <t>EGLV080600427535</t>
        </is>
      </c>
      <c r="Z15" s="258" t="n">
        <v>46226</v>
      </c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170</v>
      </c>
      <c r="I16" s="42" t="inlineStr">
        <is>
          <t>EGHU9682178</t>
        </is>
      </c>
      <c r="J16" s="42" t="inlineStr">
        <is>
          <t>40FT</t>
        </is>
      </c>
      <c r="K16" s="44" t="inlineStr">
        <is>
          <t>14IN GREEN TEA FOAM MATTRESS K</t>
        </is>
      </c>
      <c r="L16" s="84" t="inlineStr">
        <is>
          <t>ZU-MFMA1ZZI-14K</t>
        </is>
      </c>
      <c r="M16" s="85" t="inlineStr">
        <is>
          <t>8NSJBBRD</t>
        </is>
      </c>
      <c r="N16" s="44" t="inlineStr">
        <is>
          <t>F.MFM.14K.000.AD</t>
        </is>
      </c>
      <c r="O16" s="86" t="n"/>
      <c r="P16" s="86" t="n"/>
      <c r="Q16" s="259">
        <f>IFERROR(R16/H16, 0)</f>
        <v/>
      </c>
      <c r="R16" s="260" t="n">
        <v>21984.4</v>
      </c>
      <c r="S16" s="261" t="n">
        <v>18056</v>
      </c>
      <c r="T16" s="261">
        <f>IFERROR(S16*R16, 0)</f>
        <v/>
      </c>
      <c r="U16" s="48" t="n"/>
      <c r="V16" s="49" t="n"/>
      <c r="W16" s="50" t="inlineStr">
        <is>
          <t>ETD : 27-07-2026</t>
        </is>
      </c>
      <c r="X16" s="51" t="n"/>
      <c r="Y16" s="52" t="n"/>
      <c r="Z16" s="258" t="n"/>
    </row>
    <row r="17" ht="16.5" customFormat="1" customHeight="1" s="273">
      <c r="A17" s="79" t="n"/>
      <c r="B17" s="80" t="n"/>
      <c r="C17" s="274" t="n"/>
      <c r="D17" s="274" t="n"/>
      <c r="E17" s="275" t="n"/>
      <c r="F17" s="276" t="n"/>
      <c r="G17" s="275" t="n"/>
      <c r="H17" s="42" t="n">
        <v>132</v>
      </c>
      <c r="I17" s="42" t="inlineStr"/>
      <c r="J17" s="42" t="inlineStr"/>
      <c r="K17" s="44" t="inlineStr">
        <is>
          <t>14IN GREEN TEA FOAM MATTRESS Q</t>
        </is>
      </c>
      <c r="L17" s="277" t="inlineStr">
        <is>
          <t>ZU-MFMA1ZZI-14Q</t>
        </is>
      </c>
      <c r="M17" s="42" t="inlineStr">
        <is>
          <t>8NSJBBRD</t>
        </is>
      </c>
      <c r="N17" s="44" t="inlineStr">
        <is>
          <t>F.MFM.14Q.000.AD</t>
        </is>
      </c>
      <c r="O17" s="86" t="n"/>
      <c r="P17" s="86" t="n"/>
      <c r="Q17" s="259">
        <f>IFERROR(R17/H17, 0)</f>
        <v/>
      </c>
      <c r="R17" s="260" t="n">
        <v>13536.6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78" t="n"/>
      <c r="Z17" s="279" t="n"/>
    </row>
    <row r="18" ht="17.1" customFormat="1" customHeight="1" s="257">
      <c r="A18" s="64" t="n"/>
      <c r="B18" s="65" t="n"/>
      <c r="C18" s="262" t="n"/>
      <c r="D18" s="262" t="n"/>
      <c r="E18" s="263" t="n"/>
      <c r="F18" s="263" t="n"/>
      <c r="G18" s="263" t="n"/>
      <c r="H18" s="264">
        <f>SUM(H15:H17)</f>
        <v/>
      </c>
      <c r="I18" s="69">
        <f>COUNTA(I15:I17)</f>
        <v/>
      </c>
      <c r="J18" s="68" t="n"/>
      <c r="K18" s="68" t="n"/>
      <c r="L18" s="265" t="n"/>
      <c r="M18" s="266" t="n"/>
      <c r="N18" s="68" t="n"/>
      <c r="O18" s="267">
        <f>SUM(O15:O17)</f>
        <v/>
      </c>
      <c r="P18" s="267">
        <f>SUM(P15:P17)</f>
        <v/>
      </c>
      <c r="Q18" s="268" t="n"/>
      <c r="R18" s="269">
        <f>SUM(R15:R17)</f>
        <v/>
      </c>
      <c r="S18" s="270" t="n"/>
      <c r="T18" s="270">
        <f>SUM(T15:T17)</f>
        <v/>
      </c>
      <c r="U18" s="68" t="n"/>
      <c r="V18" s="75" t="n"/>
      <c r="W18" s="76" t="n"/>
      <c r="X18" s="77" t="n"/>
      <c r="Y18" s="271" t="n"/>
      <c r="Z18" s="272" t="n"/>
    </row>
    <row r="19" ht="16.5" customFormat="1" customHeight="1" s="257">
      <c r="A19" s="79" t="n">
        <v>3</v>
      </c>
      <c r="B19" s="80" t="inlineStr">
        <is>
          <t>000030ZIK48020260721000503</t>
        </is>
      </c>
      <c r="C19" s="81" t="n">
        <v>453414</v>
      </c>
      <c r="D19" s="81" t="n">
        <v>453360</v>
      </c>
      <c r="E19" s="258" t="n">
        <v>46225</v>
      </c>
      <c r="F19" s="82" t="inlineStr">
        <is>
          <t>ID2607-7864</t>
        </is>
      </c>
      <c r="G19" s="258" t="n">
        <v>46223</v>
      </c>
      <c r="H19" s="83" t="n">
        <v>24</v>
      </c>
      <c r="I19" s="42" t="inlineStr">
        <is>
          <t>EGSU6027453</t>
        </is>
      </c>
      <c r="J19" s="42" t="inlineStr">
        <is>
          <t>40FT</t>
        </is>
      </c>
      <c r="K19" s="44" t="inlineStr">
        <is>
          <t>8IN MYGEL FOAM MATTRESS TW</t>
        </is>
      </c>
      <c r="L19" s="84" t="inlineStr">
        <is>
          <t>ZU-MFGN1YZI-08T</t>
        </is>
      </c>
      <c r="M19" s="85" t="inlineStr">
        <is>
          <t>171O8JJV</t>
        </is>
      </c>
      <c r="N19" s="44" t="inlineStr">
        <is>
          <t>F.MFG.08T.003.AD</t>
        </is>
      </c>
      <c r="O19" s="86" t="n">
        <v>94701.47</v>
      </c>
      <c r="P19" s="86" t="n">
        <v>83356.92</v>
      </c>
      <c r="Q19" s="259">
        <f>IFERROR(R19/H19, 0)</f>
        <v/>
      </c>
      <c r="R19" s="260" t="n">
        <v>862.3200000000001</v>
      </c>
      <c r="S19" s="261" t="n">
        <v>18056</v>
      </c>
      <c r="T19" s="261">
        <f>IFERROR(S19*R19, 0)</f>
        <v/>
      </c>
      <c r="U19" s="48" t="inlineStr">
        <is>
          <t>040300/KPPBC</t>
        </is>
      </c>
      <c r="V19" s="49" t="inlineStr">
        <is>
          <t>TG. PRIOK</t>
        </is>
      </c>
      <c r="W19" s="50" t="inlineStr">
        <is>
          <t>SAVANNAH</t>
        </is>
      </c>
      <c r="X19" s="51" t="inlineStr">
        <is>
          <t>AMAZON.COM SERVICES LLC</t>
        </is>
      </c>
      <c r="Y19" s="52" t="inlineStr">
        <is>
          <t>EGLV080600427527</t>
        </is>
      </c>
      <c r="Z19" s="258" t="n">
        <v>46225</v>
      </c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118</v>
      </c>
      <c r="I20" s="42" t="inlineStr">
        <is>
          <t>EGHU9554900</t>
        </is>
      </c>
      <c r="J20" s="42" t="inlineStr">
        <is>
          <t>40FT</t>
        </is>
      </c>
      <c r="K20" s="44" t="inlineStr">
        <is>
          <t>6IN OPP HD TW</t>
        </is>
      </c>
      <c r="L20" s="84" t="inlineStr">
        <is>
          <t>ZU-MFMA1OZI-06T</t>
        </is>
      </c>
      <c r="M20" s="85" t="inlineStr">
        <is>
          <t>171O8JJV</t>
        </is>
      </c>
      <c r="N20" s="44" t="inlineStr">
        <is>
          <t>F.MFM.06T.008.AD</t>
        </is>
      </c>
      <c r="O20" s="86" t="n"/>
      <c r="P20" s="86" t="n"/>
      <c r="Q20" s="259">
        <f>IFERROR(R20/H20, 0)</f>
        <v/>
      </c>
      <c r="R20" s="260" t="n">
        <v>3180.1</v>
      </c>
      <c r="S20" s="261" t="n">
        <v>18056</v>
      </c>
      <c r="T20" s="261">
        <f>IFERROR(S20*R20, 0)</f>
        <v/>
      </c>
      <c r="U20" s="48" t="n"/>
      <c r="V20" s="49" t="n"/>
      <c r="W20" s="50" t="inlineStr">
        <is>
          <t>ETD : 27-07-2026</t>
        </is>
      </c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490</v>
      </c>
      <c r="I21" s="42" t="inlineStr">
        <is>
          <t>EGHU9375649</t>
        </is>
      </c>
      <c r="J21" s="42" t="inlineStr">
        <is>
          <t>40FT</t>
        </is>
      </c>
      <c r="K21" s="44" t="inlineStr">
        <is>
          <t>8IN OPP HD FL</t>
        </is>
      </c>
      <c r="L21" s="84" t="inlineStr">
        <is>
          <t>ZU-MFMA1OZI-08F</t>
        </is>
      </c>
      <c r="M21" s="85" t="inlineStr">
        <is>
          <t>171O8JJV</t>
        </is>
      </c>
      <c r="N21" s="44" t="inlineStr">
        <is>
          <t>F.MFM.08F.013.AD</t>
        </is>
      </c>
      <c r="O21" s="86" t="n"/>
      <c r="P21" s="86" t="n"/>
      <c r="Q21" s="259">
        <f>IFERROR(R21/H21, 0)</f>
        <v/>
      </c>
      <c r="R21" s="260" t="n">
        <v>19075.7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>
        <v>1</v>
      </c>
      <c r="I22" s="42" t="inlineStr">
        <is>
          <t>DFSU7243080</t>
        </is>
      </c>
      <c r="J22" s="42" t="inlineStr">
        <is>
          <t>40FT</t>
        </is>
      </c>
      <c r="K22" s="44" t="inlineStr">
        <is>
          <t>8IN OPP HD FL</t>
        </is>
      </c>
      <c r="L22" s="84" t="inlineStr">
        <is>
          <t>ZU-MFMA1OZI-08F</t>
        </is>
      </c>
      <c r="M22" s="85" t="inlineStr">
        <is>
          <t>19I3VMFN</t>
        </is>
      </c>
      <c r="N22" s="44" t="inlineStr">
        <is>
          <t>F.MFM.08F.013.AD</t>
        </is>
      </c>
      <c r="O22" s="86" t="n"/>
      <c r="P22" s="86" t="n"/>
      <c r="Q22" s="259">
        <f>IFERROR(R22/H22, 0)</f>
        <v/>
      </c>
      <c r="R22" s="260" t="n">
        <v>38.93</v>
      </c>
      <c r="S22" s="261" t="n">
        <v>18056</v>
      </c>
      <c r="T22" s="261">
        <f>IFERROR(S22*R22, 0)</f>
        <v/>
      </c>
      <c r="U22" s="48" t="n"/>
      <c r="V22" s="49" t="n"/>
      <c r="W22" s="50" t="n"/>
      <c r="X22" s="51" t="n"/>
      <c r="Y22" s="52" t="n"/>
      <c r="Z22" s="258" t="n"/>
    </row>
    <row r="23" ht="16.5" customFormat="1" customHeight="1" s="273">
      <c r="A23" s="79" t="n"/>
      <c r="B23" s="80" t="n"/>
      <c r="C23" s="274" t="n"/>
      <c r="D23" s="274" t="n"/>
      <c r="E23" s="275" t="n"/>
      <c r="F23" s="276" t="n"/>
      <c r="G23" s="275" t="n"/>
      <c r="H23" s="42" t="n">
        <v>254</v>
      </c>
      <c r="I23" s="42" t="inlineStr">
        <is>
          <t>EGHU9413203</t>
        </is>
      </c>
      <c r="J23" s="42" t="inlineStr">
        <is>
          <t>40FT</t>
        </is>
      </c>
      <c r="K23" s="44" t="inlineStr">
        <is>
          <t>10IN OPP HD QN</t>
        </is>
      </c>
      <c r="L23" s="277" t="inlineStr">
        <is>
          <t>ZU-MFMA1OZI-10Q</t>
        </is>
      </c>
      <c r="M23" s="42" t="inlineStr">
        <is>
          <t>19I3VMFN</t>
        </is>
      </c>
      <c r="N23" s="44" t="inlineStr">
        <is>
          <t>F.MFM.10Q.013.AD</t>
        </is>
      </c>
      <c r="O23" s="86" t="n"/>
      <c r="P23" s="86" t="n"/>
      <c r="Q23" s="259">
        <f>IFERROR(R23/H23, 0)</f>
        <v/>
      </c>
      <c r="R23" s="260" t="n">
        <v>13690.6</v>
      </c>
      <c r="S23" s="261" t="n">
        <v>18056</v>
      </c>
      <c r="T23" s="261">
        <f>IFERROR(S23*R23, 0)</f>
        <v/>
      </c>
      <c r="U23" s="48" t="n"/>
      <c r="V23" s="49" t="n"/>
      <c r="W23" s="50" t="n"/>
      <c r="X23" s="51" t="n"/>
      <c r="Y23" s="278" t="n"/>
      <c r="Z23" s="279" t="n"/>
    </row>
    <row r="24" ht="16.5" customFormat="1" customHeight="1" s="273">
      <c r="A24" s="79" t="n"/>
      <c r="B24" s="80" t="n"/>
      <c r="C24" s="81" t="n"/>
      <c r="D24" s="81" t="n"/>
      <c r="E24" s="258" t="n"/>
      <c r="F24" s="82" t="n"/>
      <c r="G24" s="258" t="n"/>
      <c r="H24" s="83" t="n">
        <v>145</v>
      </c>
      <c r="I24" s="42" t="inlineStr">
        <is>
          <t>TGBU6143679</t>
        </is>
      </c>
      <c r="J24" s="42" t="inlineStr">
        <is>
          <t>40FT</t>
        </is>
      </c>
      <c r="K24" s="44" t="inlineStr">
        <is>
          <t>10IN AIRFLOW GEL FOAM MATT QN</t>
        </is>
      </c>
      <c r="L24" s="84" t="inlineStr">
        <is>
          <t>ZU-MFMA1RZI-10Q</t>
        </is>
      </c>
      <c r="M24" s="42" t="inlineStr">
        <is>
          <t>19I3VMFN</t>
        </is>
      </c>
      <c r="N24" s="44" t="inlineStr">
        <is>
          <t>F.MFM.10Q.014.AD</t>
        </is>
      </c>
      <c r="O24" s="86" t="n"/>
      <c r="P24" s="86" t="n"/>
      <c r="Q24" s="259">
        <f>IFERROR(R24/H24, 0)</f>
        <v/>
      </c>
      <c r="R24" s="260" t="n">
        <v>7815.5</v>
      </c>
      <c r="S24" s="261" t="n">
        <v>18056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67</v>
      </c>
      <c r="I25" s="51" t="inlineStr">
        <is>
          <t>TGBU6917190</t>
        </is>
      </c>
      <c r="J25" s="51" t="inlineStr">
        <is>
          <t>40FT</t>
        </is>
      </c>
      <c r="K25" s="284" t="inlineStr">
        <is>
          <t>8IN GREEN TEA MF MATTRESS TW</t>
        </is>
      </c>
      <c r="L25" s="285" t="inlineStr">
        <is>
          <t>ZU-MFMA1ZZI-08T</t>
        </is>
      </c>
      <c r="M25" s="51" t="inlineStr">
        <is>
          <t>19I3VMFN</t>
        </is>
      </c>
      <c r="N25" s="284" t="inlineStr">
        <is>
          <t>F.MFM.08T.008.AD</t>
        </is>
      </c>
      <c r="O25" s="286" t="n"/>
      <c r="P25" s="286" t="n"/>
      <c r="Q25" s="287">
        <f>IFERROR(R25/H25, 0)</f>
        <v/>
      </c>
      <c r="R25" s="288" t="n">
        <v>2407.31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79" t="n"/>
      <c r="F26" s="296" t="n"/>
      <c r="G26" s="279" t="n"/>
      <c r="H26" s="297" t="n">
        <v>5</v>
      </c>
      <c r="I26" s="297" t="inlineStr">
        <is>
          <t>FFAU5104886</t>
        </is>
      </c>
      <c r="J26" s="51" t="inlineStr">
        <is>
          <t>40FT</t>
        </is>
      </c>
      <c r="K26" s="284" t="inlineStr">
        <is>
          <t>8IN OPP HD FL</t>
        </is>
      </c>
      <c r="L26" s="285" t="inlineStr">
        <is>
          <t>ZU-MFMA1OZI-08F</t>
        </is>
      </c>
      <c r="M26" s="51" t="inlineStr">
        <is>
          <t>1NOINJ9A</t>
        </is>
      </c>
      <c r="N26" s="284" t="inlineStr">
        <is>
          <t>F.MFM.08F.013.AD</t>
        </is>
      </c>
      <c r="O26" s="298" t="n"/>
      <c r="P26" s="298" t="n"/>
      <c r="Q26" s="299">
        <f>IFERROR(R26/H26, 0)</f>
        <v/>
      </c>
      <c r="R26" s="300" t="n">
        <v>194.65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65</v>
      </c>
      <c r="I27" s="305" t="inlineStr"/>
      <c r="J27" s="305" t="inlineStr"/>
      <c r="K27" s="284" t="inlineStr">
        <is>
          <t>12IN AIRFLOW GEL FOAM MATT TW</t>
        </is>
      </c>
      <c r="L27" s="285" t="inlineStr">
        <is>
          <t>ZU-MFMA1RZI-12T</t>
        </is>
      </c>
      <c r="M27" s="51" t="inlineStr">
        <is>
          <t>1NOINJ9A</t>
        </is>
      </c>
      <c r="N27" s="284" t="inlineStr">
        <is>
          <t>F.MFM.12T.011.AD</t>
        </is>
      </c>
      <c r="O27" s="306" t="n"/>
      <c r="P27" s="306" t="n"/>
      <c r="Q27" s="299">
        <f>IFERROR(R27/H27, 0)</f>
        <v/>
      </c>
      <c r="R27" s="307" t="n">
        <v>2724.8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882</v>
      </c>
      <c r="I28" s="305" t="inlineStr"/>
      <c r="J28" s="305" t="inlineStr"/>
      <c r="K28" s="284" t="inlineStr">
        <is>
          <t>8IN GREEN TEA MF MATTRESS TW</t>
        </is>
      </c>
      <c r="L28" s="285" t="inlineStr">
        <is>
          <t>ZU-MFMA1ZZI-08T</t>
        </is>
      </c>
      <c r="M28" s="51" t="inlineStr">
        <is>
          <t>1NOINJ9A</t>
        </is>
      </c>
      <c r="N28" s="284" t="inlineStr">
        <is>
          <t>F.MFM.08T.008.AD</t>
        </is>
      </c>
      <c r="O28" s="306" t="n"/>
      <c r="P28" s="306" t="n"/>
      <c r="Q28" s="299">
        <f>IFERROR(R28/H28, 0)</f>
        <v/>
      </c>
      <c r="R28" s="307" t="n">
        <v>31690.26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314</v>
      </c>
      <c r="I29" s="305" t="inlineStr"/>
      <c r="J29" s="305" t="inlineStr"/>
      <c r="K29" s="309" t="inlineStr">
        <is>
          <t>8IN OPP HD FL</t>
        </is>
      </c>
      <c r="L29" s="310" t="inlineStr">
        <is>
          <t>ZU-MFMA1OZI-08F</t>
        </is>
      </c>
      <c r="M29" s="311" t="inlineStr">
        <is>
          <t>3HIYB5CC</t>
        </is>
      </c>
      <c r="N29" s="309" t="inlineStr">
        <is>
          <t>F.MFM.08F.013.AD</t>
        </is>
      </c>
      <c r="O29" s="306" t="n"/>
      <c r="P29" s="306" t="n"/>
      <c r="Q29" s="312">
        <f>IFERROR(R29/H29, 0)</f>
        <v/>
      </c>
      <c r="R29" s="307" t="n">
        <v>12224.02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78</v>
      </c>
      <c r="I30" s="305" t="inlineStr"/>
      <c r="J30" s="305" t="inlineStr"/>
      <c r="K30" s="284" t="inlineStr">
        <is>
          <t>10IN OPP HD FL</t>
        </is>
      </c>
      <c r="L30" s="285" t="inlineStr">
        <is>
          <t>ZU-MFMA1OZI-10F</t>
        </is>
      </c>
      <c r="M30" s="51" t="inlineStr">
        <is>
          <t>3HIYB5CC</t>
        </is>
      </c>
      <c r="N30" s="309" t="inlineStr">
        <is>
          <t>F.MFM.10F.013.AD</t>
        </is>
      </c>
      <c r="O30" s="306" t="n"/>
      <c r="P30" s="306" t="n"/>
      <c r="Q30" s="312">
        <f>IFERROR(R30/H30, 0)</f>
        <v/>
      </c>
      <c r="R30" s="260" t="n">
        <v>3736.98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77</v>
      </c>
      <c r="I31" s="51" t="inlineStr"/>
      <c r="J31" s="311" t="inlineStr"/>
      <c r="K31" s="284" t="inlineStr">
        <is>
          <t>12IN OPP HD TW</t>
        </is>
      </c>
      <c r="L31" s="285" t="inlineStr">
        <is>
          <t>ZU-MFMA1OZI-12T</t>
        </is>
      </c>
      <c r="M31" s="51" t="inlineStr">
        <is>
          <t>3HIYB5CC</t>
        </is>
      </c>
      <c r="N31" s="284" t="inlineStr">
        <is>
          <t>F.MFM.12T.010.AD</t>
        </is>
      </c>
      <c r="O31" s="306" t="n"/>
      <c r="P31" s="86" t="n"/>
      <c r="Q31" s="318">
        <f>IFERROR(R31/H31, 0)</f>
        <v/>
      </c>
      <c r="R31" s="260" t="n">
        <v>3227.84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7</v>
      </c>
      <c r="I32" s="51" t="inlineStr"/>
      <c r="J32" s="311" t="inlineStr"/>
      <c r="K32" s="284" t="inlineStr">
        <is>
          <t>5IN GREEN TEA MF MATTRESS TW</t>
        </is>
      </c>
      <c r="L32" s="285" t="inlineStr">
        <is>
          <t>ZU-MFMA1ZZI-05T</t>
        </is>
      </c>
      <c r="M32" s="51" t="inlineStr">
        <is>
          <t>3HIYB5CC</t>
        </is>
      </c>
      <c r="N32" s="284" t="inlineStr">
        <is>
          <t>F.MFM.05T.007.AD</t>
        </is>
      </c>
      <c r="O32" s="306" t="n"/>
      <c r="P32" s="86" t="n"/>
      <c r="Q32" s="318">
        <f>IFERROR(R32/H32, 0)</f>
        <v/>
      </c>
      <c r="R32" s="260" t="n">
        <v>165.62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153</v>
      </c>
      <c r="I33" s="51" t="inlineStr"/>
      <c r="J33" s="311" t="inlineStr"/>
      <c r="K33" s="284" t="inlineStr">
        <is>
          <t>10IN GREEN TEA MF MATTRESS TW</t>
        </is>
      </c>
      <c r="L33" s="285" t="inlineStr">
        <is>
          <t>ZU-MFMA1ZZI-10T</t>
        </is>
      </c>
      <c r="M33" s="51" t="inlineStr">
        <is>
          <t>3HIYB5CC</t>
        </is>
      </c>
      <c r="N33" s="284" t="inlineStr">
        <is>
          <t>F.MFM.10T.007.AD</t>
        </is>
      </c>
      <c r="O33" s="306" t="n"/>
      <c r="P33" s="86" t="n"/>
      <c r="Q33" s="318">
        <f>IFERROR(R33/H33, 0)</f>
        <v/>
      </c>
      <c r="R33" s="260" t="n">
        <v>8451.719999999999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35</v>
      </c>
      <c r="I34" s="311" t="inlineStr"/>
      <c r="J34" s="311" t="inlineStr"/>
      <c r="K34" s="284" t="inlineStr">
        <is>
          <t>10IN GREEN TEA MF MATTRESS TX</t>
        </is>
      </c>
      <c r="L34" s="285" t="inlineStr">
        <is>
          <t>ZU-MFMA1ZZI-10X</t>
        </is>
      </c>
      <c r="M34" s="51" t="inlineStr">
        <is>
          <t>3HIYB5CC</t>
        </is>
      </c>
      <c r="N34" s="284" t="inlineStr">
        <is>
          <t>F.MFM.10X.007.AD</t>
        </is>
      </c>
      <c r="O34" s="306" t="n"/>
      <c r="P34" s="86" t="n"/>
      <c r="Q34" s="318">
        <f>IFERROR(R34/H34, 0)</f>
        <v/>
      </c>
      <c r="R34" s="260" t="n">
        <v>1762.25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2</v>
      </c>
      <c r="I35" s="311" t="inlineStr"/>
      <c r="J35" s="311" t="inlineStr"/>
      <c r="K35" s="284" t="inlineStr">
        <is>
          <t>12IN GREEN TEA MF MATTRESS TX</t>
        </is>
      </c>
      <c r="L35" s="285" t="inlineStr">
        <is>
          <t>ZU-MFMA1ZZI-12X</t>
        </is>
      </c>
      <c r="M35" s="51" t="inlineStr">
        <is>
          <t>3HIYB5CC</t>
        </is>
      </c>
      <c r="N35" s="284" t="inlineStr">
        <is>
          <t>F.MFM.12X.006.AD</t>
        </is>
      </c>
      <c r="O35" s="306" t="n"/>
      <c r="P35" s="86" t="n"/>
      <c r="Q35" s="318">
        <f>IFERROR(R35/H35, 0)</f>
        <v/>
      </c>
      <c r="R35" s="260" t="n">
        <v>116.6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22</v>
      </c>
      <c r="I36" s="311" t="inlineStr"/>
      <c r="J36" s="311" t="inlineStr"/>
      <c r="K36" s="284" t="inlineStr">
        <is>
          <t>12IN MYGEL FOAM MATTRESS FL</t>
        </is>
      </c>
      <c r="L36" s="285" t="inlineStr">
        <is>
          <t>ZU-MFGN1YZI-12F</t>
        </is>
      </c>
      <c r="M36" s="51" t="inlineStr">
        <is>
          <t>3U12X1LA</t>
        </is>
      </c>
      <c r="N36" s="284" t="inlineStr">
        <is>
          <t>F.MFG.12F.002.AD</t>
        </is>
      </c>
      <c r="O36" s="306" t="n"/>
      <c r="P36" s="86" t="n"/>
      <c r="Q36" s="318">
        <f>IFERROR(R36/H36, 0)</f>
        <v/>
      </c>
      <c r="R36" s="260" t="n">
        <v>1557.82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90</v>
      </c>
      <c r="I37" s="311" t="inlineStr"/>
      <c r="J37" s="311" t="inlineStr"/>
      <c r="K37" s="284" t="inlineStr">
        <is>
          <t>5IN OPP HD TW</t>
        </is>
      </c>
      <c r="L37" s="285" t="inlineStr">
        <is>
          <t>ZU-MFMA1OZI-05T</t>
        </is>
      </c>
      <c r="M37" s="51" t="inlineStr">
        <is>
          <t>3U12X1LA</t>
        </is>
      </c>
      <c r="N37" s="284" t="inlineStr">
        <is>
          <t>F.MFM.05T.008.AD</t>
        </is>
      </c>
      <c r="O37" s="306" t="n"/>
      <c r="P37" s="86" t="n"/>
      <c r="Q37" s="318">
        <f>IFERROR(R37/H37, 0)</f>
        <v/>
      </c>
      <c r="R37" s="260" t="n">
        <v>2155.5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26</v>
      </c>
      <c r="I38" s="311" t="inlineStr"/>
      <c r="J38" s="311" t="inlineStr"/>
      <c r="K38" s="284" t="inlineStr">
        <is>
          <t>6IN OPP HD QN</t>
        </is>
      </c>
      <c r="L38" s="285" t="inlineStr">
        <is>
          <t>ZU-MFMA1OZI-06Q</t>
        </is>
      </c>
      <c r="M38" s="51" t="inlineStr">
        <is>
          <t>3U12X1LA</t>
        </is>
      </c>
      <c r="N38" s="284" t="inlineStr">
        <is>
          <t>F.MFM.06Q.008.AD</t>
        </is>
      </c>
      <c r="O38" s="306" t="n"/>
      <c r="P38" s="306" t="n"/>
      <c r="Q38" s="312">
        <f>IFERROR(R38/H38, 0)</f>
        <v/>
      </c>
      <c r="R38" s="307" t="n">
        <v>1191.06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275</v>
      </c>
      <c r="I39" s="311" t="inlineStr"/>
      <c r="J39" s="311" t="inlineStr"/>
      <c r="K39" s="309" t="inlineStr">
        <is>
          <t>8IN OPP HD FL</t>
        </is>
      </c>
      <c r="L39" s="310" t="inlineStr">
        <is>
          <t>ZU-MFMA1OZI-08F</t>
        </is>
      </c>
      <c r="M39" s="311" t="inlineStr">
        <is>
          <t>3U12X1LA</t>
        </is>
      </c>
      <c r="N39" s="309" t="inlineStr">
        <is>
          <t>F.MFM.08F.013.AD</t>
        </is>
      </c>
      <c r="O39" s="306" t="n"/>
      <c r="P39" s="306" t="n"/>
      <c r="Q39" s="312">
        <f>IFERROR(R39/H39, 0)</f>
        <v/>
      </c>
      <c r="R39" s="307" t="n">
        <v>10705.75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79" t="n"/>
      <c r="F40" s="296" t="n"/>
      <c r="G40" s="279" t="n"/>
      <c r="H40" s="51" t="n">
        <v>43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3U12X1LA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2060.13</v>
      </c>
      <c r="S40" s="261" t="n">
        <v>18056</v>
      </c>
      <c r="T40" s="261">
        <f>IFERROR(S40*R40, 0)</f>
        <v/>
      </c>
      <c r="U40" s="314" t="n"/>
      <c r="V40" s="278" t="n"/>
      <c r="W40" s="323" t="n"/>
      <c r="X40" s="51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1</v>
      </c>
      <c r="I41" s="311" t="inlineStr"/>
      <c r="J41" s="311" t="inlineStr"/>
      <c r="K41" s="309" t="inlineStr">
        <is>
          <t>12IN OPP HD EK</t>
        </is>
      </c>
      <c r="L41" s="310" t="inlineStr">
        <is>
          <t>ZU-MFMA1OZI-12K</t>
        </is>
      </c>
      <c r="M41" s="311" t="inlineStr">
        <is>
          <t>3U12X1LA</t>
        </is>
      </c>
      <c r="N41" s="309" t="inlineStr">
        <is>
          <t>F.MFM.12K.010.AD</t>
        </is>
      </c>
      <c r="O41" s="306" t="n"/>
      <c r="P41" s="306" t="n"/>
      <c r="Q41" s="312">
        <f>IFERROR(R41/H41, 0)</f>
        <v/>
      </c>
      <c r="R41" s="307" t="n">
        <v>74.86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12IN AIRFLOW GEL FOAM MATT QN</t>
        </is>
      </c>
      <c r="L42" s="310" t="inlineStr">
        <is>
          <t>ZU-MFMA1RZI-12Q</t>
        </is>
      </c>
      <c r="M42" s="311" t="inlineStr">
        <is>
          <t>3U12X1LA</t>
        </is>
      </c>
      <c r="N42" s="309" t="inlineStr">
        <is>
          <t>F.MFM.12Q.011.AD</t>
        </is>
      </c>
      <c r="O42" s="306" t="n"/>
      <c r="P42" s="306" t="n"/>
      <c r="Q42" s="312">
        <f>IFERROR(R42/H42, 0)</f>
        <v/>
      </c>
      <c r="R42" s="307" t="n">
        <v>67.56999999999999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3</v>
      </c>
      <c r="I43" s="311" t="inlineStr"/>
      <c r="J43" s="311" t="inlineStr"/>
      <c r="K43" s="309" t="inlineStr">
        <is>
          <t>8IN MYGEL FOAM MATTRESS TW</t>
        </is>
      </c>
      <c r="L43" s="310" t="inlineStr">
        <is>
          <t>ZU-MFGN1YZI-08T</t>
        </is>
      </c>
      <c r="M43" s="311" t="inlineStr">
        <is>
          <t>4D6KKQKP</t>
        </is>
      </c>
      <c r="N43" s="309" t="inlineStr">
        <is>
          <t>F.MFG.08T.003.AD</t>
        </is>
      </c>
      <c r="O43" s="306" t="n"/>
      <c r="P43" s="306" t="n"/>
      <c r="Q43" s="312">
        <f>IFERROR(R43/H43, 0)</f>
        <v/>
      </c>
      <c r="R43" s="307" t="n">
        <v>107.79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55</v>
      </c>
      <c r="I44" s="311" t="inlineStr"/>
      <c r="J44" s="311" t="inlineStr"/>
      <c r="K44" s="309" t="inlineStr">
        <is>
          <t>6IN OPP HD QN</t>
        </is>
      </c>
      <c r="L44" s="310" t="inlineStr">
        <is>
          <t>ZU-MFMA1OZI-06Q</t>
        </is>
      </c>
      <c r="M44" s="311" t="inlineStr">
        <is>
          <t>4D6KKQKP</t>
        </is>
      </c>
      <c r="N44" s="309" t="inlineStr">
        <is>
          <t>F.MFM.06Q.008.AD</t>
        </is>
      </c>
      <c r="O44" s="306" t="n"/>
      <c r="P44" s="306" t="n"/>
      <c r="Q44" s="312">
        <f>IFERROR(R44/H44, 0)</f>
        <v/>
      </c>
      <c r="R44" s="307" t="n">
        <v>2519.55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16</v>
      </c>
      <c r="I45" s="311" t="inlineStr"/>
      <c r="J45" s="311" t="inlineStr"/>
      <c r="K45" s="309" t="inlineStr">
        <is>
          <t>10IN OPP HD TW</t>
        </is>
      </c>
      <c r="L45" s="310" t="inlineStr">
        <is>
          <t>ZU-MFMA1OZI-10T</t>
        </is>
      </c>
      <c r="M45" s="311" t="inlineStr">
        <is>
          <t>4D6KKQKP</t>
        </is>
      </c>
      <c r="N45" s="309" t="inlineStr">
        <is>
          <t>F.MFM.10T.013.AD</t>
        </is>
      </c>
      <c r="O45" s="306" t="n"/>
      <c r="P45" s="306" t="n"/>
      <c r="Q45" s="312">
        <f>IFERROR(R45/H45, 0)</f>
        <v/>
      </c>
      <c r="R45" s="307" t="n">
        <v>622.88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33</v>
      </c>
      <c r="I46" s="311" t="inlineStr"/>
      <c r="J46" s="311" t="inlineStr"/>
      <c r="K46" s="309" t="inlineStr">
        <is>
          <t>12IN OPP HD EK</t>
        </is>
      </c>
      <c r="L46" s="310" t="inlineStr">
        <is>
          <t>ZU-MFMA1OZI-12K</t>
        </is>
      </c>
      <c r="M46" s="311" t="inlineStr">
        <is>
          <t>4D6KKQKP</t>
        </is>
      </c>
      <c r="N46" s="309" t="inlineStr">
        <is>
          <t>F.MFM.12K.010.AD</t>
        </is>
      </c>
      <c r="O46" s="306" t="n"/>
      <c r="P46" s="306" t="n"/>
      <c r="Q46" s="312">
        <f>IFERROR(R46/H46, 0)</f>
        <v/>
      </c>
      <c r="R46" s="307" t="n">
        <v>2470.38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12</v>
      </c>
      <c r="I47" s="311" t="inlineStr"/>
      <c r="J47" s="311" t="inlineStr"/>
      <c r="K47" s="309" t="inlineStr">
        <is>
          <t>12IN AIRFLOW GEL FOAM MATT QN</t>
        </is>
      </c>
      <c r="L47" s="310" t="inlineStr">
        <is>
          <t>ZU-MFMA1RZI-12Q</t>
        </is>
      </c>
      <c r="M47" s="311" t="inlineStr">
        <is>
          <t>4D6KKQKP</t>
        </is>
      </c>
      <c r="N47" s="309" t="inlineStr">
        <is>
          <t>F.MFM.12Q.011.AD</t>
        </is>
      </c>
      <c r="O47" s="306" t="n"/>
      <c r="P47" s="306" t="n"/>
      <c r="Q47" s="312">
        <f>IFERROR(R47/H47, 0)</f>
        <v/>
      </c>
      <c r="R47" s="307" t="n">
        <v>810.84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16</v>
      </c>
      <c r="I48" s="311" t="inlineStr"/>
      <c r="J48" s="311" t="inlineStr"/>
      <c r="K48" s="309" t="inlineStr">
        <is>
          <t>8IN GREEN TEA MF MATTRESS FL</t>
        </is>
      </c>
      <c r="L48" s="310" t="inlineStr">
        <is>
          <t>ZU-MFMA1ZZI-08F</t>
        </is>
      </c>
      <c r="M48" s="311" t="inlineStr">
        <is>
          <t>4D6KKQKP</t>
        </is>
      </c>
      <c r="N48" s="309" t="inlineStr">
        <is>
          <t>F.MFM.08F.008.AD</t>
        </is>
      </c>
      <c r="O48" s="306" t="n"/>
      <c r="P48" s="306" t="n"/>
      <c r="Q48" s="312">
        <f>IFERROR(R48/H48, 0)</f>
        <v/>
      </c>
      <c r="R48" s="307" t="n">
        <v>895.84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250</v>
      </c>
      <c r="I49" s="311" t="inlineStr"/>
      <c r="J49" s="311" t="inlineStr"/>
      <c r="K49" s="309" t="inlineStr">
        <is>
          <t>8IN MYGEL FOAM MATTRESS TW</t>
        </is>
      </c>
      <c r="L49" s="310" t="inlineStr">
        <is>
          <t>ZU-MFGN1YZI-08T</t>
        </is>
      </c>
      <c r="M49" s="311" t="inlineStr">
        <is>
          <t>5T2OZKNP</t>
        </is>
      </c>
      <c r="N49" s="309" t="inlineStr">
        <is>
          <t>F.MFG.08T.003.AD</t>
        </is>
      </c>
      <c r="O49" s="306" t="n"/>
      <c r="P49" s="306" t="n"/>
      <c r="Q49" s="312">
        <f>IFERROR(R49/H49, 0)</f>
        <v/>
      </c>
      <c r="R49" s="307" t="n">
        <v>8982.5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6.5" customHeight="1" s="223">
      <c r="A50" s="322" t="n"/>
      <c r="B50" s="324" t="n"/>
      <c r="C50" s="304" t="n"/>
      <c r="D50" s="304" t="n"/>
      <c r="E50" s="317" t="n"/>
      <c r="F50" s="320" t="n"/>
      <c r="G50" s="317" t="n"/>
      <c r="H50" s="311" t="n">
        <v>1</v>
      </c>
      <c r="I50" s="311" t="inlineStr"/>
      <c r="J50" s="311" t="inlineStr"/>
      <c r="K50" s="309" t="inlineStr">
        <is>
          <t>10IN OPP HD TW</t>
        </is>
      </c>
      <c r="L50" s="310" t="inlineStr">
        <is>
          <t>ZU-MFMA1OZI-10T</t>
        </is>
      </c>
      <c r="M50" s="311" t="inlineStr">
        <is>
          <t>5T2OZKNP</t>
        </is>
      </c>
      <c r="N50" s="309" t="inlineStr">
        <is>
          <t>F.MFM.10T.013.AD</t>
        </is>
      </c>
      <c r="O50" s="306" t="n"/>
      <c r="P50" s="306" t="n"/>
      <c r="Q50" s="312">
        <f>IFERROR(R50/H50, 0)</f>
        <v/>
      </c>
      <c r="R50" s="307" t="n">
        <v>38.93</v>
      </c>
      <c r="S50" s="308" t="n">
        <v>18056</v>
      </c>
      <c r="T50" s="308">
        <f>IFERROR(S50*R50, 0)</f>
        <v/>
      </c>
      <c r="U50" s="313" t="n"/>
      <c r="V50" s="315" t="n"/>
      <c r="W50" s="316" t="n"/>
      <c r="X50" s="311" t="n"/>
      <c r="Y50" s="315" t="n"/>
      <c r="Z50" s="317" t="n"/>
    </row>
    <row r="51" ht="16.5" customHeight="1" s="223">
      <c r="A51" s="322" t="n"/>
      <c r="B51" s="324" t="n"/>
      <c r="C51" s="304" t="n"/>
      <c r="D51" s="304" t="n"/>
      <c r="E51" s="317" t="n"/>
      <c r="F51" s="320" t="n"/>
      <c r="G51" s="317" t="n"/>
      <c r="H51" s="311" t="n">
        <v>4</v>
      </c>
      <c r="I51" s="311" t="inlineStr"/>
      <c r="J51" s="311" t="inlineStr"/>
      <c r="K51" s="309" t="inlineStr">
        <is>
          <t>10IN GREEN TEA MF MATTRESS TX</t>
        </is>
      </c>
      <c r="L51" s="310" t="inlineStr">
        <is>
          <t>ZU-MFMA1ZZI-10X</t>
        </is>
      </c>
      <c r="M51" s="311" t="inlineStr">
        <is>
          <t>5T2OZKNP</t>
        </is>
      </c>
      <c r="N51" s="309" t="inlineStr">
        <is>
          <t>F.MFM.10X.007.AD</t>
        </is>
      </c>
      <c r="O51" s="306" t="n"/>
      <c r="P51" s="306" t="n"/>
      <c r="Q51" s="312">
        <f>IFERROR(R51/H51, 0)</f>
        <v/>
      </c>
      <c r="R51" s="307" t="n">
        <v>201.4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105</v>
      </c>
      <c r="I52" s="311" t="inlineStr"/>
      <c r="J52" s="311" t="inlineStr"/>
      <c r="K52" s="309" t="inlineStr">
        <is>
          <t>8IN MYGEL FOAM MATTRESS TW</t>
        </is>
      </c>
      <c r="L52" s="310" t="inlineStr">
        <is>
          <t>ZU-MFGN1YZI-08T</t>
        </is>
      </c>
      <c r="M52" s="311" t="inlineStr">
        <is>
          <t>6D1QNIZO</t>
        </is>
      </c>
      <c r="N52" s="309" t="inlineStr">
        <is>
          <t>F.MFG.08T.003.AD</t>
        </is>
      </c>
      <c r="O52" s="306" t="n"/>
      <c r="P52" s="306" t="n"/>
      <c r="Q52" s="312">
        <f>IFERROR(R52/H52, 0)</f>
        <v/>
      </c>
      <c r="R52" s="307" t="n">
        <v>3772.65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480</v>
      </c>
      <c r="I53" s="311" t="inlineStr"/>
      <c r="J53" s="311" t="inlineStr"/>
      <c r="K53" s="309" t="inlineStr">
        <is>
          <t>6IN OPP HD TW</t>
        </is>
      </c>
      <c r="L53" s="310" t="inlineStr">
        <is>
          <t>ZU-MFMA1OZI-06T</t>
        </is>
      </c>
      <c r="M53" s="311" t="inlineStr">
        <is>
          <t>6D1QNIZO</t>
        </is>
      </c>
      <c r="N53" s="309" t="inlineStr">
        <is>
          <t>F.MFM.06T.008.AD</t>
        </is>
      </c>
      <c r="O53" s="306" t="n"/>
      <c r="P53" s="306" t="n"/>
      <c r="Q53" s="312">
        <f>IFERROR(R53/H53, 0)</f>
        <v/>
      </c>
      <c r="R53" s="307" t="n">
        <v>12936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5</v>
      </c>
      <c r="I54" s="311" t="inlineStr"/>
      <c r="J54" s="311" t="inlineStr"/>
      <c r="K54" s="309" t="inlineStr">
        <is>
          <t>8IN OPP HD FL</t>
        </is>
      </c>
      <c r="L54" s="310" t="inlineStr">
        <is>
          <t>ZU-MFMA1OZI-08F</t>
        </is>
      </c>
      <c r="M54" s="311" t="inlineStr">
        <is>
          <t>6D1QNIZO</t>
        </is>
      </c>
      <c r="N54" s="309" t="inlineStr">
        <is>
          <t>F.MFM.08F.013.AD</t>
        </is>
      </c>
      <c r="O54" s="306" t="n"/>
      <c r="P54" s="306" t="n"/>
      <c r="Q54" s="312">
        <f>IFERROR(R54/H54, 0)</f>
        <v/>
      </c>
      <c r="R54" s="307" t="n">
        <v>194.65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4</v>
      </c>
      <c r="I55" s="311" t="inlineStr"/>
      <c r="J55" s="311" t="inlineStr"/>
      <c r="K55" s="309" t="inlineStr">
        <is>
          <t>12IN AIRFLOW GEL FOAM MATT EK</t>
        </is>
      </c>
      <c r="L55" s="310" t="inlineStr">
        <is>
          <t>ZU-MFMA1RZI-12K</t>
        </is>
      </c>
      <c r="M55" s="311" t="inlineStr">
        <is>
          <t>6D1QNIZO</t>
        </is>
      </c>
      <c r="N55" s="309" t="inlineStr">
        <is>
          <t>F.MFM.12K.011.AD</t>
        </is>
      </c>
      <c r="O55" s="306" t="n"/>
      <c r="P55" s="306" t="n"/>
      <c r="Q55" s="312">
        <f>IFERROR(R55/H55, 0)</f>
        <v/>
      </c>
      <c r="R55" s="307" t="n">
        <v>299.44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36</v>
      </c>
      <c r="I56" s="311" t="inlineStr"/>
      <c r="J56" s="311" t="inlineStr"/>
      <c r="K56" s="309" t="inlineStr">
        <is>
          <t>8IN GREEN TEA MF MATTRESS TW</t>
        </is>
      </c>
      <c r="L56" s="310" t="inlineStr">
        <is>
          <t>ZU-MFMA1ZZI-08T</t>
        </is>
      </c>
      <c r="M56" s="311" t="inlineStr">
        <is>
          <t>6D1QNIZO</t>
        </is>
      </c>
      <c r="N56" s="309" t="inlineStr">
        <is>
          <t>F.MFM.08T.008.AD</t>
        </is>
      </c>
      <c r="O56" s="306" t="n"/>
      <c r="P56" s="306" t="n"/>
      <c r="Q56" s="312">
        <f>IFERROR(R56/H56, 0)</f>
        <v/>
      </c>
      <c r="R56" s="307" t="n">
        <v>1293.48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3</v>
      </c>
      <c r="I57" s="311" t="inlineStr"/>
      <c r="J57" s="311" t="inlineStr"/>
      <c r="K57" s="309" t="inlineStr">
        <is>
          <t>12IN MYGEL FOAM MATTRESS FL</t>
        </is>
      </c>
      <c r="L57" s="310" t="inlineStr">
        <is>
          <t>ZU-MFGN1YZI-12F</t>
        </is>
      </c>
      <c r="M57" s="311" t="inlineStr">
        <is>
          <t>8IR7XLUF</t>
        </is>
      </c>
      <c r="N57" s="309" t="inlineStr">
        <is>
          <t>F.MFG.12F.002.AD</t>
        </is>
      </c>
      <c r="O57" s="306" t="n"/>
      <c r="P57" s="306" t="n"/>
      <c r="Q57" s="312">
        <f>IFERROR(R57/H57, 0)</f>
        <v/>
      </c>
      <c r="R57" s="307" t="n">
        <v>212.43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164</v>
      </c>
      <c r="I58" s="311" t="inlineStr"/>
      <c r="J58" s="311" t="inlineStr"/>
      <c r="K58" s="309" t="inlineStr">
        <is>
          <t>12IN OPP HD QN</t>
        </is>
      </c>
      <c r="L58" s="310" t="inlineStr">
        <is>
          <t>ZU-MFMA1OZI-12Q</t>
        </is>
      </c>
      <c r="M58" s="311" t="inlineStr">
        <is>
          <t>8IR7XLUF</t>
        </is>
      </c>
      <c r="N58" s="309" t="inlineStr">
        <is>
          <t>F.MFM.12Q.010.AD</t>
        </is>
      </c>
      <c r="O58" s="306" t="n"/>
      <c r="P58" s="306" t="n"/>
      <c r="Q58" s="312">
        <f>IFERROR(R58/H58, 0)</f>
        <v/>
      </c>
      <c r="R58" s="307" t="n">
        <v>11081.48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30</v>
      </c>
      <c r="I59" s="311" t="inlineStr"/>
      <c r="J59" s="311" t="inlineStr"/>
      <c r="K59" s="309" t="inlineStr">
        <is>
          <t>10IN AIRFLOW GEL FOAM MATT QN</t>
        </is>
      </c>
      <c r="L59" s="310" t="inlineStr">
        <is>
          <t>ZU-MFMA1RZI-10Q</t>
        </is>
      </c>
      <c r="M59" s="311" t="inlineStr">
        <is>
          <t>8IR7XLUF</t>
        </is>
      </c>
      <c r="N59" s="309" t="inlineStr">
        <is>
          <t>F.MFM.10Q.014.AD</t>
        </is>
      </c>
      <c r="O59" s="306" t="n"/>
      <c r="P59" s="306" t="n"/>
      <c r="Q59" s="312">
        <f>IFERROR(R59/H59, 0)</f>
        <v/>
      </c>
      <c r="R59" s="307" t="n">
        <v>1617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140</v>
      </c>
      <c r="I60" s="311" t="inlineStr"/>
      <c r="J60" s="311" t="inlineStr"/>
      <c r="K60" s="309" t="inlineStr">
        <is>
          <t>12IN AIRFLOW GEL FOAM MATT QN</t>
        </is>
      </c>
      <c r="L60" s="310" t="inlineStr">
        <is>
          <t>ZU-MFMA1RZI-12Q</t>
        </is>
      </c>
      <c r="M60" s="311" t="inlineStr">
        <is>
          <t>8IR7XLUF</t>
        </is>
      </c>
      <c r="N60" s="309" t="inlineStr">
        <is>
          <t>F.MFM.12Q.011.AD</t>
        </is>
      </c>
      <c r="O60" s="306" t="n"/>
      <c r="P60" s="306" t="n"/>
      <c r="Q60" s="312">
        <f>IFERROR(R60/H60, 0)</f>
        <v/>
      </c>
      <c r="R60" s="307" t="n">
        <v>9459.799999999999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</v>
      </c>
      <c r="I61" s="311" t="inlineStr"/>
      <c r="J61" s="311" t="inlineStr"/>
      <c r="K61" s="309" t="inlineStr">
        <is>
          <t>5IN OPP HD TW</t>
        </is>
      </c>
      <c r="L61" s="310" t="inlineStr">
        <is>
          <t>ZU-MFMA1OZI-05T</t>
        </is>
      </c>
      <c r="M61" s="311" t="inlineStr">
        <is>
          <t>8P3HHLME</t>
        </is>
      </c>
      <c r="N61" s="309" t="inlineStr">
        <is>
          <t>F.MFM.05T.008.AD</t>
        </is>
      </c>
      <c r="O61" s="306" t="n"/>
      <c r="P61" s="306" t="n"/>
      <c r="Q61" s="312">
        <f>IFERROR(R61/H61, 0)</f>
        <v/>
      </c>
      <c r="R61" s="307" t="n">
        <v>23.95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335</v>
      </c>
      <c r="I62" s="311" t="inlineStr"/>
      <c r="J62" s="311" t="inlineStr"/>
      <c r="K62" s="309" t="inlineStr">
        <is>
          <t>6IN OPP HD TW</t>
        </is>
      </c>
      <c r="L62" s="310" t="inlineStr">
        <is>
          <t>ZU-MFMA1OZI-06T</t>
        </is>
      </c>
      <c r="M62" s="311" t="inlineStr">
        <is>
          <t>8P3HHLME</t>
        </is>
      </c>
      <c r="N62" s="309" t="inlineStr">
        <is>
          <t>F.MFM.06T.008.AD</t>
        </is>
      </c>
      <c r="O62" s="306" t="n"/>
      <c r="P62" s="306" t="n"/>
      <c r="Q62" s="312">
        <f>IFERROR(R62/H62, 0)</f>
        <v/>
      </c>
      <c r="R62" s="307" t="n">
        <v>9028.25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1</v>
      </c>
      <c r="I63" s="311" t="inlineStr"/>
      <c r="J63" s="311" t="inlineStr"/>
      <c r="K63" s="309" t="inlineStr">
        <is>
          <t>10IN OPP HD QN</t>
        </is>
      </c>
      <c r="L63" s="310" t="inlineStr">
        <is>
          <t>ZU-MFMA1OZI-10Q</t>
        </is>
      </c>
      <c r="M63" s="311" t="inlineStr">
        <is>
          <t>8P3HHLME</t>
        </is>
      </c>
      <c r="N63" s="309" t="inlineStr">
        <is>
          <t>F.MFM.10Q.013.AD</t>
        </is>
      </c>
      <c r="O63" s="306" t="n"/>
      <c r="P63" s="306" t="n"/>
      <c r="Q63" s="312">
        <f>IFERROR(R63/H63, 0)</f>
        <v/>
      </c>
      <c r="R63" s="307" t="n">
        <v>53.9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232</v>
      </c>
      <c r="I64" s="311" t="inlineStr"/>
      <c r="J64" s="311" t="inlineStr"/>
      <c r="K64" s="309" t="inlineStr">
        <is>
          <t>12IN AIRFLOW GEL FOAM MATT QN</t>
        </is>
      </c>
      <c r="L64" s="310" t="inlineStr">
        <is>
          <t>ZU-MFMA1RZI-12Q</t>
        </is>
      </c>
      <c r="M64" s="311" t="inlineStr">
        <is>
          <t>8P3HHLME</t>
        </is>
      </c>
      <c r="N64" s="309" t="inlineStr">
        <is>
          <t>F.MFM.12Q.011.AD</t>
        </is>
      </c>
      <c r="O64" s="306" t="n"/>
      <c r="P64" s="306" t="n"/>
      <c r="Q64" s="312">
        <f>IFERROR(R64/H64, 0)</f>
        <v/>
      </c>
      <c r="R64" s="307" t="n">
        <v>15676.24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</v>
      </c>
      <c r="I65" s="311" t="inlineStr"/>
      <c r="J65" s="311" t="inlineStr"/>
      <c r="K65" s="309" t="inlineStr">
        <is>
          <t>10IN GREEN TEA MF MATTRESS TW</t>
        </is>
      </c>
      <c r="L65" s="310" t="inlineStr">
        <is>
          <t>ZU-MFMA1ZZI-10T</t>
        </is>
      </c>
      <c r="M65" s="311" t="inlineStr">
        <is>
          <t>8P3HHLME</t>
        </is>
      </c>
      <c r="N65" s="309" t="inlineStr">
        <is>
          <t>F.MFM.10T.007.AD</t>
        </is>
      </c>
      <c r="O65" s="306" t="n"/>
      <c r="P65" s="306" t="n"/>
      <c r="Q65" s="312">
        <f>IFERROR(R65/H65, 0)</f>
        <v/>
      </c>
      <c r="R65" s="307" t="n">
        <v>1546.72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7.1" customHeight="1" s="223">
      <c r="A66" s="325" t="n"/>
      <c r="B66" s="326" t="n"/>
      <c r="C66" s="327" t="n"/>
      <c r="D66" s="327" t="n"/>
      <c r="E66" s="328" t="n"/>
      <c r="F66" s="328" t="n"/>
      <c r="G66" s="328" t="n"/>
      <c r="H66" s="329">
        <f>SUM(H19:H65)</f>
        <v/>
      </c>
      <c r="I66" s="330">
        <f>COUNTA(I19:I65)</f>
        <v/>
      </c>
      <c r="J66" s="329" t="n"/>
      <c r="K66" s="329" t="n"/>
      <c r="L66" s="331" t="n"/>
      <c r="M66" s="329" t="n"/>
      <c r="N66" s="329" t="n"/>
      <c r="O66" s="332">
        <f>SUM(O19:O65)</f>
        <v/>
      </c>
      <c r="P66" s="332">
        <f>SUM(P19:P65)</f>
        <v/>
      </c>
      <c r="Q66" s="333" t="n"/>
      <c r="R66" s="334">
        <f>SUM(R19:R65)</f>
        <v/>
      </c>
      <c r="S66" s="335" t="n"/>
      <c r="T66" s="335">
        <f>SUM(T19:T65)</f>
        <v/>
      </c>
      <c r="U66" s="329" t="n"/>
      <c r="V66" s="336" t="n"/>
      <c r="W66" s="337" t="n"/>
      <c r="X66" s="336" t="n"/>
      <c r="Y66" s="336" t="n"/>
      <c r="Z66" s="336" t="n"/>
    </row>
    <row r="67" ht="16.5" customHeight="1" s="223">
      <c r="A67" s="322">
        <f>COUNT(A12:A66)</f>
        <v/>
      </c>
      <c r="B67" s="324" t="n"/>
      <c r="C67" s="304" t="n"/>
      <c r="D67" s="304" t="n"/>
      <c r="E67" s="317" t="n"/>
      <c r="F67" s="320" t="n"/>
      <c r="G67" s="317" t="n"/>
      <c r="H67" s="311">
        <f>SUM(H14,H18,H66)</f>
        <v/>
      </c>
      <c r="I67" s="311">
        <f>SUM(I14,I18,I66)</f>
        <v/>
      </c>
      <c r="J67" s="311" t="n"/>
      <c r="K67" s="309" t="n"/>
      <c r="L67" s="310" t="n"/>
      <c r="M67" s="311" t="n"/>
      <c r="N67" s="309" t="n"/>
      <c r="O67" s="306">
        <f>SUM(O14,O18,O66)</f>
        <v/>
      </c>
      <c r="P67" s="306">
        <f>SUM(P14,P18,P66)</f>
        <v/>
      </c>
      <c r="Q67" s="312" t="n"/>
      <c r="R67" s="307">
        <f>SUM(R14,R18,R66)</f>
        <v/>
      </c>
      <c r="S67" s="308" t="n"/>
      <c r="T67" s="308">
        <f>SUM(T14,T18,T66)</f>
        <v/>
      </c>
      <c r="U67" s="313" t="n"/>
      <c r="V67" s="315" t="n"/>
      <c r="W67" s="316" t="n"/>
      <c r="X67" s="311" t="n"/>
      <c r="Y67" s="315" t="n"/>
      <c r="Z67" s="317" t="n"/>
    </row>
    <row r="68"/>
    <row r="69" ht="20" customHeight="1" s="223">
      <c r="B69" s="338" t="inlineStr">
        <is>
          <t>Total Qty Export :</t>
        </is>
      </c>
      <c r="C69" s="339">
        <f>H67-C70</f>
        <v/>
      </c>
    </row>
    <row r="70" ht="20" customHeight="1" s="223">
      <c r="B70" s="340" t="inlineStr">
        <is>
          <t>Total Qty Export Sample :</t>
        </is>
      </c>
      <c r="C70" s="341" t="n">
        <v>0</v>
      </c>
    </row>
    <row r="71"/>
    <row r="72" ht="20" customHeight="1" s="223">
      <c r="U72" s="340" t="inlineStr">
        <is>
          <t>Tangerang, 02 August 2026</t>
        </is>
      </c>
    </row>
    <row r="73" ht="20" customHeight="1" s="223">
      <c r="A73" s="342" t="inlineStr">
        <is>
          <t>Total Document</t>
        </is>
      </c>
      <c r="C73" s="342">
        <f>A67</f>
        <v/>
      </c>
      <c r="U73" s="340" t="inlineStr">
        <is>
          <t>Kasubsi Hanggar Pabean dan Cukai</t>
        </is>
      </c>
    </row>
    <row r="74" ht="20" customHeight="1" s="223">
      <c r="A74" s="342" t="inlineStr">
        <is>
          <t>Gross Weight</t>
        </is>
      </c>
      <c r="C74" s="342">
        <f>O67</f>
        <v/>
      </c>
    </row>
    <row r="75" ht="20" customHeight="1" s="223">
      <c r="A75" s="342" t="inlineStr">
        <is>
          <t>Nett Weight</t>
        </is>
      </c>
      <c r="C75" s="342">
        <f>P67</f>
        <v/>
      </c>
    </row>
    <row r="76" ht="20" customHeight="1" s="223">
      <c r="A76" s="342" t="inlineStr">
        <is>
          <t>Amount</t>
        </is>
      </c>
      <c r="C76" s="342">
        <f>R67</f>
        <v/>
      </c>
    </row>
    <row r="77" ht="20" customHeight="1" s="223">
      <c r="A77" s="342" t="inlineStr">
        <is>
          <t>Jumlah Container</t>
        </is>
      </c>
      <c r="C77" s="342">
        <f>I67</f>
        <v/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2026-08-02T13:45:29Z</dcterms:modified>
  <cp:lastModifiedBy>Chiswa Dian Hermansyah(ZINUS ZDI)</cp:lastModifiedBy>
</cp:coreProperties>
</file>