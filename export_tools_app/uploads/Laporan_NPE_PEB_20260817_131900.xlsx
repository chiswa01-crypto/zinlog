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7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173" fontId="30" fillId="0" borderId="0" applyAlignment="1" pivotButton="0" quotePrefix="0" xfId="0">
      <alignment horizontal="left" vertical="center"/>
    </xf>
    <xf numFmtId="174" fontId="30" fillId="0" borderId="0" applyAlignment="1" pivotButton="0" quotePrefix="0" xfId="0">
      <alignment horizontal="left" vertical="center"/>
    </xf>
    <xf numFmtId="175" fontId="30" fillId="0" borderId="0" applyAlignment="1" pivotButton="0" quotePrefix="0" xfId="0">
      <alignment horizontal="left" vertical="center"/>
    </xf>
    <xf numFmtId="176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left" vertical="center"/>
    </xf>
    <xf numFmtId="178" fontId="30" fillId="0" borderId="0" applyAlignment="1" pivotButton="0" quotePrefix="0" xfId="0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000030ZIK48020260807000591</t>
        </is>
      </c>
      <c r="C12" s="245" t="inlineStr">
        <is>
          <t>498801</t>
        </is>
      </c>
      <c r="D12" s="245" t="inlineStr">
        <is>
          <t>498821</t>
        </is>
      </c>
      <c r="E12" s="247" t="n">
        <v>46244</v>
      </c>
      <c r="F12" s="246" t="inlineStr">
        <is>
          <t>ID2608-8071</t>
        </is>
      </c>
      <c r="G12" s="247" t="n">
        <v>46241</v>
      </c>
      <c r="H12" s="248" t="n">
        <v>900</v>
      </c>
      <c r="I12" s="246" t="inlineStr">
        <is>
          <t>TGBU4173611</t>
        </is>
      </c>
      <c r="J12" s="245" t="inlineStr">
        <is>
          <t>40</t>
        </is>
      </c>
      <c r="K12" s="246" t="inlineStr">
        <is>
          <t>MATTRESS</t>
        </is>
      </c>
      <c r="L12" s="246" t="inlineStr">
        <is>
          <t>SKU123</t>
        </is>
      </c>
      <c r="M12" s="249" t="inlineStr">
        <is>
          <t>PO123</t>
        </is>
      </c>
      <c r="N12" s="245" t="inlineStr">
        <is>
          <t>F123</t>
        </is>
      </c>
      <c r="O12" s="250" t="n">
        <v>15000</v>
      </c>
      <c r="P12" s="250" t="n">
        <v>14000</v>
      </c>
      <c r="Q12" s="251">
        <f>R12/H12</f>
        <v/>
      </c>
      <c r="R12" s="252" t="n">
        <v>50000</v>
      </c>
      <c r="S12" s="250" t="n">
        <v>16000</v>
      </c>
      <c r="T12" s="253">
        <f>S12*R12</f>
        <v/>
      </c>
      <c r="U12" s="246" t="inlineStr">
        <is>
          <t>KPPBC TMP A TANGERANG</t>
        </is>
      </c>
      <c r="V12" s="246" t="inlineStr">
        <is>
          <t>TANJUNG PRIOK</t>
        </is>
      </c>
      <c r="W12" s="245" t="inlineStr">
        <is>
          <t>US</t>
        </is>
      </c>
      <c r="X12" s="246" t="inlineStr">
        <is>
          <t>ZINUS INC</t>
        </is>
      </c>
      <c r="Y12" s="246" t="inlineStr">
        <is>
          <t>BL12345</t>
        </is>
      </c>
      <c r="Z12" s="247" t="n">
        <v>46245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6" t="inlineStr">
        <is>
          <t>TXGU5270291</t>
        </is>
      </c>
      <c r="J13" s="245" t="inlineStr">
        <is>
          <t>40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/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16.5" customFormat="1" customHeight="1" s="244">
      <c r="A15" s="245" t="n">
        <v>2</v>
      </c>
      <c r="B15" s="246" t="inlineStr">
        <is>
          <t>000030ZIK48020260807000592</t>
        </is>
      </c>
      <c r="C15" s="245" t="inlineStr">
        <is>
          <t>498802</t>
        </is>
      </c>
      <c r="D15" s="245" t="inlineStr">
        <is>
          <t>498822</t>
        </is>
      </c>
      <c r="E15" s="247" t="n">
        <v>46244</v>
      </c>
      <c r="F15" s="246" t="inlineStr">
        <is>
          <t>ID2608-8072</t>
        </is>
      </c>
      <c r="G15" s="247" t="n">
        <v>46241</v>
      </c>
      <c r="H15" s="248" t="n">
        <v>900</v>
      </c>
      <c r="I15" s="246" t="inlineStr">
        <is>
          <t>TGBU4173611</t>
        </is>
      </c>
      <c r="J15" s="245" t="inlineStr">
        <is>
          <t>40</t>
        </is>
      </c>
      <c r="K15" s="246" t="inlineStr">
        <is>
          <t>MATTRESS</t>
        </is>
      </c>
      <c r="L15" s="246" t="inlineStr">
        <is>
          <t>SKU123</t>
        </is>
      </c>
      <c r="M15" s="249" t="inlineStr">
        <is>
          <t>PO123</t>
        </is>
      </c>
      <c r="N15" s="245" t="inlineStr">
        <is>
          <t>F123</t>
        </is>
      </c>
      <c r="O15" s="250" t="n">
        <v>15000</v>
      </c>
      <c r="P15" s="250" t="n">
        <v>14000</v>
      </c>
      <c r="Q15" s="251">
        <f>R15/H15</f>
        <v/>
      </c>
      <c r="R15" s="252" t="n">
        <v>50000</v>
      </c>
      <c r="S15" s="250" t="n">
        <v>16000</v>
      </c>
      <c r="T15" s="253">
        <f>S15*R15</f>
        <v/>
      </c>
      <c r="U15" s="246" t="inlineStr">
        <is>
          <t>KPPBC TMP A TANGERANG</t>
        </is>
      </c>
      <c r="V15" s="246" t="inlineStr">
        <is>
          <t>TANJUNG PRIOK</t>
        </is>
      </c>
      <c r="W15" s="245" t="inlineStr">
        <is>
          <t>US</t>
        </is>
      </c>
      <c r="X15" s="246" t="inlineStr">
        <is>
          <t>ZINUS INC</t>
        </is>
      </c>
      <c r="Y15" s="246" t="inlineStr">
        <is>
          <t>BL12345</t>
        </is>
      </c>
      <c r="Z15" s="247" t="n">
        <v>46245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6" t="inlineStr">
        <is>
          <t>TXGU5270291</t>
        </is>
      </c>
      <c r="J16" s="245" t="inlineStr">
        <is>
          <t>40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/>
      <c r="X16" s="245" t="n"/>
      <c r="Y16" s="245" t="n"/>
      <c r="Z16" s="245" t="n"/>
    </row>
    <row r="17" ht="17.1" customFormat="1" customHeight="1" s="259">
      <c r="A17" s="254" t="n"/>
      <c r="B17" s="254" t="n"/>
      <c r="C17" s="254" t="n"/>
      <c r="D17" s="254" t="n"/>
      <c r="E17" s="254" t="n"/>
      <c r="F17" s="254" t="n"/>
      <c r="G17" s="254" t="n"/>
      <c r="H17" s="255">
        <f>SUM(H15:H16)</f>
        <v/>
      </c>
      <c r="I17" s="254">
        <f>COUNTA(I15:I16)</f>
        <v/>
      </c>
      <c r="J17" s="254" t="n"/>
      <c r="K17" s="254" t="n"/>
      <c r="L17" s="254" t="n"/>
      <c r="M17" s="254" t="n"/>
      <c r="N17" s="254" t="n"/>
      <c r="O17" s="256">
        <f>SUM(O15:O16)</f>
        <v/>
      </c>
      <c r="P17" s="256">
        <f>SUM(P15:P16)</f>
        <v/>
      </c>
      <c r="Q17" s="254" t="n"/>
      <c r="R17" s="257">
        <f>SUM(R15:R16)</f>
        <v/>
      </c>
      <c r="S17" s="254" t="n"/>
      <c r="T17" s="258">
        <f>SUM(T15:T16)</f>
        <v/>
      </c>
      <c r="U17" s="254" t="n"/>
      <c r="V17" s="254" t="n"/>
      <c r="W17" s="254" t="n"/>
      <c r="X17" s="254" t="n"/>
      <c r="Y17" s="254" t="n"/>
      <c r="Z17" s="254" t="n"/>
    </row>
    <row r="18" ht="16.5" customHeight="1" s="202" thickBot="1">
      <c r="A18" s="245" t="n">
        <v>3</v>
      </c>
      <c r="B18" s="246" t="inlineStr">
        <is>
          <t>000030ZIK48020260807000593</t>
        </is>
      </c>
      <c r="C18" s="245" t="inlineStr">
        <is>
          <t>498803</t>
        </is>
      </c>
      <c r="D18" s="245" t="inlineStr">
        <is>
          <t>498823</t>
        </is>
      </c>
      <c r="E18" s="247" t="n">
        <v>46244</v>
      </c>
      <c r="F18" s="246" t="inlineStr">
        <is>
          <t>ID2608-8073</t>
        </is>
      </c>
      <c r="G18" s="247" t="n">
        <v>46241</v>
      </c>
      <c r="H18" s="248" t="n">
        <v>900</v>
      </c>
      <c r="I18" s="246" t="inlineStr">
        <is>
          <t>TGBU4173611</t>
        </is>
      </c>
      <c r="J18" s="245" t="inlineStr">
        <is>
          <t>40</t>
        </is>
      </c>
      <c r="K18" s="246" t="inlineStr">
        <is>
          <t>MATTRESS</t>
        </is>
      </c>
      <c r="L18" s="246" t="inlineStr">
        <is>
          <t>SKU123</t>
        </is>
      </c>
      <c r="M18" s="249" t="inlineStr">
        <is>
          <t>PO123</t>
        </is>
      </c>
      <c r="N18" s="245" t="inlineStr">
        <is>
          <t>F123</t>
        </is>
      </c>
      <c r="O18" s="250" t="n">
        <v>15000</v>
      </c>
      <c r="P18" s="250" t="n">
        <v>14000</v>
      </c>
      <c r="Q18" s="251">
        <f>R18/H18</f>
        <v/>
      </c>
      <c r="R18" s="252" t="n">
        <v>50000</v>
      </c>
      <c r="S18" s="250" t="n">
        <v>16000</v>
      </c>
      <c r="T18" s="253">
        <f>S18*R18</f>
        <v/>
      </c>
      <c r="U18" s="246" t="inlineStr">
        <is>
          <t>KPPBC TMP A TANGERANG</t>
        </is>
      </c>
      <c r="V18" s="246" t="inlineStr">
        <is>
          <t>TANJUNG PRIOK</t>
        </is>
      </c>
      <c r="W18" s="245" t="inlineStr">
        <is>
          <t>US</t>
        </is>
      </c>
      <c r="X18" s="246" t="inlineStr">
        <is>
          <t>ZINUS INC</t>
        </is>
      </c>
      <c r="Y18" s="246" t="inlineStr">
        <is>
          <t>BL12345</t>
        </is>
      </c>
      <c r="Z18" s="247" t="n">
        <v>46245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5" t="n"/>
      <c r="I19" s="246" t="inlineStr">
        <is>
          <t>TXGU5270291</t>
        </is>
      </c>
      <c r="J19" s="245" t="inlineStr">
        <is>
          <t>40</t>
        </is>
      </c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inlineStr"/>
      <c r="X19" s="245" t="n"/>
      <c r="Y19" s="245" t="n"/>
      <c r="Z19" s="245" t="n"/>
    </row>
    <row r="20" ht="17.1" customHeight="1" s="202">
      <c r="A20" s="254" t="n"/>
      <c r="B20" s="254" t="n"/>
      <c r="C20" s="254" t="n"/>
      <c r="D20" s="254" t="n"/>
      <c r="E20" s="254" t="n"/>
      <c r="F20" s="254" t="n"/>
      <c r="G20" s="254" t="n"/>
      <c r="H20" s="255">
        <f>SUM(H18:H19)</f>
        <v/>
      </c>
      <c r="I20" s="254">
        <f>COUNTA(I18:I19)</f>
        <v/>
      </c>
      <c r="J20" s="254" t="n"/>
      <c r="K20" s="254" t="n"/>
      <c r="L20" s="254" t="n"/>
      <c r="M20" s="254" t="n"/>
      <c r="N20" s="254" t="n"/>
      <c r="O20" s="256">
        <f>SUM(O18:O19)</f>
        <v/>
      </c>
      <c r="P20" s="256">
        <f>SUM(P18:P19)</f>
        <v/>
      </c>
      <c r="Q20" s="254" t="n"/>
      <c r="R20" s="257">
        <f>SUM(R18:R19)</f>
        <v/>
      </c>
      <c r="S20" s="254" t="n"/>
      <c r="T20" s="258">
        <f>SUM(T18:T19)</f>
        <v/>
      </c>
      <c r="U20" s="254" t="n"/>
      <c r="V20" s="254" t="n"/>
      <c r="W20" s="254" t="n"/>
      <c r="X20" s="254" t="n"/>
      <c r="Y20" s="254" t="n"/>
      <c r="Z20" s="254" t="n"/>
    </row>
    <row r="21" ht="16.5" customHeight="1" s="202">
      <c r="A21" s="245" t="n">
        <v>4</v>
      </c>
      <c r="B21" s="246" t="inlineStr">
        <is>
          <t>000030ZIK48020260807000594</t>
        </is>
      </c>
      <c r="C21" s="245" t="inlineStr">
        <is>
          <t>498804</t>
        </is>
      </c>
      <c r="D21" s="245" t="inlineStr">
        <is>
          <t>498824</t>
        </is>
      </c>
      <c r="E21" s="247" t="n">
        <v>46244</v>
      </c>
      <c r="F21" s="246" t="inlineStr">
        <is>
          <t>ID2608-8074</t>
        </is>
      </c>
      <c r="G21" s="247" t="n">
        <v>46241</v>
      </c>
      <c r="H21" s="248" t="n">
        <v>900</v>
      </c>
      <c r="I21" s="246" t="inlineStr">
        <is>
          <t>TGBU4173611</t>
        </is>
      </c>
      <c r="J21" s="245" t="inlineStr">
        <is>
          <t>40</t>
        </is>
      </c>
      <c r="K21" s="246" t="inlineStr">
        <is>
          <t>MATTRESS</t>
        </is>
      </c>
      <c r="L21" s="246" t="inlineStr">
        <is>
          <t>SKU123</t>
        </is>
      </c>
      <c r="M21" s="249" t="inlineStr">
        <is>
          <t>PO123</t>
        </is>
      </c>
      <c r="N21" s="245" t="inlineStr">
        <is>
          <t>F123</t>
        </is>
      </c>
      <c r="O21" s="250" t="n">
        <v>15000</v>
      </c>
      <c r="P21" s="250" t="n">
        <v>14000</v>
      </c>
      <c r="Q21" s="251">
        <f>R21/H21</f>
        <v/>
      </c>
      <c r="R21" s="252" t="n">
        <v>50000</v>
      </c>
      <c r="S21" s="250" t="n">
        <v>16000</v>
      </c>
      <c r="T21" s="253">
        <f>S21*R21</f>
        <v/>
      </c>
      <c r="U21" s="246" t="inlineStr">
        <is>
          <t>KPPBC TMP A TANGERANG</t>
        </is>
      </c>
      <c r="V21" s="246" t="inlineStr">
        <is>
          <t>TANJUNG PRIOK</t>
        </is>
      </c>
      <c r="W21" s="245" t="inlineStr">
        <is>
          <t>US</t>
        </is>
      </c>
      <c r="X21" s="246" t="inlineStr">
        <is>
          <t>ZINUS INC</t>
        </is>
      </c>
      <c r="Y21" s="246" t="inlineStr">
        <is>
          <t>BL12345</t>
        </is>
      </c>
      <c r="Z21" s="247" t="n">
        <v>46245</v>
      </c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5" t="n"/>
      <c r="I22" s="246" t="inlineStr">
        <is>
          <t>TXGU5270291</t>
        </is>
      </c>
      <c r="J22" s="245" t="inlineStr">
        <is>
          <t>40</t>
        </is>
      </c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inlineStr"/>
      <c r="X22" s="245" t="n"/>
      <c r="Y22" s="245" t="n"/>
      <c r="Z22" s="245" t="n"/>
    </row>
    <row r="23" ht="17.1" customHeight="1" s="202" thickBot="1">
      <c r="A23" s="254" t="n"/>
      <c r="B23" s="254" t="n"/>
      <c r="C23" s="254" t="n"/>
      <c r="D23" s="254" t="n"/>
      <c r="E23" s="254" t="n"/>
      <c r="F23" s="254" t="n"/>
      <c r="G23" s="254" t="n"/>
      <c r="H23" s="255">
        <f>SUM(H21:H22)</f>
        <v/>
      </c>
      <c r="I23" s="254">
        <f>COUNTA(I21:I22)</f>
        <v/>
      </c>
      <c r="J23" s="254" t="n"/>
      <c r="K23" s="254" t="n"/>
      <c r="L23" s="254" t="n"/>
      <c r="M23" s="254" t="n"/>
      <c r="N23" s="254" t="n"/>
      <c r="O23" s="256">
        <f>SUM(O21:O22)</f>
        <v/>
      </c>
      <c r="P23" s="256">
        <f>SUM(P21:P22)</f>
        <v/>
      </c>
      <c r="Q23" s="254" t="n"/>
      <c r="R23" s="257">
        <f>SUM(R21:R22)</f>
        <v/>
      </c>
      <c r="S23" s="254" t="n"/>
      <c r="T23" s="258">
        <f>SUM(T21:T22)</f>
        <v/>
      </c>
      <c r="U23" s="254" t="n"/>
      <c r="V23" s="254" t="n"/>
      <c r="W23" s="254" t="n"/>
      <c r="X23" s="254" t="n"/>
      <c r="Y23" s="254" t="n"/>
      <c r="Z23" s="254" t="n"/>
    </row>
    <row r="24" ht="16.5" customHeight="1" s="202" thickTop="1">
      <c r="A24" s="245" t="n">
        <v>5</v>
      </c>
      <c r="B24" s="246" t="inlineStr">
        <is>
          <t>000030ZIK48020260807000595</t>
        </is>
      </c>
      <c r="C24" s="245" t="inlineStr">
        <is>
          <t>498805</t>
        </is>
      </c>
      <c r="D24" s="245" t="inlineStr">
        <is>
          <t>498825</t>
        </is>
      </c>
      <c r="E24" s="247" t="n">
        <v>46244</v>
      </c>
      <c r="F24" s="246" t="inlineStr">
        <is>
          <t>ID2608-8075</t>
        </is>
      </c>
      <c r="G24" s="247" t="n">
        <v>46241</v>
      </c>
      <c r="H24" s="248" t="n">
        <v>900</v>
      </c>
      <c r="I24" s="246" t="inlineStr">
        <is>
          <t>TGBU4173611</t>
        </is>
      </c>
      <c r="J24" s="245" t="inlineStr">
        <is>
          <t>40</t>
        </is>
      </c>
      <c r="K24" s="246" t="inlineStr">
        <is>
          <t>MATTRESS</t>
        </is>
      </c>
      <c r="L24" s="246" t="inlineStr">
        <is>
          <t>SKU123</t>
        </is>
      </c>
      <c r="M24" s="249" t="inlineStr">
        <is>
          <t>PO123</t>
        </is>
      </c>
      <c r="N24" s="245" t="inlineStr">
        <is>
          <t>F123</t>
        </is>
      </c>
      <c r="O24" s="250" t="n">
        <v>15000</v>
      </c>
      <c r="P24" s="250" t="n">
        <v>14000</v>
      </c>
      <c r="Q24" s="251">
        <f>R24/H24</f>
        <v/>
      </c>
      <c r="R24" s="252" t="n">
        <v>50000</v>
      </c>
      <c r="S24" s="250" t="n">
        <v>16000</v>
      </c>
      <c r="T24" s="253">
        <f>S24*R24</f>
        <v/>
      </c>
      <c r="U24" s="246" t="inlineStr">
        <is>
          <t>KPPBC TMP A TANGERANG</t>
        </is>
      </c>
      <c r="V24" s="246" t="inlineStr">
        <is>
          <t>TANJUNG PRIOK</t>
        </is>
      </c>
      <c r="W24" s="245" t="inlineStr">
        <is>
          <t>US</t>
        </is>
      </c>
      <c r="X24" s="246" t="inlineStr">
        <is>
          <t>ZINUS INC</t>
        </is>
      </c>
      <c r="Y24" s="246" t="inlineStr">
        <is>
          <t>BL12345</t>
        </is>
      </c>
      <c r="Z24" s="247" t="n">
        <v>46245</v>
      </c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5" t="n"/>
      <c r="I25" s="246" t="inlineStr">
        <is>
          <t>TXGU5270291</t>
        </is>
      </c>
      <c r="J25" s="245" t="inlineStr">
        <is>
          <t>40</t>
        </is>
      </c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inlineStr"/>
      <c r="X25" s="245" t="n"/>
      <c r="Y25" s="245" t="n"/>
      <c r="Z25" s="245" t="n"/>
    </row>
    <row r="26" ht="17.1" customHeight="1" s="202">
      <c r="A26" s="254" t="n"/>
      <c r="B26" s="254" t="n"/>
      <c r="C26" s="254" t="n"/>
      <c r="D26" s="254" t="n"/>
      <c r="E26" s="254" t="n"/>
      <c r="F26" s="254" t="n"/>
      <c r="G26" s="254" t="n"/>
      <c r="H26" s="255">
        <f>SUM(H24:H25)</f>
        <v/>
      </c>
      <c r="I26" s="254">
        <f>COUNTA(I24:I25)</f>
        <v/>
      </c>
      <c r="J26" s="254" t="n"/>
      <c r="K26" s="254" t="n"/>
      <c r="L26" s="254" t="n"/>
      <c r="M26" s="254" t="n"/>
      <c r="N26" s="254" t="n"/>
      <c r="O26" s="256">
        <f>SUM(O24:O25)</f>
        <v/>
      </c>
      <c r="P26" s="256">
        <f>SUM(P24:P25)</f>
        <v/>
      </c>
      <c r="Q26" s="254" t="n"/>
      <c r="R26" s="257">
        <f>SUM(R24:R25)</f>
        <v/>
      </c>
      <c r="S26" s="254" t="n"/>
      <c r="T26" s="258">
        <f>SUM(T24:T25)</f>
        <v/>
      </c>
      <c r="U26" s="254" t="n"/>
      <c r="V26" s="254" t="n"/>
      <c r="W26" s="254" t="n"/>
      <c r="X26" s="254" t="n"/>
      <c r="Y26" s="254" t="n"/>
      <c r="Z26" s="254" t="n"/>
    </row>
    <row r="27" ht="16.5" customHeight="1" s="202">
      <c r="A27" s="245" t="n">
        <v>6</v>
      </c>
      <c r="B27" s="246" t="inlineStr">
        <is>
          <t>000030ZIK48020260807000596</t>
        </is>
      </c>
      <c r="C27" s="245" t="inlineStr">
        <is>
          <t>498806</t>
        </is>
      </c>
      <c r="D27" s="245" t="inlineStr">
        <is>
          <t>498826</t>
        </is>
      </c>
      <c r="E27" s="247" t="n">
        <v>46244</v>
      </c>
      <c r="F27" s="246" t="inlineStr">
        <is>
          <t>ID2608-8076</t>
        </is>
      </c>
      <c r="G27" s="247" t="n">
        <v>46241</v>
      </c>
      <c r="H27" s="248" t="n">
        <v>900</v>
      </c>
      <c r="I27" s="246" t="inlineStr">
        <is>
          <t>TGBU4173611</t>
        </is>
      </c>
      <c r="J27" s="245" t="inlineStr">
        <is>
          <t>40</t>
        </is>
      </c>
      <c r="K27" s="246" t="inlineStr">
        <is>
          <t>MATTRESS</t>
        </is>
      </c>
      <c r="L27" s="246" t="inlineStr">
        <is>
          <t>SKU123</t>
        </is>
      </c>
      <c r="M27" s="249" t="inlineStr">
        <is>
          <t>PO123</t>
        </is>
      </c>
      <c r="N27" s="245" t="inlineStr">
        <is>
          <t>F123</t>
        </is>
      </c>
      <c r="O27" s="250" t="n">
        <v>15000</v>
      </c>
      <c r="P27" s="250" t="n">
        <v>14000</v>
      </c>
      <c r="Q27" s="251">
        <f>R27/H27</f>
        <v/>
      </c>
      <c r="R27" s="252" t="n">
        <v>50000</v>
      </c>
      <c r="S27" s="250" t="n">
        <v>16000</v>
      </c>
      <c r="T27" s="253">
        <f>S27*R27</f>
        <v/>
      </c>
      <c r="U27" s="246" t="inlineStr">
        <is>
          <t>KPPBC TMP A TANGERANG</t>
        </is>
      </c>
      <c r="V27" s="246" t="inlineStr">
        <is>
          <t>TANJUNG PRIOK</t>
        </is>
      </c>
      <c r="W27" s="245" t="inlineStr">
        <is>
          <t>US</t>
        </is>
      </c>
      <c r="X27" s="246" t="inlineStr">
        <is>
          <t>ZINUS INC</t>
        </is>
      </c>
      <c r="Y27" s="246" t="inlineStr">
        <is>
          <t>BL12345</t>
        </is>
      </c>
      <c r="Z27" s="247" t="n">
        <v>46245</v>
      </c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5" t="n"/>
      <c r="I28" s="246" t="inlineStr">
        <is>
          <t>TXGU5270291</t>
        </is>
      </c>
      <c r="J28" s="245" t="inlineStr">
        <is>
          <t>40</t>
        </is>
      </c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inlineStr"/>
      <c r="X28" s="245" t="n"/>
      <c r="Y28" s="245" t="n"/>
      <c r="Z28" s="245" t="n"/>
    </row>
    <row r="29" ht="17.1" customHeight="1" s="202">
      <c r="A29" s="254" t="n"/>
      <c r="B29" s="254" t="n"/>
      <c r="C29" s="254" t="n"/>
      <c r="D29" s="254" t="n"/>
      <c r="E29" s="254" t="n"/>
      <c r="F29" s="254" t="n"/>
      <c r="G29" s="254" t="n"/>
      <c r="H29" s="255">
        <f>SUM(H27:H28)</f>
        <v/>
      </c>
      <c r="I29" s="254">
        <f>COUNTA(I27:I28)</f>
        <v/>
      </c>
      <c r="J29" s="254" t="n"/>
      <c r="K29" s="254" t="n"/>
      <c r="L29" s="254" t="n"/>
      <c r="M29" s="254" t="n"/>
      <c r="N29" s="254" t="n"/>
      <c r="O29" s="256">
        <f>SUM(O27:O28)</f>
        <v/>
      </c>
      <c r="P29" s="256">
        <f>SUM(P27:P28)</f>
        <v/>
      </c>
      <c r="Q29" s="254" t="n"/>
      <c r="R29" s="257">
        <f>SUM(R27:R28)</f>
        <v/>
      </c>
      <c r="S29" s="254" t="n"/>
      <c r="T29" s="258">
        <f>SUM(T27:T28)</f>
        <v/>
      </c>
      <c r="U29" s="254" t="n"/>
      <c r="V29" s="254" t="n"/>
      <c r="W29" s="254" t="n"/>
      <c r="X29" s="254" t="n"/>
      <c r="Y29" s="254" t="n"/>
      <c r="Z29" s="254" t="n"/>
    </row>
    <row r="30" ht="16.5" customHeight="1" s="202">
      <c r="A30" s="245" t="n">
        <v>7</v>
      </c>
      <c r="B30" s="246" t="inlineStr">
        <is>
          <t>000030ZIK48020260807000597</t>
        </is>
      </c>
      <c r="C30" s="245" t="inlineStr">
        <is>
          <t>498807</t>
        </is>
      </c>
      <c r="D30" s="245" t="inlineStr">
        <is>
          <t>498827</t>
        </is>
      </c>
      <c r="E30" s="247" t="n">
        <v>46244</v>
      </c>
      <c r="F30" s="246" t="inlineStr">
        <is>
          <t>ID2608-8077</t>
        </is>
      </c>
      <c r="G30" s="247" t="n">
        <v>46241</v>
      </c>
      <c r="H30" s="248" t="n">
        <v>900</v>
      </c>
      <c r="I30" s="246" t="inlineStr">
        <is>
          <t>TGBU4173611</t>
        </is>
      </c>
      <c r="J30" s="245" t="inlineStr">
        <is>
          <t>40</t>
        </is>
      </c>
      <c r="K30" s="246" t="inlineStr">
        <is>
          <t>MATTRESS</t>
        </is>
      </c>
      <c r="L30" s="246" t="inlineStr">
        <is>
          <t>SKU123</t>
        </is>
      </c>
      <c r="M30" s="249" t="inlineStr">
        <is>
          <t>PO123</t>
        </is>
      </c>
      <c r="N30" s="245" t="inlineStr">
        <is>
          <t>F123</t>
        </is>
      </c>
      <c r="O30" s="250" t="n">
        <v>15000</v>
      </c>
      <c r="P30" s="250" t="n">
        <v>14000</v>
      </c>
      <c r="Q30" s="251">
        <f>R30/H30</f>
        <v/>
      </c>
      <c r="R30" s="252" t="n">
        <v>50000</v>
      </c>
      <c r="S30" s="250" t="n">
        <v>16000</v>
      </c>
      <c r="T30" s="253">
        <f>S30*R30</f>
        <v/>
      </c>
      <c r="U30" s="246" t="inlineStr">
        <is>
          <t>KPPBC TMP A TANGERANG</t>
        </is>
      </c>
      <c r="V30" s="246" t="inlineStr">
        <is>
          <t>TANJUNG PRIOK</t>
        </is>
      </c>
      <c r="W30" s="245" t="inlineStr">
        <is>
          <t>US</t>
        </is>
      </c>
      <c r="X30" s="246" t="inlineStr">
        <is>
          <t>ZINUS INC</t>
        </is>
      </c>
      <c r="Y30" s="246" t="inlineStr">
        <is>
          <t>BL12345</t>
        </is>
      </c>
      <c r="Z30" s="247" t="n">
        <v>46245</v>
      </c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5" t="n"/>
      <c r="I31" s="246" t="inlineStr">
        <is>
          <t>TXGU5270291</t>
        </is>
      </c>
      <c r="J31" s="245" t="inlineStr">
        <is>
          <t>40</t>
        </is>
      </c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inlineStr"/>
      <c r="X31" s="245" t="n"/>
      <c r="Y31" s="245" t="n"/>
      <c r="Z31" s="245" t="n"/>
    </row>
    <row r="32" ht="17.1" customHeight="1" s="202" thickBot="1">
      <c r="A32" s="254" t="n"/>
      <c r="B32" s="254" t="n"/>
      <c r="C32" s="254" t="n"/>
      <c r="D32" s="254" t="n"/>
      <c r="E32" s="254" t="n"/>
      <c r="F32" s="254" t="n"/>
      <c r="G32" s="254" t="n"/>
      <c r="H32" s="255">
        <f>SUM(H30:H31)</f>
        <v/>
      </c>
      <c r="I32" s="254">
        <f>COUNTA(I30:I31)</f>
        <v/>
      </c>
      <c r="J32" s="254" t="n"/>
      <c r="K32" s="254" t="n"/>
      <c r="L32" s="254" t="n"/>
      <c r="M32" s="254" t="n"/>
      <c r="N32" s="254" t="n"/>
      <c r="O32" s="256">
        <f>SUM(O30:O31)</f>
        <v/>
      </c>
      <c r="P32" s="256">
        <f>SUM(P30:P31)</f>
        <v/>
      </c>
      <c r="Q32" s="254" t="n"/>
      <c r="R32" s="257">
        <f>SUM(R30:R31)</f>
        <v/>
      </c>
      <c r="S32" s="254" t="n"/>
      <c r="T32" s="258">
        <f>SUM(T30:T31)</f>
        <v/>
      </c>
      <c r="U32" s="254" t="n"/>
      <c r="V32" s="254" t="n"/>
      <c r="W32" s="254" t="n"/>
      <c r="X32" s="254" t="n"/>
      <c r="Y32" s="254" t="n"/>
      <c r="Z32" s="254" t="n"/>
    </row>
    <row r="33" ht="16.5" customFormat="1" customHeight="1" s="17" thickTop="1">
      <c r="A33" s="245" t="n">
        <v>8</v>
      </c>
      <c r="B33" s="246" t="inlineStr">
        <is>
          <t>000030ZIK48020260807000598</t>
        </is>
      </c>
      <c r="C33" s="245" t="inlineStr">
        <is>
          <t>498808</t>
        </is>
      </c>
      <c r="D33" s="245" t="inlineStr">
        <is>
          <t>498828</t>
        </is>
      </c>
      <c r="E33" s="247" t="n">
        <v>46244</v>
      </c>
      <c r="F33" s="246" t="inlineStr">
        <is>
          <t>ID2608-8078</t>
        </is>
      </c>
      <c r="G33" s="247" t="n">
        <v>46241</v>
      </c>
      <c r="H33" s="248" t="n">
        <v>900</v>
      </c>
      <c r="I33" s="246" t="inlineStr">
        <is>
          <t>TGBU4173611</t>
        </is>
      </c>
      <c r="J33" s="245" t="inlineStr">
        <is>
          <t>40</t>
        </is>
      </c>
      <c r="K33" s="246" t="inlineStr">
        <is>
          <t>MATTRESS</t>
        </is>
      </c>
      <c r="L33" s="246" t="inlineStr">
        <is>
          <t>SKU123</t>
        </is>
      </c>
      <c r="M33" s="249" t="inlineStr">
        <is>
          <t>PO123</t>
        </is>
      </c>
      <c r="N33" s="245" t="inlineStr">
        <is>
          <t>F123</t>
        </is>
      </c>
      <c r="O33" s="250" t="n">
        <v>15000</v>
      </c>
      <c r="P33" s="250" t="n">
        <v>14000</v>
      </c>
      <c r="Q33" s="251">
        <f>R33/H33</f>
        <v/>
      </c>
      <c r="R33" s="252" t="n">
        <v>50000</v>
      </c>
      <c r="S33" s="250" t="n">
        <v>16000</v>
      </c>
      <c r="T33" s="253">
        <f>S33*R33</f>
        <v/>
      </c>
      <c r="U33" s="246" t="inlineStr">
        <is>
          <t>KPPBC TMP A TANGERANG</t>
        </is>
      </c>
      <c r="V33" s="246" t="inlineStr">
        <is>
          <t>TANJUNG PRIOK</t>
        </is>
      </c>
      <c r="W33" s="245" t="inlineStr">
        <is>
          <t>US</t>
        </is>
      </c>
      <c r="X33" s="246" t="inlineStr">
        <is>
          <t>ZINUS INC</t>
        </is>
      </c>
      <c r="Y33" s="246" t="inlineStr">
        <is>
          <t>BL12345</t>
        </is>
      </c>
      <c r="Z33" s="247" t="n">
        <v>46245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6" t="inlineStr">
        <is>
          <t>TXGU5270291</t>
        </is>
      </c>
      <c r="J34" s="245" t="inlineStr">
        <is>
          <t>40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/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SUM(H33:H34)</f>
        <v/>
      </c>
      <c r="I35" s="254">
        <f>COUNTA(I33:I34)</f>
        <v/>
      </c>
      <c r="J35" s="254" t="n"/>
      <c r="K35" s="254" t="n"/>
      <c r="L35" s="254" t="n"/>
      <c r="M35" s="254" t="n"/>
      <c r="N35" s="254" t="n"/>
      <c r="O35" s="256">
        <f>SUM(O33:O34)</f>
        <v/>
      </c>
      <c r="P35" s="256">
        <f>SUM(P33:P34)</f>
        <v/>
      </c>
      <c r="Q35" s="254" t="n"/>
      <c r="R35" s="257">
        <f>SUM(R33:R34)</f>
        <v/>
      </c>
      <c r="S35" s="254" t="n"/>
      <c r="T35" s="258">
        <f>SUM(T33:T34)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9</v>
      </c>
      <c r="B36" s="246" t="inlineStr">
        <is>
          <t>000030ZIK48020260807000599</t>
        </is>
      </c>
      <c r="C36" s="245" t="inlineStr">
        <is>
          <t>498809</t>
        </is>
      </c>
      <c r="D36" s="245" t="inlineStr">
        <is>
          <t>498829</t>
        </is>
      </c>
      <c r="E36" s="247" t="n">
        <v>46244</v>
      </c>
      <c r="F36" s="246" t="inlineStr">
        <is>
          <t>ID2608-8079</t>
        </is>
      </c>
      <c r="G36" s="247" t="n">
        <v>46241</v>
      </c>
      <c r="H36" s="248" t="n">
        <v>900</v>
      </c>
      <c r="I36" s="246" t="inlineStr">
        <is>
          <t>TGBU4173611</t>
        </is>
      </c>
      <c r="J36" s="245" t="inlineStr">
        <is>
          <t>40</t>
        </is>
      </c>
      <c r="K36" s="246" t="inlineStr">
        <is>
          <t>MATTRESS</t>
        </is>
      </c>
      <c r="L36" s="246" t="inlineStr">
        <is>
          <t>SKU123</t>
        </is>
      </c>
      <c r="M36" s="249" t="inlineStr">
        <is>
          <t>PO123</t>
        </is>
      </c>
      <c r="N36" s="245" t="inlineStr">
        <is>
          <t>F123</t>
        </is>
      </c>
      <c r="O36" s="250" t="n">
        <v>15000</v>
      </c>
      <c r="P36" s="250" t="n">
        <v>14000</v>
      </c>
      <c r="Q36" s="251">
        <f>R36/H36</f>
        <v/>
      </c>
      <c r="R36" s="252" t="n">
        <v>50000</v>
      </c>
      <c r="S36" s="250" t="n">
        <v>16000</v>
      </c>
      <c r="T36" s="253">
        <f>S36*R36</f>
        <v/>
      </c>
      <c r="U36" s="246" t="inlineStr">
        <is>
          <t>KPPBC TMP A TANGERANG</t>
        </is>
      </c>
      <c r="V36" s="246" t="inlineStr">
        <is>
          <t>TANJUNG PRIOK</t>
        </is>
      </c>
      <c r="W36" s="245" t="inlineStr">
        <is>
          <t>US</t>
        </is>
      </c>
      <c r="X36" s="246" t="inlineStr">
        <is>
          <t>ZINUS INC</t>
        </is>
      </c>
      <c r="Y36" s="246" t="inlineStr">
        <is>
          <t>BL12345</t>
        </is>
      </c>
      <c r="Z36" s="247" t="n">
        <v>46245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6" t="inlineStr">
        <is>
          <t>TXGU5270291</t>
        </is>
      </c>
      <c r="J37" s="245" t="inlineStr">
        <is>
          <t>40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/>
      <c r="X37" s="245" t="n"/>
      <c r="Y37" s="245" t="n"/>
      <c r="Z37" s="245" t="n"/>
    </row>
    <row r="38" ht="17.1" customHeight="1" s="202">
      <c r="A38" s="254" t="n"/>
      <c r="B38" s="254" t="n"/>
      <c r="C38" s="254" t="n"/>
      <c r="D38" s="254" t="n"/>
      <c r="E38" s="254" t="n"/>
      <c r="F38" s="254" t="n"/>
      <c r="G38" s="254" t="n"/>
      <c r="H38" s="255">
        <f>SUM(H36:H37)</f>
        <v/>
      </c>
      <c r="I38" s="254">
        <f>COUNTA(I36:I37)</f>
        <v/>
      </c>
      <c r="J38" s="254" t="n"/>
      <c r="K38" s="254" t="n"/>
      <c r="L38" s="254" t="n"/>
      <c r="M38" s="254" t="n"/>
      <c r="N38" s="254" t="n"/>
      <c r="O38" s="256">
        <f>SUM(O36:O37)</f>
        <v/>
      </c>
      <c r="P38" s="256">
        <f>SUM(P36:P37)</f>
        <v/>
      </c>
      <c r="Q38" s="254" t="n"/>
      <c r="R38" s="257">
        <f>SUM(R36:R37)</f>
        <v/>
      </c>
      <c r="S38" s="254" t="n"/>
      <c r="T38" s="258">
        <f>SUM(T36:T37)</f>
        <v/>
      </c>
      <c r="U38" s="254" t="n"/>
      <c r="V38" s="254" t="n"/>
      <c r="W38" s="254" t="n"/>
      <c r="X38" s="254" t="n"/>
      <c r="Y38" s="254" t="n"/>
      <c r="Z38" s="254" t="n"/>
    </row>
    <row r="39" ht="8.1" customHeight="1" s="202"/>
    <row r="40" ht="20.1" customHeight="1" s="202">
      <c r="A40" s="260">
        <f>COUNT(A12:A39)</f>
        <v/>
      </c>
      <c r="B40" s="261" t="n"/>
      <c r="C40" s="261" t="n"/>
      <c r="D40" s="261" t="n"/>
      <c r="E40" s="261" t="n"/>
      <c r="F40" s="261" t="n"/>
      <c r="G40" s="261" t="n"/>
      <c r="H40" s="262">
        <f>SUM(H14,H17,H20,H23,H26,H29,H32,H35,H38)</f>
        <v/>
      </c>
      <c r="I40" s="262">
        <f>SUM(I14,I17,I20,I23,I26,I29,I32,I35,I38)</f>
        <v/>
      </c>
      <c r="J40" s="261" t="n"/>
      <c r="K40" s="261" t="n"/>
      <c r="L40" s="261" t="n"/>
      <c r="M40" s="261" t="n"/>
      <c r="N40" s="261" t="n"/>
      <c r="O40" s="263">
        <f>SUM(O14,O17,O20,O23,O26,O29,O32,O35,O38)</f>
        <v/>
      </c>
      <c r="P40" s="263">
        <f>SUM(P14,P17,P20,P23,P26,P29,P32,P35,P38)</f>
        <v/>
      </c>
      <c r="Q40" s="261" t="n"/>
      <c r="R40" s="264">
        <f>SUM(R14,R17,R20,R23,R26,R29,R32,R35,R38)</f>
        <v/>
      </c>
      <c r="S40" s="261" t="n"/>
      <c r="T40" s="265">
        <f>SUM(T14,T17,T20,T23,T26,T29,T32,T35,T38)</f>
        <v/>
      </c>
      <c r="U40" s="261" t="n"/>
      <c r="V40" s="261" t="n"/>
      <c r="W40" s="261" t="n"/>
      <c r="X40" s="261" t="n"/>
      <c r="Y40" s="261" t="n"/>
      <c r="Z40" s="261" t="n"/>
    </row>
    <row r="41" ht="17.1" customHeight="1" s="202"/>
    <row r="42" ht="17.1" customHeight="1" s="202">
      <c r="B42" s="266" t="inlineStr">
        <is>
          <t>Total Qty Export :</t>
        </is>
      </c>
      <c r="C42" s="267">
        <f>H40-C43</f>
        <v/>
      </c>
    </row>
    <row r="43" ht="17.1" customHeight="1" s="202">
      <c r="B43" s="268" t="inlineStr">
        <is>
          <t>Total Qty Export Sample :</t>
        </is>
      </c>
      <c r="C43" s="269" t="inlineStr"/>
    </row>
    <row r="45" ht="17.1" customHeight="1" s="202">
      <c r="U45" s="270" t="inlineStr">
        <is>
          <t>Tangerang, 17 August 2026</t>
        </is>
      </c>
    </row>
    <row r="46" ht="17.1" customHeight="1" s="202">
      <c r="A46" s="271" t="inlineStr">
        <is>
          <t>Total Document</t>
        </is>
      </c>
      <c r="C46" s="272">
        <f>A40</f>
        <v/>
      </c>
      <c r="U46" s="270" t="inlineStr">
        <is>
          <t>Kasubsi Hanggar Pabean dan Cukai</t>
        </is>
      </c>
    </row>
    <row r="47" ht="17.1" customHeight="1" s="202">
      <c r="A47" s="271" t="inlineStr">
        <is>
          <t>Gross Weight</t>
        </is>
      </c>
      <c r="C47" s="273">
        <f>O40</f>
        <v/>
      </c>
    </row>
    <row r="48" ht="17.1" customHeight="1" s="202">
      <c r="A48" s="271" t="inlineStr">
        <is>
          <t>Nett Weight</t>
        </is>
      </c>
      <c r="C48" s="273">
        <f>P40</f>
        <v/>
      </c>
    </row>
    <row r="49" ht="17.1" customHeight="1" s="202">
      <c r="A49" s="271" t="inlineStr">
        <is>
          <t>Amount</t>
        </is>
      </c>
      <c r="C49" s="274">
        <f>R40</f>
        <v/>
      </c>
    </row>
    <row r="50" ht="17.1" customHeight="1" s="202">
      <c r="A50" s="271" t="inlineStr">
        <is>
          <t>Jumlah Container</t>
        </is>
      </c>
      <c r="C50" s="275">
        <f>I40-C51</f>
        <v/>
      </c>
    </row>
    <row r="51" ht="17.1" customHeight="1" s="202">
      <c r="C51" s="276" t="inlineStr"/>
    </row>
    <row r="52" ht="17.1" customHeight="1" s="202">
      <c r="C52" s="277">
        <f>C50*2+C51</f>
        <v/>
      </c>
    </row>
  </sheetData>
  <autoFilter ref="A10:Z11">
    <filterColumn colId="2" hiddenButton="0" showButton="0"/>
    <filterColumn colId="8" hiddenButton="0" showButton="0"/>
  </autoFilter>
  <mergeCells count="26">
    <mergeCell ref="E10:E11"/>
    <mergeCell ref="G10:G11"/>
    <mergeCell ref="M10:M11"/>
    <mergeCell ref="Y10:Y11"/>
    <mergeCell ref="Q10:Q11"/>
    <mergeCell ref="C10:D10"/>
    <mergeCell ref="C47:D47"/>
    <mergeCell ref="I10:J11"/>
    <mergeCell ref="A6:Z6"/>
    <mergeCell ref="C50:D50"/>
    <mergeCell ref="B10:B11"/>
    <mergeCell ref="A7:Z7"/>
    <mergeCell ref="L10:L11"/>
    <mergeCell ref="X10:X11"/>
    <mergeCell ref="N10:N11"/>
    <mergeCell ref="Z10:Z11"/>
    <mergeCell ref="C46:D46"/>
    <mergeCell ref="C51:D51"/>
    <mergeCell ref="C52:D52"/>
    <mergeCell ref="A10:A11"/>
    <mergeCell ref="C48:D48"/>
    <mergeCell ref="K10:K11"/>
    <mergeCell ref="A8:Z8"/>
    <mergeCell ref="F10:F11"/>
    <mergeCell ref="H10:H11"/>
    <mergeCell ref="C49:D49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2026-08-17T06:19:01Z</dcterms:modified>
  <cp:lastModifiedBy>Chiswa Dian Hermansyah(ZINUS ZDI)</cp:lastModifiedBy>
</cp:coreProperties>
</file>