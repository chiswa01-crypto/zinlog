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&quot;\ General\ &quot;Document&quot;"/>
    <numFmt numFmtId="174" formatCode="&quot;:&quot;\ #,##0.00\ &quot;KGS&quot;"/>
    <numFmt numFmtId="175" formatCode="&quot;: $&quot;\ #,##0.00"/>
    <numFmt numFmtId="176" formatCode="&quot;:&quot;\ General&quot;X40FT&quot;"/>
    <numFmt numFmtId="177" formatCode="&quot;:&quot;\ General&quot;X20FT&quot;"/>
    <numFmt numFmtId="178" formatCode="&quot;=&quot;\ #,##0\ &quot;TEUS&quot;"/>
  </numFmts>
  <fonts count="24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361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" fontId="7" fillId="0" borderId="2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5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2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7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6" fontId="7" fillId="0" borderId="7" applyAlignment="1" pivotButton="0" quotePrefix="0" xfId="6">
      <alignment horizontal="center" vertical="center" wrapText="1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4" fontId="23" fillId="0" borderId="0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1" fontId="3" fillId="4" borderId="0" applyAlignment="1" pivotButton="0" quotePrefix="0" xfId="4">
      <alignment horizontal="center" vertical="center"/>
    </xf>
    <xf numFmtId="49" fontId="3" fillId="4" borderId="0" applyAlignment="1" pivotButton="0" quotePrefix="0" xfId="4">
      <alignment horizontal="center" vertical="center"/>
    </xf>
    <xf numFmtId="164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left"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  <xf numFmtId="41" fontId="3" fillId="4" borderId="0" applyAlignment="1" pivotButton="0" quotePrefix="0" xfId="4">
      <alignment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0" fontId="0" fillId="0" borderId="0" pivotButton="0" quotePrefix="0" xfId="0"/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170" fontId="4" fillId="0" borderId="12" applyAlignment="1" pivotButton="0" quotePrefix="1" xfId="5">
      <alignment horizontal="center" vertical="center" wrapText="1"/>
    </xf>
    <xf numFmtId="166" fontId="4" fillId="0" borderId="12" applyAlignment="1" pivotButton="0" quotePrefix="0" xfId="1">
      <alignment vertical="center" wrapText="1"/>
    </xf>
    <xf numFmtId="167" fontId="4" fillId="0" borderId="12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49" fontId="9" fillId="2" borderId="15" applyAlignment="1" pivotButton="0" quotePrefix="1" xfId="5">
      <alignment horizontal="center" vertical="center"/>
    </xf>
    <xf numFmtId="14" fontId="9" fillId="2" borderId="15" applyAlignment="1" pivotButton="0" quotePrefix="1" xfId="5">
      <alignment horizontal="center" vertical="center"/>
    </xf>
    <xf numFmtId="0" fontId="9" fillId="2" borderId="15" applyAlignment="1" pivotButton="0" quotePrefix="0" xfId="7">
      <alignment horizontal="center" vertical="center"/>
    </xf>
    <xf numFmtId="14" fontId="13" fillId="2" borderId="15" applyAlignment="1" pivotButton="0" quotePrefix="0" xfId="5">
      <alignment horizontal="center" vertical="center" wrapText="1"/>
    </xf>
    <xf numFmtId="0" fontId="9" fillId="2" borderId="15" applyAlignment="1" pivotButton="0" quotePrefix="1" xfId="5">
      <alignment horizontal="center" vertical="center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1" xfId="4">
      <alignment horizontal="center" vertical="center" wrapText="1"/>
    </xf>
    <xf numFmtId="0" fontId="9" fillId="2" borderId="15" applyAlignment="1" pivotButton="0" quotePrefix="1" xfId="5">
      <alignment horizontal="center" vertical="center" wrapText="1"/>
    </xf>
    <xf numFmtId="41" fontId="9" fillId="0" borderId="0" applyAlignment="1" pivotButton="0" quotePrefix="0" xfId="4">
      <alignment vertical="center" wrapText="1"/>
    </xf>
    <xf numFmtId="49" fontId="4" fillId="0" borderId="12" applyAlignment="1" pivotButton="0" quotePrefix="0" xfId="5">
      <alignment horizontal="center" vertical="center" wrapText="1"/>
    </xf>
    <xf numFmtId="170" fontId="4" fillId="0" borderId="12" applyAlignment="1" pivotButton="0" quotePrefix="0" xfId="5">
      <alignment horizontal="center" vertical="center" wrapText="1"/>
    </xf>
    <xf numFmtId="14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1" xfId="5">
      <alignment horizontal="center"/>
    </xf>
    <xf numFmtId="0" fontId="4" fillId="0" borderId="12" applyAlignment="1" pivotButton="0" quotePrefix="0" xfId="4">
      <alignment horizontal="center" vertical="center" wrapText="1"/>
    </xf>
    <xf numFmtId="170" fontId="4" fillId="0" borderId="12" applyAlignment="1" pivotButton="0" quotePrefix="0" xfId="4">
      <alignment horizontal="center" vertical="center" wrapText="1"/>
    </xf>
    <xf numFmtId="49" fontId="4" fillId="0" borderId="12" applyAlignment="1" pivotButton="0" quotePrefix="1" xfId="8">
      <alignment horizontal="center" vertical="center" wrapText="1"/>
    </xf>
    <xf numFmtId="49" fontId="4" fillId="0" borderId="12" applyAlignment="1" pivotButton="0" quotePrefix="1" xfId="4">
      <alignment horizontal="center" vertical="center" wrapText="1"/>
    </xf>
    <xf numFmtId="170" fontId="4" fillId="0" borderId="12" applyAlignment="1" pivotButton="0" quotePrefix="1" xfId="4">
      <alignment horizontal="center" vertical="center" wrapText="1"/>
    </xf>
    <xf numFmtId="14" fontId="4" fillId="0" borderId="12" applyAlignment="1" pivotButton="0" quotePrefix="1" xfId="4">
      <alignment horizontal="center" vertical="center" wrapText="1"/>
    </xf>
    <xf numFmtId="0" fontId="4" fillId="0" borderId="12" applyAlignment="1" pivotButton="0" quotePrefix="0" xfId="4">
      <alignment horizontal="center"/>
    </xf>
    <xf numFmtId="0" fontId="11" fillId="0" borderId="12" applyAlignment="1" pivotButton="0" quotePrefix="0" xfId="4">
      <alignment horizontal="center"/>
    </xf>
    <xf numFmtId="39" fontId="4" fillId="0" borderId="12" applyAlignment="1" pivotButton="0" quotePrefix="1" xfId="2">
      <alignment vertical="center"/>
    </xf>
    <xf numFmtId="166" fontId="4" fillId="0" borderId="12" applyAlignment="1" pivotButton="0" quotePrefix="1" xfId="4">
      <alignment vertical="center" wrapText="1"/>
    </xf>
    <xf numFmtId="167" fontId="4" fillId="0" borderId="12" applyAlignment="1" pivotButton="0" quotePrefix="1" xfId="3">
      <alignment horizontal="center" vertical="center" wrapText="1"/>
    </xf>
    <xf numFmtId="168" fontId="4" fillId="0" borderId="12" applyAlignment="1" pivotButton="0" quotePrefix="1" xfId="3">
      <alignment horizontal="center" vertical="center" wrapText="1"/>
    </xf>
    <xf numFmtId="0" fontId="4" fillId="0" borderId="12" applyAlignment="1" pivotButton="0" quotePrefix="1" xfId="4">
      <alignment horizontal="center" vertical="top" wrapText="1"/>
    </xf>
    <xf numFmtId="0" fontId="11" fillId="0" borderId="12" applyAlignment="1" pivotButton="0" quotePrefix="1" xfId="4">
      <alignment horizontal="center" vertical="center"/>
    </xf>
    <xf numFmtId="0" fontId="4" fillId="0" borderId="12" applyAlignment="1" pivotButton="0" quotePrefix="0" xfId="9">
      <alignment horizontal="center" vertical="center"/>
    </xf>
    <xf numFmtId="0" fontId="4" fillId="0" borderId="12" applyAlignment="1" pivotButton="0" quotePrefix="0" xfId="9">
      <alignment horizontal="center" vertical="center" wrapText="1"/>
    </xf>
    <xf numFmtId="170" fontId="4" fillId="0" borderId="12" applyAlignment="1" pivotButton="0" quotePrefix="0" xfId="9">
      <alignment horizontal="center" vertical="center" wrapText="1"/>
    </xf>
    <xf numFmtId="1" fontId="4" fillId="0" borderId="12" applyAlignment="1" pivotButton="0" quotePrefix="0" xfId="0">
      <alignment horizontal="center" vertical="center" wrapText="1"/>
    </xf>
    <xf numFmtId="49" fontId="4" fillId="0" borderId="12" applyAlignment="1" pivotButton="0" quotePrefix="0" xfId="0">
      <alignment horizontal="center" vertical="center"/>
    </xf>
    <xf numFmtId="49" fontId="4" fillId="0" borderId="12" applyAlignment="1" pivotButton="0" quotePrefix="0" xfId="0">
      <alignment horizontal="center" vertical="center" wrapText="1"/>
    </xf>
    <xf numFmtId="170" fontId="4" fillId="0" borderId="12" applyAlignment="1" pivotButton="0" quotePrefix="0" xfId="0">
      <alignment horizontal="center" vertical="center" wrapText="1"/>
    </xf>
    <xf numFmtId="14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/>
    </xf>
    <xf numFmtId="0" fontId="11" fillId="0" borderId="12" applyAlignment="1" pivotButton="0" quotePrefix="0" xfId="0">
      <alignment horizontal="center"/>
    </xf>
    <xf numFmtId="39" fontId="4" fillId="0" borderId="12" applyAlignment="1" pivotButton="0" quotePrefix="0" xfId="0">
      <alignment vertical="center"/>
    </xf>
    <xf numFmtId="166" fontId="4" fillId="0" borderId="12" applyAlignment="1" pivotButton="0" quotePrefix="0" xfId="0">
      <alignment vertical="center" wrapText="1"/>
    </xf>
    <xf numFmtId="167" fontId="4" fillId="0" borderId="12" applyAlignment="1" pivotButton="0" quotePrefix="0" xfId="0">
      <alignment horizontal="center" vertical="center" wrapText="1"/>
    </xf>
    <xf numFmtId="168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top" wrapText="1"/>
    </xf>
    <xf numFmtId="0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0">
      <alignment horizontal="center" vertical="center"/>
    </xf>
    <xf numFmtId="1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/>
    </xf>
    <xf numFmtId="14" fontId="9" fillId="2" borderId="15" applyAlignment="1" pivotButton="0" quotePrefix="0" xfId="0">
      <alignment horizontal="center" vertical="center"/>
    </xf>
    <xf numFmtId="0" fontId="9" fillId="2" borderId="15" applyAlignment="1" pivotButton="0" quotePrefix="0" xfId="0">
      <alignment horizontal="center" vertical="center"/>
    </xf>
    <xf numFmtId="0" fontId="9" fillId="2" borderId="16" applyAlignment="1" pivotButton="0" quotePrefix="0" xfId="0">
      <alignment horizontal="center"/>
    </xf>
    <xf numFmtId="14" fontId="13" fillId="2" borderId="15" applyAlignment="1" pivotButton="0" quotePrefix="0" xfId="0">
      <alignment horizontal="center" vertical="center" wrapText="1"/>
    </xf>
    <xf numFmtId="165" fontId="13" fillId="2" borderId="15" applyAlignment="1" pivotButton="0" quotePrefix="0" xfId="0">
      <alignment horizontal="center"/>
    </xf>
    <xf numFmtId="166" fontId="9" fillId="2" borderId="15" applyAlignment="1" pivotButton="0" quotePrefix="0" xfId="0">
      <alignment vertical="center" wrapText="1"/>
    </xf>
    <xf numFmtId="167" fontId="9" fillId="2" borderId="15" applyAlignment="1" pivotButton="0" quotePrefix="0" xfId="0">
      <alignment horizontal="center" vertical="center" wrapText="1"/>
    </xf>
    <xf numFmtId="168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167" fontId="3" fillId="0" borderId="0" applyAlignment="1" pivotButton="0" quotePrefix="0" xfId="3">
      <alignment horizontal="left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0" fontId="0" fillId="0" borderId="23" pivotButton="0" quotePrefix="0" xfId="0"/>
    <xf numFmtId="174" fontId="21" fillId="0" borderId="23" applyAlignment="1" pivotButton="0" quotePrefix="0" xfId="4">
      <alignment horizontal="left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175" fontId="21" fillId="0" borderId="23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41" fontId="3" fillId="4" borderId="0" applyAlignment="1" pivotButton="0" quotePrefix="0" xfId="4">
      <alignment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D365"/>
  <sheetViews>
    <sheetView tabSelected="1" zoomScale="55" zoomScaleNormal="55" workbookViewId="0">
      <pane xSplit="2" ySplit="11" topLeftCell="C12" activePane="bottomRight" state="frozen"/>
      <selection pane="topRight" activeCell="C6" sqref="C6"/>
      <selection pane="bottomLeft" activeCell="A12" sqref="A12"/>
      <selection pane="bottomRight" activeCell="F36" sqref="F36"/>
    </sheetView>
  </sheetViews>
  <sheetFormatPr baseColWidth="8" defaultColWidth="9.109375" defaultRowHeight="15.6"/>
  <cols>
    <col width="6.5546875" customWidth="1" style="17" min="1" max="1"/>
    <col width="34.109375" customWidth="1" style="6" min="2" max="2"/>
    <col width="27.33203125" customWidth="1" style="3" min="3" max="4"/>
    <col width="16.109375" customWidth="1" style="4" min="5" max="5"/>
    <col width="27.6640625" customWidth="1" style="5" min="6" max="6"/>
    <col width="13.109375" customWidth="1" style="5" min="7" max="7"/>
    <col width="13.5546875" customWidth="1" style="6" min="8" max="8"/>
    <col width="19.109375" customWidth="1" style="6" min="9" max="9"/>
    <col width="5.6640625" customWidth="1" style="6" min="10" max="10"/>
    <col width="92.109375" customWidth="1" style="215" min="11" max="11"/>
    <col width="63.44140625" customWidth="1" style="215" min="12" max="12"/>
    <col width="16.5546875" customWidth="1" style="215" min="13" max="13"/>
    <col width="21.5546875" customWidth="1" style="216" min="14" max="14"/>
    <col width="16.33203125" customWidth="1" style="217" min="15" max="16"/>
    <col width="13.88671875" customWidth="1" style="218" min="17" max="17"/>
    <col width="20.33203125" customWidth="1" style="219" min="18" max="18"/>
    <col width="15.5546875" customWidth="1" style="220" min="19" max="19"/>
    <col width="28.44140625" customWidth="1" style="220" min="20" max="20"/>
    <col width="22.33203125" customWidth="1" style="221" min="21" max="21"/>
    <col width="18.6640625" customWidth="1" style="221" min="22" max="22"/>
    <col width="33.5546875" customWidth="1" style="221" min="23" max="23"/>
    <col width="64" customWidth="1" style="221" min="24" max="24"/>
    <col width="26.6640625" customWidth="1" style="221" min="25" max="25"/>
    <col width="22.5546875" customWidth="1" style="221" min="26" max="26"/>
    <col width="9.109375" customWidth="1" style="222" min="27" max="289"/>
    <col width="24.88671875" bestFit="1" customWidth="1" style="222" min="290" max="290"/>
    <col width="9.109375" customWidth="1" style="222" min="291" max="16384"/>
  </cols>
  <sheetData>
    <row r="1" hidden="1" ht="18" customHeight="1" s="223">
      <c r="A1" s="1" t="inlineStr">
        <is>
          <t>KEMENTERIAN KEUANGAN REPUBLIK INDONESIA</t>
        </is>
      </c>
      <c r="B1" s="2" t="n"/>
    </row>
    <row r="2" hidden="1" ht="18" customHeight="1" s="223">
      <c r="A2" s="1" t="inlineStr">
        <is>
          <t>DIREKTORAT JENDERAL BEA DAN CUKAI</t>
        </is>
      </c>
      <c r="B2" s="2" t="n"/>
    </row>
    <row r="3" hidden="1" ht="18" customHeight="1" s="223">
      <c r="A3" s="15" t="inlineStr">
        <is>
          <t>KANTOR WILAYAH DJBC BANTEN</t>
        </is>
      </c>
      <c r="B3" s="16" t="n"/>
    </row>
    <row r="4" hidden="1" ht="18" customHeight="1" s="223">
      <c r="A4" s="15" t="inlineStr">
        <is>
          <t>KANTOR PENGAWASAN DAN PELAYANAN BEA DAN CUKAI TIPE MADYA PABEAN A TANGERANG</t>
        </is>
      </c>
      <c r="B4" s="16" t="n"/>
    </row>
    <row r="5" ht="14.25" customHeight="1" s="223"/>
    <row r="6" ht="24.75" customHeight="1" s="223">
      <c r="A6" s="224" t="inlineStr">
        <is>
          <t>LAPORAN BULANAN  EKSPOR (BC 3.0)</t>
        </is>
      </c>
    </row>
    <row r="7" ht="24.75" customHeight="1" s="223">
      <c r="A7" s="224" t="inlineStr">
        <is>
          <t>PT. ZINUS DREAM INDONESIA</t>
        </is>
      </c>
    </row>
    <row r="8" ht="24.75" customHeight="1" s="223">
      <c r="A8" s="19" t="inlineStr">
        <is>
          <t>BULAN : JULY 2026</t>
        </is>
      </c>
    </row>
    <row r="9" ht="14.25" customHeight="1" s="223" thickBot="1">
      <c r="A9" s="20" t="n"/>
      <c r="B9" s="21" t="n"/>
      <c r="C9" s="22" t="n"/>
      <c r="D9" s="22" t="n"/>
      <c r="E9" s="23" t="n"/>
      <c r="F9" s="24" t="n"/>
      <c r="G9" s="24" t="n"/>
      <c r="H9" s="21" t="n"/>
      <c r="I9" s="21" t="n"/>
      <c r="J9" s="21" t="n"/>
      <c r="K9" s="225" t="n"/>
      <c r="L9" s="225" t="n"/>
      <c r="M9" s="225" t="n"/>
      <c r="N9" s="226" t="n"/>
      <c r="O9" s="227" t="n"/>
      <c r="P9" s="227" t="n"/>
      <c r="Q9" s="228" t="n"/>
      <c r="R9" s="229" t="n"/>
      <c r="S9" s="230" t="n"/>
      <c r="T9" s="230" t="n"/>
      <c r="U9" s="225" t="n"/>
      <c r="V9" s="225" t="n"/>
      <c r="W9" s="225" t="n"/>
      <c r="X9" s="225" t="n"/>
    </row>
    <row r="10" ht="20.1" customFormat="1" customHeight="1" s="231" thickBot="1">
      <c r="A10" s="232" t="inlineStr">
        <is>
          <t>NO</t>
        </is>
      </c>
      <c r="B10" s="233" t="inlineStr">
        <is>
          <t>NO AJU</t>
        </is>
      </c>
      <c r="C10" s="234" t="inlineStr">
        <is>
          <t>NOMOR</t>
        </is>
      </c>
      <c r="D10" s="235" t="n"/>
      <c r="E10" s="236" t="inlineStr">
        <is>
          <t>TANGGAL</t>
        </is>
      </c>
      <c r="F10" s="236" t="inlineStr">
        <is>
          <t>INVOICE</t>
        </is>
      </c>
      <c r="G10" s="237" t="inlineStr">
        <is>
          <t>TANGGAL INVOICE</t>
        </is>
      </c>
      <c r="H10" s="238" t="inlineStr">
        <is>
          <t>JUMLAH BARANG</t>
        </is>
      </c>
      <c r="I10" s="32" t="inlineStr">
        <is>
          <t>KONTAINER/SIZE</t>
        </is>
      </c>
      <c r="J10" s="239" t="n"/>
      <c r="K10" s="234" t="inlineStr">
        <is>
          <t>URAIAN JENIS BARANG</t>
        </is>
      </c>
      <c r="L10" s="236" t="inlineStr">
        <is>
          <t>SKU</t>
        </is>
      </c>
      <c r="M10" s="234" t="inlineStr">
        <is>
          <t>Nomor PO</t>
        </is>
      </c>
      <c r="N10" s="240" t="inlineStr">
        <is>
          <t>F-CODE</t>
        </is>
      </c>
      <c r="O10" s="241" t="inlineStr">
        <is>
          <t>BRUTO</t>
        </is>
      </c>
      <c r="P10" s="241" t="inlineStr">
        <is>
          <t>NETTO</t>
        </is>
      </c>
      <c r="Q10" s="242" t="inlineStr">
        <is>
          <t>UNIT PRICE</t>
        </is>
      </c>
      <c r="R10" s="243" t="inlineStr">
        <is>
          <t>FOB</t>
        </is>
      </c>
      <c r="S10" s="244" t="inlineStr">
        <is>
          <t>KURS</t>
        </is>
      </c>
      <c r="T10" s="244" t="inlineStr">
        <is>
          <t>IDR</t>
        </is>
      </c>
      <c r="U10" s="245" t="inlineStr">
        <is>
          <t>KANTOR PABEAN</t>
        </is>
      </c>
      <c r="V10" s="245" t="inlineStr">
        <is>
          <t>PELABUHAN</t>
        </is>
      </c>
      <c r="W10" s="245" t="inlineStr">
        <is>
          <t>NEGARA</t>
        </is>
      </c>
      <c r="X10" s="246" t="inlineStr">
        <is>
          <t>PENERIMA BARANG</t>
        </is>
      </c>
      <c r="Y10" s="246" t="inlineStr">
        <is>
          <t>NOMOR B/L / AWB</t>
        </is>
      </c>
      <c r="Z10" s="246" t="inlineStr">
        <is>
          <t>TANGGAL B/L</t>
        </is>
      </c>
    </row>
    <row r="11" ht="20.1" customFormat="1" customHeight="1" s="231" thickBot="1">
      <c r="A11" s="247" t="n"/>
      <c r="B11" s="247" t="n"/>
      <c r="C11" s="234" t="inlineStr">
        <is>
          <t xml:space="preserve">PEB </t>
        </is>
      </c>
      <c r="D11" s="51" t="inlineStr">
        <is>
          <t>NPE</t>
        </is>
      </c>
      <c r="E11" s="247" t="n"/>
      <c r="F11" s="247" t="n"/>
      <c r="G11" s="248" t="n"/>
      <c r="H11" s="249" t="n"/>
      <c r="I11" s="250" t="n"/>
      <c r="J11" s="251" t="n"/>
      <c r="K11" s="247" t="n"/>
      <c r="L11" s="247" t="n"/>
      <c r="M11" s="247" t="n"/>
      <c r="N11" s="247" t="n"/>
      <c r="O11" s="252" t="inlineStr">
        <is>
          <t>(KG)</t>
        </is>
      </c>
      <c r="P11" s="253" t="inlineStr">
        <is>
          <t>(KG)</t>
        </is>
      </c>
      <c r="Q11" s="247" t="n"/>
      <c r="R11" s="254" t="inlineStr">
        <is>
          <t>(USD)</t>
        </is>
      </c>
      <c r="S11" s="255" t="n"/>
      <c r="T11" s="255" t="n"/>
      <c r="U11" s="256" t="inlineStr">
        <is>
          <t>MUAT / EKSPOR</t>
        </is>
      </c>
      <c r="V11" s="256" t="inlineStr">
        <is>
          <t>MUAT</t>
        </is>
      </c>
      <c r="W11" s="256" t="inlineStr">
        <is>
          <t>TUJUAN</t>
        </is>
      </c>
      <c r="X11" s="247" t="n"/>
      <c r="Y11" s="247" t="n"/>
      <c r="Z11" s="247" t="n"/>
    </row>
    <row r="12" ht="16.5" customFormat="1" customHeight="1" s="257">
      <c r="A12" s="104" t="n">
        <v>1</v>
      </c>
      <c r="B12" s="105" t="inlineStr">
        <is>
          <t>000030ZIK48020260724000509</t>
        </is>
      </c>
      <c r="C12" s="106" t="n">
        <v>372816</v>
      </c>
      <c r="D12" s="106" t="n">
        <v>372575</v>
      </c>
      <c r="E12" s="258" t="n">
        <v>46227</v>
      </c>
      <c r="F12" s="107" t="inlineStr">
        <is>
          <t>SPL/026/ZDI/VII/2026</t>
        </is>
      </c>
      <c r="G12" s="258" t="n">
        <v>46227</v>
      </c>
      <c r="H12" s="108" t="n">
        <v>1</v>
      </c>
      <c r="I12" s="67" t="inlineStr"/>
      <c r="J12" s="67" t="inlineStr"/>
      <c r="K12" s="69" t="inlineStr">
        <is>
          <t>1 - - - 20 - TOPPER</t>
        </is>
      </c>
      <c r="L12" s="109" t="inlineStr">
        <is>
          <t>ECMF-LV3T</t>
        </is>
      </c>
      <c r="M12" s="110" t="inlineStr"/>
      <c r="N12" s="69" t="inlineStr">
        <is>
          <t>-.3.1400</t>
        </is>
      </c>
      <c r="O12" s="111" t="inlineStr"/>
      <c r="P12" s="111" t="inlineStr"/>
      <c r="Q12" s="259">
        <f>IFERROR(R12/H12, 0)</f>
        <v/>
      </c>
      <c r="R12" s="260" t="n">
        <v>0</v>
      </c>
      <c r="S12" s="261" t="n">
        <v>18056</v>
      </c>
      <c r="T12" s="261">
        <f>IFERROR(S12*R12, 0)</f>
        <v/>
      </c>
      <c r="U12" s="73" t="inlineStr">
        <is>
          <t>PEMUATAN DI PELABUHAN</t>
        </is>
      </c>
      <c r="V12" s="74" t="inlineStr">
        <is>
          <t>CENGKARENG / SOEKARNO</t>
        </is>
      </c>
      <c r="W12" s="75" t="inlineStr"/>
      <c r="X12" s="76" t="inlineStr"/>
      <c r="Y12" s="77" t="inlineStr"/>
      <c r="Z12" s="258" t="inlineStr"/>
    </row>
    <row r="13" ht="16.5" customFormat="1" customHeight="1" s="257">
      <c r="A13" s="104" t="n"/>
      <c r="B13" s="105" t="n"/>
      <c r="C13" s="106" t="n"/>
      <c r="D13" s="106" t="n"/>
      <c r="E13" s="258" t="n"/>
      <c r="F13" s="107" t="n"/>
      <c r="G13" s="258" t="n"/>
      <c r="H13" s="108" t="n">
        <v>1</v>
      </c>
      <c r="I13" s="67" t="inlineStr"/>
      <c r="J13" s="67" t="inlineStr"/>
      <c r="K13" s="69" t="inlineStr">
        <is>
          <t>2 - - - 20 - TOPPER</t>
        </is>
      </c>
      <c r="L13" s="109" t="inlineStr">
        <is>
          <t>GMT-3T</t>
        </is>
      </c>
      <c r="M13" s="110" t="inlineStr"/>
      <c r="N13" s="69" t="inlineStr">
        <is>
          <t>-.4.3000</t>
        </is>
      </c>
      <c r="O13" s="111" t="n"/>
      <c r="P13" s="111" t="n"/>
      <c r="Q13" s="259">
        <f>IFERROR(R13/H13, 0)</f>
        <v/>
      </c>
      <c r="R13" s="260" t="n">
        <v>0</v>
      </c>
      <c r="S13" s="261" t="n">
        <v>18056</v>
      </c>
      <c r="T13" s="261">
        <f>IFERROR(S13*R13, 0)</f>
        <v/>
      </c>
      <c r="U13" s="73" t="n"/>
      <c r="V13" s="74" t="n"/>
      <c r="W13" s="75" t="n"/>
      <c r="X13" s="76" t="n"/>
      <c r="Y13" s="77" t="n"/>
      <c r="Z13" s="258" t="n"/>
    </row>
    <row r="14" ht="16.5" customFormat="1" customHeight="1" s="257">
      <c r="A14" s="89" t="n"/>
      <c r="B14" s="90" t="n"/>
      <c r="C14" s="262" t="n"/>
      <c r="D14" s="262" t="n"/>
      <c r="E14" s="263" t="n"/>
      <c r="F14" s="263" t="n"/>
      <c r="G14" s="263" t="n"/>
      <c r="H14" s="264">
        <f>SUM(H12:H13)</f>
        <v/>
      </c>
      <c r="I14" s="94">
        <f>COUNTA(I12:I13)</f>
        <v/>
      </c>
      <c r="J14" s="93" t="n"/>
      <c r="K14" s="93" t="n"/>
      <c r="L14" s="265" t="n"/>
      <c r="M14" s="266" t="n"/>
      <c r="N14" s="93" t="n"/>
      <c r="O14" s="267">
        <f>SUM(O12:O13)</f>
        <v/>
      </c>
      <c r="P14" s="267">
        <f>SUM(P12:P13)</f>
        <v/>
      </c>
      <c r="Q14" s="268" t="n"/>
      <c r="R14" s="269">
        <f>SUM(R12:R13)</f>
        <v/>
      </c>
      <c r="S14" s="270" t="n"/>
      <c r="T14" s="270">
        <f>SUM(T12:T13)</f>
        <v/>
      </c>
      <c r="U14" s="93" t="n"/>
      <c r="V14" s="100" t="n"/>
      <c r="W14" s="101" t="n"/>
      <c r="X14" s="102" t="n"/>
      <c r="Y14" s="271" t="n"/>
      <c r="Z14" s="272" t="n"/>
    </row>
    <row r="15" ht="16.5" customFormat="1" customHeight="1" s="257">
      <c r="A15" s="104" t="n">
        <v>2</v>
      </c>
      <c r="B15" s="105" t="inlineStr">
        <is>
          <t>000030ZIK48020260723000508</t>
        </is>
      </c>
      <c r="C15" s="106" t="n">
        <v>458709</v>
      </c>
      <c r="D15" s="106" t="n">
        <v>458650</v>
      </c>
      <c r="E15" s="258" t="n">
        <v>46227</v>
      </c>
      <c r="F15" s="107" t="inlineStr">
        <is>
          <t>ID2607-7881</t>
        </is>
      </c>
      <c r="G15" s="258" t="n">
        <v>46224</v>
      </c>
      <c r="H15" s="108" t="n">
        <v>900</v>
      </c>
      <c r="I15" s="67" t="inlineStr"/>
      <c r="J15" s="67" t="inlineStr"/>
      <c r="K15" s="69" t="inlineStr">
        <is>
          <t>1 - - - 84,573 - 8IN GREEN TEA MF MATTRESS QN</t>
        </is>
      </c>
      <c r="L15" s="109" t="inlineStr">
        <is>
          <t>SCF-STR-</t>
        </is>
      </c>
      <c r="M15" s="110" t="inlineStr">
        <is>
          <t>0993631021</t>
        </is>
      </c>
      <c r="N15" s="69" t="inlineStr"/>
      <c r="O15" s="111" t="inlineStr"/>
      <c r="P15" s="111" t="inlineStr"/>
      <c r="Q15" s="259">
        <f>IFERROR(R15/H15, 0)</f>
        <v/>
      </c>
      <c r="R15" s="260" t="n">
        <v>0</v>
      </c>
      <c r="S15" s="261" t="n">
        <v>18056</v>
      </c>
      <c r="T15" s="261">
        <f>IFERROR(S15*R15, 0)</f>
        <v/>
      </c>
      <c r="U15" s="73" t="inlineStr">
        <is>
          <t>PEMUATAN DI PELABUHAN</t>
        </is>
      </c>
      <c r="V15" s="74" t="inlineStr">
        <is>
          <t>TANJUNG PRIOK</t>
        </is>
      </c>
      <c r="W15" s="75" t="inlineStr"/>
      <c r="X15" s="76" t="inlineStr"/>
      <c r="Y15" s="77" t="inlineStr"/>
      <c r="Z15" s="258" t="inlineStr"/>
    </row>
    <row r="16" ht="16.5" customFormat="1" customHeight="1" s="257">
      <c r="A16" s="89" t="n"/>
      <c r="B16" s="90" t="n"/>
      <c r="C16" s="262" t="n"/>
      <c r="D16" s="262" t="n"/>
      <c r="E16" s="263" t="n"/>
      <c r="F16" s="263" t="n"/>
      <c r="G16" s="263" t="n"/>
      <c r="H16" s="264">
        <f>SUM(H15:H15)</f>
        <v/>
      </c>
      <c r="I16" s="94">
        <f>COUNTA(I15:I15)</f>
        <v/>
      </c>
      <c r="J16" s="93" t="n"/>
      <c r="K16" s="93" t="n"/>
      <c r="L16" s="265" t="n"/>
      <c r="M16" s="266" t="n"/>
      <c r="N16" s="93" t="n"/>
      <c r="O16" s="267">
        <f>SUM(O15:O15)</f>
        <v/>
      </c>
      <c r="P16" s="267">
        <f>SUM(P15:P15)</f>
        <v/>
      </c>
      <c r="Q16" s="268" t="n"/>
      <c r="R16" s="269">
        <f>SUM(R15:R15)</f>
        <v/>
      </c>
      <c r="S16" s="270" t="n"/>
      <c r="T16" s="270">
        <f>SUM(T15:T15)</f>
        <v/>
      </c>
      <c r="U16" s="93" t="n"/>
      <c r="V16" s="100" t="n"/>
      <c r="W16" s="101" t="n"/>
      <c r="X16" s="102" t="n"/>
      <c r="Y16" s="271" t="n"/>
      <c r="Z16" s="272" t="n"/>
    </row>
    <row r="17" ht="17.1" customFormat="1" customHeight="1" s="273">
      <c r="A17" s="104" t="n">
        <v>3</v>
      </c>
      <c r="B17" s="105" t="inlineStr">
        <is>
          <t>000030ZIK48020260722000507</t>
        </is>
      </c>
      <c r="C17" s="274" t="n">
        <v>457157</v>
      </c>
      <c r="D17" s="274" t="n">
        <v>457102</v>
      </c>
      <c r="E17" s="275" t="n">
        <v>46226</v>
      </c>
      <c r="F17" s="276" t="inlineStr">
        <is>
          <t>ID2607-7865</t>
        </is>
      </c>
      <c r="G17" s="275" t="n">
        <v>46223</v>
      </c>
      <c r="H17" s="67" t="n">
        <v>520</v>
      </c>
      <c r="I17" s="67" t="inlineStr"/>
      <c r="J17" s="67" t="inlineStr"/>
      <c r="K17" s="69" t="inlineStr">
        <is>
          <t>1 - - - 41,480.4 - 8IN GREEN TEA MF MATTRESS FL</t>
        </is>
      </c>
      <c r="L17" s="277" t="inlineStr">
        <is>
          <t>SCF-STR-</t>
        </is>
      </c>
      <c r="M17" s="67" t="inlineStr">
        <is>
          <t>0993630656</t>
        </is>
      </c>
      <c r="N17" s="69" t="inlineStr"/>
      <c r="O17" s="111" t="inlineStr"/>
      <c r="P17" s="111" t="inlineStr"/>
      <c r="Q17" s="259">
        <f>IFERROR(R17/H17, 0)</f>
        <v/>
      </c>
      <c r="R17" s="260" t="n">
        <v>0</v>
      </c>
      <c r="S17" s="261" t="n">
        <v>18056</v>
      </c>
      <c r="T17" s="261">
        <f>IFERROR(S17*R17, 0)</f>
        <v/>
      </c>
      <c r="U17" s="73" t="inlineStr">
        <is>
          <t>PEMUATAN DI PELABUHAN</t>
        </is>
      </c>
      <c r="V17" s="74" t="inlineStr">
        <is>
          <t>TANJUNG PRIOK</t>
        </is>
      </c>
      <c r="W17" s="75" t="inlineStr"/>
      <c r="X17" s="76" t="inlineStr"/>
      <c r="Y17" s="278" t="inlineStr"/>
      <c r="Z17" s="279" t="inlineStr"/>
    </row>
    <row r="18" ht="16.5" customFormat="1" customHeight="1" s="257">
      <c r="A18" s="89" t="n"/>
      <c r="B18" s="90" t="n"/>
      <c r="C18" s="262" t="n"/>
      <c r="D18" s="262" t="n"/>
      <c r="E18" s="263" t="n"/>
      <c r="F18" s="263" t="n"/>
      <c r="G18" s="263" t="n"/>
      <c r="H18" s="264">
        <f>SUM(H17:H17)</f>
        <v/>
      </c>
      <c r="I18" s="94">
        <f>COUNTA(I17:I17)</f>
        <v/>
      </c>
      <c r="J18" s="93" t="n"/>
      <c r="K18" s="93" t="n"/>
      <c r="L18" s="265" t="n"/>
      <c r="M18" s="266" t="n"/>
      <c r="N18" s="93" t="n"/>
      <c r="O18" s="267">
        <f>SUM(O17:O17)</f>
        <v/>
      </c>
      <c r="P18" s="267">
        <f>SUM(P17:P17)</f>
        <v/>
      </c>
      <c r="Q18" s="268" t="n"/>
      <c r="R18" s="269">
        <f>SUM(R17:R17)</f>
        <v/>
      </c>
      <c r="S18" s="270" t="n"/>
      <c r="T18" s="270">
        <f>SUM(T17:T17)</f>
        <v/>
      </c>
      <c r="U18" s="93" t="n"/>
      <c r="V18" s="100" t="n"/>
      <c r="W18" s="101" t="n"/>
      <c r="X18" s="102" t="n"/>
      <c r="Y18" s="271" t="n"/>
      <c r="Z18" s="272" t="n"/>
    </row>
    <row r="19" ht="16.5" customFormat="1" customHeight="1" s="257">
      <c r="A19" s="104" t="n">
        <v>4</v>
      </c>
      <c r="B19" s="105" t="inlineStr">
        <is>
          <t>000030ZIK48020260722000505</t>
        </is>
      </c>
      <c r="C19" s="106" t="n">
        <v>457069</v>
      </c>
      <c r="D19" s="106" t="n">
        <v>457014</v>
      </c>
      <c r="E19" s="258" t="n">
        <v>46226</v>
      </c>
      <c r="F19" s="107" t="inlineStr">
        <is>
          <t>ID2607-7887</t>
        </is>
      </c>
      <c r="G19" s="258" t="n">
        <v>46225</v>
      </c>
      <c r="H19" s="108" t="n">
        <v>1</v>
      </c>
      <c r="I19" s="67" t="inlineStr"/>
      <c r="J19" s="67" t="inlineStr"/>
      <c r="K19" s="69" t="inlineStr">
        <is>
          <t>1 - - - 35.93 - 8IN MYGEL FOAM MATTRESS TW</t>
        </is>
      </c>
      <c r="L19" s="109" t="inlineStr">
        <is>
          <t>ZU-</t>
        </is>
      </c>
      <c r="M19" s="110" t="inlineStr">
        <is>
          <t>1CPXSUHR</t>
        </is>
      </c>
      <c r="N19" s="69" t="inlineStr"/>
      <c r="O19" s="111" t="inlineStr"/>
      <c r="P19" s="111" t="inlineStr"/>
      <c r="Q19" s="259">
        <f>IFERROR(R19/H19, 0)</f>
        <v/>
      </c>
      <c r="R19" s="260" t="n">
        <v>0</v>
      </c>
      <c r="S19" s="261" t="n">
        <v>18056</v>
      </c>
      <c r="T19" s="261">
        <f>IFERROR(S19*R19, 0)</f>
        <v/>
      </c>
      <c r="U19" s="73" t="inlineStr">
        <is>
          <t>PEMUATAN DI PELABUHAN</t>
        </is>
      </c>
      <c r="V19" s="74" t="inlineStr">
        <is>
          <t>TANJUNG PRIOK</t>
        </is>
      </c>
      <c r="W19" s="75" t="inlineStr"/>
      <c r="X19" s="76" t="inlineStr"/>
      <c r="Y19" s="77" t="inlineStr"/>
      <c r="Z19" s="258" t="inlineStr"/>
    </row>
    <row r="20" ht="16.5" customFormat="1" customHeight="1" s="257">
      <c r="A20" s="104" t="n"/>
      <c r="B20" s="105" t="n"/>
      <c r="C20" s="106" t="n"/>
      <c r="D20" s="106" t="n"/>
      <c r="E20" s="258" t="n"/>
      <c r="F20" s="107" t="n"/>
      <c r="G20" s="258" t="n"/>
      <c r="H20" s="108" t="n">
        <v>6</v>
      </c>
      <c r="I20" s="67" t="inlineStr"/>
      <c r="J20" s="67" t="inlineStr"/>
      <c r="K20" s="69" t="inlineStr">
        <is>
          <t>2 - - - 372.9 - 8IN GREEN TEA MF MATTRESS SQ</t>
        </is>
      </c>
      <c r="L20" s="109" t="inlineStr">
        <is>
          <t>ZU-</t>
        </is>
      </c>
      <c r="M20" s="110" t="inlineStr">
        <is>
          <t>1CPXSUHR</t>
        </is>
      </c>
      <c r="N20" s="69" t="inlineStr"/>
      <c r="O20" s="111" t="n"/>
      <c r="P20" s="111" t="n"/>
      <c r="Q20" s="259">
        <f>IFERROR(R20/H20, 0)</f>
        <v/>
      </c>
      <c r="R20" s="260" t="n">
        <v>0</v>
      </c>
      <c r="S20" s="261" t="n">
        <v>18056</v>
      </c>
      <c r="T20" s="261">
        <f>IFERROR(S20*R20, 0)</f>
        <v/>
      </c>
      <c r="U20" s="73" t="n"/>
      <c r="V20" s="74" t="n"/>
      <c r="W20" s="75" t="n"/>
      <c r="X20" s="76" t="n"/>
      <c r="Y20" s="77" t="n"/>
      <c r="Z20" s="258" t="n"/>
    </row>
    <row r="21" ht="16.5" customFormat="1" customHeight="1" s="257">
      <c r="A21" s="104" t="n"/>
      <c r="B21" s="105" t="n"/>
      <c r="C21" s="106" t="n"/>
      <c r="D21" s="106" t="n"/>
      <c r="E21" s="258" t="n"/>
      <c r="F21" s="107" t="n"/>
      <c r="G21" s="258" t="n"/>
      <c r="H21" s="108" t="n">
        <v>1</v>
      </c>
      <c r="I21" s="67" t="inlineStr"/>
      <c r="J21" s="67" t="inlineStr"/>
      <c r="K21" s="69" t="inlineStr">
        <is>
          <t>3 - - - 47.91 - 10IN OPP HD FL</t>
        </is>
      </c>
      <c r="L21" s="109" t="inlineStr">
        <is>
          <t>ZU-MFMA1OZI-10F</t>
        </is>
      </c>
      <c r="M21" s="110" t="inlineStr">
        <is>
          <t>1CPXSUHR</t>
        </is>
      </c>
      <c r="N21" s="69" t="inlineStr"/>
      <c r="O21" s="111" t="n"/>
      <c r="P21" s="111" t="n"/>
      <c r="Q21" s="259">
        <f>IFERROR(R21/H21, 0)</f>
        <v/>
      </c>
      <c r="R21" s="260" t="n">
        <v>0</v>
      </c>
      <c r="S21" s="261" t="n">
        <v>18056</v>
      </c>
      <c r="T21" s="261">
        <f>IFERROR(S21*R21, 0)</f>
        <v/>
      </c>
      <c r="U21" s="73" t="n"/>
      <c r="V21" s="74" t="n"/>
      <c r="W21" s="75" t="n"/>
      <c r="X21" s="76" t="n"/>
      <c r="Y21" s="77" t="n"/>
      <c r="Z21" s="258" t="n"/>
    </row>
    <row r="22" ht="16.5" customFormat="1" customHeight="1" s="257">
      <c r="A22" s="104" t="n"/>
      <c r="B22" s="105" t="n"/>
      <c r="C22" s="106" t="n"/>
      <c r="D22" s="106" t="n"/>
      <c r="E22" s="258" t="n"/>
      <c r="F22" s="107" t="n"/>
      <c r="G22" s="258" t="n"/>
      <c r="H22" s="108" t="n">
        <v>2</v>
      </c>
      <c r="I22" s="67" t="inlineStr"/>
      <c r="J22" s="67" t="inlineStr"/>
      <c r="K22" s="69" t="inlineStr">
        <is>
          <t>4 - - - 107.8 - 10IN AIRFLOW GEL FOAM MATT QN</t>
        </is>
      </c>
      <c r="L22" s="109" t="inlineStr">
        <is>
          <t>ZU-</t>
        </is>
      </c>
      <c r="M22" s="110" t="inlineStr">
        <is>
          <t>1CPXSUHR</t>
        </is>
      </c>
      <c r="N22" s="69" t="inlineStr"/>
      <c r="O22" s="111" t="n"/>
      <c r="P22" s="111" t="n"/>
      <c r="Q22" s="259">
        <f>IFERROR(R22/H22, 0)</f>
        <v/>
      </c>
      <c r="R22" s="260" t="n">
        <v>0</v>
      </c>
      <c r="S22" s="261" t="n">
        <v>18056</v>
      </c>
      <c r="T22" s="261">
        <f>IFERROR(S22*R22, 0)</f>
        <v/>
      </c>
      <c r="U22" s="73" t="n"/>
      <c r="V22" s="74" t="n"/>
      <c r="W22" s="75" t="n"/>
      <c r="X22" s="76" t="n"/>
      <c r="Y22" s="77" t="n"/>
      <c r="Z22" s="258" t="n"/>
    </row>
    <row r="23" ht="17.1" customFormat="1" customHeight="1" s="273">
      <c r="A23" s="104" t="n"/>
      <c r="B23" s="105" t="n"/>
      <c r="C23" s="274" t="n"/>
      <c r="D23" s="274" t="n"/>
      <c r="E23" s="275" t="n"/>
      <c r="F23" s="276" t="n"/>
      <c r="G23" s="275" t="n"/>
      <c r="H23" s="67" t="n">
        <v>311</v>
      </c>
      <c r="I23" s="67" t="inlineStr"/>
      <c r="J23" s="67" t="inlineStr"/>
      <c r="K23" s="69" t="inlineStr">
        <is>
          <t>5 - - - 11,920.63 - 6IN GREEN TEA MF MATTRESS FL</t>
        </is>
      </c>
      <c r="L23" s="277" t="inlineStr">
        <is>
          <t>ZU-</t>
        </is>
      </c>
      <c r="M23" s="67" t="inlineStr">
        <is>
          <t>1CPXSUHR</t>
        </is>
      </c>
      <c r="N23" s="69" t="inlineStr"/>
      <c r="O23" s="111" t="n"/>
      <c r="P23" s="111" t="n"/>
      <c r="Q23" s="259">
        <f>IFERROR(R23/H23, 0)</f>
        <v/>
      </c>
      <c r="R23" s="260" t="n">
        <v>0</v>
      </c>
      <c r="S23" s="261" t="n">
        <v>18056</v>
      </c>
      <c r="T23" s="261">
        <f>IFERROR(S23*R23, 0)</f>
        <v/>
      </c>
      <c r="U23" s="73" t="n"/>
      <c r="V23" s="74" t="n"/>
      <c r="W23" s="75" t="n"/>
      <c r="X23" s="76" t="n"/>
      <c r="Y23" s="278" t="n"/>
      <c r="Z23" s="279" t="n"/>
    </row>
    <row r="24" ht="17.1" customFormat="1" customHeight="1" s="273">
      <c r="A24" s="104" t="n"/>
      <c r="B24" s="105" t="n"/>
      <c r="C24" s="106" t="n"/>
      <c r="D24" s="106" t="n"/>
      <c r="E24" s="258" t="n"/>
      <c r="F24" s="107" t="n"/>
      <c r="G24" s="258" t="n"/>
      <c r="H24" s="108" t="n">
        <v>355</v>
      </c>
      <c r="I24" s="67" t="inlineStr"/>
      <c r="J24" s="67" t="inlineStr"/>
      <c r="K24" s="69" t="inlineStr">
        <is>
          <t>6 - - - 19,876.45 - 8IN GREEN TEA MF MATTRESS FL</t>
        </is>
      </c>
      <c r="L24" s="109" t="inlineStr">
        <is>
          <t>ZU-</t>
        </is>
      </c>
      <c r="M24" s="67" t="inlineStr">
        <is>
          <t>1CPXSUHR</t>
        </is>
      </c>
      <c r="N24" s="69" t="inlineStr"/>
      <c r="O24" s="111" t="n"/>
      <c r="P24" s="111" t="n"/>
      <c r="Q24" s="259">
        <f>IFERROR(R24/H24, 0)</f>
        <v/>
      </c>
      <c r="R24" s="260" t="n">
        <v>0</v>
      </c>
      <c r="S24" s="261" t="n">
        <v>18056</v>
      </c>
      <c r="T24" s="261">
        <f>IFERROR(S24*R24, 0)</f>
        <v/>
      </c>
      <c r="U24" s="73" t="n"/>
      <c r="V24" s="74" t="n"/>
      <c r="W24" s="75" t="n"/>
      <c r="X24" s="76" t="n"/>
      <c r="Y24" s="77" t="n"/>
      <c r="Z24" s="258" t="n"/>
    </row>
    <row r="25" ht="8.1" customHeight="1" s="223" thickBot="1">
      <c r="A25" s="104" t="n"/>
      <c r="B25" s="105" t="n"/>
      <c r="C25" s="280" t="n"/>
      <c r="D25" s="281" t="n"/>
      <c r="E25" s="282" t="n"/>
      <c r="F25" s="283" t="n"/>
      <c r="G25" s="282" t="n"/>
      <c r="H25" s="76" t="n">
        <v>1</v>
      </c>
      <c r="I25" s="76" t="inlineStr"/>
      <c r="J25" s="76" t="inlineStr"/>
      <c r="K25" s="284" t="inlineStr">
        <is>
          <t>7 - - - 101.97 - 12IN GREEN TEA MF MATTRESS EK</t>
        </is>
      </c>
      <c r="L25" s="285" t="inlineStr">
        <is>
          <t>ZU-</t>
        </is>
      </c>
      <c r="M25" s="76" t="inlineStr">
        <is>
          <t>1CPXSUHR</t>
        </is>
      </c>
      <c r="N25" s="284" t="inlineStr"/>
      <c r="O25" s="286" t="n"/>
      <c r="P25" s="286" t="n"/>
      <c r="Q25" s="287">
        <f>IFERROR(R25/H25, 0)</f>
        <v/>
      </c>
      <c r="R25" s="288" t="n">
        <v>0</v>
      </c>
      <c r="S25" s="289" t="n">
        <v>18056</v>
      </c>
      <c r="T25" s="289">
        <f>IFERROR(S25*R25, 0)</f>
        <v/>
      </c>
      <c r="U25" s="290" t="n"/>
      <c r="V25" s="77" t="n"/>
      <c r="W25" s="291" t="n"/>
      <c r="X25" s="292" t="n"/>
      <c r="Y25" s="293" t="n"/>
      <c r="Z25" s="294" t="n"/>
    </row>
    <row r="26" ht="20.1" customFormat="1" customHeight="1" s="231" thickBot="1">
      <c r="A26" s="295" t="n"/>
      <c r="B26" s="296" t="n"/>
      <c r="C26" s="297" t="n"/>
      <c r="D26" s="297" t="n"/>
      <c r="E26" s="298" t="n"/>
      <c r="F26" s="299" t="n"/>
      <c r="G26" s="298" t="n"/>
      <c r="H26" s="300" t="n">
        <v>5</v>
      </c>
      <c r="I26" s="300" t="inlineStr"/>
      <c r="J26" s="300" t="inlineStr"/>
      <c r="K26" s="301" t="inlineStr">
        <is>
          <t>8 - - - 310.75 - 8IN GREEN TEA MF MATTRESS SQ</t>
        </is>
      </c>
      <c r="L26" s="302" t="inlineStr">
        <is>
          <t>ZU-</t>
        </is>
      </c>
      <c r="M26" s="300" t="inlineStr">
        <is>
          <t>23OYBVEV</t>
        </is>
      </c>
      <c r="N26" s="301" t="inlineStr"/>
      <c r="O26" s="303" t="n"/>
      <c r="P26" s="303" t="n"/>
      <c r="Q26" s="304">
        <f>IFERROR(R26/H26, 0)</f>
        <v/>
      </c>
      <c r="R26" s="305" t="n">
        <v>0</v>
      </c>
      <c r="S26" s="306" t="n">
        <v>18056</v>
      </c>
      <c r="T26" s="306">
        <f>IFERROR(S26*R26, 0)</f>
        <v/>
      </c>
      <c r="U26" s="307" t="n"/>
      <c r="V26" s="308" t="n"/>
      <c r="W26" s="309" t="n"/>
      <c r="X26" s="300" t="n"/>
      <c r="Y26" s="308" t="n"/>
      <c r="Z26" s="298" t="n"/>
    </row>
    <row r="27" ht="17.1" customHeight="1" s="223">
      <c r="A27" s="295" t="n"/>
      <c r="B27" s="296" t="n"/>
      <c r="C27" s="297" t="n"/>
      <c r="D27" s="297" t="n"/>
      <c r="E27" s="298" t="n"/>
      <c r="F27" s="299" t="n"/>
      <c r="G27" s="298" t="n"/>
      <c r="H27" s="300" t="n">
        <v>197</v>
      </c>
      <c r="I27" s="300" t="inlineStr"/>
      <c r="J27" s="300" t="inlineStr"/>
      <c r="K27" s="301" t="inlineStr">
        <is>
          <t>9 - - - 7,669.21 - 8IN OPP HD FL</t>
        </is>
      </c>
      <c r="L27" s="302" t="inlineStr">
        <is>
          <t>ZU-MFMA1OZI-08F</t>
        </is>
      </c>
      <c r="M27" s="300" t="inlineStr">
        <is>
          <t>23OYBVEV</t>
        </is>
      </c>
      <c r="N27" s="301" t="inlineStr"/>
      <c r="O27" s="303" t="n"/>
      <c r="P27" s="303" t="n"/>
      <c r="Q27" s="304">
        <f>IFERROR(R27/H27, 0)</f>
        <v/>
      </c>
      <c r="R27" s="305" t="n">
        <v>0</v>
      </c>
      <c r="S27" s="306" t="n">
        <v>18056</v>
      </c>
      <c r="T27" s="306">
        <f>IFERROR(S27*R27, 0)</f>
        <v/>
      </c>
      <c r="U27" s="307" t="n"/>
      <c r="V27" s="308" t="n"/>
      <c r="W27" s="309" t="n"/>
      <c r="X27" s="300" t="n"/>
      <c r="Y27" s="308" t="n"/>
      <c r="Z27" s="298" t="n"/>
    </row>
    <row r="28" ht="17.1" customHeight="1" s="223">
      <c r="A28" s="295" t="n"/>
      <c r="B28" s="296" t="n"/>
      <c r="C28" s="297" t="n"/>
      <c r="D28" s="297" t="n"/>
      <c r="E28" s="298" t="n"/>
      <c r="F28" s="299" t="n"/>
      <c r="G28" s="298" t="n"/>
      <c r="H28" s="300" t="n">
        <v>18</v>
      </c>
      <c r="I28" s="300" t="inlineStr"/>
      <c r="J28" s="300" t="inlineStr"/>
      <c r="K28" s="301" t="inlineStr">
        <is>
          <t>1,010.52 - 8IN OPP HD QN</t>
        </is>
      </c>
      <c r="L28" s="302" t="inlineStr">
        <is>
          <t>ZU-MFMA1OZI-08Q</t>
        </is>
      </c>
      <c r="M28" s="300" t="inlineStr">
        <is>
          <t>23OYBVEV</t>
        </is>
      </c>
      <c r="N28" s="301" t="inlineStr"/>
      <c r="O28" s="303" t="n"/>
      <c r="P28" s="303" t="n"/>
      <c r="Q28" s="304">
        <f>IFERROR(R28/H28, 0)</f>
        <v/>
      </c>
      <c r="R28" s="305" t="n">
        <v>0</v>
      </c>
      <c r="S28" s="306" t="n">
        <v>18056</v>
      </c>
      <c r="T28" s="306">
        <f>IFERROR(S28*R28, 0)</f>
        <v/>
      </c>
      <c r="U28" s="307" t="n"/>
      <c r="V28" s="308" t="n"/>
      <c r="W28" s="309" t="n"/>
      <c r="X28" s="300" t="n"/>
      <c r="Y28" s="308" t="n"/>
      <c r="Z28" s="298" t="n"/>
    </row>
    <row r="29" ht="17.1" customHeight="1" s="223">
      <c r="A29" s="295" t="n"/>
      <c r="B29" s="296" t="n"/>
      <c r="C29" s="297" t="n"/>
      <c r="D29" s="297" t="n"/>
      <c r="E29" s="298" t="n"/>
      <c r="F29" s="299" t="n"/>
      <c r="G29" s="298" t="n"/>
      <c r="H29" s="300" t="n">
        <v>1</v>
      </c>
      <c r="I29" s="300" t="inlineStr"/>
      <c r="J29" s="300" t="inlineStr"/>
      <c r="K29" s="301" t="inlineStr">
        <is>
          <t>67.57 - 12IN OPP HD QN</t>
        </is>
      </c>
      <c r="L29" s="302" t="inlineStr">
        <is>
          <t>ZU-MFMA1OZI-12Q</t>
        </is>
      </c>
      <c r="M29" s="300" t="inlineStr">
        <is>
          <t>23OYBVEV</t>
        </is>
      </c>
      <c r="N29" s="301" t="inlineStr"/>
      <c r="O29" s="303" t="n"/>
      <c r="P29" s="303" t="n"/>
      <c r="Q29" s="304">
        <f>IFERROR(R29/H29, 0)</f>
        <v/>
      </c>
      <c r="R29" s="305" t="n">
        <v>0</v>
      </c>
      <c r="S29" s="306" t="n">
        <v>18056</v>
      </c>
      <c r="T29" s="306">
        <f>IFERROR(S29*R29, 0)</f>
        <v/>
      </c>
      <c r="U29" s="307" t="n"/>
      <c r="V29" s="308" t="n"/>
      <c r="W29" s="309" t="n"/>
      <c r="X29" s="300" t="n"/>
      <c r="Y29" s="308" t="n"/>
      <c r="Z29" s="298" t="n"/>
    </row>
    <row r="30" ht="17.1" customHeight="1" s="223" thickBot="1">
      <c r="A30" s="295" t="n"/>
      <c r="B30" s="296" t="n"/>
      <c r="C30" s="297" t="n"/>
      <c r="D30" s="297" t="n"/>
      <c r="E30" s="298" t="n"/>
      <c r="F30" s="299" t="n"/>
      <c r="G30" s="298" t="n"/>
      <c r="H30" s="300" t="n">
        <v>2</v>
      </c>
      <c r="I30" s="300" t="inlineStr"/>
      <c r="J30" s="300" t="inlineStr"/>
      <c r="K30" s="301" t="inlineStr">
        <is>
          <t>131.76 - 10IN AIRFLOW GEL FOAM MATT EK</t>
        </is>
      </c>
      <c r="L30" s="302" t="inlineStr">
        <is>
          <t>ZU-</t>
        </is>
      </c>
      <c r="M30" s="300" t="inlineStr">
        <is>
          <t>23OYBVEV</t>
        </is>
      </c>
      <c r="N30" s="301" t="inlineStr"/>
      <c r="O30" s="303" t="n"/>
      <c r="P30" s="303" t="n"/>
      <c r="Q30" s="304">
        <f>IFERROR(R30/H30, 0)</f>
        <v/>
      </c>
      <c r="R30" s="305" t="n">
        <v>0</v>
      </c>
      <c r="S30" s="306" t="n">
        <v>18056</v>
      </c>
      <c r="T30" s="306">
        <f>IFERROR(S30*R30, 0)</f>
        <v/>
      </c>
      <c r="U30" s="307" t="n"/>
      <c r="V30" s="308" t="n"/>
      <c r="W30" s="309" t="n"/>
      <c r="X30" s="300" t="n"/>
      <c r="Y30" s="308" t="n"/>
      <c r="Z30" s="298" t="n"/>
    </row>
    <row r="31" ht="17.1" customHeight="1" s="223" thickTop="1">
      <c r="A31" s="295" t="n"/>
      <c r="B31" s="296" t="n"/>
      <c r="C31" s="297" t="n"/>
      <c r="D31" s="297" t="n"/>
      <c r="E31" s="298" t="n"/>
      <c r="F31" s="299" t="n"/>
      <c r="G31" s="298" t="n"/>
      <c r="H31" s="300" t="n">
        <v>302</v>
      </c>
      <c r="I31" s="300" t="inlineStr"/>
      <c r="J31" s="300" t="inlineStr"/>
      <c r="K31" s="301" t="inlineStr">
        <is>
          <t>11,756.86 - 6IN MYGEL FOAM MATTRESS FL</t>
        </is>
      </c>
      <c r="L31" s="302" t="inlineStr">
        <is>
          <t>ZU-MFGN1YZI-</t>
        </is>
      </c>
      <c r="M31" s="300" t="inlineStr">
        <is>
          <t>299957YO</t>
        </is>
      </c>
      <c r="N31" s="301" t="inlineStr"/>
      <c r="O31" s="303" t="n"/>
      <c r="P31" s="303" t="n"/>
      <c r="Q31" s="304">
        <f>IFERROR(R31/H31, 0)</f>
        <v/>
      </c>
      <c r="R31" s="305" t="n">
        <v>0</v>
      </c>
      <c r="S31" s="306" t="n">
        <v>18056</v>
      </c>
      <c r="T31" s="306">
        <f>IFERROR(S31*R31, 0)</f>
        <v/>
      </c>
      <c r="U31" s="307" t="n"/>
      <c r="V31" s="308" t="n"/>
      <c r="W31" s="309" t="n"/>
      <c r="X31" s="300" t="n"/>
      <c r="Y31" s="308" t="n"/>
      <c r="Z31" s="298" t="n"/>
    </row>
    <row r="32" ht="17.1" customHeight="1" s="223">
      <c r="A32" s="295" t="n"/>
      <c r="B32" s="296" t="n"/>
      <c r="C32" s="297" t="n"/>
      <c r="D32" s="297" t="n"/>
      <c r="E32" s="298" t="n"/>
      <c r="F32" s="299" t="n"/>
      <c r="G32" s="298" t="n"/>
      <c r="H32" s="300" t="n">
        <v>450</v>
      </c>
      <c r="I32" s="300" t="inlineStr"/>
      <c r="J32" s="300" t="inlineStr"/>
      <c r="K32" s="301" t="inlineStr">
        <is>
          <t>17,518.5 - 8IN OPP HD FL</t>
        </is>
      </c>
      <c r="L32" s="302" t="inlineStr">
        <is>
          <t>ZU-MFMA1OZI-08F</t>
        </is>
      </c>
      <c r="M32" s="300" t="inlineStr">
        <is>
          <t>299957YO</t>
        </is>
      </c>
      <c r="N32" s="301" t="inlineStr"/>
      <c r="O32" s="303" t="n"/>
      <c r="P32" s="303" t="n"/>
      <c r="Q32" s="304">
        <f>IFERROR(R32/H32, 0)</f>
        <v/>
      </c>
      <c r="R32" s="305" t="n">
        <v>0</v>
      </c>
      <c r="S32" s="306" t="n">
        <v>18056</v>
      </c>
      <c r="T32" s="306">
        <f>IFERROR(S32*R32, 0)</f>
        <v/>
      </c>
      <c r="U32" s="307" t="n"/>
      <c r="V32" s="308" t="n"/>
      <c r="W32" s="309" t="n"/>
      <c r="X32" s="300" t="n"/>
      <c r="Y32" s="308" t="n"/>
      <c r="Z32" s="298" t="n"/>
    </row>
    <row r="33" ht="17.1" customHeight="1" s="223">
      <c r="A33" s="295" t="n"/>
      <c r="B33" s="296" t="n"/>
      <c r="C33" s="297" t="n"/>
      <c r="D33" s="297" t="n"/>
      <c r="E33" s="298" t="n"/>
      <c r="F33" s="299" t="n"/>
      <c r="G33" s="298" t="n"/>
      <c r="H33" s="300" t="n">
        <v>1</v>
      </c>
      <c r="I33" s="300" t="inlineStr"/>
      <c r="J33" s="300" t="inlineStr"/>
      <c r="K33" s="301" t="inlineStr">
        <is>
          <t>59.1 - 8IN GREEN TEA MF MATTRESS SQ</t>
        </is>
      </c>
      <c r="L33" s="302" t="inlineStr">
        <is>
          <t>ZU-</t>
        </is>
      </c>
      <c r="M33" s="300" t="inlineStr">
        <is>
          <t>299957YO</t>
        </is>
      </c>
      <c r="N33" s="301" t="inlineStr"/>
      <c r="O33" s="303" t="n"/>
      <c r="P33" s="303" t="n"/>
      <c r="Q33" s="304">
        <f>IFERROR(R33/H33, 0)</f>
        <v/>
      </c>
      <c r="R33" s="305" t="n">
        <v>0</v>
      </c>
      <c r="S33" s="306" t="n">
        <v>18056</v>
      </c>
      <c r="T33" s="306">
        <f>IFERROR(S33*R33, 0)</f>
        <v/>
      </c>
      <c r="U33" s="307" t="n"/>
      <c r="V33" s="308" t="n"/>
      <c r="W33" s="309" t="n"/>
      <c r="X33" s="300" t="n"/>
      <c r="Y33" s="308" t="n"/>
      <c r="Z33" s="298" t="n"/>
    </row>
    <row r="34" ht="17.1" customHeight="1" s="223">
      <c r="A34" s="295" t="n"/>
      <c r="B34" s="296" t="n"/>
      <c r="C34" s="297" t="n"/>
      <c r="D34" s="297" t="n"/>
      <c r="E34" s="298" t="n"/>
      <c r="F34" s="299" t="n"/>
      <c r="G34" s="298" t="n"/>
      <c r="H34" s="300" t="n">
        <v>6</v>
      </c>
      <c r="I34" s="300" t="inlineStr"/>
      <c r="J34" s="300" t="inlineStr"/>
      <c r="K34" s="301" t="inlineStr">
        <is>
          <t>582.66 - 10IN GREEN TEA MF MATTRESS EK</t>
        </is>
      </c>
      <c r="L34" s="302" t="inlineStr">
        <is>
          <t>ZU-</t>
        </is>
      </c>
      <c r="M34" s="300" t="inlineStr">
        <is>
          <t>299957YO</t>
        </is>
      </c>
      <c r="N34" s="301" t="inlineStr"/>
      <c r="O34" s="303" t="n"/>
      <c r="P34" s="303" t="n"/>
      <c r="Q34" s="304">
        <f>IFERROR(R34/H34, 0)</f>
        <v/>
      </c>
      <c r="R34" s="305" t="n">
        <v>0</v>
      </c>
      <c r="S34" s="306" t="n">
        <v>18056</v>
      </c>
      <c r="T34" s="306">
        <f>IFERROR(S34*R34, 0)</f>
        <v/>
      </c>
      <c r="U34" s="307" t="n"/>
      <c r="V34" s="308" t="n"/>
      <c r="W34" s="309" t="n"/>
      <c r="X34" s="300" t="n"/>
      <c r="Y34" s="308" t="n"/>
      <c r="Z34" s="298" t="n"/>
    </row>
    <row r="35" ht="17.1" customHeight="1" s="223">
      <c r="A35" s="295" t="n"/>
      <c r="B35" s="296" t="n"/>
      <c r="C35" s="297" t="n"/>
      <c r="D35" s="297" t="n"/>
      <c r="E35" s="298" t="n"/>
      <c r="F35" s="299" t="n"/>
      <c r="G35" s="298" t="n"/>
      <c r="H35" s="300" t="n">
        <v>149</v>
      </c>
      <c r="I35" s="300" t="inlineStr"/>
      <c r="J35" s="300" t="inlineStr"/>
      <c r="K35" s="301" t="inlineStr">
        <is>
          <t>5,353.57 - 8IN MYGEL FOAM MATTRESS TW</t>
        </is>
      </c>
      <c r="L35" s="302" t="inlineStr">
        <is>
          <t>ZU-</t>
        </is>
      </c>
      <c r="M35" s="300" t="inlineStr">
        <is>
          <t>2OD43VAH</t>
        </is>
      </c>
      <c r="N35" s="301" t="inlineStr"/>
      <c r="O35" s="303" t="n"/>
      <c r="P35" s="303" t="n"/>
      <c r="Q35" s="304">
        <f>IFERROR(R35/H35, 0)</f>
        <v/>
      </c>
      <c r="R35" s="305" t="n">
        <v>0</v>
      </c>
      <c r="S35" s="306" t="n">
        <v>18056</v>
      </c>
      <c r="T35" s="306">
        <f>IFERROR(S35*R35, 0)</f>
        <v/>
      </c>
      <c r="U35" s="307" t="n"/>
      <c r="V35" s="308" t="n"/>
      <c r="W35" s="309" t="n"/>
      <c r="X35" s="300" t="n"/>
      <c r="Y35" s="308" t="n"/>
      <c r="Z35" s="298" t="n"/>
    </row>
    <row r="36" ht="17.1" customHeight="1" s="223">
      <c r="A36" s="295" t="n"/>
      <c r="B36" s="296" t="n"/>
      <c r="C36" s="297" t="n"/>
      <c r="D36" s="297" t="n"/>
      <c r="E36" s="298" t="n"/>
      <c r="F36" s="299" t="n"/>
      <c r="G36" s="298" t="n"/>
      <c r="H36" s="300" t="n">
        <v>2</v>
      </c>
      <c r="I36" s="300" t="inlineStr"/>
      <c r="J36" s="300" t="inlineStr"/>
      <c r="K36" s="301" t="inlineStr">
        <is>
          <t>95.82 - 10IN OPP HD FL</t>
        </is>
      </c>
      <c r="L36" s="302" t="inlineStr">
        <is>
          <t>ZU-MFMA1OZI-10F</t>
        </is>
      </c>
      <c r="M36" s="300" t="inlineStr">
        <is>
          <t>2OD43VAH</t>
        </is>
      </c>
      <c r="N36" s="301" t="inlineStr"/>
      <c r="O36" s="303" t="n"/>
      <c r="P36" s="303" t="n"/>
      <c r="Q36" s="304">
        <f>IFERROR(R36/H36, 0)</f>
        <v/>
      </c>
      <c r="R36" s="305" t="n">
        <v>0</v>
      </c>
      <c r="S36" s="306" t="n">
        <v>18056</v>
      </c>
      <c r="T36" s="306">
        <f>IFERROR(S36*R36, 0)</f>
        <v/>
      </c>
      <c r="U36" s="307" t="n"/>
      <c r="V36" s="308" t="n"/>
      <c r="W36" s="309" t="n"/>
      <c r="X36" s="300" t="n"/>
      <c r="Y36" s="308" t="n"/>
      <c r="Z36" s="298" t="n"/>
    </row>
    <row r="37" ht="17.1" customHeight="1" s="223">
      <c r="A37" s="295" t="n"/>
      <c r="B37" s="296" t="n"/>
      <c r="C37" s="297" t="n"/>
      <c r="D37" s="297" t="n"/>
      <c r="E37" s="298" t="n"/>
      <c r="F37" s="299" t="n"/>
      <c r="G37" s="298" t="n"/>
      <c r="H37" s="300" t="n">
        <v>400</v>
      </c>
      <c r="I37" s="300" t="inlineStr"/>
      <c r="J37" s="300" t="inlineStr"/>
      <c r="K37" s="301" t="inlineStr">
        <is>
          <t>27,028 - 12IN OPP HD QN</t>
        </is>
      </c>
      <c r="L37" s="302" t="inlineStr">
        <is>
          <t>ZU-MFMA1OZI-12Q</t>
        </is>
      </c>
      <c r="M37" s="300" t="inlineStr">
        <is>
          <t>2OD43VAH</t>
        </is>
      </c>
      <c r="N37" s="301" t="inlineStr"/>
      <c r="O37" s="303" t="n"/>
      <c r="P37" s="303" t="n"/>
      <c r="Q37" s="304">
        <f>IFERROR(R37/H37, 0)</f>
        <v/>
      </c>
      <c r="R37" s="305" t="n">
        <v>0</v>
      </c>
      <c r="S37" s="306" t="n">
        <v>18056</v>
      </c>
      <c r="T37" s="306">
        <f>IFERROR(S37*R37, 0)</f>
        <v/>
      </c>
      <c r="U37" s="307" t="n"/>
      <c r="V37" s="308" t="n"/>
      <c r="W37" s="309" t="n"/>
      <c r="X37" s="300" t="n"/>
      <c r="Y37" s="308" t="n"/>
      <c r="Z37" s="298" t="n"/>
    </row>
    <row r="38" ht="17.1" customHeight="1" s="223">
      <c r="A38" s="295" t="n"/>
      <c r="B38" s="296" t="n"/>
      <c r="C38" s="297" t="n"/>
      <c r="D38" s="297" t="n"/>
      <c r="E38" s="298" t="n"/>
      <c r="F38" s="299" t="n"/>
      <c r="G38" s="298" t="n"/>
      <c r="H38" s="300" t="n">
        <v>1</v>
      </c>
      <c r="I38" s="300" t="inlineStr"/>
      <c r="J38" s="300" t="inlineStr"/>
      <c r="K38" s="301" t="inlineStr">
        <is>
          <t>53.9 - 10IN AIRFLOW GEL FOAM MATT QN</t>
        </is>
      </c>
      <c r="L38" s="302" t="inlineStr">
        <is>
          <t>ZU-</t>
        </is>
      </c>
      <c r="M38" s="300" t="inlineStr">
        <is>
          <t>2OD43VAH</t>
        </is>
      </c>
      <c r="N38" s="301" t="inlineStr"/>
      <c r="O38" s="303" t="n"/>
      <c r="P38" s="303" t="n"/>
      <c r="Q38" s="304">
        <f>IFERROR(R38/H38, 0)</f>
        <v/>
      </c>
      <c r="R38" s="305" t="n">
        <v>0</v>
      </c>
      <c r="S38" s="306" t="n">
        <v>18056</v>
      </c>
      <c r="T38" s="306">
        <f>IFERROR(S38*R38, 0)</f>
        <v/>
      </c>
      <c r="U38" s="307" t="n"/>
      <c r="V38" s="308" t="n"/>
      <c r="W38" s="309" t="n"/>
      <c r="X38" s="300" t="n"/>
      <c r="Y38" s="308" t="n"/>
      <c r="Z38" s="298" t="n"/>
    </row>
    <row r="39" ht="16.2" customHeight="1" s="223" thickBot="1">
      <c r="A39" s="295" t="n"/>
      <c r="B39" s="296" t="n"/>
      <c r="C39" s="297" t="n"/>
      <c r="D39" s="297" t="n"/>
      <c r="E39" s="298" t="n"/>
      <c r="F39" s="299" t="n"/>
      <c r="G39" s="298" t="n"/>
      <c r="H39" s="300" t="n">
        <v>1</v>
      </c>
      <c r="I39" s="300" t="inlineStr"/>
      <c r="J39" s="300" t="inlineStr"/>
      <c r="K39" s="301" t="inlineStr">
        <is>
          <t>67.57 - 12IN AIRFLOW GEL FOAM MATT QN</t>
        </is>
      </c>
      <c r="L39" s="302" t="inlineStr">
        <is>
          <t>ZU-</t>
        </is>
      </c>
      <c r="M39" s="300" t="inlineStr">
        <is>
          <t>2OD43VAH</t>
        </is>
      </c>
      <c r="N39" s="301" t="inlineStr"/>
      <c r="O39" s="303" t="n"/>
      <c r="P39" s="303" t="n"/>
      <c r="Q39" s="304">
        <f>IFERROR(R39/H39, 0)</f>
        <v/>
      </c>
      <c r="R39" s="305" t="n">
        <v>0</v>
      </c>
      <c r="S39" s="306" t="n">
        <v>18056</v>
      </c>
      <c r="T39" s="306">
        <f>IFERROR(S39*R39, 0)</f>
        <v/>
      </c>
      <c r="U39" s="307" t="n"/>
      <c r="V39" s="308" t="n"/>
      <c r="W39" s="309" t="n"/>
      <c r="X39" s="300" t="n"/>
      <c r="Y39" s="308" t="n"/>
      <c r="Z39" s="298" t="n"/>
    </row>
    <row r="40" ht="16.2" customFormat="1" customHeight="1" s="17" thickTop="1">
      <c r="A40" s="295" t="n"/>
      <c r="B40" s="296" t="n"/>
      <c r="C40" s="297" t="n"/>
      <c r="D40" s="297" t="n"/>
      <c r="E40" s="298" t="n"/>
      <c r="F40" s="299" t="n"/>
      <c r="G40" s="298" t="n"/>
      <c r="H40" s="300" t="n">
        <v>1</v>
      </c>
      <c r="I40" s="300" t="inlineStr"/>
      <c r="J40" s="300" t="inlineStr"/>
      <c r="K40" s="301" t="inlineStr">
        <is>
          <t>59.1 - 8IN GREEN TEA MF MATTRESS SQ</t>
        </is>
      </c>
      <c r="L40" s="302" t="inlineStr">
        <is>
          <t>ZU-</t>
        </is>
      </c>
      <c r="M40" s="300" t="inlineStr">
        <is>
          <t>2OD43VAH</t>
        </is>
      </c>
      <c r="N40" s="301" t="inlineStr"/>
      <c r="O40" s="303" t="n"/>
      <c r="P40" s="303" t="n"/>
      <c r="Q40" s="304">
        <f>IFERROR(R40/H40, 0)</f>
        <v/>
      </c>
      <c r="R40" s="305" t="n">
        <v>0</v>
      </c>
      <c r="S40" s="306" t="n">
        <v>18056</v>
      </c>
      <c r="T40" s="306">
        <f>IFERROR(S40*R40, 0)</f>
        <v/>
      </c>
      <c r="U40" s="307" t="n"/>
      <c r="V40" s="308" t="n"/>
      <c r="W40" s="309" t="n"/>
      <c r="X40" s="300" t="n"/>
      <c r="Y40" s="308" t="n"/>
      <c r="Z40" s="298" t="n"/>
    </row>
    <row r="41">
      <c r="A41" s="295" t="n"/>
      <c r="B41" s="296" t="n"/>
      <c r="C41" s="297" t="n"/>
      <c r="D41" s="297" t="n"/>
      <c r="E41" s="298" t="n"/>
      <c r="F41" s="299" t="n"/>
      <c r="G41" s="298" t="n"/>
      <c r="H41" s="300" t="n">
        <v>368</v>
      </c>
      <c r="I41" s="300" t="inlineStr"/>
      <c r="J41" s="300" t="inlineStr"/>
      <c r="K41" s="301" t="inlineStr">
        <is>
          <t>14,326.24 - 8IN OPP HD FL</t>
        </is>
      </c>
      <c r="L41" s="302" t="inlineStr">
        <is>
          <t>ZU-MFMA1OZI-08F</t>
        </is>
      </c>
      <c r="M41" s="300" t="inlineStr">
        <is>
          <t>2XLW4FKE</t>
        </is>
      </c>
      <c r="N41" s="301" t="inlineStr"/>
      <c r="O41" s="303" t="n"/>
      <c r="P41" s="303" t="n"/>
      <c r="Q41" s="304">
        <f>IFERROR(R41/H41, 0)</f>
        <v/>
      </c>
      <c r="R41" s="305" t="n">
        <v>0</v>
      </c>
      <c r="S41" s="306" t="n">
        <v>18056</v>
      </c>
      <c r="T41" s="306">
        <f>IFERROR(S41*R41, 0)</f>
        <v/>
      </c>
      <c r="U41" s="307" t="n"/>
      <c r="V41" s="308" t="n"/>
      <c r="W41" s="309" t="n"/>
      <c r="X41" s="300" t="n"/>
      <c r="Y41" s="308" t="n"/>
      <c r="Z41" s="298" t="n"/>
    </row>
    <row r="42">
      <c r="A42" s="295" t="n"/>
      <c r="B42" s="296" t="n"/>
      <c r="C42" s="297" t="n"/>
      <c r="D42" s="297" t="n"/>
      <c r="E42" s="298" t="n"/>
      <c r="F42" s="299" t="n"/>
      <c r="G42" s="298" t="n"/>
      <c r="H42" s="300" t="n">
        <v>198</v>
      </c>
      <c r="I42" s="300" t="inlineStr"/>
      <c r="J42" s="300" t="inlineStr"/>
      <c r="K42" s="301" t="inlineStr">
        <is>
          <t>13,378.86 - 12IN OPP HD QN</t>
        </is>
      </c>
      <c r="L42" s="302" t="inlineStr">
        <is>
          <t>ZU-MFMA1OZI-12Q</t>
        </is>
      </c>
      <c r="M42" s="300" t="inlineStr">
        <is>
          <t>2XLW4FKE</t>
        </is>
      </c>
      <c r="N42" s="301" t="inlineStr"/>
      <c r="O42" s="303" t="n"/>
      <c r="P42" s="303" t="n"/>
      <c r="Q42" s="304">
        <f>IFERROR(R42/H42, 0)</f>
        <v/>
      </c>
      <c r="R42" s="305" t="n">
        <v>0</v>
      </c>
      <c r="S42" s="306" t="n">
        <v>18056</v>
      </c>
      <c r="T42" s="306">
        <f>IFERROR(S42*R42, 0)</f>
        <v/>
      </c>
      <c r="U42" s="307" t="n"/>
      <c r="V42" s="308" t="n"/>
      <c r="W42" s="309" t="n"/>
      <c r="X42" s="300" t="n"/>
      <c r="Y42" s="308" t="n"/>
      <c r="Z42" s="298" t="n"/>
    </row>
    <row r="43">
      <c r="A43" s="295" t="n"/>
      <c r="B43" s="296" t="n"/>
      <c r="C43" s="297" t="n"/>
      <c r="D43" s="297" t="n"/>
      <c r="E43" s="298" t="n"/>
      <c r="F43" s="299" t="n"/>
      <c r="G43" s="298" t="n"/>
      <c r="H43" s="300" t="n">
        <v>56</v>
      </c>
      <c r="I43" s="300" t="inlineStr"/>
      <c r="J43" s="300" t="inlineStr"/>
      <c r="K43" s="301" t="inlineStr">
        <is>
          <t>3,264.8 - 12IN GREEN TEA MF MATTRESS TX</t>
        </is>
      </c>
      <c r="L43" s="302" t="inlineStr">
        <is>
          <t>ZU-</t>
        </is>
      </c>
      <c r="M43" s="300" t="inlineStr">
        <is>
          <t>2XLW4FKE</t>
        </is>
      </c>
      <c r="N43" s="301" t="inlineStr"/>
      <c r="O43" s="303" t="n"/>
      <c r="P43" s="303" t="n"/>
      <c r="Q43" s="304">
        <f>IFERROR(R43/H43, 0)</f>
        <v/>
      </c>
      <c r="R43" s="305" t="n">
        <v>0</v>
      </c>
      <c r="S43" s="306" t="n">
        <v>18056</v>
      </c>
      <c r="T43" s="306">
        <f>IFERROR(S43*R43, 0)</f>
        <v/>
      </c>
      <c r="U43" s="307" t="n"/>
      <c r="V43" s="308" t="n"/>
      <c r="W43" s="309" t="n"/>
      <c r="X43" s="300" t="n"/>
      <c r="Y43" s="308" t="n"/>
      <c r="Z43" s="298" t="n"/>
    </row>
    <row r="44">
      <c r="A44" s="295" t="n"/>
      <c r="B44" s="296" t="n"/>
      <c r="C44" s="297" t="n"/>
      <c r="D44" s="297" t="n"/>
      <c r="E44" s="298" t="n"/>
      <c r="F44" s="299" t="n"/>
      <c r="G44" s="298" t="n"/>
      <c r="H44" s="300" t="n">
        <v>1</v>
      </c>
      <c r="I44" s="300" t="inlineStr"/>
      <c r="J44" s="300" t="inlineStr"/>
      <c r="K44" s="301" t="inlineStr">
        <is>
          <t>23.95 - 5IN OPP HD TW</t>
        </is>
      </c>
      <c r="L44" s="302" t="inlineStr">
        <is>
          <t>ZU-MFMA1OZI-05T</t>
        </is>
      </c>
      <c r="M44" s="300" t="inlineStr">
        <is>
          <t>4JWS37TM</t>
        </is>
      </c>
      <c r="N44" s="301" t="inlineStr"/>
      <c r="O44" s="303" t="n"/>
      <c r="P44" s="303" t="n"/>
      <c r="Q44" s="304">
        <f>IFERROR(R44/H44, 0)</f>
        <v/>
      </c>
      <c r="R44" s="305" t="n">
        <v>0</v>
      </c>
      <c r="S44" s="306" t="n">
        <v>18056</v>
      </c>
      <c r="T44" s="306">
        <f>IFERROR(S44*R44, 0)</f>
        <v/>
      </c>
      <c r="U44" s="307" t="n"/>
      <c r="V44" s="308" t="n"/>
      <c r="W44" s="309" t="n"/>
      <c r="X44" s="300" t="n"/>
      <c r="Y44" s="308" t="n"/>
      <c r="Z44" s="298" t="n"/>
    </row>
    <row r="45">
      <c r="A45" s="295" t="n"/>
      <c r="B45" s="296" t="n"/>
      <c r="C45" s="297" t="n"/>
      <c r="D45" s="297" t="n"/>
      <c r="E45" s="298" t="n"/>
      <c r="F45" s="299" t="n"/>
      <c r="G45" s="298" t="n"/>
      <c r="H45" s="300" t="n">
        <v>1138</v>
      </c>
      <c r="I45" s="300" t="inlineStr"/>
      <c r="J45" s="300" t="inlineStr"/>
      <c r="K45" s="301" t="inlineStr">
        <is>
          <t>1, - 26,925.08 - 5IN GREEN TEA MF MATTRESS TW</t>
        </is>
      </c>
      <c r="L45" s="302" t="inlineStr">
        <is>
          <t>ZU-</t>
        </is>
      </c>
      <c r="M45" s="300" t="inlineStr">
        <is>
          <t>4JWS37TM</t>
        </is>
      </c>
      <c r="N45" s="301" t="inlineStr"/>
      <c r="O45" s="303" t="n"/>
      <c r="P45" s="303" t="n"/>
      <c r="Q45" s="304">
        <f>IFERROR(R45/H45, 0)</f>
        <v/>
      </c>
      <c r="R45" s="305" t="n">
        <v>0</v>
      </c>
      <c r="S45" s="306" t="n">
        <v>18056</v>
      </c>
      <c r="T45" s="306">
        <f>IFERROR(S45*R45, 0)</f>
        <v/>
      </c>
      <c r="U45" s="307" t="n"/>
      <c r="V45" s="308" t="n"/>
      <c r="W45" s="309" t="n"/>
      <c r="X45" s="300" t="n"/>
      <c r="Y45" s="308" t="n"/>
      <c r="Z45" s="298" t="n"/>
    </row>
    <row r="46">
      <c r="A46" s="310" t="n"/>
      <c r="B46" s="311" t="n"/>
      <c r="C46" s="312" t="n"/>
      <c r="D46" s="312" t="n"/>
      <c r="E46" s="313" t="n"/>
      <c r="F46" s="313" t="n"/>
      <c r="G46" s="313" t="n"/>
      <c r="H46" s="314">
        <f>SUM(H19:H45)</f>
        <v/>
      </c>
      <c r="I46" s="315">
        <f>COUNTA(I19:I45)</f>
        <v/>
      </c>
      <c r="J46" s="314" t="n"/>
      <c r="K46" s="314" t="n"/>
      <c r="L46" s="316" t="n"/>
      <c r="M46" s="314" t="n"/>
      <c r="N46" s="314" t="n"/>
      <c r="O46" s="317">
        <f>SUM(O19:O45)</f>
        <v/>
      </c>
      <c r="P46" s="317">
        <f>SUM(P19:P45)</f>
        <v/>
      </c>
      <c r="Q46" s="318" t="n"/>
      <c r="R46" s="319">
        <f>SUM(R19:R45)</f>
        <v/>
      </c>
      <c r="S46" s="320" t="n"/>
      <c r="T46" s="320">
        <f>SUM(T19:T45)</f>
        <v/>
      </c>
      <c r="U46" s="314" t="n"/>
      <c r="V46" s="321" t="n"/>
      <c r="W46" s="322" t="n"/>
      <c r="X46" s="321" t="n"/>
      <c r="Y46" s="321" t="n"/>
      <c r="Z46" s="321" t="n"/>
    </row>
    <row r="47">
      <c r="A47" s="295" t="n">
        <v>5</v>
      </c>
      <c r="B47" s="296" t="inlineStr">
        <is>
          <t>000030ZIK48020260722000504</t>
        </is>
      </c>
      <c r="C47" s="297" t="n">
        <v>455806</v>
      </c>
      <c r="D47" s="297" t="n">
        <v>455745</v>
      </c>
      <c r="E47" s="298" t="n">
        <v>46226</v>
      </c>
      <c r="F47" s="299" t="inlineStr">
        <is>
          <t>ID2607-7886</t>
        </is>
      </c>
      <c r="G47" s="298" t="n">
        <v>46225</v>
      </c>
      <c r="H47" s="300" t="n">
        <v>966</v>
      </c>
      <c r="I47" s="300" t="inlineStr"/>
      <c r="J47" s="300" t="inlineStr"/>
      <c r="K47" s="301" t="inlineStr">
        <is>
          <t>1 - - - 28,922.04 - 8IN OPP HD TW</t>
        </is>
      </c>
      <c r="L47" s="302" t="inlineStr">
        <is>
          <t>ZU-MFMA1OZI-08T</t>
        </is>
      </c>
      <c r="M47" s="300" t="inlineStr">
        <is>
          <t>3NDHMI4R</t>
        </is>
      </c>
      <c r="N47" s="301" t="inlineStr"/>
      <c r="O47" s="303" t="inlineStr"/>
      <c r="P47" s="303" t="inlineStr"/>
      <c r="Q47" s="304">
        <f>IFERROR(R47/H47, 0)</f>
        <v/>
      </c>
      <c r="R47" s="305" t="n">
        <v>0</v>
      </c>
      <c r="S47" s="306" t="n">
        <v>18056</v>
      </c>
      <c r="T47" s="306">
        <f>IFERROR(S47*R47, 0)</f>
        <v/>
      </c>
      <c r="U47" s="307" t="inlineStr">
        <is>
          <t>PEMUATAN DI PELABUHAN</t>
        </is>
      </c>
      <c r="V47" s="308" t="inlineStr">
        <is>
          <t>TANJUNG PRIOK</t>
        </is>
      </c>
      <c r="W47" s="309" t="inlineStr"/>
      <c r="X47" s="300" t="inlineStr"/>
      <c r="Y47" s="308" t="inlineStr"/>
      <c r="Z47" s="298" t="inlineStr"/>
    </row>
    <row r="48">
      <c r="A48" s="295" t="n"/>
      <c r="B48" s="296" t="n"/>
      <c r="C48" s="297" t="n"/>
      <c r="D48" s="297" t="n"/>
      <c r="E48" s="298" t="n"/>
      <c r="F48" s="299" t="n"/>
      <c r="G48" s="298" t="n"/>
      <c r="H48" s="300" t="n">
        <v>1145</v>
      </c>
      <c r="I48" s="300" t="inlineStr"/>
      <c r="J48" s="300" t="inlineStr"/>
      <c r="K48" s="301" t="inlineStr">
        <is>
          <t>2 - - 1, - 27,090.7 - 5IN GREEN TEA MF MATTRESS TW</t>
        </is>
      </c>
      <c r="L48" s="302" t="inlineStr">
        <is>
          <t>ZU-</t>
        </is>
      </c>
      <c r="M48" s="300" t="inlineStr">
        <is>
          <t>4I3CD5IH</t>
        </is>
      </c>
      <c r="N48" s="301" t="inlineStr"/>
      <c r="O48" s="303" t="n"/>
      <c r="P48" s="303" t="n"/>
      <c r="Q48" s="304">
        <f>IFERROR(R48/H48, 0)</f>
        <v/>
      </c>
      <c r="R48" s="305" t="n">
        <v>0</v>
      </c>
      <c r="S48" s="306" t="n">
        <v>18056</v>
      </c>
      <c r="T48" s="306">
        <f>IFERROR(S48*R48, 0)</f>
        <v/>
      </c>
      <c r="U48" s="307" t="n"/>
      <c r="V48" s="308" t="n"/>
      <c r="W48" s="309" t="n"/>
      <c r="X48" s="300" t="n"/>
      <c r="Y48" s="308" t="n"/>
      <c r="Z48" s="298" t="n"/>
    </row>
    <row r="49">
      <c r="A49" s="295" t="n"/>
      <c r="B49" s="296" t="n"/>
      <c r="C49" s="297" t="n"/>
      <c r="D49" s="297" t="n"/>
      <c r="E49" s="298" t="n"/>
      <c r="F49" s="299" t="n"/>
      <c r="G49" s="298" t="n"/>
      <c r="H49" s="300" t="n">
        <v>1144</v>
      </c>
      <c r="I49" s="300" t="inlineStr"/>
      <c r="J49" s="300" t="inlineStr"/>
      <c r="K49" s="301" t="inlineStr">
        <is>
          <t>3 - - 1, - 27,067.04 - 5IN GREEN TEA MF MATTRESS TW</t>
        </is>
      </c>
      <c r="L49" s="302" t="inlineStr">
        <is>
          <t>ZU-</t>
        </is>
      </c>
      <c r="M49" s="300" t="inlineStr">
        <is>
          <t>88Y96MHS</t>
        </is>
      </c>
      <c r="N49" s="301" t="inlineStr"/>
      <c r="O49" s="303" t="n"/>
      <c r="P49" s="303" t="n"/>
      <c r="Q49" s="304">
        <f>IFERROR(R49/H49, 0)</f>
        <v/>
      </c>
      <c r="R49" s="305" t="n">
        <v>0</v>
      </c>
      <c r="S49" s="306" t="n">
        <v>18056</v>
      </c>
      <c r="T49" s="306">
        <f>IFERROR(S49*R49, 0)</f>
        <v/>
      </c>
      <c r="U49" s="307" t="n"/>
      <c r="V49" s="308" t="n"/>
      <c r="W49" s="309" t="n"/>
      <c r="X49" s="300" t="n"/>
      <c r="Y49" s="308" t="n"/>
      <c r="Z49" s="298" t="n"/>
    </row>
    <row r="50">
      <c r="A50" s="295" t="n"/>
      <c r="B50" s="296" t="n"/>
      <c r="C50" s="297" t="n"/>
      <c r="D50" s="297" t="n"/>
      <c r="E50" s="298" t="n"/>
      <c r="F50" s="299" t="n"/>
      <c r="G50" s="298" t="n"/>
      <c r="H50" s="300" t="n">
        <v>502</v>
      </c>
      <c r="I50" s="300" t="inlineStr"/>
      <c r="J50" s="300" t="inlineStr"/>
      <c r="K50" s="301" t="inlineStr">
        <is>
          <t>4 - - - 42,062.58 - 12IN GREEN TEA MF MATTRESS QN</t>
        </is>
      </c>
      <c r="L50" s="302" t="inlineStr">
        <is>
          <t>ZU-</t>
        </is>
      </c>
      <c r="M50" s="300" t="inlineStr">
        <is>
          <t>8B4RWISK</t>
        </is>
      </c>
      <c r="N50" s="301" t="inlineStr"/>
      <c r="O50" s="303" t="n"/>
      <c r="P50" s="303" t="n"/>
      <c r="Q50" s="304">
        <f>IFERROR(R50/H50, 0)</f>
        <v/>
      </c>
      <c r="R50" s="305" t="n">
        <v>0</v>
      </c>
      <c r="S50" s="306" t="n">
        <v>18056</v>
      </c>
      <c r="T50" s="306">
        <f>IFERROR(S50*R50, 0)</f>
        <v/>
      </c>
      <c r="U50" s="307" t="n"/>
      <c r="V50" s="308" t="n"/>
      <c r="W50" s="309" t="n"/>
      <c r="X50" s="300" t="n"/>
      <c r="Y50" s="308" t="n"/>
      <c r="Z50" s="298" t="n"/>
    </row>
    <row r="51">
      <c r="A51" s="295" t="n"/>
      <c r="B51" s="296" t="n"/>
      <c r="C51" s="297" t="n"/>
      <c r="D51" s="297" t="n"/>
      <c r="E51" s="298" t="n"/>
      <c r="F51" s="299" t="n"/>
      <c r="G51" s="298" t="n"/>
      <c r="H51" s="300" t="n">
        <v>3</v>
      </c>
      <c r="I51" s="300" t="inlineStr"/>
      <c r="J51" s="300" t="inlineStr"/>
      <c r="K51" s="301" t="inlineStr">
        <is>
          <t>5 - - - 116.79 - 8IN OPP HD FL</t>
        </is>
      </c>
      <c r="L51" s="302" t="inlineStr">
        <is>
          <t>ZU-MFMA1OZI-08F</t>
        </is>
      </c>
      <c r="M51" s="300" t="inlineStr">
        <is>
          <t>8GO2PUDD</t>
        </is>
      </c>
      <c r="N51" s="301" t="inlineStr"/>
      <c r="O51" s="303" t="n"/>
      <c r="P51" s="303" t="n"/>
      <c r="Q51" s="304">
        <f>IFERROR(R51/H51, 0)</f>
        <v/>
      </c>
      <c r="R51" s="305" t="n">
        <v>0</v>
      </c>
      <c r="S51" s="306" t="n">
        <v>18056</v>
      </c>
      <c r="T51" s="306">
        <f>IFERROR(S51*R51, 0)</f>
        <v/>
      </c>
      <c r="U51" s="307" t="n"/>
      <c r="V51" s="308" t="n"/>
      <c r="W51" s="309" t="n"/>
      <c r="X51" s="300" t="n"/>
      <c r="Y51" s="308" t="n"/>
      <c r="Z51" s="298" t="n"/>
    </row>
    <row r="52">
      <c r="A52" s="295" t="n"/>
      <c r="B52" s="296" t="n"/>
      <c r="C52" s="297" t="n"/>
      <c r="D52" s="297" t="n"/>
      <c r="E52" s="298" t="n"/>
      <c r="F52" s="299" t="n"/>
      <c r="G52" s="298" t="n"/>
      <c r="H52" s="300" t="n">
        <v>400</v>
      </c>
      <c r="I52" s="300" t="inlineStr"/>
      <c r="J52" s="300" t="inlineStr"/>
      <c r="K52" s="301" t="inlineStr">
        <is>
          <t>6 - - - 14,372 - 8IN GREEN TEA MF MATTRESS TW</t>
        </is>
      </c>
      <c r="L52" s="302" t="inlineStr">
        <is>
          <t>ZU-</t>
        </is>
      </c>
      <c r="M52" s="300" t="inlineStr">
        <is>
          <t>8GO2PUDD</t>
        </is>
      </c>
      <c r="N52" s="301" t="inlineStr"/>
      <c r="O52" s="303" t="n"/>
      <c r="P52" s="303" t="n"/>
      <c r="Q52" s="304">
        <f>IFERROR(R52/H52, 0)</f>
        <v/>
      </c>
      <c r="R52" s="305" t="n">
        <v>0</v>
      </c>
      <c r="S52" s="306" t="n">
        <v>18056</v>
      </c>
      <c r="T52" s="306">
        <f>IFERROR(S52*R52, 0)</f>
        <v/>
      </c>
      <c r="U52" s="307" t="n"/>
      <c r="V52" s="308" t="n"/>
      <c r="W52" s="309" t="n"/>
      <c r="X52" s="300" t="n"/>
      <c r="Y52" s="308" t="n"/>
      <c r="Z52" s="298" t="n"/>
    </row>
    <row r="53">
      <c r="A53" s="295" t="n"/>
      <c r="B53" s="296" t="n"/>
      <c r="C53" s="297" t="n"/>
      <c r="D53" s="297" t="n"/>
      <c r="E53" s="298" t="n"/>
      <c r="F53" s="299" t="n"/>
      <c r="G53" s="298" t="n"/>
      <c r="H53" s="300" t="n">
        <v>206</v>
      </c>
      <c r="I53" s="300" t="inlineStr"/>
      <c r="J53" s="300" t="inlineStr"/>
      <c r="K53" s="301" t="inlineStr">
        <is>
          <t>7 - - - 17,260.74 - 12IN GREEN TEA MF MATTRESS QN</t>
        </is>
      </c>
      <c r="L53" s="302" t="inlineStr">
        <is>
          <t>ZU-</t>
        </is>
      </c>
      <c r="M53" s="300" t="inlineStr">
        <is>
          <t>8GO2PUDD</t>
        </is>
      </c>
      <c r="N53" s="301" t="inlineStr"/>
      <c r="O53" s="303" t="n"/>
      <c r="P53" s="303" t="n"/>
      <c r="Q53" s="304">
        <f>IFERROR(R53/H53, 0)</f>
        <v/>
      </c>
      <c r="R53" s="305" t="n">
        <v>0</v>
      </c>
      <c r="S53" s="306" t="n">
        <v>18056</v>
      </c>
      <c r="T53" s="306">
        <f>IFERROR(S53*R53, 0)</f>
        <v/>
      </c>
      <c r="U53" s="307" t="n"/>
      <c r="V53" s="308" t="n"/>
      <c r="W53" s="309" t="n"/>
      <c r="X53" s="300" t="n"/>
      <c r="Y53" s="308" t="n"/>
      <c r="Z53" s="298" t="n"/>
    </row>
    <row r="54">
      <c r="A54" s="295" t="n"/>
      <c r="B54" s="296" t="n"/>
      <c r="C54" s="297" t="n"/>
      <c r="D54" s="297" t="n"/>
      <c r="E54" s="298" t="n"/>
      <c r="F54" s="299" t="n"/>
      <c r="G54" s="298" t="n"/>
      <c r="H54" s="300" t="n">
        <v>605</v>
      </c>
      <c r="I54" s="300" t="inlineStr"/>
      <c r="J54" s="300" t="inlineStr"/>
      <c r="K54" s="301" t="inlineStr">
        <is>
          <t>8 - - - 18,113.7 - 8IN OPP HD TW</t>
        </is>
      </c>
      <c r="L54" s="302" t="inlineStr">
        <is>
          <t>ZU-MFMA1OZI-08T</t>
        </is>
      </c>
      <c r="M54" s="300" t="inlineStr">
        <is>
          <t>8VH5JQ8T</t>
        </is>
      </c>
      <c r="N54" s="301" t="inlineStr"/>
      <c r="O54" s="303" t="n"/>
      <c r="P54" s="303" t="n"/>
      <c r="Q54" s="304">
        <f>IFERROR(R54/H54, 0)</f>
        <v/>
      </c>
      <c r="R54" s="305" t="n">
        <v>0</v>
      </c>
      <c r="S54" s="306" t="n">
        <v>18056</v>
      </c>
      <c r="T54" s="306">
        <f>IFERROR(S54*R54, 0)</f>
        <v/>
      </c>
      <c r="U54" s="307" t="n"/>
      <c r="V54" s="308" t="n"/>
      <c r="W54" s="309" t="n"/>
      <c r="X54" s="300" t="n"/>
      <c r="Y54" s="308" t="n"/>
      <c r="Z54" s="298" t="n"/>
    </row>
    <row r="55">
      <c r="A55" s="295" t="n"/>
      <c r="B55" s="296" t="n"/>
      <c r="C55" s="297" t="n"/>
      <c r="D55" s="297" t="n"/>
      <c r="E55" s="298" t="n"/>
      <c r="F55" s="299" t="n"/>
      <c r="G55" s="298" t="n"/>
      <c r="H55" s="300" t="n">
        <v>427</v>
      </c>
      <c r="I55" s="300" t="inlineStr"/>
      <c r="J55" s="300" t="inlineStr"/>
      <c r="K55" s="301" t="inlineStr">
        <is>
          <t>9 - - - 10,102.82 - 5IN GREEN TEA MF MATTRESS TW</t>
        </is>
      </c>
      <c r="L55" s="302" t="inlineStr">
        <is>
          <t>ZU-</t>
        </is>
      </c>
      <c r="M55" s="300" t="inlineStr">
        <is>
          <t>8VH5JQ8T</t>
        </is>
      </c>
      <c r="N55" s="301" t="inlineStr"/>
      <c r="O55" s="303" t="n"/>
      <c r="P55" s="303" t="n"/>
      <c r="Q55" s="304">
        <f>IFERROR(R55/H55, 0)</f>
        <v/>
      </c>
      <c r="R55" s="305" t="n">
        <v>0</v>
      </c>
      <c r="S55" s="306" t="n">
        <v>18056</v>
      </c>
      <c r="T55" s="306">
        <f>IFERROR(S55*R55, 0)</f>
        <v/>
      </c>
      <c r="U55" s="307" t="n"/>
      <c r="V55" s="308" t="n"/>
      <c r="W55" s="309" t="n"/>
      <c r="X55" s="300" t="n"/>
      <c r="Y55" s="308" t="n"/>
      <c r="Z55" s="298" t="n"/>
    </row>
    <row r="56">
      <c r="A56" s="295" t="n"/>
      <c r="B56" s="296" t="n"/>
      <c r="C56" s="297" t="n"/>
      <c r="D56" s="297" t="n"/>
      <c r="E56" s="298" t="n"/>
      <c r="F56" s="299" t="n"/>
      <c r="G56" s="298" t="n"/>
      <c r="H56" s="300" t="n">
        <v>1</v>
      </c>
      <c r="I56" s="300" t="inlineStr"/>
      <c r="J56" s="300" t="inlineStr"/>
      <c r="K56" s="301" t="inlineStr">
        <is>
          <t>83.79 - 12IN GREEN TEA MF MATTRESS QN</t>
        </is>
      </c>
      <c r="L56" s="302" t="inlineStr">
        <is>
          <t>ZU-</t>
        </is>
      </c>
      <c r="M56" s="300" t="inlineStr">
        <is>
          <t>8VH5JQ8T</t>
        </is>
      </c>
      <c r="N56" s="301" t="inlineStr"/>
      <c r="O56" s="303" t="n"/>
      <c r="P56" s="303" t="n"/>
      <c r="Q56" s="304">
        <f>IFERROR(R56/H56, 0)</f>
        <v/>
      </c>
      <c r="R56" s="305" t="n">
        <v>0</v>
      </c>
      <c r="S56" s="306" t="n">
        <v>18056</v>
      </c>
      <c r="T56" s="306">
        <f>IFERROR(S56*R56, 0)</f>
        <v/>
      </c>
      <c r="U56" s="307" t="n"/>
      <c r="V56" s="308" t="n"/>
      <c r="W56" s="309" t="n"/>
      <c r="X56" s="300" t="n"/>
      <c r="Y56" s="308" t="n"/>
      <c r="Z56" s="298" t="n"/>
    </row>
    <row r="57">
      <c r="A57" s="310" t="n"/>
      <c r="B57" s="311" t="n"/>
      <c r="C57" s="312" t="n"/>
      <c r="D57" s="312" t="n"/>
      <c r="E57" s="313" t="n"/>
      <c r="F57" s="313" t="n"/>
      <c r="G57" s="313" t="n"/>
      <c r="H57" s="314">
        <f>SUM(H47:H56)</f>
        <v/>
      </c>
      <c r="I57" s="315">
        <f>COUNTA(I47:I56)</f>
        <v/>
      </c>
      <c r="J57" s="314" t="n"/>
      <c r="K57" s="314" t="n"/>
      <c r="L57" s="316" t="n"/>
      <c r="M57" s="314" t="n"/>
      <c r="N57" s="314" t="n"/>
      <c r="O57" s="317">
        <f>SUM(O47:O56)</f>
        <v/>
      </c>
      <c r="P57" s="317">
        <f>SUM(P47:P56)</f>
        <v/>
      </c>
      <c r="Q57" s="318" t="n"/>
      <c r="R57" s="319">
        <f>SUM(R47:R56)</f>
        <v/>
      </c>
      <c r="S57" s="320" t="n"/>
      <c r="T57" s="320">
        <f>SUM(T47:T56)</f>
        <v/>
      </c>
      <c r="U57" s="314" t="n"/>
      <c r="V57" s="321" t="n"/>
      <c r="W57" s="322" t="n"/>
      <c r="X57" s="321" t="n"/>
      <c r="Y57" s="321" t="n"/>
      <c r="Z57" s="321" t="n"/>
    </row>
    <row r="58">
      <c r="A58" s="128">
        <f>COUNT(A12:A57)</f>
        <v/>
      </c>
      <c r="B58" s="129" t="n"/>
      <c r="C58" s="323" t="n"/>
      <c r="D58" s="324" t="n"/>
      <c r="E58" s="324" t="n"/>
      <c r="F58" s="324" t="n"/>
      <c r="G58" s="324" t="n"/>
      <c r="H58" s="132">
        <f>H14+H16+H18+H46+H57</f>
        <v/>
      </c>
      <c r="I58" s="132">
        <f>I14+I16+I18+I46+I57</f>
        <v/>
      </c>
      <c r="J58" s="133" t="n"/>
      <c r="K58" s="325" t="n"/>
      <c r="L58" s="326" t="n"/>
      <c r="M58" s="327" t="n"/>
      <c r="N58" s="328" t="n"/>
      <c r="O58" s="138">
        <f>O14+O16+O18+O46+O57</f>
        <v/>
      </c>
      <c r="P58" s="138">
        <f>P14+P16+P18+P46+P57</f>
        <v/>
      </c>
      <c r="Q58" s="329" t="n"/>
      <c r="R58" s="330">
        <f>R14+R16+R18+R46+R57</f>
        <v/>
      </c>
      <c r="S58" s="331" t="n"/>
      <c r="T58" s="332">
        <f>T14+T16+T18+T46+T57</f>
        <v/>
      </c>
      <c r="U58" s="143" t="n"/>
      <c r="V58" s="143" t="n"/>
      <c r="W58" s="143" t="n"/>
      <c r="X58" s="143" t="n"/>
      <c r="Y58" s="144" t="n"/>
      <c r="Z58" s="144" t="n"/>
    </row>
    <row r="59">
      <c r="A59" s="145" t="n"/>
      <c r="B59" s="146" t="n"/>
      <c r="C59" s="147" t="n"/>
      <c r="E59" s="148" t="n"/>
      <c r="F59" s="149" t="n"/>
      <c r="G59" s="149" t="n"/>
      <c r="H59" s="333" t="n"/>
      <c r="I59" s="333" t="n"/>
      <c r="J59" s="334" t="n"/>
      <c r="K59" s="221" t="n"/>
      <c r="L59" s="221" t="n"/>
      <c r="M59" s="221" t="n"/>
      <c r="N59" s="335" t="n"/>
      <c r="Q59" s="336" t="n"/>
      <c r="U59" s="154" t="n"/>
      <c r="V59" s="154" t="n"/>
      <c r="W59" s="154" t="n"/>
      <c r="X59" s="154" t="n"/>
      <c r="Y59" s="154" t="n"/>
      <c r="Z59" s="154" t="n"/>
    </row>
    <row r="60">
      <c r="A60" s="145" t="n"/>
      <c r="B60" s="155" t="inlineStr">
        <is>
          <t>Total Qty Export :</t>
        </is>
      </c>
      <c r="C60" s="156">
        <f>H58</f>
        <v/>
      </c>
      <c r="E60" s="148" t="n"/>
      <c r="F60" s="149" t="n"/>
      <c r="G60" s="149" t="n"/>
      <c r="H60" s="334" t="n"/>
      <c r="I60" s="334" t="n"/>
      <c r="J60" s="334" t="n"/>
      <c r="K60" s="221" t="n"/>
      <c r="L60" s="221" t="n"/>
      <c r="M60" s="221" t="n"/>
      <c r="N60" s="335" t="n"/>
      <c r="Q60" s="336" t="n"/>
      <c r="U60" s="154" t="n"/>
      <c r="V60" s="154" t="n"/>
      <c r="W60" s="154" t="n"/>
      <c r="X60" s="154" t="n"/>
      <c r="Y60" s="154" t="n"/>
      <c r="Z60" s="154" t="n"/>
    </row>
    <row r="61">
      <c r="A61" s="145" t="n"/>
      <c r="B61" s="157" t="inlineStr">
        <is>
          <t>Total Qty Export Sample :</t>
        </is>
      </c>
      <c r="C61" s="158" t="n"/>
      <c r="E61" s="148" t="n"/>
      <c r="F61" s="149" t="n"/>
      <c r="G61" s="149" t="n"/>
      <c r="H61" s="337" t="n"/>
      <c r="I61" s="337" t="n"/>
      <c r="J61" s="334" t="n"/>
      <c r="T61" s="338" t="n"/>
      <c r="V61" s="154" t="n"/>
      <c r="W61" s="154" t="n"/>
      <c r="X61" s="154" t="n"/>
      <c r="Y61" s="154" t="n"/>
      <c r="Z61" s="154" t="n"/>
    </row>
    <row r="62">
      <c r="A62" s="145" t="n"/>
      <c r="B62" s="161" t="n"/>
      <c r="C62" s="147" t="n"/>
      <c r="D62" s="147" t="n"/>
      <c r="E62" s="148" t="n"/>
      <c r="F62" s="149" t="n"/>
      <c r="G62" s="149" t="n"/>
      <c r="H62" s="334" t="n"/>
      <c r="I62" s="334" t="n"/>
      <c r="J62" s="334" t="n"/>
      <c r="K62" s="221" t="n"/>
      <c r="L62" s="221" t="n"/>
      <c r="M62" s="221" t="n"/>
      <c r="R62" s="339" t="n"/>
      <c r="S62" s="338" t="n"/>
      <c r="U62" s="163" t="n"/>
    </row>
    <row r="63">
      <c r="A63" s="164" t="n"/>
      <c r="B63" s="165" t="n"/>
      <c r="C63" s="166" t="n"/>
      <c r="D63" s="167" t="n"/>
      <c r="E63" s="168" t="n"/>
      <c r="F63" s="169" t="n"/>
      <c r="G63" s="169" t="n"/>
      <c r="H63" s="170" t="n"/>
      <c r="I63" s="170" t="n"/>
      <c r="K63" s="221" t="n"/>
      <c r="L63" s="221" t="n"/>
      <c r="M63" s="221" t="n"/>
      <c r="N63" s="335" t="n"/>
      <c r="P63" s="340" t="n"/>
      <c r="Q63" s="341" t="n"/>
      <c r="R63" s="339" t="n"/>
      <c r="S63" s="338" t="n"/>
      <c r="T63" s="338" t="n"/>
      <c r="U63" s="173" t="inlineStr">
        <is>
          <t>Tangerang, 26 July 2026</t>
        </is>
      </c>
    </row>
    <row r="64">
      <c r="A64" s="174" t="inlineStr">
        <is>
          <t>Total Document</t>
        </is>
      </c>
      <c r="B64" s="175" t="n"/>
      <c r="C64" s="342">
        <f>A58</f>
        <v/>
      </c>
      <c r="D64" s="343" t="n"/>
      <c r="G64" s="169" t="n"/>
      <c r="H64" s="178" t="n"/>
      <c r="I64" s="178" t="n"/>
      <c r="K64" s="221" t="n"/>
      <c r="L64" s="221" t="n"/>
      <c r="M64" s="221" t="n"/>
      <c r="N64" s="335" t="n"/>
      <c r="P64" s="340" t="n"/>
      <c r="Q64" s="341" t="n"/>
      <c r="R64" s="339" t="n"/>
      <c r="S64" s="338" t="n"/>
      <c r="T64" s="338" t="n"/>
      <c r="U64" s="173">
        <f>+[1]REKAP!X34</f>
        <v/>
      </c>
    </row>
    <row r="65">
      <c r="A65" s="174" t="inlineStr">
        <is>
          <t>Gross Weight</t>
        </is>
      </c>
      <c r="B65" s="179" t="n"/>
      <c r="C65" s="344">
        <f>O58</f>
        <v/>
      </c>
      <c r="D65" s="343" t="n"/>
      <c r="H65" s="182" t="n"/>
      <c r="I65" s="183" t="n"/>
      <c r="K65" s="221" t="n"/>
      <c r="L65" s="221" t="n"/>
      <c r="M65" s="221" t="n"/>
      <c r="N65" s="335" t="n"/>
      <c r="P65" s="345" t="n"/>
      <c r="Q65" s="346" t="n"/>
      <c r="R65" s="347" t="n"/>
      <c r="S65" s="348" t="n"/>
      <c r="T65" s="348" t="n"/>
      <c r="U65" s="4" t="n"/>
    </row>
    <row r="66">
      <c r="A66" s="174" t="inlineStr">
        <is>
          <t>Nett Weight</t>
        </is>
      </c>
      <c r="B66" s="179" t="n"/>
      <c r="C66" s="344">
        <f>P58</f>
        <v/>
      </c>
      <c r="D66" s="343" t="n"/>
      <c r="K66" s="221" t="n"/>
      <c r="L66" s="221" t="n"/>
      <c r="M66" s="221" t="n"/>
      <c r="N66" s="335" t="n"/>
      <c r="P66" s="345" t="n"/>
      <c r="Q66" s="346" t="n"/>
      <c r="R66" s="347" t="n"/>
      <c r="S66" s="348" t="n"/>
      <c r="T66" s="348" t="n"/>
      <c r="U66" s="4" t="n"/>
    </row>
    <row r="67">
      <c r="A67" s="174" t="inlineStr">
        <is>
          <t>Amount</t>
        </is>
      </c>
      <c r="B67" s="179" t="n"/>
      <c r="C67" s="349">
        <f>R58</f>
        <v/>
      </c>
      <c r="D67" s="343" t="n"/>
      <c r="K67" s="221" t="n"/>
      <c r="L67" s="221" t="n"/>
      <c r="M67" s="221" t="n"/>
      <c r="N67" s="335" t="n"/>
      <c r="P67" s="345" t="n"/>
      <c r="Q67" s="346" t="n"/>
      <c r="R67" s="347" t="n"/>
      <c r="S67" s="348" t="n"/>
      <c r="T67" s="348" t="n"/>
      <c r="U67" s="190" t="n"/>
    </row>
    <row r="68">
      <c r="A68" s="174" t="inlineStr">
        <is>
          <t>Jumlah Container</t>
        </is>
      </c>
      <c r="B68" s="179" t="n"/>
      <c r="C68" s="350">
        <f>I58</f>
        <v/>
      </c>
      <c r="D68" s="343" t="n"/>
      <c r="K68" s="221" t="n"/>
      <c r="L68" s="221" t="n"/>
      <c r="M68" s="221" t="n"/>
      <c r="N68" s="335" t="n"/>
      <c r="P68" s="345" t="n"/>
      <c r="Q68" s="346" t="n"/>
      <c r="R68" s="347" t="n"/>
      <c r="S68" s="348" t="n"/>
      <c r="T68" s="348" t="n"/>
      <c r="U68" s="173" t="n"/>
    </row>
    <row r="69">
      <c r="A69" s="174" t="n"/>
      <c r="B69" s="179" t="n"/>
      <c r="C69" s="351">
        <f>I28</f>
        <v/>
      </c>
      <c r="D69" s="343" t="n"/>
      <c r="K69" s="221" t="n"/>
      <c r="L69" s="221" t="n"/>
      <c r="M69" s="221" t="n"/>
      <c r="N69" s="335" t="n"/>
      <c r="P69" s="345" t="n"/>
      <c r="Q69" s="346" t="n"/>
      <c r="R69" s="347" t="n"/>
      <c r="S69" s="348" t="n"/>
      <c r="T69" s="348" t="n"/>
      <c r="U69" s="173" t="n"/>
    </row>
    <row r="70">
      <c r="A70" s="195" t="n"/>
      <c r="B70" s="179" t="n"/>
      <c r="C70" s="352">
        <f>C36*2+C37</f>
        <v/>
      </c>
      <c r="D70" s="343" t="n"/>
      <c r="K70" s="221" t="n"/>
      <c r="L70" s="221" t="n"/>
      <c r="M70" s="221" t="n"/>
      <c r="N70" s="335" t="n"/>
    </row>
    <row r="71">
      <c r="A71" s="198" t="n"/>
      <c r="B71" s="199" t="n"/>
      <c r="C71" s="200" t="n"/>
      <c r="D71" s="201" t="n"/>
    </row>
    <row r="72">
      <c r="B72" s="6" t="n"/>
      <c r="C72" s="3" t="n"/>
      <c r="D72" s="3" t="n"/>
      <c r="E72" s="4" t="n"/>
      <c r="F72" s="5" t="n"/>
      <c r="G72" s="5" t="n"/>
      <c r="H72" s="6" t="n"/>
      <c r="I72" s="6" t="n"/>
      <c r="J72" s="6" t="n"/>
      <c r="K72" s="215" t="n"/>
      <c r="L72" s="215" t="n"/>
      <c r="M72" s="215" t="n"/>
      <c r="N72" s="216" t="n"/>
      <c r="O72" s="217" t="n"/>
      <c r="P72" s="217" t="n"/>
      <c r="Q72" s="218" t="n"/>
      <c r="R72" s="219" t="n"/>
      <c r="S72" s="220" t="n"/>
      <c r="T72" s="220" t="n"/>
      <c r="U72" s="221" t="n"/>
      <c r="V72" s="221" t="n"/>
      <c r="W72" s="221" t="n"/>
      <c r="X72" s="221" t="n"/>
      <c r="Y72" s="221" t="n"/>
      <c r="Z72" s="221" t="n"/>
      <c r="AA72" s="222" t="n"/>
      <c r="AB72" s="222" t="n"/>
      <c r="AC72" s="222" t="n"/>
      <c r="AD72" s="222" t="n"/>
      <c r="AE72" s="222" t="n"/>
      <c r="AF72" s="222" t="n"/>
      <c r="AG72" s="222" t="n"/>
      <c r="AH72" s="222" t="n"/>
      <c r="AI72" s="222" t="n"/>
      <c r="AJ72" s="222" t="n"/>
      <c r="AK72" s="222" t="n"/>
      <c r="AL72" s="222" t="n"/>
      <c r="AM72" s="222" t="n"/>
      <c r="AN72" s="222" t="n"/>
      <c r="AO72" s="222" t="n"/>
      <c r="AP72" s="222" t="n"/>
      <c r="AQ72" s="222" t="n"/>
      <c r="AR72" s="222" t="n"/>
      <c r="AS72" s="222" t="n"/>
      <c r="AT72" s="222" t="n"/>
      <c r="AU72" s="222" t="n"/>
      <c r="AV72" s="222" t="n"/>
      <c r="AW72" s="222" t="n"/>
      <c r="AX72" s="222" t="n"/>
      <c r="AY72" s="222" t="n"/>
      <c r="AZ72" s="222" t="n"/>
      <c r="BA72" s="222" t="n"/>
      <c r="BB72" s="222" t="n"/>
      <c r="BC72" s="222" t="n"/>
      <c r="BD72" s="222" t="n"/>
      <c r="BE72" s="222" t="n"/>
      <c r="BF72" s="222" t="n"/>
      <c r="BG72" s="222" t="n"/>
      <c r="BH72" s="222" t="n"/>
      <c r="BI72" s="222" t="n"/>
      <c r="BJ72" s="222" t="n"/>
      <c r="BK72" s="222" t="n"/>
      <c r="BL72" s="222" t="n"/>
      <c r="BM72" s="222" t="n"/>
      <c r="BN72" s="222" t="n"/>
      <c r="BO72" s="222" t="n"/>
      <c r="BP72" s="222" t="n"/>
      <c r="BQ72" s="222" t="n"/>
      <c r="BR72" s="222" t="n"/>
      <c r="BS72" s="222" t="n"/>
      <c r="BT72" s="222" t="n"/>
      <c r="BU72" s="222" t="n"/>
      <c r="BV72" s="222" t="n"/>
      <c r="BW72" s="222" t="n"/>
      <c r="BX72" s="222" t="n"/>
      <c r="BY72" s="222" t="n"/>
      <c r="BZ72" s="222" t="n"/>
      <c r="CA72" s="222" t="n"/>
      <c r="CB72" s="222" t="n"/>
      <c r="CC72" s="222" t="n"/>
      <c r="CD72" s="222" t="n"/>
      <c r="CE72" s="222" t="n"/>
      <c r="CF72" s="222" t="n"/>
      <c r="CG72" s="222" t="n"/>
      <c r="CH72" s="222" t="n"/>
      <c r="CI72" s="222" t="n"/>
      <c r="CJ72" s="222" t="n"/>
      <c r="CK72" s="222" t="n"/>
      <c r="CL72" s="222" t="n"/>
      <c r="CM72" s="222" t="n"/>
      <c r="CN72" s="222" t="n"/>
      <c r="CO72" s="222" t="n"/>
      <c r="CP72" s="222" t="n"/>
      <c r="CQ72" s="222" t="n"/>
      <c r="CR72" s="222" t="n"/>
      <c r="CS72" s="222" t="n"/>
      <c r="CT72" s="222" t="n"/>
      <c r="CU72" s="222" t="n"/>
      <c r="CV72" s="222" t="n"/>
      <c r="CW72" s="222" t="n"/>
      <c r="CX72" s="222" t="n"/>
      <c r="CY72" s="222" t="n"/>
      <c r="CZ72" s="222" t="n"/>
      <c r="DA72" s="222" t="n"/>
      <c r="DB72" s="222" t="n"/>
      <c r="DC72" s="222" t="n"/>
      <c r="DD72" s="222" t="n"/>
      <c r="DE72" s="222" t="n"/>
      <c r="DF72" s="222" t="n"/>
      <c r="DG72" s="222" t="n"/>
      <c r="DH72" s="222" t="n"/>
      <c r="DI72" s="222" t="n"/>
      <c r="DJ72" s="222" t="n"/>
      <c r="DK72" s="222" t="n"/>
      <c r="DL72" s="222" t="n"/>
      <c r="DM72" s="222" t="n"/>
      <c r="DN72" s="222" t="n"/>
      <c r="DO72" s="222" t="n"/>
      <c r="DP72" s="222" t="n"/>
      <c r="DQ72" s="222" t="n"/>
      <c r="DR72" s="222" t="n"/>
      <c r="DS72" s="222" t="n"/>
      <c r="DT72" s="222" t="n"/>
      <c r="DU72" s="222" t="n"/>
      <c r="DV72" s="222" t="n"/>
      <c r="DW72" s="222" t="n"/>
      <c r="DX72" s="222" t="n"/>
      <c r="DY72" s="222" t="n"/>
      <c r="DZ72" s="222" t="n"/>
      <c r="EA72" s="222" t="n"/>
      <c r="EB72" s="222" t="n"/>
      <c r="EC72" s="222" t="n"/>
      <c r="ED72" s="222" t="n"/>
      <c r="EE72" s="222" t="n"/>
      <c r="EF72" s="222" t="n"/>
      <c r="EG72" s="222" t="n"/>
      <c r="EH72" s="222" t="n"/>
      <c r="EI72" s="222" t="n"/>
      <c r="EJ72" s="222" t="n"/>
      <c r="EK72" s="222" t="n"/>
      <c r="EL72" s="222" t="n"/>
      <c r="EM72" s="222" t="n"/>
      <c r="EN72" s="222" t="n"/>
      <c r="EO72" s="222" t="n"/>
      <c r="EP72" s="222" t="n"/>
      <c r="EQ72" s="222" t="n"/>
      <c r="ER72" s="222" t="n"/>
      <c r="ES72" s="222" t="n"/>
      <c r="ET72" s="222" t="n"/>
      <c r="EU72" s="222" t="n"/>
      <c r="EV72" s="222" t="n"/>
      <c r="EW72" s="222" t="n"/>
      <c r="EX72" s="222" t="n"/>
      <c r="EY72" s="222" t="n"/>
      <c r="EZ72" s="222" t="n"/>
      <c r="FA72" s="222" t="n"/>
      <c r="FB72" s="222" t="n"/>
      <c r="FC72" s="222" t="n"/>
      <c r="FD72" s="222" t="n"/>
      <c r="FE72" s="222" t="n"/>
      <c r="FF72" s="222" t="n"/>
      <c r="FG72" s="222" t="n"/>
      <c r="FH72" s="222" t="n"/>
      <c r="FI72" s="222" t="n"/>
      <c r="FJ72" s="222" t="n"/>
      <c r="FK72" s="222" t="n"/>
      <c r="FL72" s="222" t="n"/>
      <c r="FM72" s="222" t="n"/>
      <c r="FN72" s="222" t="n"/>
      <c r="FO72" s="222" t="n"/>
      <c r="FP72" s="222" t="n"/>
      <c r="FQ72" s="222" t="n"/>
      <c r="FR72" s="222" t="n"/>
      <c r="FS72" s="222" t="n"/>
      <c r="FT72" s="222" t="n"/>
      <c r="FU72" s="222" t="n"/>
      <c r="FV72" s="222" t="n"/>
      <c r="FW72" s="222" t="n"/>
      <c r="FX72" s="222" t="n"/>
      <c r="FY72" s="222" t="n"/>
      <c r="FZ72" s="222" t="n"/>
      <c r="GA72" s="222" t="n"/>
      <c r="GB72" s="222" t="n"/>
      <c r="GC72" s="222" t="n"/>
      <c r="GD72" s="222" t="n"/>
      <c r="GE72" s="222" t="n"/>
      <c r="GF72" s="222" t="n"/>
      <c r="GG72" s="222" t="n"/>
      <c r="GH72" s="222" t="n"/>
      <c r="GI72" s="222" t="n"/>
      <c r="GJ72" s="222" t="n"/>
      <c r="GK72" s="222" t="n"/>
      <c r="GL72" s="222" t="n"/>
      <c r="GM72" s="222" t="n"/>
      <c r="GN72" s="222" t="n"/>
      <c r="GO72" s="222" t="n"/>
      <c r="GP72" s="222" t="n"/>
      <c r="GQ72" s="222" t="n"/>
      <c r="GR72" s="222" t="n"/>
      <c r="GS72" s="222" t="n"/>
      <c r="GT72" s="222" t="n"/>
      <c r="GU72" s="222" t="n"/>
      <c r="GV72" s="222" t="n"/>
      <c r="GW72" s="222" t="n"/>
      <c r="GX72" s="222" t="n"/>
      <c r="GY72" s="222" t="n"/>
      <c r="GZ72" s="222" t="n"/>
      <c r="HA72" s="222" t="n"/>
      <c r="HB72" s="222" t="n"/>
      <c r="HC72" s="222" t="n"/>
      <c r="HD72" s="222" t="n"/>
      <c r="HE72" s="222" t="n"/>
      <c r="HF72" s="222" t="n"/>
      <c r="HG72" s="222" t="n"/>
      <c r="HH72" s="222" t="n"/>
      <c r="HI72" s="222" t="n"/>
      <c r="HJ72" s="222" t="n"/>
      <c r="HK72" s="222" t="n"/>
      <c r="HL72" s="222" t="n"/>
      <c r="HM72" s="222" t="n"/>
      <c r="HN72" s="222" t="n"/>
      <c r="HO72" s="222" t="n"/>
      <c r="HP72" s="222" t="n"/>
      <c r="HQ72" s="222" t="n"/>
      <c r="HR72" s="222" t="n"/>
      <c r="HS72" s="222" t="n"/>
      <c r="HT72" s="222" t="n"/>
      <c r="HU72" s="222" t="n"/>
      <c r="HV72" s="222" t="n"/>
      <c r="HW72" s="222" t="n"/>
      <c r="HX72" s="222" t="n"/>
      <c r="HY72" s="222" t="n"/>
      <c r="HZ72" s="222" t="n"/>
      <c r="IA72" s="222" t="n"/>
      <c r="IB72" s="222" t="n"/>
      <c r="IC72" s="222" t="n"/>
      <c r="ID72" s="222" t="n"/>
      <c r="IE72" s="222" t="n"/>
      <c r="IF72" s="222" t="n"/>
      <c r="IG72" s="222" t="n"/>
      <c r="IH72" s="222" t="n"/>
      <c r="II72" s="222" t="n"/>
      <c r="IJ72" s="222" t="n"/>
      <c r="IK72" s="222" t="n"/>
      <c r="IL72" s="222" t="n"/>
      <c r="IM72" s="222" t="n"/>
      <c r="IN72" s="222" t="n"/>
      <c r="IO72" s="222" t="n"/>
      <c r="IP72" s="222" t="n"/>
      <c r="IQ72" s="222" t="n"/>
      <c r="IR72" s="222" t="n"/>
      <c r="IS72" s="222" t="n"/>
      <c r="IT72" s="222" t="n"/>
      <c r="IU72" s="222" t="n"/>
      <c r="IV72" s="222" t="n"/>
      <c r="IW72" s="222" t="n"/>
      <c r="IX72" s="222" t="n"/>
      <c r="IY72" s="222" t="n"/>
      <c r="IZ72" s="222" t="n"/>
      <c r="JA72" s="222" t="n"/>
      <c r="JB72" s="222" t="n"/>
      <c r="JC72" s="222" t="n"/>
      <c r="JD72" s="222" t="n"/>
      <c r="JE72" s="222" t="n"/>
      <c r="JF72" s="222" t="n"/>
      <c r="JG72" s="222" t="n"/>
      <c r="JH72" s="222" t="n"/>
      <c r="JI72" s="222" t="n"/>
      <c r="JJ72" s="222" t="n"/>
      <c r="JK72" s="222" t="n"/>
      <c r="JL72" s="222" t="n"/>
      <c r="JM72" s="222" t="n"/>
      <c r="JN72" s="222" t="n"/>
      <c r="JO72" s="222" t="n"/>
      <c r="JP72" s="222" t="n"/>
      <c r="JQ72" s="222" t="n"/>
      <c r="JR72" s="222" t="n"/>
      <c r="JS72" s="222" t="n"/>
      <c r="JT72" s="222" t="n"/>
      <c r="JU72" s="222" t="n"/>
      <c r="JV72" s="222" t="n"/>
      <c r="JW72" s="222" t="n"/>
      <c r="JX72" s="222" t="n"/>
      <c r="JY72" s="222" t="n"/>
      <c r="JZ72" s="222" t="n"/>
      <c r="KA72" s="222" t="n"/>
      <c r="KB72" s="222" t="n"/>
      <c r="KC72" s="222" t="n"/>
      <c r="KD72" s="222" t="n"/>
    </row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 ht="15" customFormat="1" customHeight="1" s="35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>
      <c r="A365" s="202" t="n"/>
      <c r="B365" s="203" t="n"/>
      <c r="C365" s="204" t="n"/>
      <c r="D365" s="204" t="n"/>
      <c r="E365" s="205" t="n"/>
      <c r="F365" s="206" t="n"/>
      <c r="G365" s="206" t="n"/>
      <c r="H365" s="6" t="n"/>
      <c r="I365" s="203" t="n"/>
      <c r="J365" s="203" t="n"/>
      <c r="K365" s="354" t="n"/>
      <c r="L365" s="354" t="n"/>
      <c r="M365" s="354" t="n"/>
      <c r="N365" s="355" t="n"/>
      <c r="O365" s="356" t="n"/>
      <c r="P365" s="356" t="n"/>
      <c r="Q365" s="357" t="n"/>
      <c r="R365" s="358" t="n"/>
      <c r="S365" s="359" t="n"/>
      <c r="T365" s="359" t="n"/>
      <c r="U365" s="360" t="n"/>
      <c r="V365" s="360" t="n"/>
      <c r="W365" s="360" t="n"/>
      <c r="X365" s="360" t="n"/>
      <c r="Y365" s="360" t="n"/>
      <c r="Z365" s="360" t="n"/>
    </row>
  </sheetData>
  <autoFilter ref="A10:Z11">
    <filterColumn colId="2" hiddenButton="0" showButton="0"/>
    <filterColumn colId="8" hiddenButton="0" showButton="0"/>
  </autoFilter>
  <mergeCells count="26">
    <mergeCell ref="C34:D34"/>
    <mergeCell ref="C33:D33"/>
    <mergeCell ref="E10:E11"/>
    <mergeCell ref="G10:G11"/>
    <mergeCell ref="C35:D35"/>
    <mergeCell ref="M10:M11"/>
    <mergeCell ref="Y10:Y11"/>
    <mergeCell ref="Q10:Q11"/>
    <mergeCell ref="C10:D10"/>
    <mergeCell ref="I10:J11"/>
    <mergeCell ref="A6:Z6"/>
    <mergeCell ref="B10:B11"/>
    <mergeCell ref="A7:Z7"/>
    <mergeCell ref="L10:L11"/>
    <mergeCell ref="X10:X11"/>
    <mergeCell ref="N10:N11"/>
    <mergeCell ref="Z10:Z11"/>
    <mergeCell ref="C36:D36"/>
    <mergeCell ref="A10:A11"/>
    <mergeCell ref="K10:K11"/>
    <mergeCell ref="C32:D32"/>
    <mergeCell ref="C38:D38"/>
    <mergeCell ref="A8:Z8"/>
    <mergeCell ref="C37:D37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2026-07-25T18:12:16Z</dcterms:modified>
  <cp:lastModifiedBy>Chiswa Dian Hermansyah(ZINUS ZDI)</cp:lastModifiedBy>
</cp:coreProperties>
</file>