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87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inlineStr">
        <is>
          <t>23/07/2026</t>
        </is>
      </c>
      <c r="F12" s="107" t="inlineStr">
        <is>
          <t>ID2607-7886</t>
        </is>
      </c>
      <c r="G12" s="258" t="inlineStr">
        <is>
          <t>22/07/2026</t>
        </is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4">
      <c r="A17" s="104" t="n"/>
      <c r="B17" s="105" t="n"/>
      <c r="C17" s="314" t="n"/>
      <c r="D17" s="314" t="n"/>
      <c r="E17" s="315" t="n"/>
      <c r="F17" s="316" t="n"/>
      <c r="G17" s="315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317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318" t="n"/>
      <c r="Z17" s="319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320" t="n"/>
      <c r="D22" s="320" t="n"/>
      <c r="E22" s="321" t="n"/>
      <c r="F22" s="321" t="n"/>
      <c r="G22" s="321" t="n"/>
      <c r="H22" s="322">
        <f>SUM(H12:H21)</f>
        <v/>
      </c>
      <c r="I22" s="94">
        <f>COUNTA(I12:I21)</f>
        <v/>
      </c>
      <c r="J22" s="93" t="n"/>
      <c r="K22" s="93" t="n"/>
      <c r="L22" s="323" t="n"/>
      <c r="M22" s="324" t="n"/>
      <c r="N22" s="93" t="n"/>
      <c r="O22" s="265">
        <f>SUM(O12:O21)</f>
        <v/>
      </c>
      <c r="P22" s="265">
        <f>SUM(P12:P21)</f>
        <v/>
      </c>
      <c r="Q22" s="266" t="n"/>
      <c r="R22" s="267">
        <f>SUM(R12:R21)</f>
        <v/>
      </c>
      <c r="S22" s="268" t="n"/>
      <c r="T22" s="268">
        <f>SUM(T12:T21)</f>
        <v/>
      </c>
      <c r="U22" s="93" t="n"/>
      <c r="V22" s="100" t="n"/>
      <c r="W22" s="101" t="n"/>
      <c r="X22" s="102" t="n"/>
      <c r="Y22" s="325" t="n"/>
      <c r="Z22" s="326" t="n"/>
    </row>
    <row r="23" ht="16.5" customFormat="1" customHeight="1" s="264">
      <c r="A23" s="104" t="n">
        <v>2</v>
      </c>
      <c r="B23" s="105" t="inlineStr">
        <is>
          <t>000030ZIK48020260722000505</t>
        </is>
      </c>
      <c r="C23" s="314" t="n">
        <v>457069</v>
      </c>
      <c r="D23" s="314" t="n">
        <v>457014</v>
      </c>
      <c r="E23" s="315" t="inlineStr">
        <is>
          <t>23/07/2026</t>
        </is>
      </c>
      <c r="F23" s="316" t="inlineStr">
        <is>
          <t>ID2607-7887</t>
        </is>
      </c>
      <c r="G23" s="315" t="inlineStr">
        <is>
          <t>22/07/2026</t>
        </is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317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/>
      <c r="Y23" s="318" t="inlineStr"/>
      <c r="Z23" s="319" t="inlineStr"/>
    </row>
    <row r="24" ht="16.5" customFormat="1" customHeight="1" s="264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327" t="n"/>
      <c r="D25" s="328" t="n"/>
      <c r="E25" s="329" t="n"/>
      <c r="F25" s="330" t="n"/>
      <c r="G25" s="329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331" t="inlineStr">
        <is>
          <t>10IN OPP HD FL</t>
        </is>
      </c>
      <c r="L25" s="332" t="inlineStr">
        <is>
          <t>ZU-MFMA1OZI-10F</t>
        </is>
      </c>
      <c r="M25" s="76" t="inlineStr">
        <is>
          <t>1CPXSUHR</t>
        </is>
      </c>
      <c r="N25" s="331" t="inlineStr">
        <is>
          <t>F.MFM.10F.013.AD</t>
        </is>
      </c>
      <c r="O25" s="333" t="n"/>
      <c r="P25" s="333" t="n"/>
      <c r="Q25" s="334">
        <f>IFERROR(R25/H25, 0)</f>
        <v/>
      </c>
      <c r="R25" s="335" t="n">
        <v>47.91</v>
      </c>
      <c r="S25" s="336" t="n">
        <v>18056</v>
      </c>
      <c r="T25" s="336">
        <f>IFERROR(S25*R25, 0)</f>
        <v/>
      </c>
      <c r="U25" s="337" t="n"/>
      <c r="V25" s="77" t="n"/>
      <c r="W25" s="338" t="n"/>
      <c r="X25" s="339" t="n"/>
      <c r="Y25" s="340" t="n"/>
      <c r="Z25" s="341" t="n"/>
    </row>
    <row r="26" ht="16.5" customFormat="1" customHeight="1" s="231" thickBot="1">
      <c r="A26" s="104" t="n"/>
      <c r="B26" s="105" t="n"/>
      <c r="C26" s="342" t="n"/>
      <c r="D26" s="342" t="n"/>
      <c r="E26" s="319" t="n"/>
      <c r="F26" s="343" t="n"/>
      <c r="G26" s="319" t="n"/>
      <c r="H26" s="344" t="n">
        <v>2</v>
      </c>
      <c r="I26" s="344" t="inlineStr">
        <is>
          <t>EITU1674433</t>
        </is>
      </c>
      <c r="J26" s="76" t="inlineStr">
        <is>
          <t>40FT</t>
        </is>
      </c>
      <c r="K26" s="331" t="inlineStr">
        <is>
          <t>10IN AIRFLOW GEL FOAM MATT QN</t>
        </is>
      </c>
      <c r="L26" s="332" t="inlineStr">
        <is>
          <t>ZU-MFMA1RZI-10Q</t>
        </is>
      </c>
      <c r="M26" s="76" t="inlineStr">
        <is>
          <t>1CPXSUHR</t>
        </is>
      </c>
      <c r="N26" s="331" t="inlineStr">
        <is>
          <t>F.MFM.10Q.014.AD</t>
        </is>
      </c>
      <c r="O26" s="345" t="n"/>
      <c r="P26" s="345" t="n"/>
      <c r="Q26" s="346">
        <f>IFERROR(R26/H26, 0)</f>
        <v/>
      </c>
      <c r="R26" s="347" t="n">
        <v>107.8</v>
      </c>
      <c r="S26" s="348" t="n">
        <v>18056</v>
      </c>
      <c r="T26" s="348">
        <f>IFERROR(S26*R26, 0)</f>
        <v/>
      </c>
      <c r="U26" s="349" t="n"/>
      <c r="V26" s="340" t="n"/>
      <c r="W26" s="350" t="n"/>
      <c r="X26" s="339" t="n"/>
      <c r="Y26" s="340" t="n"/>
      <c r="Z26" s="341" t="n"/>
    </row>
    <row r="27" ht="16.5" customHeight="1" s="223">
      <c r="A27" s="104" t="n"/>
      <c r="B27" s="105" t="n"/>
      <c r="C27" s="328" t="n"/>
      <c r="D27" s="351" t="n"/>
      <c r="E27" s="329" t="n"/>
      <c r="F27" s="330" t="n"/>
      <c r="G27" s="329" t="n"/>
      <c r="H27" s="352" t="n">
        <v>311</v>
      </c>
      <c r="I27" s="352" t="inlineStr">
        <is>
          <t>TCKU6083451</t>
        </is>
      </c>
      <c r="J27" s="352" t="inlineStr">
        <is>
          <t>40FT</t>
        </is>
      </c>
      <c r="K27" s="331" t="inlineStr">
        <is>
          <t>6IN GREEN TEA MF MATTRESS FL</t>
        </is>
      </c>
      <c r="L27" s="332" t="inlineStr">
        <is>
          <t>ZU-MFMA1ZZI-06F</t>
        </is>
      </c>
      <c r="M27" s="76" t="inlineStr">
        <is>
          <t>1CPXSUHR</t>
        </is>
      </c>
      <c r="N27" s="331" t="inlineStr">
        <is>
          <t>F.MFM.06F.007.AD</t>
        </is>
      </c>
      <c r="O27" s="353" t="n"/>
      <c r="P27" s="353" t="n"/>
      <c r="Q27" s="346">
        <f>IFERROR(R27/H27, 0)</f>
        <v/>
      </c>
      <c r="R27" s="354" t="n">
        <v>11920.63</v>
      </c>
      <c r="S27" s="355" t="n">
        <v>18056</v>
      </c>
      <c r="T27" s="355">
        <f>IFERROR(S27*R27, 0)</f>
        <v/>
      </c>
      <c r="U27" s="349" t="n"/>
      <c r="V27" s="340" t="n"/>
      <c r="W27" s="350" t="n"/>
      <c r="X27" s="339" t="n"/>
      <c r="Y27" s="340" t="n"/>
      <c r="Z27" s="341" t="n"/>
    </row>
    <row r="28" ht="16.5" customHeight="1" s="223">
      <c r="A28" s="104" t="n"/>
      <c r="B28" s="105" t="n"/>
      <c r="C28" s="328" t="n"/>
      <c r="D28" s="351" t="n"/>
      <c r="E28" s="329" t="n"/>
      <c r="F28" s="330" t="n"/>
      <c r="G28" s="329" t="n"/>
      <c r="H28" s="352" t="n">
        <v>355</v>
      </c>
      <c r="I28" s="352" t="inlineStr">
        <is>
          <t>EITU1661164</t>
        </is>
      </c>
      <c r="J28" s="352" t="inlineStr">
        <is>
          <t>40FT</t>
        </is>
      </c>
      <c r="K28" s="331" t="inlineStr">
        <is>
          <t>8IN GREEN TEA MF MATTRESS FL</t>
        </is>
      </c>
      <c r="L28" s="332" t="inlineStr">
        <is>
          <t>ZU-MFMA1ZZI-08F</t>
        </is>
      </c>
      <c r="M28" s="76" t="inlineStr">
        <is>
          <t>1CPXSUHR</t>
        </is>
      </c>
      <c r="N28" s="331" t="inlineStr">
        <is>
          <t>F.MFM.08F.008.AD</t>
        </is>
      </c>
      <c r="O28" s="353" t="n"/>
      <c r="P28" s="353" t="n"/>
      <c r="Q28" s="346">
        <f>IFERROR(R28/H28, 0)</f>
        <v/>
      </c>
      <c r="R28" s="354" t="n">
        <v>19876.45</v>
      </c>
      <c r="S28" s="355" t="n">
        <v>18056</v>
      </c>
      <c r="T28" s="355">
        <f>IFERROR(S28*R28, 0)</f>
        <v/>
      </c>
      <c r="U28" s="349" t="n"/>
      <c r="V28" s="340" t="n"/>
      <c r="W28" s="350" t="n"/>
      <c r="X28" s="339" t="n"/>
      <c r="Y28" s="340" t="n"/>
      <c r="Z28" s="341" t="n"/>
    </row>
    <row r="29" ht="16.5" customHeight="1" s="223">
      <c r="A29" s="104" t="n"/>
      <c r="B29" s="105" t="n"/>
      <c r="C29" s="328" t="n"/>
      <c r="D29" s="351" t="n"/>
      <c r="E29" s="329" t="n"/>
      <c r="F29" s="330" t="n"/>
      <c r="G29" s="329" t="n"/>
      <c r="H29" s="352" t="n">
        <v>1</v>
      </c>
      <c r="I29" s="352" t="inlineStr"/>
      <c r="J29" s="352" t="inlineStr"/>
      <c r="K29" s="356" t="inlineStr">
        <is>
          <t>12IN GREEN TEA MF MATTRESS EK</t>
        </is>
      </c>
      <c r="L29" s="357" t="inlineStr">
        <is>
          <t>ZU-MFMA1ZZI-12K</t>
        </is>
      </c>
      <c r="M29" s="358" t="inlineStr">
        <is>
          <t>1CPXSUHR</t>
        </is>
      </c>
      <c r="N29" s="356" t="inlineStr">
        <is>
          <t>F.MFM.12K.006.AD</t>
        </is>
      </c>
      <c r="O29" s="353" t="n"/>
      <c r="P29" s="353" t="n"/>
      <c r="Q29" s="359">
        <f>IFERROR(R29/H29, 0)</f>
        <v/>
      </c>
      <c r="R29" s="354" t="n">
        <v>101.97</v>
      </c>
      <c r="S29" s="355" t="n">
        <v>18056</v>
      </c>
      <c r="T29" s="261">
        <f>IFERROR(S29*R29, 0)</f>
        <v/>
      </c>
      <c r="U29" s="360" t="n"/>
      <c r="V29" s="340" t="n"/>
      <c r="W29" s="350" t="n"/>
      <c r="X29" s="339" t="n"/>
      <c r="Y29" s="340" t="n"/>
      <c r="Z29" s="341" t="n"/>
    </row>
    <row r="30" ht="16.5" customHeight="1" s="223" thickBot="1">
      <c r="A30" s="104" t="n"/>
      <c r="B30" s="105" t="n"/>
      <c r="C30" s="328" t="n"/>
      <c r="D30" s="328" t="n"/>
      <c r="E30" s="329" t="n"/>
      <c r="F30" s="330" t="n"/>
      <c r="G30" s="329" t="n"/>
      <c r="H30" s="352" t="n">
        <v>5</v>
      </c>
      <c r="I30" s="352" t="inlineStr"/>
      <c r="J30" s="352" t="inlineStr"/>
      <c r="K30" s="331" t="inlineStr">
        <is>
          <t>8IN GREEN TEA MF MATTRESS SQ</t>
        </is>
      </c>
      <c r="L30" s="332" t="inlineStr">
        <is>
          <t>ZU-MFMA1FZI-08S</t>
        </is>
      </c>
      <c r="M30" s="76" t="inlineStr">
        <is>
          <t>23OYBVEV</t>
        </is>
      </c>
      <c r="N30" s="356" t="inlineStr">
        <is>
          <t>F.MFM.08S.012.AD</t>
        </is>
      </c>
      <c r="O30" s="353" t="n"/>
      <c r="P30" s="353" t="n"/>
      <c r="Q30" s="359">
        <f>IFERROR(R30/H30, 0)</f>
        <v/>
      </c>
      <c r="R30" s="260" t="n">
        <v>310.75</v>
      </c>
      <c r="S30" s="261" t="n">
        <v>18056</v>
      </c>
      <c r="T30" s="355">
        <f>IFERROR(S30*R30, 0)</f>
        <v/>
      </c>
      <c r="U30" s="361" t="n"/>
      <c r="V30" s="362" t="n"/>
      <c r="W30" s="363" t="n"/>
      <c r="X30" s="358" t="n"/>
      <c r="Y30" s="362" t="n"/>
      <c r="Z30" s="364" t="n"/>
    </row>
    <row r="31" ht="16.5" customHeight="1" s="223" thickTop="1">
      <c r="A31" s="104" t="n"/>
      <c r="B31" s="105" t="n"/>
      <c r="C31" s="328" t="n"/>
      <c r="D31" s="328" t="n"/>
      <c r="E31" s="329" t="n"/>
      <c r="F31" s="330" t="n"/>
      <c r="G31" s="329" t="n"/>
      <c r="H31" s="76" t="n">
        <v>197</v>
      </c>
      <c r="I31" s="76" t="inlineStr"/>
      <c r="J31" s="358" t="inlineStr"/>
      <c r="K31" s="331" t="inlineStr">
        <is>
          <t>8IN OPP HD FL</t>
        </is>
      </c>
      <c r="L31" s="332" t="inlineStr">
        <is>
          <t>ZU-MFMA1OZI-08F</t>
        </is>
      </c>
      <c r="M31" s="76" t="inlineStr">
        <is>
          <t>23OYBVEV</t>
        </is>
      </c>
      <c r="N31" s="331" t="inlineStr">
        <is>
          <t>F.MFM.08F.013.AD</t>
        </is>
      </c>
      <c r="O31" s="353" t="n"/>
      <c r="P31" s="111" t="n"/>
      <c r="Q31" s="365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61" t="n"/>
      <c r="V31" s="362" t="n"/>
      <c r="W31" s="363" t="n"/>
      <c r="X31" s="358" t="n"/>
      <c r="Y31" s="362" t="n"/>
      <c r="Z31" s="364" t="n"/>
    </row>
    <row r="32" ht="16.5" customHeight="1" s="223">
      <c r="A32" s="366" t="n"/>
      <c r="B32" s="105" t="n"/>
      <c r="C32" s="342" t="n"/>
      <c r="D32" s="296" t="n"/>
      <c r="E32" s="364" t="n"/>
      <c r="F32" s="367" t="n"/>
      <c r="G32" s="329" t="n"/>
      <c r="H32" s="76" t="n">
        <v>18</v>
      </c>
      <c r="I32" s="76" t="inlineStr"/>
      <c r="J32" s="358" t="inlineStr"/>
      <c r="K32" s="331" t="inlineStr">
        <is>
          <t>8IN OPP HD QN</t>
        </is>
      </c>
      <c r="L32" s="332" t="inlineStr">
        <is>
          <t>ZU-MFMA1OZI-08Q</t>
        </is>
      </c>
      <c r="M32" s="76" t="inlineStr">
        <is>
          <t>23OYBVEV</t>
        </is>
      </c>
      <c r="N32" s="331" t="inlineStr">
        <is>
          <t>F.MFM.08Q.013.AD</t>
        </is>
      </c>
      <c r="O32" s="353" t="n"/>
      <c r="P32" s="111" t="n"/>
      <c r="Q32" s="365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61" t="n"/>
      <c r="V32" s="362" t="n"/>
      <c r="W32" s="363" t="n"/>
      <c r="X32" s="358" t="n"/>
      <c r="Y32" s="362" t="n"/>
      <c r="Z32" s="364" t="n"/>
    </row>
    <row r="33" ht="16.5" customHeight="1" s="223">
      <c r="A33" s="366" t="n"/>
      <c r="B33" s="368" t="n"/>
      <c r="C33" s="342" t="n"/>
      <c r="D33" s="296" t="n"/>
      <c r="E33" s="364" t="n"/>
      <c r="F33" s="367" t="n"/>
      <c r="G33" s="364" t="n"/>
      <c r="H33" s="76" t="n">
        <v>1</v>
      </c>
      <c r="I33" s="76" t="inlineStr"/>
      <c r="J33" s="358" t="inlineStr"/>
      <c r="K33" s="331" t="inlineStr">
        <is>
          <t>12IN OPP HD QN</t>
        </is>
      </c>
      <c r="L33" s="332" t="inlineStr">
        <is>
          <t>ZU-MFMA1OZI-12Q</t>
        </is>
      </c>
      <c r="M33" s="76" t="inlineStr">
        <is>
          <t>23OYBVEV</t>
        </is>
      </c>
      <c r="N33" s="331" t="inlineStr">
        <is>
          <t>F.MFM.12Q.010.AD</t>
        </is>
      </c>
      <c r="O33" s="353" t="n"/>
      <c r="P33" s="111" t="n"/>
      <c r="Q33" s="365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61" t="n"/>
      <c r="V33" s="362" t="n"/>
      <c r="W33" s="363" t="n"/>
      <c r="X33" s="358" t="n"/>
      <c r="Y33" s="362" t="n"/>
      <c r="Z33" s="364" t="n"/>
    </row>
    <row r="34" ht="16.5" customHeight="1" s="223">
      <c r="A34" s="366" t="n"/>
      <c r="B34" s="368" t="n"/>
      <c r="C34" s="342" t="n"/>
      <c r="D34" s="296" t="n"/>
      <c r="E34" s="364" t="n"/>
      <c r="F34" s="367" t="n"/>
      <c r="G34" s="364" t="n"/>
      <c r="H34" s="358" t="n">
        <v>2</v>
      </c>
      <c r="I34" s="358" t="inlineStr"/>
      <c r="J34" s="358" t="inlineStr"/>
      <c r="K34" s="331" t="inlineStr">
        <is>
          <t>10IN AIRFLOW GEL FOAM MATT EK</t>
        </is>
      </c>
      <c r="L34" s="332" t="inlineStr">
        <is>
          <t>ZU-MFMA1RZI-10K</t>
        </is>
      </c>
      <c r="M34" s="76" t="inlineStr">
        <is>
          <t>23OYBVEV</t>
        </is>
      </c>
      <c r="N34" s="331" t="inlineStr">
        <is>
          <t>F.MFM.10K.014.AD</t>
        </is>
      </c>
      <c r="O34" s="353" t="n"/>
      <c r="P34" s="111" t="n"/>
      <c r="Q34" s="365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61" t="n"/>
      <c r="V34" s="362" t="n"/>
      <c r="W34" s="363" t="n"/>
      <c r="X34" s="358" t="n"/>
      <c r="Y34" s="362" t="n"/>
      <c r="Z34" s="364" t="n"/>
    </row>
    <row r="35" ht="16.5" customHeight="1" s="223">
      <c r="A35" s="366" t="n"/>
      <c r="B35" s="368" t="n"/>
      <c r="C35" s="342" t="n"/>
      <c r="D35" s="296" t="n"/>
      <c r="E35" s="364" t="n"/>
      <c r="F35" s="367" t="n"/>
      <c r="G35" s="364" t="n"/>
      <c r="H35" s="358" t="n">
        <v>302</v>
      </c>
      <c r="I35" s="358" t="inlineStr"/>
      <c r="J35" s="358" t="inlineStr"/>
      <c r="K35" s="331" t="inlineStr">
        <is>
          <t>6IN MYGEL FOAM MATTRESS FL</t>
        </is>
      </c>
      <c r="L35" s="332" t="inlineStr">
        <is>
          <t>ZU-MFGN1YZI-06F</t>
        </is>
      </c>
      <c r="M35" s="76" t="inlineStr">
        <is>
          <t>299957YO</t>
        </is>
      </c>
      <c r="N35" s="331" t="inlineStr">
        <is>
          <t>F.MFG.06F.002.AD</t>
        </is>
      </c>
      <c r="O35" s="353" t="n"/>
      <c r="P35" s="111" t="n"/>
      <c r="Q35" s="365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61" t="n"/>
      <c r="V35" s="362" t="n"/>
      <c r="W35" s="363" t="n"/>
      <c r="X35" s="358" t="n"/>
      <c r="Y35" s="362" t="n"/>
      <c r="Z35" s="364" t="n"/>
    </row>
    <row r="36" ht="16.5" customHeight="1" s="223">
      <c r="A36" s="366" t="n"/>
      <c r="B36" s="368" t="n"/>
      <c r="C36" s="342" t="n"/>
      <c r="D36" s="296" t="n"/>
      <c r="E36" s="364" t="n"/>
      <c r="F36" s="367" t="n"/>
      <c r="G36" s="364" t="n"/>
      <c r="H36" s="358" t="n">
        <v>450</v>
      </c>
      <c r="I36" s="358" t="inlineStr"/>
      <c r="J36" s="358" t="inlineStr"/>
      <c r="K36" s="331" t="inlineStr">
        <is>
          <t>8IN OPP HD FL</t>
        </is>
      </c>
      <c r="L36" s="332" t="inlineStr">
        <is>
          <t>ZU-MFMA1OZI-08F</t>
        </is>
      </c>
      <c r="M36" s="76" t="inlineStr">
        <is>
          <t>299957YO</t>
        </is>
      </c>
      <c r="N36" s="331" t="inlineStr">
        <is>
          <t>F.MFM.08F.013.AD</t>
        </is>
      </c>
      <c r="O36" s="353" t="n"/>
      <c r="P36" s="111" t="n"/>
      <c r="Q36" s="365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61" t="n"/>
      <c r="V36" s="362" t="n"/>
      <c r="W36" s="363" t="n"/>
      <c r="X36" s="358" t="n"/>
      <c r="Y36" s="362" t="n"/>
      <c r="Z36" s="364" t="n"/>
    </row>
    <row r="37" ht="16.5" customHeight="1" s="223">
      <c r="A37" s="366" t="n"/>
      <c r="B37" s="368" t="n"/>
      <c r="C37" s="342" t="n"/>
      <c r="D37" s="296" t="n"/>
      <c r="E37" s="364" t="n"/>
      <c r="F37" s="367" t="n"/>
      <c r="G37" s="364" t="n"/>
      <c r="H37" s="358" t="n">
        <v>1</v>
      </c>
      <c r="I37" s="358" t="inlineStr"/>
      <c r="J37" s="358" t="inlineStr"/>
      <c r="K37" s="331" t="inlineStr">
        <is>
          <t>8IN GREEN TEA MF MATTRESS SQ</t>
        </is>
      </c>
      <c r="L37" s="332" t="inlineStr">
        <is>
          <t>ZU-MFMA1ZZI-08S</t>
        </is>
      </c>
      <c r="M37" s="76" t="inlineStr">
        <is>
          <t>299957YO</t>
        </is>
      </c>
      <c r="N37" s="331" t="inlineStr">
        <is>
          <t>F.MFM.08S.011.AD</t>
        </is>
      </c>
      <c r="O37" s="353" t="n"/>
      <c r="P37" s="111" t="n"/>
      <c r="Q37" s="365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61" t="n"/>
      <c r="V37" s="362" t="n"/>
      <c r="W37" s="363" t="n"/>
      <c r="X37" s="358" t="n"/>
      <c r="Y37" s="362" t="n"/>
      <c r="Z37" s="364" t="n"/>
    </row>
    <row r="38" ht="16.5" customHeight="1" s="223">
      <c r="A38" s="366" t="n"/>
      <c r="B38" s="368" t="n"/>
      <c r="C38" s="342" t="n"/>
      <c r="D38" s="296" t="n"/>
      <c r="E38" s="364" t="n"/>
      <c r="F38" s="367" t="n"/>
      <c r="G38" s="364" t="n"/>
      <c r="H38" s="358" t="n">
        <v>6</v>
      </c>
      <c r="I38" s="358" t="inlineStr"/>
      <c r="J38" s="358" t="inlineStr"/>
      <c r="K38" s="331" t="inlineStr">
        <is>
          <t>10IN GREEN TEA MF MATTRESS EK</t>
        </is>
      </c>
      <c r="L38" s="332" t="inlineStr">
        <is>
          <t>ZU-MFMA1ZZI-10K</t>
        </is>
      </c>
      <c r="M38" s="76" t="inlineStr">
        <is>
          <t>299957YO</t>
        </is>
      </c>
      <c r="N38" s="331" t="inlineStr">
        <is>
          <t>F.MFM.10K.007.AD</t>
        </is>
      </c>
      <c r="O38" s="353" t="n"/>
      <c r="P38" s="353" t="n"/>
      <c r="Q38" s="359">
        <f>IFERROR(R38/H38, 0)</f>
        <v/>
      </c>
      <c r="R38" s="354" t="n">
        <v>582.66</v>
      </c>
      <c r="S38" s="355" t="n">
        <v>18056</v>
      </c>
      <c r="T38" s="355">
        <f>IFERROR(S38*R38, 0)</f>
        <v/>
      </c>
      <c r="U38" s="360" t="n"/>
      <c r="V38" s="362" t="n"/>
      <c r="W38" s="363" t="n"/>
      <c r="X38" s="358" t="n"/>
      <c r="Y38" s="362" t="n"/>
      <c r="Z38" s="364" t="n"/>
    </row>
    <row r="39" ht="16.5" customHeight="1" s="223" thickBot="1">
      <c r="A39" s="366" t="n"/>
      <c r="B39" s="368" t="n"/>
      <c r="C39" s="342" t="n"/>
      <c r="D39" s="342" t="n"/>
      <c r="E39" s="364" t="n"/>
      <c r="F39" s="367" t="n"/>
      <c r="G39" s="364" t="n"/>
      <c r="H39" s="358" t="n">
        <v>149</v>
      </c>
      <c r="I39" s="358" t="inlineStr"/>
      <c r="J39" s="358" t="inlineStr"/>
      <c r="K39" s="356" t="inlineStr">
        <is>
          <t>8IN MYGEL FOAM MATTRESS TW</t>
        </is>
      </c>
      <c r="L39" s="357" t="inlineStr">
        <is>
          <t>ZU-MFGN1YZI-08T</t>
        </is>
      </c>
      <c r="M39" s="358" t="inlineStr">
        <is>
          <t>2OD43VAH</t>
        </is>
      </c>
      <c r="N39" s="356" t="inlineStr">
        <is>
          <t>F.MFG.08T.003.AD</t>
        </is>
      </c>
      <c r="O39" s="353" t="n"/>
      <c r="P39" s="353" t="n"/>
      <c r="Q39" s="359">
        <f>IFERROR(R39/H39, 0)</f>
        <v/>
      </c>
      <c r="R39" s="354" t="n">
        <v>5353.57</v>
      </c>
      <c r="S39" s="355" t="n">
        <v>18056</v>
      </c>
      <c r="T39" s="355">
        <f>IFERROR(S39*R39, 0)</f>
        <v/>
      </c>
      <c r="U39" s="360" t="n"/>
      <c r="V39" s="362" t="n"/>
      <c r="W39" s="363" t="n"/>
      <c r="X39" s="358" t="n"/>
      <c r="Y39" s="362" t="n"/>
      <c r="Z39" s="364" t="n"/>
    </row>
    <row r="40" ht="16.5" customFormat="1" customHeight="1" s="17" thickTop="1">
      <c r="A40" s="369" t="n"/>
      <c r="B40" s="368" t="n"/>
      <c r="C40" s="342" t="n"/>
      <c r="D40" s="342" t="n"/>
      <c r="E40" s="319" t="n"/>
      <c r="F40" s="343" t="n"/>
      <c r="G40" s="319" t="n"/>
      <c r="H40" s="76" t="n">
        <v>2</v>
      </c>
      <c r="I40" s="76" t="inlineStr"/>
      <c r="J40" s="76" t="inlineStr"/>
      <c r="K40" s="331" t="inlineStr">
        <is>
          <t>10IN OPP HD FL</t>
        </is>
      </c>
      <c r="L40" s="332" t="inlineStr">
        <is>
          <t>ZU-MFMA1OZI-10F</t>
        </is>
      </c>
      <c r="M40" s="76" t="inlineStr">
        <is>
          <t>2OD43VAH</t>
        </is>
      </c>
      <c r="N40" s="331" t="inlineStr">
        <is>
          <t>F.MFM.10F.013.AD</t>
        </is>
      </c>
      <c r="O40" s="111" t="n"/>
      <c r="P40" s="111" t="n"/>
      <c r="Q40" s="365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61" t="n"/>
      <c r="V40" s="318" t="n"/>
      <c r="W40" s="370" t="n"/>
      <c r="X40" s="76" t="n"/>
      <c r="Y40" s="318" t="n"/>
      <c r="Z40" s="31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69" t="n"/>
      <c r="B41" s="371" t="n"/>
      <c r="C41" s="351" t="n"/>
      <c r="D41" s="351" t="n"/>
      <c r="E41" s="364" t="n"/>
      <c r="F41" s="367" t="n"/>
      <c r="G41" s="364" t="n"/>
      <c r="H41" s="358" t="n">
        <v>400</v>
      </c>
      <c r="I41" s="358" t="inlineStr"/>
      <c r="J41" s="358" t="inlineStr"/>
      <c r="K41" s="356" t="inlineStr">
        <is>
          <t>12IN OPP HD QN</t>
        </is>
      </c>
      <c r="L41" s="357" t="inlineStr">
        <is>
          <t>ZU-MFMA1OZI-12Q</t>
        </is>
      </c>
      <c r="M41" s="358" t="inlineStr">
        <is>
          <t>2OD43VAH</t>
        </is>
      </c>
      <c r="N41" s="356" t="inlineStr">
        <is>
          <t>F.MFM.12Q.010.AD</t>
        </is>
      </c>
      <c r="O41" s="353" t="n"/>
      <c r="P41" s="353" t="n"/>
      <c r="Q41" s="359">
        <f>IFERROR(R41/H41, 0)</f>
        <v/>
      </c>
      <c r="R41" s="354" t="n">
        <v>27028</v>
      </c>
      <c r="S41" s="355" t="n">
        <v>18056</v>
      </c>
      <c r="T41" s="355">
        <f>IFERROR(S41*R41, 0)</f>
        <v/>
      </c>
      <c r="U41" s="360" t="n"/>
      <c r="V41" s="362" t="n"/>
      <c r="W41" s="363" t="n"/>
      <c r="X41" s="358" t="n"/>
      <c r="Y41" s="362" t="n"/>
      <c r="Z41" s="364" t="n"/>
    </row>
    <row r="42" ht="16.5" customHeight="1" s="223">
      <c r="A42" s="369" t="n"/>
      <c r="B42" s="371" t="n"/>
      <c r="C42" s="351" t="n"/>
      <c r="D42" s="351" t="n"/>
      <c r="E42" s="364" t="n"/>
      <c r="F42" s="367" t="n"/>
      <c r="G42" s="364" t="n"/>
      <c r="H42" s="358" t="n">
        <v>1</v>
      </c>
      <c r="I42" s="358" t="inlineStr"/>
      <c r="J42" s="358" t="inlineStr"/>
      <c r="K42" s="356" t="inlineStr">
        <is>
          <t>10IN AIRFLOW GEL FOAM MATT QN</t>
        </is>
      </c>
      <c r="L42" s="357" t="inlineStr">
        <is>
          <t>ZU-MFMA1RZI-10Q</t>
        </is>
      </c>
      <c r="M42" s="358" t="inlineStr">
        <is>
          <t>2OD43VAH</t>
        </is>
      </c>
      <c r="N42" s="356" t="inlineStr">
        <is>
          <t>F.MFM.10Q.014.AD</t>
        </is>
      </c>
      <c r="O42" s="353" t="n"/>
      <c r="P42" s="353" t="n"/>
      <c r="Q42" s="359">
        <f>IFERROR(R42/H42, 0)</f>
        <v/>
      </c>
      <c r="R42" s="354" t="n">
        <v>53.9</v>
      </c>
      <c r="S42" s="355" t="n">
        <v>18056</v>
      </c>
      <c r="T42" s="355">
        <f>IFERROR(S42*R42, 0)</f>
        <v/>
      </c>
      <c r="U42" s="360" t="n"/>
      <c r="V42" s="362" t="n"/>
      <c r="W42" s="363" t="n"/>
      <c r="X42" s="358" t="n"/>
      <c r="Y42" s="362" t="n"/>
      <c r="Z42" s="364" t="n"/>
    </row>
    <row r="43" ht="16.5" customHeight="1" s="223">
      <c r="A43" s="369" t="n"/>
      <c r="B43" s="371" t="n"/>
      <c r="C43" s="351" t="n"/>
      <c r="D43" s="351" t="n"/>
      <c r="E43" s="364" t="n"/>
      <c r="F43" s="367" t="n"/>
      <c r="G43" s="364" t="n"/>
      <c r="H43" s="358" t="n">
        <v>1</v>
      </c>
      <c r="I43" s="358" t="inlineStr"/>
      <c r="J43" s="358" t="inlineStr"/>
      <c r="K43" s="356" t="inlineStr">
        <is>
          <t>12IN AIRFLOW GEL FOAM MATT QN</t>
        </is>
      </c>
      <c r="L43" s="357" t="inlineStr">
        <is>
          <t>ZU-MFMA1RZI-12Q</t>
        </is>
      </c>
      <c r="M43" s="358" t="inlineStr">
        <is>
          <t>2OD43VAH</t>
        </is>
      </c>
      <c r="N43" s="356" t="inlineStr">
        <is>
          <t>F.MFM.12Q.011.AD</t>
        </is>
      </c>
      <c r="O43" s="353" t="n"/>
      <c r="P43" s="353" t="n"/>
      <c r="Q43" s="359">
        <f>IFERROR(R43/H43, 0)</f>
        <v/>
      </c>
      <c r="R43" s="354" t="n">
        <v>67.56999999999999</v>
      </c>
      <c r="S43" s="355" t="n">
        <v>18056</v>
      </c>
      <c r="T43" s="355">
        <f>IFERROR(S43*R43, 0)</f>
        <v/>
      </c>
      <c r="U43" s="360" t="n"/>
      <c r="V43" s="362" t="n"/>
      <c r="W43" s="363" t="n"/>
      <c r="X43" s="358" t="n"/>
      <c r="Y43" s="362" t="n"/>
      <c r="Z43" s="364" t="n"/>
    </row>
    <row r="44" ht="16.5" customHeight="1" s="223">
      <c r="A44" s="369" t="n"/>
      <c r="B44" s="371" t="n"/>
      <c r="C44" s="351" t="n"/>
      <c r="D44" s="351" t="n"/>
      <c r="E44" s="364" t="n"/>
      <c r="F44" s="367" t="n"/>
      <c r="G44" s="364" t="n"/>
      <c r="H44" s="358" t="n">
        <v>1</v>
      </c>
      <c r="I44" s="358" t="inlineStr"/>
      <c r="J44" s="358" t="inlineStr"/>
      <c r="K44" s="356" t="inlineStr">
        <is>
          <t>8IN GREEN TEA MF MATTRESS SQ</t>
        </is>
      </c>
      <c r="L44" s="357" t="inlineStr">
        <is>
          <t>ZU-MFMA1ZZI-08S</t>
        </is>
      </c>
      <c r="M44" s="358" t="inlineStr">
        <is>
          <t>2OD43VAH</t>
        </is>
      </c>
      <c r="N44" s="356" t="inlineStr">
        <is>
          <t>F.MFM.08S.011.AD</t>
        </is>
      </c>
      <c r="O44" s="353" t="n"/>
      <c r="P44" s="353" t="n"/>
      <c r="Q44" s="359">
        <f>IFERROR(R44/H44, 0)</f>
        <v/>
      </c>
      <c r="R44" s="354" t="n">
        <v>59.1</v>
      </c>
      <c r="S44" s="355" t="n">
        <v>18056</v>
      </c>
      <c r="T44" s="355">
        <f>IFERROR(S44*R44, 0)</f>
        <v/>
      </c>
      <c r="U44" s="360" t="n"/>
      <c r="V44" s="362" t="n"/>
      <c r="W44" s="363" t="n"/>
      <c r="X44" s="358" t="n"/>
      <c r="Y44" s="362" t="n"/>
      <c r="Z44" s="364" t="n"/>
    </row>
    <row r="45" ht="16.5" customHeight="1" s="223">
      <c r="A45" s="369" t="n"/>
      <c r="B45" s="371" t="n"/>
      <c r="C45" s="351" t="n"/>
      <c r="D45" s="351" t="n"/>
      <c r="E45" s="364" t="n"/>
      <c r="F45" s="367" t="n"/>
      <c r="G45" s="364" t="n"/>
      <c r="H45" s="358" t="n">
        <v>368</v>
      </c>
      <c r="I45" s="358" t="inlineStr"/>
      <c r="J45" s="358" t="inlineStr"/>
      <c r="K45" s="356" t="inlineStr">
        <is>
          <t>8IN OPP HD FL</t>
        </is>
      </c>
      <c r="L45" s="357" t="inlineStr">
        <is>
          <t>ZU-MFMA1OZI-08F</t>
        </is>
      </c>
      <c r="M45" s="358" t="inlineStr">
        <is>
          <t>2XLW4FKE</t>
        </is>
      </c>
      <c r="N45" s="356" t="inlineStr">
        <is>
          <t>F.MFM.08F.013.AD</t>
        </is>
      </c>
      <c r="O45" s="353" t="n"/>
      <c r="P45" s="353" t="n"/>
      <c r="Q45" s="359">
        <f>IFERROR(R45/H45, 0)</f>
        <v/>
      </c>
      <c r="R45" s="354" t="n">
        <v>14326.24</v>
      </c>
      <c r="S45" s="355" t="n">
        <v>18056</v>
      </c>
      <c r="T45" s="355">
        <f>IFERROR(S45*R45, 0)</f>
        <v/>
      </c>
      <c r="U45" s="360" t="n"/>
      <c r="V45" s="362" t="n"/>
      <c r="W45" s="363" t="n"/>
      <c r="X45" s="358" t="n"/>
      <c r="Y45" s="362" t="n"/>
      <c r="Z45" s="364" t="n"/>
    </row>
    <row r="46" ht="16.5" customHeight="1" s="223">
      <c r="A46" s="369" t="n"/>
      <c r="B46" s="371" t="n"/>
      <c r="C46" s="351" t="n"/>
      <c r="D46" s="351" t="n"/>
      <c r="E46" s="364" t="n"/>
      <c r="F46" s="367" t="n"/>
      <c r="G46" s="364" t="n"/>
      <c r="H46" s="358" t="n">
        <v>198</v>
      </c>
      <c r="I46" s="358" t="inlineStr"/>
      <c r="J46" s="358" t="inlineStr"/>
      <c r="K46" s="356" t="inlineStr">
        <is>
          <t>12IN OPP HD QN</t>
        </is>
      </c>
      <c r="L46" s="357" t="inlineStr">
        <is>
          <t>ZU-MFMA1OZI-12Q</t>
        </is>
      </c>
      <c r="M46" s="358" t="inlineStr">
        <is>
          <t>2XLW4FKE</t>
        </is>
      </c>
      <c r="N46" s="356" t="inlineStr">
        <is>
          <t>F.MFM.12Q.010.AD</t>
        </is>
      </c>
      <c r="O46" s="353" t="n"/>
      <c r="P46" s="353" t="n"/>
      <c r="Q46" s="359">
        <f>IFERROR(R46/H46, 0)</f>
        <v/>
      </c>
      <c r="R46" s="354" t="n">
        <v>13378.86</v>
      </c>
      <c r="S46" s="355" t="n">
        <v>18056</v>
      </c>
      <c r="T46" s="355">
        <f>IFERROR(S46*R46, 0)</f>
        <v/>
      </c>
      <c r="U46" s="360" t="n"/>
      <c r="V46" s="362" t="n"/>
      <c r="W46" s="363" t="n"/>
      <c r="X46" s="358" t="n"/>
      <c r="Y46" s="362" t="n"/>
      <c r="Z46" s="364" t="n"/>
    </row>
    <row r="47" ht="16.5" customHeight="1" s="223">
      <c r="A47" s="369" t="n"/>
      <c r="B47" s="371" t="n"/>
      <c r="C47" s="351" t="n"/>
      <c r="D47" s="351" t="n"/>
      <c r="E47" s="364" t="n"/>
      <c r="F47" s="367" t="n"/>
      <c r="G47" s="364" t="n"/>
      <c r="H47" s="358" t="n">
        <v>56</v>
      </c>
      <c r="I47" s="358" t="inlineStr"/>
      <c r="J47" s="358" t="inlineStr"/>
      <c r="K47" s="356" t="inlineStr">
        <is>
          <t>12IN GREEN TEA MF MATTRESS TX</t>
        </is>
      </c>
      <c r="L47" s="357" t="inlineStr">
        <is>
          <t>ZU-MFMA1ZZI-12X</t>
        </is>
      </c>
      <c r="M47" s="358" t="inlineStr">
        <is>
          <t>2XLW4FKE</t>
        </is>
      </c>
      <c r="N47" s="356" t="inlineStr">
        <is>
          <t>F.MFM.12X.006.AD</t>
        </is>
      </c>
      <c r="O47" s="353" t="n"/>
      <c r="P47" s="353" t="n"/>
      <c r="Q47" s="359">
        <f>IFERROR(R47/H47, 0)</f>
        <v/>
      </c>
      <c r="R47" s="354" t="n">
        <v>3264.8</v>
      </c>
      <c r="S47" s="355" t="n">
        <v>18056</v>
      </c>
      <c r="T47" s="355">
        <f>IFERROR(S47*R47, 0)</f>
        <v/>
      </c>
      <c r="U47" s="360" t="n"/>
      <c r="V47" s="362" t="n"/>
      <c r="W47" s="363" t="n"/>
      <c r="X47" s="358" t="n"/>
      <c r="Y47" s="362" t="n"/>
      <c r="Z47" s="364" t="n"/>
    </row>
    <row r="48" ht="16.5" customHeight="1" s="223">
      <c r="A48" s="369" t="n"/>
      <c r="B48" s="371" t="n"/>
      <c r="C48" s="351" t="n"/>
      <c r="D48" s="351" t="n"/>
      <c r="E48" s="364" t="n"/>
      <c r="F48" s="367" t="n"/>
      <c r="G48" s="364" t="n"/>
      <c r="H48" s="358" t="n">
        <v>1</v>
      </c>
      <c r="I48" s="358" t="inlineStr"/>
      <c r="J48" s="358" t="inlineStr"/>
      <c r="K48" s="356" t="inlineStr">
        <is>
          <t>5IN OPP HD TW</t>
        </is>
      </c>
      <c r="L48" s="357" t="inlineStr">
        <is>
          <t>ZU-MFMA1OZI-05T</t>
        </is>
      </c>
      <c r="M48" s="358" t="inlineStr">
        <is>
          <t>4JWS37TM</t>
        </is>
      </c>
      <c r="N48" s="356" t="inlineStr">
        <is>
          <t>F.MFM.05T.008.AD</t>
        </is>
      </c>
      <c r="O48" s="353" t="n"/>
      <c r="P48" s="353" t="n"/>
      <c r="Q48" s="359">
        <f>IFERROR(R48/H48, 0)</f>
        <v/>
      </c>
      <c r="R48" s="354" t="n">
        <v>23.95</v>
      </c>
      <c r="S48" s="355" t="n">
        <v>18056</v>
      </c>
      <c r="T48" s="355">
        <f>IFERROR(S48*R48, 0)</f>
        <v/>
      </c>
      <c r="U48" s="360" t="n"/>
      <c r="V48" s="362" t="n"/>
      <c r="W48" s="363" t="n"/>
      <c r="X48" s="358" t="n"/>
      <c r="Y48" s="362" t="n"/>
      <c r="Z48" s="364" t="n"/>
    </row>
    <row r="49" ht="16.5" customHeight="1" s="223">
      <c r="A49" s="369" t="n"/>
      <c r="B49" s="371" t="n"/>
      <c r="C49" s="351" t="n"/>
      <c r="D49" s="351" t="n"/>
      <c r="E49" s="364" t="n"/>
      <c r="F49" s="367" t="n"/>
      <c r="G49" s="364" t="n"/>
      <c r="H49" s="358" t="n">
        <v>1138</v>
      </c>
      <c r="I49" s="358" t="inlineStr"/>
      <c r="J49" s="358" t="inlineStr"/>
      <c r="K49" s="356" t="inlineStr">
        <is>
          <t>5IN GREEN TEA MF MATTRESS TW</t>
        </is>
      </c>
      <c r="L49" s="357" t="inlineStr">
        <is>
          <t>ZU-MFMA1ZZI-05T</t>
        </is>
      </c>
      <c r="M49" s="358" t="inlineStr">
        <is>
          <t>4JWS37TM</t>
        </is>
      </c>
      <c r="N49" s="356" t="inlineStr">
        <is>
          <t>F.MFM.05T.007.AD</t>
        </is>
      </c>
      <c r="O49" s="353" t="n"/>
      <c r="P49" s="353" t="n"/>
      <c r="Q49" s="359">
        <f>IFERROR(R49/H49, 0)</f>
        <v/>
      </c>
      <c r="R49" s="354" t="n">
        <v>26925.08</v>
      </c>
      <c r="S49" s="355" t="n">
        <v>18056</v>
      </c>
      <c r="T49" s="355">
        <f>IFERROR(S49*R49, 0)</f>
        <v/>
      </c>
      <c r="U49" s="360" t="n"/>
      <c r="V49" s="362" t="n"/>
      <c r="W49" s="363" t="n"/>
      <c r="X49" s="358" t="n"/>
      <c r="Y49" s="362" t="n"/>
      <c r="Z49" s="364" t="n"/>
    </row>
    <row r="50" ht="17.1" customHeight="1" s="223">
      <c r="A50" s="372" t="n"/>
      <c r="B50" s="373" t="n"/>
      <c r="C50" s="374" t="n"/>
      <c r="D50" s="374" t="n"/>
      <c r="E50" s="375" t="n"/>
      <c r="F50" s="375" t="n"/>
      <c r="G50" s="375" t="n"/>
      <c r="H50" s="376">
        <f>SUM(H23:H49)</f>
        <v/>
      </c>
      <c r="I50" s="377">
        <f>COUNTA(I23:I49)</f>
        <v/>
      </c>
      <c r="J50" s="376" t="n"/>
      <c r="K50" s="376" t="n"/>
      <c r="L50" s="378" t="n"/>
      <c r="M50" s="376" t="n"/>
      <c r="N50" s="376" t="n"/>
      <c r="O50" s="379">
        <f>SUM(O23:O49)</f>
        <v/>
      </c>
      <c r="P50" s="379">
        <f>SUM(P23:P49)</f>
        <v/>
      </c>
      <c r="Q50" s="380" t="n"/>
      <c r="R50" s="381">
        <f>SUM(R23:R49)</f>
        <v/>
      </c>
      <c r="S50" s="382" t="n"/>
      <c r="T50" s="382">
        <f>SUM(T23:T49)</f>
        <v/>
      </c>
      <c r="U50" s="376" t="n"/>
      <c r="V50" s="383" t="n"/>
      <c r="W50" s="384" t="n"/>
      <c r="X50" s="383" t="n"/>
      <c r="Y50" s="383" t="n"/>
      <c r="Z50" s="383" t="n"/>
    </row>
    <row r="51" ht="16.5" customHeight="1" s="223">
      <c r="A51" s="369" t="n">
        <v>3</v>
      </c>
      <c r="B51" s="371" t="inlineStr">
        <is>
          <t>000030ZIK48020260722000506</t>
        </is>
      </c>
      <c r="C51" s="351" t="n">
        <v>454283</v>
      </c>
      <c r="D51" s="351" t="n">
        <v>454227</v>
      </c>
      <c r="E51" s="364" t="inlineStr">
        <is>
          <t>23/07/2026</t>
        </is>
      </c>
      <c r="F51" s="367" t="inlineStr">
        <is>
          <t>ID2607-7885</t>
        </is>
      </c>
      <c r="G51" s="364" t="inlineStr">
        <is>
          <t>22/07/2026</t>
        </is>
      </c>
      <c r="H51" s="358" t="n">
        <v>182</v>
      </c>
      <c r="I51" s="358" t="inlineStr">
        <is>
          <t>MSMU5513960</t>
        </is>
      </c>
      <c r="J51" s="358" t="inlineStr">
        <is>
          <t>40FT</t>
        </is>
      </c>
      <c r="K51" s="356" t="inlineStr">
        <is>
          <t>10IN GREEN TEA MF MATTRESS TX</t>
        </is>
      </c>
      <c r="L51" s="357" t="inlineStr">
        <is>
          <t>OLC-FMS-1000TXL-IN</t>
        </is>
      </c>
      <c r="M51" s="358" t="inlineStr">
        <is>
          <t>5FFUUH8B</t>
        </is>
      </c>
      <c r="N51" s="356" t="inlineStr">
        <is>
          <t>F.MFM.10X.003.BD</t>
        </is>
      </c>
      <c r="O51" s="353" t="n">
        <v>55657.92</v>
      </c>
      <c r="P51" s="353" t="n">
        <v>41484.87</v>
      </c>
      <c r="Q51" s="359">
        <f>IFERROR(R51/H51, 0)</f>
        <v/>
      </c>
      <c r="R51" s="354" t="n">
        <v>10437.7</v>
      </c>
      <c r="S51" s="355" t="n">
        <v>18056</v>
      </c>
      <c r="T51" s="355">
        <f>IFERROR(S51*R51, 0)</f>
        <v/>
      </c>
      <c r="U51" s="360" t="inlineStr">
        <is>
          <t>040300/KPPBC</t>
        </is>
      </c>
      <c r="V51" s="362" t="inlineStr">
        <is>
          <t>TG. PRIOK</t>
        </is>
      </c>
      <c r="W51" s="363" t="inlineStr">
        <is>
          <t>LONG BEACH</t>
        </is>
      </c>
      <c r="X51" s="358" t="inlineStr"/>
      <c r="Y51" s="362" t="inlineStr"/>
      <c r="Z51" s="364" t="inlineStr"/>
    </row>
    <row r="52" ht="16.5" customHeight="1" s="223">
      <c r="A52" s="369" t="n"/>
      <c r="B52" s="371" t="n"/>
      <c r="C52" s="351" t="n"/>
      <c r="D52" s="351" t="n"/>
      <c r="E52" s="364" t="n"/>
      <c r="F52" s="367" t="n"/>
      <c r="G52" s="364" t="n"/>
      <c r="H52" s="358" t="n">
        <v>101</v>
      </c>
      <c r="I52" s="358" t="inlineStr">
        <is>
          <t>TLLU5166027</t>
        </is>
      </c>
      <c r="J52" s="358" t="inlineStr">
        <is>
          <t>40FT</t>
        </is>
      </c>
      <c r="K52" s="356" t="inlineStr">
        <is>
          <t>12IN GEL FOAM MATTRESS TW</t>
        </is>
      </c>
      <c r="L52" s="357" t="inlineStr">
        <is>
          <t>GFM-12T</t>
        </is>
      </c>
      <c r="M52" s="358" t="inlineStr">
        <is>
          <t>77K91MJU</t>
        </is>
      </c>
      <c r="N52" s="356" t="inlineStr">
        <is>
          <t>F.MFG.12T.000.BD</t>
        </is>
      </c>
      <c r="O52" s="353" t="n"/>
      <c r="P52" s="353" t="n"/>
      <c r="Q52" s="359">
        <f>IFERROR(R52/H52, 0)</f>
        <v/>
      </c>
      <c r="R52" s="354" t="n">
        <v>5225.74</v>
      </c>
      <c r="S52" s="355" t="n">
        <v>18056</v>
      </c>
      <c r="T52" s="355">
        <f>IFERROR(S52*R52, 0)</f>
        <v/>
      </c>
      <c r="U52" s="360" t="n"/>
      <c r="V52" s="362" t="n"/>
      <c r="W52" s="363" t="inlineStr">
        <is>
          <t>ETD : 27-07-2026</t>
        </is>
      </c>
      <c r="X52" s="358" t="n"/>
      <c r="Y52" s="362" t="n"/>
      <c r="Z52" s="364" t="n"/>
    </row>
    <row r="53" ht="16.5" customHeight="1" s="223">
      <c r="A53" s="369" t="n"/>
      <c r="B53" s="371" t="n"/>
      <c r="C53" s="351" t="n"/>
      <c r="D53" s="351" t="n"/>
      <c r="E53" s="364" t="n"/>
      <c r="F53" s="367" t="n"/>
      <c r="G53" s="364" t="n"/>
      <c r="H53" s="358" t="n">
        <v>174</v>
      </c>
      <c r="I53" s="358" t="inlineStr">
        <is>
          <t>MSMU4309479</t>
        </is>
      </c>
      <c r="J53" s="358" t="inlineStr">
        <is>
          <t>40FT</t>
        </is>
      </c>
      <c r="K53" s="356" t="inlineStr">
        <is>
          <t>10IN GREEN TEA MF MATTRESS TX</t>
        </is>
      </c>
      <c r="L53" s="357" t="inlineStr">
        <is>
          <t>OLC-FMS-1000TXL-IN</t>
        </is>
      </c>
      <c r="M53" s="358" t="inlineStr">
        <is>
          <t>77K91MJU</t>
        </is>
      </c>
      <c r="N53" s="356" t="inlineStr">
        <is>
          <t>F.MFM.10X.003.BD</t>
        </is>
      </c>
      <c r="O53" s="353" t="n"/>
      <c r="P53" s="353" t="n"/>
      <c r="Q53" s="359">
        <f>IFERROR(R53/H53, 0)</f>
        <v/>
      </c>
      <c r="R53" s="354" t="n">
        <v>9978.9</v>
      </c>
      <c r="S53" s="355" t="n">
        <v>18056</v>
      </c>
      <c r="T53" s="355">
        <f>IFERROR(S53*R53, 0)</f>
        <v/>
      </c>
      <c r="U53" s="360" t="n"/>
      <c r="V53" s="362" t="n"/>
      <c r="W53" s="363" t="n"/>
      <c r="X53" s="358" t="n"/>
      <c r="Y53" s="362" t="n"/>
      <c r="Z53" s="364" t="n"/>
    </row>
    <row r="54" ht="16.5" customHeight="1" s="223">
      <c r="A54" s="369" t="n"/>
      <c r="B54" s="371" t="n"/>
      <c r="C54" s="351" t="n"/>
      <c r="D54" s="351" t="n"/>
      <c r="E54" s="364" t="n"/>
      <c r="F54" s="367" t="n"/>
      <c r="G54" s="364" t="n"/>
      <c r="H54" s="358" t="n">
        <v>64</v>
      </c>
      <c r="I54" s="358" t="inlineStr">
        <is>
          <t>TGHU4968395</t>
        </is>
      </c>
      <c r="J54" s="358" t="inlineStr">
        <is>
          <t>40FT</t>
        </is>
      </c>
      <c r="K54" s="356" t="inlineStr">
        <is>
          <t>12IN GEL FOAM MATTRESS TW</t>
        </is>
      </c>
      <c r="L54" s="357" t="inlineStr">
        <is>
          <t>GFM-12T</t>
        </is>
      </c>
      <c r="M54" s="358" t="inlineStr">
        <is>
          <t>7D4ITY4N</t>
        </is>
      </c>
      <c r="N54" s="356" t="inlineStr">
        <is>
          <t>F.MFG.12T.000.BD</t>
        </is>
      </c>
      <c r="O54" s="353" t="n"/>
      <c r="P54" s="353" t="n"/>
      <c r="Q54" s="359">
        <f>IFERROR(R54/H54, 0)</f>
        <v/>
      </c>
      <c r="R54" s="354" t="n">
        <v>3311.36</v>
      </c>
      <c r="S54" s="355" t="n">
        <v>18056</v>
      </c>
      <c r="T54" s="355">
        <f>IFERROR(S54*R54, 0)</f>
        <v/>
      </c>
      <c r="U54" s="360" t="n"/>
      <c r="V54" s="362" t="n"/>
      <c r="W54" s="363" t="n"/>
      <c r="X54" s="358" t="n"/>
      <c r="Y54" s="362" t="n"/>
      <c r="Z54" s="364" t="n"/>
    </row>
    <row r="55" ht="16.5" customHeight="1" s="223">
      <c r="A55" s="369" t="n"/>
      <c r="B55" s="371" t="n"/>
      <c r="C55" s="351" t="n"/>
      <c r="D55" s="351" t="n"/>
      <c r="E55" s="364" t="n"/>
      <c r="F55" s="367" t="n"/>
      <c r="G55" s="364" t="n"/>
      <c r="H55" s="358" t="n">
        <v>99</v>
      </c>
      <c r="I55" s="358" t="inlineStr">
        <is>
          <t>MSBU4617117</t>
        </is>
      </c>
      <c r="J55" s="358" t="inlineStr">
        <is>
          <t>40FT</t>
        </is>
      </c>
      <c r="K55" s="356" t="inlineStr">
        <is>
          <t>10IN GREEN TEA MF MATTRESS TX</t>
        </is>
      </c>
      <c r="L55" s="357" t="inlineStr">
        <is>
          <t>OLC-FMS-1000TXL-IN</t>
        </is>
      </c>
      <c r="M55" s="358" t="inlineStr">
        <is>
          <t>7D4ITY4N</t>
        </is>
      </c>
      <c r="N55" s="356" t="inlineStr">
        <is>
          <t>F.MFM.10X.003.BD</t>
        </is>
      </c>
      <c r="O55" s="353" t="n"/>
      <c r="P55" s="353" t="n"/>
      <c r="Q55" s="359">
        <f>IFERROR(R55/H55, 0)</f>
        <v/>
      </c>
      <c r="R55" s="354" t="n">
        <v>5677.65</v>
      </c>
      <c r="S55" s="355" t="n">
        <v>18056</v>
      </c>
      <c r="T55" s="355">
        <f>IFERROR(S55*R55, 0)</f>
        <v/>
      </c>
      <c r="U55" s="360" t="n"/>
      <c r="V55" s="362" t="n"/>
      <c r="W55" s="363" t="n"/>
      <c r="X55" s="358" t="n"/>
      <c r="Y55" s="362" t="n"/>
      <c r="Z55" s="364" t="n"/>
    </row>
    <row r="56" ht="16.5" customHeight="1" s="223">
      <c r="A56" s="369" t="n"/>
      <c r="B56" s="371" t="n"/>
      <c r="C56" s="351" t="n"/>
      <c r="D56" s="351" t="n"/>
      <c r="E56" s="364" t="n"/>
      <c r="F56" s="367" t="n"/>
      <c r="G56" s="364" t="n"/>
      <c r="H56" s="358" t="n">
        <v>1</v>
      </c>
      <c r="I56" s="358" t="inlineStr"/>
      <c r="J56" s="358" t="inlineStr"/>
      <c r="K56" s="356" t="inlineStr">
        <is>
          <t>10IN GREEN TEA MF MATTRESS TX</t>
        </is>
      </c>
      <c r="L56" s="357" t="inlineStr">
        <is>
          <t>OLC-FMS-1000TXL-IN</t>
        </is>
      </c>
      <c r="M56" s="358" t="inlineStr">
        <is>
          <t>7MO3ZAUN</t>
        </is>
      </c>
      <c r="N56" s="356" t="inlineStr">
        <is>
          <t>F.MFM.10X.003.BD</t>
        </is>
      </c>
      <c r="O56" s="353" t="n"/>
      <c r="P56" s="353" t="n"/>
      <c r="Q56" s="359">
        <f>IFERROR(R56/H56, 0)</f>
        <v/>
      </c>
      <c r="R56" s="354" t="n">
        <v>57.35</v>
      </c>
      <c r="S56" s="355" t="n">
        <v>18056</v>
      </c>
      <c r="T56" s="355">
        <f>IFERROR(S56*R56, 0)</f>
        <v/>
      </c>
      <c r="U56" s="360" t="n"/>
      <c r="V56" s="362" t="n"/>
      <c r="W56" s="363" t="n"/>
      <c r="X56" s="358" t="n"/>
      <c r="Y56" s="362" t="n"/>
      <c r="Z56" s="364" t="n"/>
    </row>
    <row r="57" ht="16.5" customHeight="1" s="223">
      <c r="A57" s="369" t="n"/>
      <c r="B57" s="371" t="n"/>
      <c r="C57" s="351" t="n"/>
      <c r="D57" s="351" t="n"/>
      <c r="E57" s="364" t="n"/>
      <c r="F57" s="367" t="n"/>
      <c r="G57" s="364" t="n"/>
      <c r="H57" s="358" t="n">
        <v>152</v>
      </c>
      <c r="I57" s="358" t="inlineStr"/>
      <c r="J57" s="358" t="inlineStr"/>
      <c r="K57" s="356" t="inlineStr">
        <is>
          <t>12IN GEL FOAM MATTRESS TW</t>
        </is>
      </c>
      <c r="L57" s="357" t="inlineStr">
        <is>
          <t>GFM-12T</t>
        </is>
      </c>
      <c r="M57" s="358" t="inlineStr">
        <is>
          <t>8Y39N9EN</t>
        </is>
      </c>
      <c r="N57" s="356" t="inlineStr">
        <is>
          <t>F.MFG.12T.000.BD</t>
        </is>
      </c>
      <c r="O57" s="353" t="n"/>
      <c r="P57" s="353" t="n"/>
      <c r="Q57" s="359">
        <f>IFERROR(R57/H57, 0)</f>
        <v/>
      </c>
      <c r="R57" s="354" t="n">
        <v>7864.48</v>
      </c>
      <c r="S57" s="355" t="n">
        <v>18056</v>
      </c>
      <c r="T57" s="355">
        <f>IFERROR(S57*R57, 0)</f>
        <v/>
      </c>
      <c r="U57" s="360" t="n"/>
      <c r="V57" s="362" t="n"/>
      <c r="W57" s="363" t="n"/>
      <c r="X57" s="358" t="n"/>
      <c r="Y57" s="362" t="n"/>
      <c r="Z57" s="364" t="n"/>
    </row>
    <row r="58" ht="16.5" customHeight="1" s="223">
      <c r="A58" s="369" t="n"/>
      <c r="B58" s="371" t="n"/>
      <c r="C58" s="351" t="n"/>
      <c r="D58" s="351" t="n"/>
      <c r="E58" s="364" t="n"/>
      <c r="F58" s="367" t="n"/>
      <c r="G58" s="364" t="n"/>
      <c r="H58" s="358" t="n">
        <v>390</v>
      </c>
      <c r="I58" s="358" t="inlineStr"/>
      <c r="J58" s="358" t="inlineStr"/>
      <c r="K58" s="356" t="inlineStr">
        <is>
          <t>3IN CV LAVENDER MF TOPPER FL</t>
        </is>
      </c>
      <c r="L58" s="357" t="inlineStr">
        <is>
          <t>ECMF-03FL-IN</t>
        </is>
      </c>
      <c r="M58" s="358" t="inlineStr">
        <is>
          <t>5FFUUH8B</t>
        </is>
      </c>
      <c r="N58" s="356" t="inlineStr">
        <is>
          <t>F.TMT.03F.010.BD</t>
        </is>
      </c>
      <c r="O58" s="353" t="n"/>
      <c r="P58" s="353" t="n"/>
      <c r="Q58" s="359">
        <f>IFERROR(R58/H58, 0)</f>
        <v/>
      </c>
      <c r="R58" s="354" t="n">
        <v>5697.9</v>
      </c>
      <c r="S58" s="355" t="n">
        <v>18056</v>
      </c>
      <c r="T58" s="355">
        <f>IFERROR(S58*R58, 0)</f>
        <v/>
      </c>
      <c r="U58" s="360" t="n"/>
      <c r="V58" s="362" t="n"/>
      <c r="W58" s="363" t="n"/>
      <c r="X58" s="358" t="n"/>
      <c r="Y58" s="362" t="n"/>
      <c r="Z58" s="364" t="n"/>
    </row>
    <row r="59" ht="16.5" customHeight="1" s="223">
      <c r="A59" s="369" t="n"/>
      <c r="B59" s="371" t="n"/>
      <c r="C59" s="351" t="n"/>
      <c r="D59" s="351" t="n"/>
      <c r="E59" s="364" t="n"/>
      <c r="F59" s="367" t="n"/>
      <c r="G59" s="364" t="n"/>
      <c r="H59" s="358" t="n">
        <v>874</v>
      </c>
      <c r="I59" s="358" t="inlineStr"/>
      <c r="J59" s="358" t="inlineStr"/>
      <c r="K59" s="356" t="inlineStr">
        <is>
          <t>3IN CV LAVENDER MF TOPPER TW</t>
        </is>
      </c>
      <c r="L59" s="357" t="inlineStr">
        <is>
          <t>ECMF-03TL-IN</t>
        </is>
      </c>
      <c r="M59" s="358" t="inlineStr">
        <is>
          <t>5FFUUH8B</t>
        </is>
      </c>
      <c r="N59" s="356" t="inlineStr">
        <is>
          <t>F.TMT.03T.010.BD</t>
        </is>
      </c>
      <c r="O59" s="353" t="n"/>
      <c r="P59" s="353" t="n"/>
      <c r="Q59" s="359">
        <f>IFERROR(R59/H59, 0)</f>
        <v/>
      </c>
      <c r="R59" s="354" t="n">
        <v>9657.700000000001</v>
      </c>
      <c r="S59" s="355" t="n">
        <v>18056</v>
      </c>
      <c r="T59" s="355">
        <f>IFERROR(S59*R59, 0)</f>
        <v/>
      </c>
      <c r="U59" s="360" t="n"/>
      <c r="V59" s="362" t="n"/>
      <c r="W59" s="363" t="n"/>
      <c r="X59" s="358" t="n"/>
      <c r="Y59" s="362" t="n"/>
      <c r="Z59" s="364" t="n"/>
    </row>
    <row r="60" ht="16.5" customHeight="1" s="223">
      <c r="A60" s="369" t="n"/>
      <c r="B60" s="371" t="n"/>
      <c r="C60" s="351" t="n"/>
      <c r="D60" s="351" t="n"/>
      <c r="E60" s="364" t="n"/>
      <c r="F60" s="367" t="n"/>
      <c r="G60" s="364" t="n"/>
      <c r="H60" s="358" t="n">
        <v>455</v>
      </c>
      <c r="I60" s="358" t="inlineStr"/>
      <c r="J60" s="358" t="inlineStr"/>
      <c r="K60" s="356" t="inlineStr">
        <is>
          <t>3IN CV LAVENDER MF TOPPER FL</t>
        </is>
      </c>
      <c r="L60" s="357" t="inlineStr">
        <is>
          <t>ECMF-03FL-IN</t>
        </is>
      </c>
      <c r="M60" s="358" t="inlineStr">
        <is>
          <t>77K91MJU</t>
        </is>
      </c>
      <c r="N60" s="356" t="inlineStr">
        <is>
          <t>F.TMT.03F.010.BD</t>
        </is>
      </c>
      <c r="O60" s="353" t="n"/>
      <c r="P60" s="353" t="n"/>
      <c r="Q60" s="359">
        <f>IFERROR(R60/H60, 0)</f>
        <v/>
      </c>
      <c r="R60" s="354" t="n">
        <v>6647.55</v>
      </c>
      <c r="S60" s="355" t="n">
        <v>18056</v>
      </c>
      <c r="T60" s="355">
        <f>IFERROR(S60*R60, 0)</f>
        <v/>
      </c>
      <c r="U60" s="360" t="n"/>
      <c r="V60" s="362" t="n"/>
      <c r="W60" s="363" t="n"/>
      <c r="X60" s="358" t="n"/>
      <c r="Y60" s="362" t="n"/>
      <c r="Z60" s="364" t="n"/>
    </row>
    <row r="61" ht="16.5" customHeight="1" s="223">
      <c r="A61" s="369" t="n"/>
      <c r="B61" s="371" t="n"/>
      <c r="C61" s="351" t="n"/>
      <c r="D61" s="351" t="n"/>
      <c r="E61" s="364" t="n"/>
      <c r="F61" s="367" t="n"/>
      <c r="G61" s="364" t="n"/>
      <c r="H61" s="358" t="n">
        <v>196</v>
      </c>
      <c r="I61" s="358" t="inlineStr"/>
      <c r="J61" s="358" t="inlineStr"/>
      <c r="K61" s="356" t="inlineStr">
        <is>
          <t>3IN CV LAVENDER MF TOPPER QN</t>
        </is>
      </c>
      <c r="L61" s="357" t="inlineStr">
        <is>
          <t>ECMF-03QL-IN</t>
        </is>
      </c>
      <c r="M61" s="358" t="inlineStr">
        <is>
          <t>77K91MJU</t>
        </is>
      </c>
      <c r="N61" s="356" t="inlineStr">
        <is>
          <t>F.TMT.03Q.010.BD</t>
        </is>
      </c>
      <c r="O61" s="353" t="n"/>
      <c r="P61" s="353" t="n"/>
      <c r="Q61" s="359">
        <f>IFERROR(R61/H61, 0)</f>
        <v/>
      </c>
      <c r="R61" s="354" t="n">
        <v>3661.28</v>
      </c>
      <c r="S61" s="355" t="n">
        <v>18056</v>
      </c>
      <c r="T61" s="355">
        <f>IFERROR(S61*R61, 0)</f>
        <v/>
      </c>
      <c r="U61" s="360" t="n"/>
      <c r="V61" s="362" t="n"/>
      <c r="W61" s="363" t="n"/>
      <c r="X61" s="358" t="n"/>
      <c r="Y61" s="362" t="n"/>
      <c r="Z61" s="364" t="n"/>
    </row>
    <row r="62" ht="16.5" customHeight="1" s="223">
      <c r="A62" s="369" t="n"/>
      <c r="B62" s="371" t="n"/>
      <c r="C62" s="351" t="n"/>
      <c r="D62" s="351" t="n"/>
      <c r="E62" s="364" t="n"/>
      <c r="F62" s="367" t="n"/>
      <c r="G62" s="364" t="n"/>
      <c r="H62" s="358" t="n">
        <v>500</v>
      </c>
      <c r="I62" s="358" t="inlineStr"/>
      <c r="J62" s="358" t="inlineStr"/>
      <c r="K62" s="356" t="inlineStr">
        <is>
          <t>3IN CV LAVENDER MF TOPPER TW</t>
        </is>
      </c>
      <c r="L62" s="357" t="inlineStr">
        <is>
          <t>ECMF-03TL-IN</t>
        </is>
      </c>
      <c r="M62" s="358" t="inlineStr">
        <is>
          <t>77K91MJU</t>
        </is>
      </c>
      <c r="N62" s="356" t="inlineStr">
        <is>
          <t>F.TMT.03T.010.BD</t>
        </is>
      </c>
      <c r="O62" s="353" t="n"/>
      <c r="P62" s="353" t="n"/>
      <c r="Q62" s="359">
        <f>IFERROR(R62/H62, 0)</f>
        <v/>
      </c>
      <c r="R62" s="354" t="n">
        <v>5525</v>
      </c>
      <c r="S62" s="355" t="n">
        <v>18056</v>
      </c>
      <c r="T62" s="355">
        <f>IFERROR(S62*R62, 0)</f>
        <v/>
      </c>
      <c r="U62" s="360" t="n"/>
      <c r="V62" s="362" t="n"/>
      <c r="W62" s="363" t="n"/>
      <c r="X62" s="358" t="n"/>
      <c r="Y62" s="362" t="n"/>
      <c r="Z62" s="364" t="n"/>
    </row>
    <row r="63" ht="16.5" customHeight="1" s="223">
      <c r="A63" s="369" t="n"/>
      <c r="B63" s="371" t="n"/>
      <c r="C63" s="351" t="n"/>
      <c r="D63" s="351" t="n"/>
      <c r="E63" s="364" t="n"/>
      <c r="F63" s="367" t="n"/>
      <c r="G63" s="364" t="n"/>
      <c r="H63" s="358" t="n">
        <v>8</v>
      </c>
      <c r="I63" s="358" t="inlineStr"/>
      <c r="J63" s="358" t="inlineStr"/>
      <c r="K63" s="356" t="inlineStr">
        <is>
          <t>3IN CV LAVENDER MF TOPPER TX</t>
        </is>
      </c>
      <c r="L63" s="357" t="inlineStr">
        <is>
          <t>ECMF-03TXLL-IN</t>
        </is>
      </c>
      <c r="M63" s="358" t="inlineStr">
        <is>
          <t>77K91MJU</t>
        </is>
      </c>
      <c r="N63" s="356" t="inlineStr">
        <is>
          <t>F.TMT.03X.010.BD</t>
        </is>
      </c>
      <c r="O63" s="353" t="n"/>
      <c r="P63" s="353" t="n"/>
      <c r="Q63" s="359">
        <f>IFERROR(R63/H63, 0)</f>
        <v/>
      </c>
      <c r="R63" s="354" t="n">
        <v>96.16</v>
      </c>
      <c r="S63" s="355" t="n">
        <v>18056</v>
      </c>
      <c r="T63" s="355">
        <f>IFERROR(S63*R63, 0)</f>
        <v/>
      </c>
      <c r="U63" s="360" t="n"/>
      <c r="V63" s="362" t="n"/>
      <c r="W63" s="363" t="n"/>
      <c r="X63" s="358" t="n"/>
      <c r="Y63" s="362" t="n"/>
      <c r="Z63" s="364" t="n"/>
    </row>
    <row r="64" ht="16.5" customHeight="1" s="223">
      <c r="A64" s="369" t="n"/>
      <c r="B64" s="371" t="n"/>
      <c r="C64" s="351" t="n"/>
      <c r="D64" s="351" t="n"/>
      <c r="E64" s="364" t="n"/>
      <c r="F64" s="367" t="n"/>
      <c r="G64" s="364" t="n"/>
      <c r="H64" s="358" t="n">
        <v>31</v>
      </c>
      <c r="I64" s="358" t="inlineStr"/>
      <c r="J64" s="358" t="inlineStr"/>
      <c r="K64" s="356" t="inlineStr">
        <is>
          <t>4IN CV LAVENDER MF TOPPER TW</t>
        </is>
      </c>
      <c r="L64" s="357" t="inlineStr">
        <is>
          <t>ECMF-LV4T-IN</t>
        </is>
      </c>
      <c r="M64" s="358" t="inlineStr">
        <is>
          <t>77K91MJU</t>
        </is>
      </c>
      <c r="N64" s="356" t="inlineStr">
        <is>
          <t>F.TMT.04T.012.BD</t>
        </is>
      </c>
      <c r="O64" s="353" t="n"/>
      <c r="P64" s="353" t="n"/>
      <c r="Q64" s="359">
        <f>IFERROR(R64/H64, 0)</f>
        <v/>
      </c>
      <c r="R64" s="354" t="n">
        <v>438.34</v>
      </c>
      <c r="S64" s="355" t="n">
        <v>18056</v>
      </c>
      <c r="T64" s="355">
        <f>IFERROR(S64*R64, 0)</f>
        <v/>
      </c>
      <c r="U64" s="360" t="n"/>
      <c r="V64" s="362" t="n"/>
      <c r="W64" s="363" t="n"/>
      <c r="X64" s="358" t="n"/>
      <c r="Y64" s="362" t="n"/>
      <c r="Z64" s="364" t="n"/>
    </row>
    <row r="65" ht="16.5" customHeight="1" s="223">
      <c r="A65" s="369" t="n"/>
      <c r="B65" s="371" t="n"/>
      <c r="C65" s="351" t="n"/>
      <c r="D65" s="351" t="n"/>
      <c r="E65" s="364" t="n"/>
      <c r="F65" s="367" t="n"/>
      <c r="G65" s="364" t="n"/>
      <c r="H65" s="358" t="n">
        <v>284</v>
      </c>
      <c r="I65" s="358" t="inlineStr"/>
      <c r="J65" s="358" t="inlineStr"/>
      <c r="K65" s="356" t="inlineStr">
        <is>
          <t>3IN CV LAVENDER MF TOPPER FL</t>
        </is>
      </c>
      <c r="L65" s="357" t="inlineStr">
        <is>
          <t>ECMF-03FL-IN</t>
        </is>
      </c>
      <c r="M65" s="358" t="inlineStr">
        <is>
          <t>7D4ITY4N</t>
        </is>
      </c>
      <c r="N65" s="356" t="inlineStr">
        <is>
          <t>F.TMT.03F.010.BD</t>
        </is>
      </c>
      <c r="O65" s="353" t="n"/>
      <c r="P65" s="353" t="n"/>
      <c r="Q65" s="359">
        <f>IFERROR(R65/H65, 0)</f>
        <v/>
      </c>
      <c r="R65" s="354" t="n">
        <v>4149.24</v>
      </c>
      <c r="S65" s="355" t="n">
        <v>18056</v>
      </c>
      <c r="T65" s="355">
        <f>IFERROR(S65*R65, 0)</f>
        <v/>
      </c>
      <c r="U65" s="360" t="n"/>
      <c r="V65" s="362" t="n"/>
      <c r="W65" s="363" t="n"/>
      <c r="X65" s="358" t="n"/>
      <c r="Y65" s="362" t="n"/>
      <c r="Z65" s="364" t="n"/>
    </row>
    <row r="66" ht="16.5" customHeight="1" s="223">
      <c r="A66" s="369" t="n"/>
      <c r="B66" s="371" t="n"/>
      <c r="C66" s="351" t="n"/>
      <c r="D66" s="351" t="n"/>
      <c r="E66" s="364" t="n"/>
      <c r="F66" s="367" t="n"/>
      <c r="G66" s="364" t="n"/>
      <c r="H66" s="358" t="n">
        <v>337</v>
      </c>
      <c r="I66" s="358" t="inlineStr"/>
      <c r="J66" s="358" t="inlineStr"/>
      <c r="K66" s="356" t="inlineStr">
        <is>
          <t>3IN CV LAVENDER MF TOPPER QN</t>
        </is>
      </c>
      <c r="L66" s="357" t="inlineStr">
        <is>
          <t>ECMF-03QL-IN</t>
        </is>
      </c>
      <c r="M66" s="358" t="inlineStr">
        <is>
          <t>7D4ITY4N</t>
        </is>
      </c>
      <c r="N66" s="356" t="inlineStr">
        <is>
          <t>F.TMT.03Q.010.BD</t>
        </is>
      </c>
      <c r="O66" s="353" t="n"/>
      <c r="P66" s="353" t="n"/>
      <c r="Q66" s="359">
        <f>IFERROR(R66/H66, 0)</f>
        <v/>
      </c>
      <c r="R66" s="354" t="n">
        <v>6295.16</v>
      </c>
      <c r="S66" s="355" t="n">
        <v>18056</v>
      </c>
      <c r="T66" s="355">
        <f>IFERROR(S66*R66, 0)</f>
        <v/>
      </c>
      <c r="U66" s="360" t="n"/>
      <c r="V66" s="362" t="n"/>
      <c r="W66" s="363" t="n"/>
      <c r="X66" s="358" t="n"/>
      <c r="Y66" s="362" t="n"/>
      <c r="Z66" s="364" t="n"/>
    </row>
    <row r="67" ht="16.5" customHeight="1" s="223">
      <c r="A67" s="369" t="n"/>
      <c r="B67" s="371" t="n"/>
      <c r="C67" s="351" t="n"/>
      <c r="D67" s="351" t="n"/>
      <c r="E67" s="364" t="n"/>
      <c r="F67" s="367" t="n"/>
      <c r="G67" s="364" t="n"/>
      <c r="H67" s="358" t="n">
        <v>715</v>
      </c>
      <c r="I67" s="358" t="inlineStr"/>
      <c r="J67" s="358" t="inlineStr"/>
      <c r="K67" s="356" t="inlineStr">
        <is>
          <t>3IN CV LAVENDER MF TOPPER TW</t>
        </is>
      </c>
      <c r="L67" s="357" t="inlineStr">
        <is>
          <t>ECMF-03TL-IN</t>
        </is>
      </c>
      <c r="M67" s="358" t="inlineStr">
        <is>
          <t>7D4ITY4N</t>
        </is>
      </c>
      <c r="N67" s="356" t="inlineStr">
        <is>
          <t>F.TMT.03T.010.BD</t>
        </is>
      </c>
      <c r="O67" s="353" t="n"/>
      <c r="P67" s="353" t="n"/>
      <c r="Q67" s="359">
        <f>IFERROR(R67/H67, 0)</f>
        <v/>
      </c>
      <c r="R67" s="354" t="n">
        <v>7900.75</v>
      </c>
      <c r="S67" s="355" t="n">
        <v>18056</v>
      </c>
      <c r="T67" s="355">
        <f>IFERROR(S67*R67, 0)</f>
        <v/>
      </c>
      <c r="U67" s="360" t="n"/>
      <c r="V67" s="362" t="n"/>
      <c r="W67" s="363" t="n"/>
      <c r="X67" s="358" t="n"/>
      <c r="Y67" s="362" t="n"/>
      <c r="Z67" s="364" t="n"/>
    </row>
    <row r="68" ht="16.5" customHeight="1" s="223">
      <c r="A68" s="369" t="n"/>
      <c r="B68" s="371" t="n"/>
      <c r="C68" s="351" t="n"/>
      <c r="D68" s="351" t="n"/>
      <c r="E68" s="364" t="n"/>
      <c r="F68" s="367" t="n"/>
      <c r="G68" s="364" t="n"/>
      <c r="H68" s="358" t="n">
        <v>37</v>
      </c>
      <c r="I68" s="358" t="inlineStr"/>
      <c r="J68" s="358" t="inlineStr"/>
      <c r="K68" s="356" t="inlineStr">
        <is>
          <t>3IN CV LAVENDER MF TOPPER TX</t>
        </is>
      </c>
      <c r="L68" s="357" t="inlineStr">
        <is>
          <t>ECMF-03TXLL-IN</t>
        </is>
      </c>
      <c r="M68" s="358" t="inlineStr">
        <is>
          <t>7D4ITY4N</t>
        </is>
      </c>
      <c r="N68" s="356" t="inlineStr">
        <is>
          <t>F.TMT.03X.010.BD</t>
        </is>
      </c>
      <c r="O68" s="353" t="n"/>
      <c r="P68" s="353" t="n"/>
      <c r="Q68" s="359">
        <f>IFERROR(R68/H68, 0)</f>
        <v/>
      </c>
      <c r="R68" s="354" t="n">
        <v>444.74</v>
      </c>
      <c r="S68" s="355" t="n">
        <v>18056</v>
      </c>
      <c r="T68" s="355">
        <f>IFERROR(S68*R68, 0)</f>
        <v/>
      </c>
      <c r="U68" s="360" t="n"/>
      <c r="V68" s="362" t="n"/>
      <c r="W68" s="363" t="n"/>
      <c r="X68" s="358" t="n"/>
      <c r="Y68" s="362" t="n"/>
      <c r="Z68" s="364" t="n"/>
    </row>
    <row r="69" ht="16.5" customHeight="1" s="223">
      <c r="A69" s="369" t="n"/>
      <c r="B69" s="371" t="n"/>
      <c r="C69" s="351" t="n"/>
      <c r="D69" s="351" t="n"/>
      <c r="E69" s="364" t="n"/>
      <c r="F69" s="367" t="n"/>
      <c r="G69" s="364" t="n"/>
      <c r="H69" s="358" t="n">
        <v>3</v>
      </c>
      <c r="I69" s="358" t="inlineStr"/>
      <c r="J69" s="358" t="inlineStr"/>
      <c r="K69" s="356" t="inlineStr">
        <is>
          <t>2IN CV LAVENDER MF TOPPER QN</t>
        </is>
      </c>
      <c r="L69" s="357" t="inlineStr">
        <is>
          <t>ECMF-LV2Q-IN</t>
        </is>
      </c>
      <c r="M69" s="358" t="inlineStr">
        <is>
          <t>7D4ITY4N</t>
        </is>
      </c>
      <c r="N69" s="356" t="inlineStr">
        <is>
          <t>F.TMT.02Q.008.BD</t>
        </is>
      </c>
      <c r="O69" s="353" t="n"/>
      <c r="P69" s="353" t="n"/>
      <c r="Q69" s="359">
        <f>IFERROR(R69/H69, 0)</f>
        <v/>
      </c>
      <c r="R69" s="354" t="n">
        <v>36.39</v>
      </c>
      <c r="S69" s="355" t="n">
        <v>18056</v>
      </c>
      <c r="T69" s="355">
        <f>IFERROR(S69*R69, 0)</f>
        <v/>
      </c>
      <c r="U69" s="360" t="n"/>
      <c r="V69" s="362" t="n"/>
      <c r="W69" s="363" t="n"/>
      <c r="X69" s="358" t="n"/>
      <c r="Y69" s="362" t="n"/>
      <c r="Z69" s="364" t="n"/>
    </row>
    <row r="70" ht="16.5" customHeight="1" s="223">
      <c r="A70" s="369" t="n"/>
      <c r="B70" s="371" t="n"/>
      <c r="C70" s="351" t="n"/>
      <c r="D70" s="351" t="n"/>
      <c r="E70" s="364" t="n"/>
      <c r="F70" s="367" t="n"/>
      <c r="G70" s="364" t="n"/>
      <c r="H70" s="358" t="n">
        <v>86</v>
      </c>
      <c r="I70" s="358" t="inlineStr"/>
      <c r="J70" s="358" t="inlineStr"/>
      <c r="K70" s="356" t="inlineStr">
        <is>
          <t>4IN CV LAVENDER MF TOPPER TW</t>
        </is>
      </c>
      <c r="L70" s="357" t="inlineStr">
        <is>
          <t>ECMF-LV4T-IN</t>
        </is>
      </c>
      <c r="M70" s="358" t="inlineStr">
        <is>
          <t>7D4ITY4N</t>
        </is>
      </c>
      <c r="N70" s="356" t="inlineStr">
        <is>
          <t>F.TMT.04T.012.BD</t>
        </is>
      </c>
      <c r="O70" s="353" t="n"/>
      <c r="P70" s="353" t="n"/>
      <c r="Q70" s="359">
        <f>IFERROR(R70/H70, 0)</f>
        <v/>
      </c>
      <c r="R70" s="354" t="n">
        <v>1216.04</v>
      </c>
      <c r="S70" s="355" t="n">
        <v>18056</v>
      </c>
      <c r="T70" s="355">
        <f>IFERROR(S70*R70, 0)</f>
        <v/>
      </c>
      <c r="U70" s="360" t="n"/>
      <c r="V70" s="362" t="n"/>
      <c r="W70" s="363" t="n"/>
      <c r="X70" s="358" t="n"/>
      <c r="Y70" s="362" t="n"/>
      <c r="Z70" s="364" t="n"/>
    </row>
    <row r="71" ht="16.5" customHeight="1" s="223">
      <c r="A71" s="369" t="n"/>
      <c r="B71" s="371" t="n"/>
      <c r="C71" s="351" t="n"/>
      <c r="D71" s="351" t="n"/>
      <c r="E71" s="364" t="n"/>
      <c r="F71" s="367" t="n"/>
      <c r="G71" s="364" t="n"/>
      <c r="H71" s="358" t="n">
        <v>455</v>
      </c>
      <c r="I71" s="358" t="inlineStr"/>
      <c r="J71" s="358" t="inlineStr"/>
      <c r="K71" s="356" t="inlineStr">
        <is>
          <t>3IN CV LAVENDER MF TOPPER QN</t>
        </is>
      </c>
      <c r="L71" s="357" t="inlineStr">
        <is>
          <t>ECMF-03QL-IN</t>
        </is>
      </c>
      <c r="M71" s="358" t="inlineStr">
        <is>
          <t>7MO3ZAUN</t>
        </is>
      </c>
      <c r="N71" s="356" t="inlineStr">
        <is>
          <t>F.TMT.03Q.010.BD</t>
        </is>
      </c>
      <c r="O71" s="353" t="n"/>
      <c r="P71" s="353" t="n"/>
      <c r="Q71" s="359">
        <f>IFERROR(R71/H71, 0)</f>
        <v/>
      </c>
      <c r="R71" s="354" t="n">
        <v>8499.4</v>
      </c>
      <c r="S71" s="355" t="n">
        <v>18056</v>
      </c>
      <c r="T71" s="355">
        <f>IFERROR(S71*R71, 0)</f>
        <v/>
      </c>
      <c r="U71" s="360" t="n"/>
      <c r="V71" s="362" t="n"/>
      <c r="W71" s="363" t="n"/>
      <c r="X71" s="358" t="n"/>
      <c r="Y71" s="362" t="n"/>
      <c r="Z71" s="364" t="n"/>
    </row>
    <row r="72" ht="16.5" customHeight="1" s="223">
      <c r="A72" s="369" t="n"/>
      <c r="B72" s="371" t="n"/>
      <c r="C72" s="351" t="n"/>
      <c r="D72" s="351" t="n"/>
      <c r="E72" s="364" t="n"/>
      <c r="F72" s="367" t="n"/>
      <c r="G72" s="364" t="n"/>
      <c r="H72" s="358" t="n">
        <v>1490</v>
      </c>
      <c r="I72" s="358" t="inlineStr"/>
      <c r="J72" s="358" t="inlineStr"/>
      <c r="K72" s="356" t="inlineStr">
        <is>
          <t>3IN CV LAVENDER MF TOPPER TW</t>
        </is>
      </c>
      <c r="L72" s="357" t="inlineStr">
        <is>
          <t>ECMF-03TL-IN</t>
        </is>
      </c>
      <c r="M72" s="358" t="inlineStr">
        <is>
          <t>7MO3ZAUN</t>
        </is>
      </c>
      <c r="N72" s="356" t="inlineStr">
        <is>
          <t>F.TMT.03T.010.BD</t>
        </is>
      </c>
      <c r="O72" s="353" t="n"/>
      <c r="P72" s="353" t="n"/>
      <c r="Q72" s="359">
        <f>IFERROR(R72/H72, 0)</f>
        <v/>
      </c>
      <c r="R72" s="354" t="n">
        <v>16464.5</v>
      </c>
      <c r="S72" s="355" t="n">
        <v>18056</v>
      </c>
      <c r="T72" s="355">
        <f>IFERROR(S72*R72, 0)</f>
        <v/>
      </c>
      <c r="U72" s="360" t="n"/>
      <c r="V72" s="362" t="n"/>
      <c r="W72" s="363" t="n"/>
      <c r="X72" s="358" t="n"/>
      <c r="Y72" s="362" t="n"/>
      <c r="Z72" s="364" t="n"/>
    </row>
    <row r="73" ht="16.5" customHeight="1" s="223">
      <c r="A73" s="369" t="n"/>
      <c r="B73" s="371" t="n"/>
      <c r="C73" s="351" t="n"/>
      <c r="D73" s="351" t="n"/>
      <c r="E73" s="364" t="n"/>
      <c r="F73" s="367" t="n"/>
      <c r="G73" s="364" t="n"/>
      <c r="H73" s="358" t="n">
        <v>35</v>
      </c>
      <c r="I73" s="358" t="inlineStr"/>
      <c r="J73" s="358" t="inlineStr"/>
      <c r="K73" s="356" t="inlineStr">
        <is>
          <t>3IN CV LAVENDER MF TOPPER TX</t>
        </is>
      </c>
      <c r="L73" s="357" t="inlineStr">
        <is>
          <t>ECMF-03TXLL-IN</t>
        </is>
      </c>
      <c r="M73" s="358" t="inlineStr">
        <is>
          <t>7MO3ZAUN</t>
        </is>
      </c>
      <c r="N73" s="356" t="inlineStr">
        <is>
          <t>F.TMT.03X.010.BD</t>
        </is>
      </c>
      <c r="O73" s="353" t="n"/>
      <c r="P73" s="353" t="n"/>
      <c r="Q73" s="359">
        <f>IFERROR(R73/H73, 0)</f>
        <v/>
      </c>
      <c r="R73" s="354" t="n">
        <v>420.7</v>
      </c>
      <c r="S73" s="355" t="n">
        <v>18056</v>
      </c>
      <c r="T73" s="355">
        <f>IFERROR(S73*R73, 0)</f>
        <v/>
      </c>
      <c r="U73" s="360" t="n"/>
      <c r="V73" s="362" t="n"/>
      <c r="W73" s="363" t="n"/>
      <c r="X73" s="358" t="n"/>
      <c r="Y73" s="362" t="n"/>
      <c r="Z73" s="364" t="n"/>
    </row>
    <row r="74" ht="16.5" customHeight="1" s="223">
      <c r="A74" s="369" t="n"/>
      <c r="B74" s="371" t="n"/>
      <c r="C74" s="351" t="n"/>
      <c r="D74" s="351" t="n"/>
      <c r="E74" s="364" t="n"/>
      <c r="F74" s="367" t="n"/>
      <c r="G74" s="364" t="n"/>
      <c r="H74" s="358" t="n">
        <v>119</v>
      </c>
      <c r="I74" s="358" t="inlineStr"/>
      <c r="J74" s="358" t="inlineStr"/>
      <c r="K74" s="356" t="inlineStr">
        <is>
          <t>4IN CV LAVENDER MF TOPPER TW</t>
        </is>
      </c>
      <c r="L74" s="357" t="inlineStr">
        <is>
          <t>ECMF-LV4T-IN</t>
        </is>
      </c>
      <c r="M74" s="358" t="inlineStr">
        <is>
          <t>7MO3ZAUN</t>
        </is>
      </c>
      <c r="N74" s="356" t="inlineStr">
        <is>
          <t>F.TMT.04T.012.BD</t>
        </is>
      </c>
      <c r="O74" s="353" t="n"/>
      <c r="P74" s="353" t="n"/>
      <c r="Q74" s="359">
        <f>IFERROR(R74/H74, 0)</f>
        <v/>
      </c>
      <c r="R74" s="354" t="n">
        <v>1682.66</v>
      </c>
      <c r="S74" s="355" t="n">
        <v>18056</v>
      </c>
      <c r="T74" s="355">
        <f>IFERROR(S74*R74, 0)</f>
        <v/>
      </c>
      <c r="U74" s="360" t="n"/>
      <c r="V74" s="362" t="n"/>
      <c r="W74" s="363" t="n"/>
      <c r="X74" s="358" t="n"/>
      <c r="Y74" s="362" t="n"/>
      <c r="Z74" s="364" t="n"/>
    </row>
    <row r="75" ht="16.5" customHeight="1" s="223">
      <c r="A75" s="369" t="n"/>
      <c r="B75" s="371" t="n"/>
      <c r="C75" s="351" t="n"/>
      <c r="D75" s="351" t="n"/>
      <c r="E75" s="364" t="n"/>
      <c r="F75" s="367" t="n"/>
      <c r="G75" s="364" t="n"/>
      <c r="H75" s="358" t="n">
        <v>470</v>
      </c>
      <c r="I75" s="358" t="inlineStr"/>
      <c r="J75" s="358" t="inlineStr"/>
      <c r="K75" s="356" t="inlineStr">
        <is>
          <t>3IN CV LAVENDER MF TOPPER QN</t>
        </is>
      </c>
      <c r="L75" s="357" t="inlineStr">
        <is>
          <t>ECMF-03QL-IN</t>
        </is>
      </c>
      <c r="M75" s="358" t="inlineStr">
        <is>
          <t>8Y39N9EN</t>
        </is>
      </c>
      <c r="N75" s="356" t="inlineStr">
        <is>
          <t>F.TMT.03Q.010.BD</t>
        </is>
      </c>
      <c r="O75" s="353" t="n"/>
      <c r="P75" s="353" t="n"/>
      <c r="Q75" s="359">
        <f>IFERROR(R75/H75, 0)</f>
        <v/>
      </c>
      <c r="R75" s="354" t="n">
        <v>8779.6</v>
      </c>
      <c r="S75" s="355" t="n">
        <v>18056</v>
      </c>
      <c r="T75" s="355">
        <f>IFERROR(S75*R75, 0)</f>
        <v/>
      </c>
      <c r="U75" s="360" t="n"/>
      <c r="V75" s="362" t="n"/>
      <c r="W75" s="363" t="n"/>
      <c r="X75" s="358" t="n"/>
      <c r="Y75" s="362" t="n"/>
      <c r="Z75" s="364" t="n"/>
    </row>
    <row r="76" ht="16.5" customHeight="1" s="223">
      <c r="A76" s="369" t="n"/>
      <c r="B76" s="371" t="n"/>
      <c r="C76" s="351" t="n"/>
      <c r="D76" s="351" t="n"/>
      <c r="E76" s="364" t="n"/>
      <c r="F76" s="367" t="n"/>
      <c r="G76" s="364" t="n"/>
      <c r="H76" s="358" t="n">
        <v>323</v>
      </c>
      <c r="I76" s="358" t="inlineStr"/>
      <c r="J76" s="358" t="inlineStr"/>
      <c r="K76" s="356" t="inlineStr">
        <is>
          <t>3IN CV LAVENDER MF TOPPER TX</t>
        </is>
      </c>
      <c r="L76" s="357" t="inlineStr">
        <is>
          <t>ECMF-03TXLL-IN</t>
        </is>
      </c>
      <c r="M76" s="358" t="inlineStr">
        <is>
          <t>8Y39N9EN</t>
        </is>
      </c>
      <c r="N76" s="356" t="inlineStr">
        <is>
          <t>F.TMT.03X.010.BD</t>
        </is>
      </c>
      <c r="O76" s="353" t="n"/>
      <c r="P76" s="353" t="n"/>
      <c r="Q76" s="359">
        <f>IFERROR(R76/H76, 0)</f>
        <v/>
      </c>
      <c r="R76" s="354" t="n">
        <v>3882.46</v>
      </c>
      <c r="S76" s="355" t="n">
        <v>18056</v>
      </c>
      <c r="T76" s="355">
        <f>IFERROR(S76*R76, 0)</f>
        <v/>
      </c>
      <c r="U76" s="360" t="n"/>
      <c r="V76" s="362" t="n"/>
      <c r="W76" s="363" t="n"/>
      <c r="X76" s="358" t="n"/>
      <c r="Y76" s="362" t="n"/>
      <c r="Z76" s="364" t="n"/>
    </row>
    <row r="77" ht="16.5" customHeight="1" s="223">
      <c r="A77" s="369" t="n"/>
      <c r="B77" s="371" t="n"/>
      <c r="C77" s="351" t="n"/>
      <c r="D77" s="351" t="n"/>
      <c r="E77" s="364" t="n"/>
      <c r="F77" s="367" t="n"/>
      <c r="G77" s="364" t="n"/>
      <c r="H77" s="358" t="n">
        <v>19</v>
      </c>
      <c r="I77" s="358" t="inlineStr"/>
      <c r="J77" s="358" t="inlineStr"/>
      <c r="K77" s="356" t="inlineStr">
        <is>
          <t>2IN CV LAVENDER MF TOPPER QN</t>
        </is>
      </c>
      <c r="L77" s="357" t="inlineStr">
        <is>
          <t>ECMF-LV2Q-IN</t>
        </is>
      </c>
      <c r="M77" s="358" t="inlineStr">
        <is>
          <t>8Y39N9EN</t>
        </is>
      </c>
      <c r="N77" s="356" t="inlineStr">
        <is>
          <t>F.TMT.02Q.008.BD</t>
        </is>
      </c>
      <c r="O77" s="353" t="n"/>
      <c r="P77" s="353" t="n"/>
      <c r="Q77" s="359">
        <f>IFERROR(R77/H77, 0)</f>
        <v/>
      </c>
      <c r="R77" s="354" t="n">
        <v>230.47</v>
      </c>
      <c r="S77" s="355" t="n">
        <v>18056</v>
      </c>
      <c r="T77" s="355">
        <f>IFERROR(S77*R77, 0)</f>
        <v/>
      </c>
      <c r="U77" s="360" t="n"/>
      <c r="V77" s="362" t="n"/>
      <c r="W77" s="363" t="n"/>
      <c r="X77" s="358" t="n"/>
      <c r="Y77" s="362" t="n"/>
      <c r="Z77" s="364" t="n"/>
    </row>
    <row r="78" ht="16.5" customHeight="1" s="223">
      <c r="A78" s="369" t="n"/>
      <c r="B78" s="371" t="n"/>
      <c r="C78" s="351" t="n"/>
      <c r="D78" s="351" t="n"/>
      <c r="E78" s="364" t="n"/>
      <c r="F78" s="367" t="n"/>
      <c r="G78" s="364" t="n"/>
      <c r="H78" s="358" t="n">
        <v>127</v>
      </c>
      <c r="I78" s="358" t="inlineStr"/>
      <c r="J78" s="358" t="inlineStr"/>
      <c r="K78" s="356" t="inlineStr">
        <is>
          <t>4IN CV LAVENDER MF TOPPER TW</t>
        </is>
      </c>
      <c r="L78" s="357" t="inlineStr">
        <is>
          <t>ECMF-LV4T-IN</t>
        </is>
      </c>
      <c r="M78" s="358" t="inlineStr">
        <is>
          <t>8Y39N9EN</t>
        </is>
      </c>
      <c r="N78" s="356" t="inlineStr">
        <is>
          <t>F.TMT.04T.012.BD</t>
        </is>
      </c>
      <c r="O78" s="353" t="n"/>
      <c r="P78" s="353" t="n"/>
      <c r="Q78" s="359">
        <f>IFERROR(R78/H78, 0)</f>
        <v/>
      </c>
      <c r="R78" s="354" t="n">
        <v>1795.78</v>
      </c>
      <c r="S78" s="355" t="n">
        <v>18056</v>
      </c>
      <c r="T78" s="355">
        <f>IFERROR(S78*R78, 0)</f>
        <v/>
      </c>
      <c r="U78" s="360" t="n"/>
      <c r="V78" s="362" t="n"/>
      <c r="W78" s="363" t="n"/>
      <c r="X78" s="358" t="n"/>
      <c r="Y78" s="362" t="n"/>
      <c r="Z78" s="364" t="n"/>
    </row>
    <row r="79" ht="17.1" customHeight="1" s="223">
      <c r="A79" s="372" t="n"/>
      <c r="B79" s="373" t="n"/>
      <c r="C79" s="374" t="n"/>
      <c r="D79" s="374" t="n"/>
      <c r="E79" s="375" t="n"/>
      <c r="F79" s="375" t="n"/>
      <c r="G79" s="375" t="n"/>
      <c r="H79" s="376">
        <f>SUM(H51:H78)</f>
        <v/>
      </c>
      <c r="I79" s="377">
        <f>COUNTA(I51:I78)</f>
        <v/>
      </c>
      <c r="J79" s="376" t="n"/>
      <c r="K79" s="376" t="n"/>
      <c r="L79" s="378" t="n"/>
      <c r="M79" s="376" t="n"/>
      <c r="N79" s="376" t="n"/>
      <c r="O79" s="379">
        <f>SUM(O51:O78)</f>
        <v/>
      </c>
      <c r="P79" s="379">
        <f>SUM(P51:P78)</f>
        <v/>
      </c>
      <c r="Q79" s="380" t="n"/>
      <c r="R79" s="381">
        <f>SUM(R51:R78)</f>
        <v/>
      </c>
      <c r="S79" s="382" t="n"/>
      <c r="T79" s="382">
        <f>SUM(T51:T78)</f>
        <v/>
      </c>
      <c r="U79" s="376" t="n"/>
      <c r="V79" s="383" t="n"/>
      <c r="W79" s="384" t="n"/>
      <c r="X79" s="383" t="n"/>
      <c r="Y79" s="383" t="n"/>
      <c r="Z79" s="383" t="n"/>
    </row>
    <row r="80" ht="16.5" customHeight="1" s="223">
      <c r="A80" s="369" t="n">
        <v>4</v>
      </c>
      <c r="B80" s="371" t="inlineStr">
        <is>
          <t>000030ZIK48020260722000507</t>
        </is>
      </c>
      <c r="C80" s="351" t="n">
        <v>457157</v>
      </c>
      <c r="D80" s="351" t="n">
        <v>457102</v>
      </c>
      <c r="E80" s="364" t="inlineStr">
        <is>
          <t>23/07/2026</t>
        </is>
      </c>
      <c r="F80" s="367" t="inlineStr">
        <is>
          <t>ID2607-7865</t>
        </is>
      </c>
      <c r="G80" s="364" t="inlineStr">
        <is>
          <t>20/07/2026</t>
        </is>
      </c>
      <c r="H80" s="358" t="n">
        <v>520</v>
      </c>
      <c r="I80" s="358" t="inlineStr">
        <is>
          <t>CMAU3883460</t>
        </is>
      </c>
      <c r="J80" s="358" t="inlineStr">
        <is>
          <t>40FT</t>
        </is>
      </c>
      <c r="K80" s="356" t="inlineStr">
        <is>
          <t>8IN GREEN TEA MF MATTRESS FL</t>
        </is>
      </c>
      <c r="L80" s="357" t="inlineStr">
        <is>
          <t>SCF-STR-800F</t>
        </is>
      </c>
      <c r="M80" s="358" t="inlineStr">
        <is>
          <t>0993630656</t>
        </is>
      </c>
      <c r="N80" s="356" t="inlineStr">
        <is>
          <t>F.MFM.08F.000.WS</t>
        </is>
      </c>
      <c r="O80" s="353" t="n">
        <v>10618.4</v>
      </c>
      <c r="P80" s="353" t="n">
        <v>9370.4</v>
      </c>
      <c r="Q80" s="359">
        <f>IFERROR(R80/H80, 0)</f>
        <v/>
      </c>
      <c r="R80" s="354" t="n">
        <v>41480.4</v>
      </c>
      <c r="S80" s="355" t="n">
        <v>18056</v>
      </c>
      <c r="T80" s="355">
        <f>IFERROR(S80*R80, 0)</f>
        <v/>
      </c>
      <c r="U80" s="360" t="inlineStr">
        <is>
          <t>040300/KPPBC</t>
        </is>
      </c>
      <c r="V80" s="362" t="inlineStr">
        <is>
          <t>TG. PRIOK</t>
        </is>
      </c>
      <c r="W80" s="363" t="inlineStr">
        <is>
          <t>MOBILE</t>
        </is>
      </c>
      <c r="X80" s="358" t="inlineStr"/>
      <c r="Y80" s="362" t="inlineStr"/>
      <c r="Z80" s="364" t="inlineStr"/>
    </row>
    <row r="81" ht="17.1" customHeight="1" s="223">
      <c r="A81" s="372" t="n"/>
      <c r="B81" s="373" t="n"/>
      <c r="C81" s="374" t="n"/>
      <c r="D81" s="374" t="n"/>
      <c r="E81" s="375" t="n"/>
      <c r="F81" s="375" t="n"/>
      <c r="G81" s="375" t="n"/>
      <c r="H81" s="376">
        <f>SUM(H80:H80)</f>
        <v/>
      </c>
      <c r="I81" s="377">
        <f>COUNTA(I80:I80)</f>
        <v/>
      </c>
      <c r="J81" s="376" t="n"/>
      <c r="K81" s="376" t="n"/>
      <c r="L81" s="378" t="n"/>
      <c r="M81" s="376" t="n"/>
      <c r="N81" s="376" t="n"/>
      <c r="O81" s="379">
        <f>SUM(O80:O80)</f>
        <v/>
      </c>
      <c r="P81" s="379">
        <f>SUM(P80:P80)</f>
        <v/>
      </c>
      <c r="Q81" s="380" t="n"/>
      <c r="R81" s="381">
        <f>SUM(R80:R80)</f>
        <v/>
      </c>
      <c r="S81" s="382" t="n"/>
      <c r="T81" s="382">
        <f>SUM(T80:T80)</f>
        <v/>
      </c>
      <c r="U81" s="376" t="n"/>
      <c r="V81" s="383" t="n"/>
      <c r="W81" s="384" t="n"/>
      <c r="X81" s="383" t="n"/>
      <c r="Y81" s="383" t="n"/>
      <c r="Z81" s="383" t="n"/>
    </row>
    <row r="82" ht="16.5" customHeight="1" s="223">
      <c r="A82" s="369" t="n">
        <v>5</v>
      </c>
      <c r="B82" s="371" t="inlineStr">
        <is>
          <t>000030ZIK48020260723000508</t>
        </is>
      </c>
      <c r="C82" s="351" t="n">
        <v>458709</v>
      </c>
      <c r="D82" s="351" t="n">
        <v>458650</v>
      </c>
      <c r="E82" s="364" t="inlineStr">
        <is>
          <t>24/07/2026</t>
        </is>
      </c>
      <c r="F82" s="367" t="inlineStr">
        <is>
          <t>ID2607-7881</t>
        </is>
      </c>
      <c r="G82" s="364" t="inlineStr">
        <is>
          <t>21/07/2026</t>
        </is>
      </c>
      <c r="H82" s="358" t="n">
        <v>900</v>
      </c>
      <c r="I82" s="358" t="inlineStr">
        <is>
          <t>TLLU4381447</t>
        </is>
      </c>
      <c r="J82" s="358" t="inlineStr">
        <is>
          <t>40FT</t>
        </is>
      </c>
      <c r="K82" s="356" t="inlineStr">
        <is>
          <t>8IN GREEN TEA MF MATTRESS QN</t>
        </is>
      </c>
      <c r="L82" s="357" t="inlineStr">
        <is>
          <t>SCF-STR-800Q</t>
        </is>
      </c>
      <c r="M82" s="358" t="inlineStr">
        <is>
          <t>0993631021</t>
        </is>
      </c>
      <c r="N82" s="356" t="inlineStr">
        <is>
          <t>F.MFM.08Q.000.WS</t>
        </is>
      </c>
      <c r="O82" s="353" t="n">
        <v>21510</v>
      </c>
      <c r="P82" s="353" t="n">
        <v>19188</v>
      </c>
      <c r="Q82" s="359">
        <f>IFERROR(R82/H82, 0)</f>
        <v/>
      </c>
      <c r="R82" s="354" t="n">
        <v>84573</v>
      </c>
      <c r="S82" s="355" t="n">
        <v>18056</v>
      </c>
      <c r="T82" s="355">
        <f>IFERROR(S82*R82, 0)</f>
        <v/>
      </c>
      <c r="U82" s="360" t="inlineStr">
        <is>
          <t>040300/KPPBC</t>
        </is>
      </c>
      <c r="V82" s="362" t="inlineStr">
        <is>
          <t>TG. PRIOK</t>
        </is>
      </c>
      <c r="W82" s="363" t="inlineStr">
        <is>
          <t>MOBILE</t>
        </is>
      </c>
      <c r="X82" s="358" t="inlineStr"/>
      <c r="Y82" s="362" t="inlineStr"/>
      <c r="Z82" s="364" t="inlineStr"/>
    </row>
    <row r="83" ht="17.1" customHeight="1" s="223">
      <c r="A83" s="372" t="n"/>
      <c r="B83" s="373" t="n"/>
      <c r="C83" s="374" t="n"/>
      <c r="D83" s="374" t="n"/>
      <c r="E83" s="375" t="n"/>
      <c r="F83" s="375" t="n"/>
      <c r="G83" s="375" t="n"/>
      <c r="H83" s="376">
        <f>SUM(H82:H82)</f>
        <v/>
      </c>
      <c r="I83" s="377">
        <f>COUNTA(I82:I82)</f>
        <v/>
      </c>
      <c r="J83" s="376" t="n"/>
      <c r="K83" s="376" t="n"/>
      <c r="L83" s="378" t="n"/>
      <c r="M83" s="376" t="n"/>
      <c r="N83" s="376" t="n"/>
      <c r="O83" s="379">
        <f>SUM(O82:O82)</f>
        <v/>
      </c>
      <c r="P83" s="379">
        <f>SUM(P82:P82)</f>
        <v/>
      </c>
      <c r="Q83" s="380" t="n"/>
      <c r="R83" s="381">
        <f>SUM(R82:R82)</f>
        <v/>
      </c>
      <c r="S83" s="382" t="n"/>
      <c r="T83" s="382">
        <f>SUM(T82:T82)</f>
        <v/>
      </c>
      <c r="U83" s="376" t="n"/>
      <c r="V83" s="383" t="n"/>
      <c r="W83" s="384" t="n"/>
      <c r="X83" s="383" t="n"/>
      <c r="Y83" s="383" t="n"/>
      <c r="Z83" s="383" t="n"/>
    </row>
    <row r="84" ht="16.5" customHeight="1" s="223">
      <c r="A84" s="369" t="n">
        <v>6</v>
      </c>
      <c r="B84" s="371" t="inlineStr">
        <is>
          <t>000030ZIK48020260724000509</t>
        </is>
      </c>
      <c r="C84" s="351" t="n">
        <v>372816</v>
      </c>
      <c r="D84" s="351" t="n">
        <v>372575</v>
      </c>
      <c r="E84" s="364" t="inlineStr">
        <is>
          <t>24/07/2026</t>
        </is>
      </c>
      <c r="F84" s="367" t="inlineStr">
        <is>
          <t>SPL/026/ZDI/VII/2026</t>
        </is>
      </c>
      <c r="G84" s="364" t="inlineStr">
        <is>
          <t>24/07/2026</t>
        </is>
      </c>
      <c r="H84" s="358" t="n">
        <v>1</v>
      </c>
      <c r="I84" s="358" t="inlineStr"/>
      <c r="J84" s="358" t="inlineStr"/>
      <c r="K84" s="356" t="inlineStr">
        <is>
          <t>TOPPER</t>
        </is>
      </c>
      <c r="L84" s="357" t="inlineStr">
        <is>
          <t>ECMF-LV3T</t>
        </is>
      </c>
      <c r="M84" s="358" t="inlineStr"/>
      <c r="N84" s="356" t="inlineStr">
        <is>
          <t>F.TGT.SAMP</t>
        </is>
      </c>
      <c r="O84" s="353" t="n">
        <v>9.039999999999999</v>
      </c>
      <c r="P84" s="353" t="n">
        <v>7.44</v>
      </c>
      <c r="Q84" s="359">
        <f>IFERROR(R84/H84, 0)</f>
        <v/>
      </c>
      <c r="R84" s="354" t="n">
        <v>20</v>
      </c>
      <c r="S84" s="355" t="n">
        <v>18056</v>
      </c>
      <c r="T84" s="355">
        <f>IFERROR(S84*R84, 0)</f>
        <v/>
      </c>
      <c r="U84" s="360" t="inlineStr">
        <is>
          <t>050100/KPPBC</t>
        </is>
      </c>
      <c r="V84" s="362" t="inlineStr">
        <is>
          <t>S. HATTA</t>
        </is>
      </c>
      <c r="W84" s="363" t="inlineStr">
        <is>
          <t>LESTER B. PEARSON INTERNATIONAL/TORONTO</t>
        </is>
      </c>
      <c r="X84" s="358" t="inlineStr"/>
      <c r="Y84" s="362" t="inlineStr"/>
      <c r="Z84" s="364" t="inlineStr"/>
    </row>
    <row r="85" ht="16.5" customHeight="1" s="223">
      <c r="A85" s="369" t="n"/>
      <c r="B85" s="371" t="n"/>
      <c r="C85" s="351" t="n"/>
      <c r="D85" s="351" t="n"/>
      <c r="E85" s="364" t="n"/>
      <c r="F85" s="367" t="n"/>
      <c r="G85" s="364" t="n"/>
      <c r="H85" s="358" t="n">
        <v>1</v>
      </c>
      <c r="I85" s="358" t="inlineStr"/>
      <c r="J85" s="358" t="inlineStr"/>
      <c r="K85" s="356" t="inlineStr">
        <is>
          <t>TOPPER</t>
        </is>
      </c>
      <c r="L85" s="357" t="inlineStr">
        <is>
          <t>GMT-3T</t>
        </is>
      </c>
      <c r="M85" s="358" t="inlineStr"/>
      <c r="N85" s="356" t="inlineStr">
        <is>
          <t>F.TGT.SAMP</t>
        </is>
      </c>
      <c r="O85" s="353" t="n"/>
      <c r="P85" s="353" t="n"/>
      <c r="Q85" s="359">
        <f>IFERROR(R85/H85, 0)</f>
        <v/>
      </c>
      <c r="R85" s="354" t="n">
        <v>20</v>
      </c>
      <c r="S85" s="355" t="n">
        <v>18056</v>
      </c>
      <c r="T85" s="355">
        <f>IFERROR(S85*R85, 0)</f>
        <v/>
      </c>
      <c r="U85" s="360" t="n"/>
      <c r="V85" s="362" t="n"/>
      <c r="W85" s="363" t="inlineStr">
        <is>
          <t>ETD : 27-07-2026</t>
        </is>
      </c>
      <c r="X85" s="358" t="n"/>
      <c r="Y85" s="362" t="n"/>
      <c r="Z85" s="364" t="n"/>
    </row>
    <row r="86" ht="17.1" customHeight="1" s="223">
      <c r="A86" s="372" t="n"/>
      <c r="B86" s="373" t="n"/>
      <c r="C86" s="374" t="n"/>
      <c r="D86" s="374" t="n"/>
      <c r="E86" s="375" t="n"/>
      <c r="F86" s="375" t="n"/>
      <c r="G86" s="375" t="n"/>
      <c r="H86" s="376">
        <f>SUM(H84:H85)</f>
        <v/>
      </c>
      <c r="I86" s="377">
        <f>COUNTA(I84:I85)</f>
        <v/>
      </c>
      <c r="J86" s="376" t="n"/>
      <c r="K86" s="376" t="n"/>
      <c r="L86" s="378" t="n"/>
      <c r="M86" s="376" t="n"/>
      <c r="N86" s="376" t="n"/>
      <c r="O86" s="379">
        <f>SUM(O84:O85)</f>
        <v/>
      </c>
      <c r="P86" s="379">
        <f>SUM(P84:P85)</f>
        <v/>
      </c>
      <c r="Q86" s="380" t="n"/>
      <c r="R86" s="381">
        <f>SUM(R84:R85)</f>
        <v/>
      </c>
      <c r="S86" s="382" t="n"/>
      <c r="T86" s="382">
        <f>SUM(T84:T85)</f>
        <v/>
      </c>
      <c r="U86" s="376" t="n"/>
      <c r="V86" s="383" t="n"/>
      <c r="W86" s="384" t="n"/>
      <c r="X86" s="383" t="n"/>
      <c r="Y86" s="383" t="n"/>
      <c r="Z86" s="383" t="n"/>
    </row>
    <row r="87" ht="16.5" customHeight="1" s="223">
      <c r="A87" s="369" t="n"/>
      <c r="B87" s="371" t="n"/>
      <c r="C87" s="351" t="n"/>
      <c r="D87" s="351" t="n"/>
      <c r="E87" s="364" t="n"/>
      <c r="F87" s="367" t="n"/>
      <c r="G87" s="364" t="n"/>
      <c r="H87" s="358">
        <f>SUM(H22,H50,H79,H81,H83,H86)</f>
        <v/>
      </c>
      <c r="I87" s="358">
        <f>SUM(I22,I50,I79,I81,I83,I86)</f>
        <v/>
      </c>
      <c r="J87" s="358" t="n"/>
      <c r="K87" s="356" t="n"/>
      <c r="L87" s="357" t="n"/>
      <c r="M87" s="358" t="n"/>
      <c r="N87" s="356" t="n"/>
      <c r="O87" s="353">
        <f>SUM(O22,O50,O79,O81,O83,O86)</f>
        <v/>
      </c>
      <c r="P87" s="353">
        <f>SUM(P22,P50,P79,P81,P83,P86)</f>
        <v/>
      </c>
      <c r="Q87" s="359" t="n"/>
      <c r="R87" s="354">
        <f>SUM(R22,R50,R79,R81,R83,R86)</f>
        <v/>
      </c>
      <c r="S87" s="355" t="n"/>
      <c r="T87" s="355">
        <f>SUM(T22,T50,T79,T81,T83,T86)</f>
        <v/>
      </c>
      <c r="U87" s="360" t="n"/>
      <c r="V87" s="362" t="n"/>
      <c r="W87" s="363" t="n"/>
      <c r="X87" s="358" t="n"/>
      <c r="Y87" s="362" t="n"/>
      <c r="Z87" s="364" t="n"/>
    </row>
    <row r="89" ht="20" customHeight="1" s="223">
      <c r="G89" s="385" t="inlineStr">
        <is>
          <t>Total Qty Export</t>
        </is>
      </c>
      <c r="H89" s="386">
        <f>H87</f>
        <v/>
      </c>
    </row>
    <row r="90" ht="20" customHeight="1" s="223">
      <c r="G90" s="385" t="inlineStr">
        <is>
          <t>Total Qty Export Sample</t>
        </is>
      </c>
      <c r="H90" s="385" t="n">
        <v>0</v>
      </c>
    </row>
    <row r="91" ht="20" customHeight="1" s="223">
      <c r="G91" s="385" t="inlineStr">
        <is>
          <t>Total Document</t>
        </is>
      </c>
      <c r="H91" s="385" t="n">
        <v>6</v>
      </c>
    </row>
    <row r="92" ht="20" customHeight="1" s="223">
      <c r="G92" s="385" t="inlineStr">
        <is>
          <t>Gross Weight</t>
        </is>
      </c>
      <c r="H92" s="386">
        <f>O87</f>
        <v/>
      </c>
    </row>
    <row r="93" ht="20" customHeight="1" s="223">
      <c r="G93" s="385" t="inlineStr">
        <is>
          <t>Nett Weight</t>
        </is>
      </c>
      <c r="H93" s="386">
        <f>P87</f>
        <v/>
      </c>
    </row>
    <row r="94" ht="20" customHeight="1" s="223">
      <c r="G94" s="385" t="inlineStr">
        <is>
          <t>Amount</t>
        </is>
      </c>
      <c r="H94" s="386">
        <f>R87</f>
        <v/>
      </c>
    </row>
    <row r="95" ht="20" customHeight="1" s="223">
      <c r="G95" s="385" t="inlineStr">
        <is>
          <t>Jumlah Container</t>
        </is>
      </c>
      <c r="H95" s="385" t="inlineStr">
        <is>
          <t>: 20x40FT, 0x20FT, = 40 TEUS</t>
        </is>
      </c>
    </row>
    <row r="333" ht="15" customFormat="1" customHeight="1" s="306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07" t="n"/>
      <c r="L333" s="307" t="n"/>
      <c r="M333" s="307" t="n"/>
      <c r="N333" s="308" t="n"/>
      <c r="O333" s="309" t="n"/>
      <c r="P333" s="309" t="n"/>
      <c r="Q333" s="310" t="n"/>
      <c r="R333" s="311" t="n"/>
      <c r="S333" s="312" t="n"/>
      <c r="T333" s="312" t="n"/>
      <c r="U333" s="313" t="n"/>
      <c r="V333" s="313" t="n"/>
      <c r="W333" s="313" t="n"/>
      <c r="X333" s="313" t="n"/>
      <c r="Y333" s="313" t="n"/>
      <c r="Z333" s="313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2026-07-26T08:30:42Z</dcterms:modified>
  <cp:lastModifiedBy>Chiswa Dian Hermansyah(ZINUS ZDI)</cp:lastModifiedBy>
</cp:coreProperties>
</file>