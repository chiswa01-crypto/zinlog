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65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1 - - - 20 -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2 - - - 20 -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1 - - - 84,573 - 8IN GREEN TEA MF MATTRESS QN</t>
        </is>
      </c>
      <c r="L15" s="109" t="inlineStr">
        <is>
          <t>SCF-STR-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6.5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7.1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1 - - - 41,480.4 - 8IN GREEN TEA MF MATTRESS FL</t>
        </is>
      </c>
      <c r="L17" s="277" t="inlineStr">
        <is>
          <t>SCF-STR-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6.5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1 - - - 35.93 - 8IN MYGEL FOAM MATTRESS TW</t>
        </is>
      </c>
      <c r="L19" s="109" t="inlineStr">
        <is>
          <t>ZU-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2 - - - 372.9 - 8IN GREEN TEA MF MATTRESS SQ</t>
        </is>
      </c>
      <c r="L20" s="109" t="inlineStr">
        <is>
          <t>ZU-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3 - - - 47.91 - 10IN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4 - - - 107.8 - 10IN AIRFLOW GEL FOAM MATT QN</t>
        </is>
      </c>
      <c r="L22" s="109" t="inlineStr">
        <is>
          <t>ZU-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7.1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5 - - - 11,920.63 - 6IN GREEN TEA MF MATTRESS FL</t>
        </is>
      </c>
      <c r="L23" s="277" t="inlineStr">
        <is>
          <t>ZU-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7.1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6 - - - 19,876.45 - 8IN GREEN TEA MF MATTRESS FL</t>
        </is>
      </c>
      <c r="L24" s="109" t="inlineStr">
        <is>
          <t>ZU-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8.1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7 - - - 101.97 - 12IN GREEN TEA MF MATTRESS EK</t>
        </is>
      </c>
      <c r="L25" s="285" t="inlineStr">
        <is>
          <t>ZU-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20.1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8 - - - 310.75 - 8IN GREEN TEA MF MATTRESS SQ</t>
        </is>
      </c>
      <c r="L26" s="302" t="inlineStr">
        <is>
          <t>ZU-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7.1" customHeight="1" s="223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9 - - - 7,669.21 - 8IN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7.1" customHeight="1" s="223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1,010.52 - 8IN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7.1" customHeight="1" s="223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67.57 - 12IN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7.1" customHeight="1" s="223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131.76 - 10IN AIRFLOW GEL FOAM MATT EK</t>
        </is>
      </c>
      <c r="L30" s="302" t="inlineStr">
        <is>
          <t>ZU-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7.1" customHeight="1" s="223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11,756.86 - 6IN MYGEL FOAM MATTRESS FL</t>
        </is>
      </c>
      <c r="L31" s="302" t="inlineStr">
        <is>
          <t>ZU-MFGN1YZI-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7.1" customHeight="1" s="223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17,518.5 - 8IN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7.1" customHeight="1" s="223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59.1 - 8IN GREEN TEA MF MATTRESS SQ</t>
        </is>
      </c>
      <c r="L33" s="302" t="inlineStr">
        <is>
          <t>ZU-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7.1" customHeight="1" s="223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582.66 - 10IN GREEN TEA MF MATTRESS EK</t>
        </is>
      </c>
      <c r="L34" s="302" t="inlineStr">
        <is>
          <t>ZU-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7.1" customHeight="1" s="223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5,353.57 - 8IN MYGEL FOAM MATTRESS TW</t>
        </is>
      </c>
      <c r="L35" s="302" t="inlineStr">
        <is>
          <t>ZU-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7.1" customHeight="1" s="223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95.82 - 10IN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7.1" customHeight="1" s="223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27,028 - 12IN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7.1" customHeight="1" s="223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53.9 - 10IN AIRFLOW GEL FOAM MATT QN</t>
        </is>
      </c>
      <c r="L38" s="302" t="inlineStr">
        <is>
          <t>ZU-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2" customHeight="1" s="223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67.57 - 12IN AIRFLOW GEL FOAM MATT QN</t>
        </is>
      </c>
      <c r="L39" s="302" t="inlineStr">
        <is>
          <t>ZU-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2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59.1 - 8IN GREEN TEA MF MATTRESS SQ</t>
        </is>
      </c>
      <c r="L40" s="302" t="inlineStr">
        <is>
          <t>ZU-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14,326.24 - 8IN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13,378.86 - 12IN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3,264.8 - 12IN GREEN TEA MF MATTRESS TX</t>
        </is>
      </c>
      <c r="L43" s="302" t="inlineStr">
        <is>
          <t>ZU-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23.95 - 5IN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1, - 26,925.08 - 5IN GREEN TEA MF MATTRESS TW</t>
        </is>
      </c>
      <c r="L45" s="302" t="inlineStr">
        <is>
          <t>ZU-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1 - - - 28,922.04 - 8IN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2 - - 1, - 27,090.7 - 5IN GREEN TEA MF MATTRESS TW</t>
        </is>
      </c>
      <c r="L48" s="302" t="inlineStr">
        <is>
          <t>ZU-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3 - - 1, - 27,067.04 - 5IN GREEN TEA MF MATTRESS TW</t>
        </is>
      </c>
      <c r="L49" s="302" t="inlineStr">
        <is>
          <t>ZU-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4 - - - 42,062.58 - 12IN GREEN TEA MF MATTRESS QN</t>
        </is>
      </c>
      <c r="L50" s="302" t="inlineStr">
        <is>
          <t>ZU-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5 - - - 116.79 - 8IN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6 - - - 14,372 - 8IN GREEN TEA MF MATTRESS TW</t>
        </is>
      </c>
      <c r="L52" s="302" t="inlineStr">
        <is>
          <t>ZU-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7 - - - 17,260.74 - 12IN GREEN TEA MF MATTRESS QN</t>
        </is>
      </c>
      <c r="L53" s="302" t="inlineStr">
        <is>
          <t>ZU-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8 - - - 18,113.7 - 8IN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9 - - - 10,102.82 - 5IN GREEN TEA MF MATTRESS TW</t>
        </is>
      </c>
      <c r="L55" s="302" t="inlineStr">
        <is>
          <t>ZU-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83.79 - 12IN GREEN TEA MF MATTRESS QN</t>
        </is>
      </c>
      <c r="L56" s="302" t="inlineStr">
        <is>
          <t>ZU-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>
      <c r="A58" s="128">
        <f>COUNT(A12:A57)</f>
        <v/>
      </c>
      <c r="B58" s="129" t="n"/>
      <c r="C58" s="323" t="n"/>
      <c r="D58" s="324" t="n"/>
      <c r="E58" s="324" t="n"/>
      <c r="F58" s="324" t="n"/>
      <c r="G58" s="324" t="n"/>
      <c r="H58" s="132">
        <f>H14+H16+H18+H46+H57</f>
        <v/>
      </c>
      <c r="I58" s="132">
        <f>I14+I16+I18+I46+I57</f>
        <v/>
      </c>
      <c r="J58" s="133" t="n"/>
      <c r="K58" s="325" t="n"/>
      <c r="L58" s="326" t="n"/>
      <c r="M58" s="327" t="n"/>
      <c r="N58" s="328" t="n"/>
      <c r="O58" s="138">
        <f>O14+O16+O18+O46+O57</f>
        <v/>
      </c>
      <c r="P58" s="138">
        <f>P14+P16+P18+P46+P57</f>
        <v/>
      </c>
      <c r="Q58" s="329" t="n"/>
      <c r="R58" s="330">
        <f>R14+R16+R18+R46+R57</f>
        <v/>
      </c>
      <c r="S58" s="331" t="n"/>
      <c r="T58" s="332">
        <f>T14+T16+T18+T46+T57</f>
        <v/>
      </c>
      <c r="U58" s="143" t="n"/>
      <c r="V58" s="143" t="n"/>
      <c r="W58" s="143" t="n"/>
      <c r="X58" s="143" t="n"/>
      <c r="Y58" s="144" t="n"/>
      <c r="Z58" s="144" t="n"/>
    </row>
    <row r="59">
      <c r="A59" s="145" t="n"/>
      <c r="B59" s="146" t="n"/>
      <c r="C59" s="147" t="n"/>
      <c r="E59" s="148" t="n"/>
      <c r="F59" s="149" t="n"/>
      <c r="G59" s="149" t="n"/>
      <c r="H59" s="333" t="n"/>
      <c r="I59" s="333" t="n"/>
      <c r="J59" s="334" t="n"/>
      <c r="K59" s="221" t="n"/>
      <c r="L59" s="221" t="n"/>
      <c r="M59" s="221" t="n"/>
      <c r="N59" s="335" t="n"/>
      <c r="Q59" s="336" t="n"/>
      <c r="U59" s="154" t="n"/>
      <c r="V59" s="154" t="n"/>
      <c r="W59" s="154" t="n"/>
      <c r="X59" s="154" t="n"/>
      <c r="Y59" s="154" t="n"/>
      <c r="Z59" s="154" t="n"/>
    </row>
    <row r="60">
      <c r="A60" s="145" t="n"/>
      <c r="B60" s="155" t="inlineStr">
        <is>
          <t>Total Qty Export :</t>
        </is>
      </c>
      <c r="C60" s="156">
        <f>H58</f>
        <v/>
      </c>
      <c r="E60" s="148" t="n"/>
      <c r="F60" s="149" t="n"/>
      <c r="G60" s="149" t="n"/>
      <c r="H60" s="334" t="n"/>
      <c r="I60" s="334" t="n"/>
      <c r="J60" s="334" t="n"/>
      <c r="K60" s="221" t="n"/>
      <c r="L60" s="221" t="n"/>
      <c r="M60" s="221" t="n"/>
      <c r="N60" s="335" t="n"/>
      <c r="Q60" s="336" t="n"/>
      <c r="U60" s="154" t="n"/>
      <c r="V60" s="154" t="n"/>
      <c r="W60" s="154" t="n"/>
      <c r="X60" s="154" t="n"/>
      <c r="Y60" s="154" t="n"/>
      <c r="Z60" s="154" t="n"/>
    </row>
    <row r="61">
      <c r="A61" s="145" t="n"/>
      <c r="B61" s="157" t="inlineStr">
        <is>
          <t>Total Qty Export Sample :</t>
        </is>
      </c>
      <c r="C61" s="158" t="n"/>
      <c r="E61" s="148" t="n"/>
      <c r="F61" s="149" t="n"/>
      <c r="G61" s="149" t="n"/>
      <c r="H61" s="337" t="n"/>
      <c r="I61" s="337" t="n"/>
      <c r="J61" s="334" t="n"/>
      <c r="T61" s="338" t="n"/>
      <c r="V61" s="154" t="n"/>
      <c r="W61" s="154" t="n"/>
      <c r="X61" s="154" t="n"/>
      <c r="Y61" s="154" t="n"/>
      <c r="Z61" s="154" t="n"/>
    </row>
    <row r="62">
      <c r="A62" s="145" t="n"/>
      <c r="B62" s="161" t="n"/>
      <c r="C62" s="147" t="n"/>
      <c r="D62" s="147" t="n"/>
      <c r="E62" s="148" t="n"/>
      <c r="F62" s="149" t="n"/>
      <c r="G62" s="149" t="n"/>
      <c r="H62" s="334" t="n"/>
      <c r="I62" s="334" t="n"/>
      <c r="J62" s="334" t="n"/>
      <c r="K62" s="221" t="n"/>
      <c r="L62" s="221" t="n"/>
      <c r="M62" s="221" t="n"/>
      <c r="R62" s="339" t="n"/>
      <c r="S62" s="338" t="n"/>
      <c r="U62" s="163" t="n"/>
    </row>
    <row r="63">
      <c r="A63" s="164" t="n"/>
      <c r="B63" s="165" t="n"/>
      <c r="C63" s="166" t="n"/>
      <c r="D63" s="167" t="n"/>
      <c r="E63" s="168" t="n"/>
      <c r="F63" s="169" t="n"/>
      <c r="G63" s="169" t="n"/>
      <c r="H63" s="170" t="n"/>
      <c r="I63" s="170" t="n"/>
      <c r="K63" s="221" t="n"/>
      <c r="L63" s="221" t="n"/>
      <c r="M63" s="221" t="n"/>
      <c r="N63" s="335" t="n"/>
      <c r="P63" s="340" t="n"/>
      <c r="Q63" s="341" t="n"/>
      <c r="R63" s="339" t="n"/>
      <c r="S63" s="338" t="n"/>
      <c r="T63" s="338" t="n"/>
      <c r="U63" s="173" t="inlineStr">
        <is>
          <t>Tangerang, 26 July 2026</t>
        </is>
      </c>
    </row>
    <row r="64">
      <c r="A64" s="174" t="inlineStr">
        <is>
          <t>Total Document</t>
        </is>
      </c>
      <c r="B64" s="175" t="n"/>
      <c r="C64" s="342">
        <f>A58</f>
        <v/>
      </c>
      <c r="D64" s="343" t="n"/>
      <c r="G64" s="169" t="n"/>
      <c r="H64" s="178" t="n"/>
      <c r="I64" s="178" t="n"/>
      <c r="K64" s="221" t="n"/>
      <c r="L64" s="221" t="n"/>
      <c r="M64" s="221" t="n"/>
      <c r="N64" s="335" t="n"/>
      <c r="P64" s="340" t="n"/>
      <c r="Q64" s="341" t="n"/>
      <c r="R64" s="339" t="n"/>
      <c r="S64" s="338" t="n"/>
      <c r="T64" s="338" t="n"/>
      <c r="U64" s="173">
        <f>+[1]REKAP!X34</f>
        <v/>
      </c>
    </row>
    <row r="65">
      <c r="A65" s="174" t="inlineStr">
        <is>
          <t>Gross Weight</t>
        </is>
      </c>
      <c r="B65" s="179" t="n"/>
      <c r="C65" s="344">
        <f>O58</f>
        <v/>
      </c>
      <c r="D65" s="343" t="n"/>
      <c r="H65" s="182" t="n"/>
      <c r="I65" s="183" t="n"/>
      <c r="K65" s="221" t="n"/>
      <c r="L65" s="221" t="n"/>
      <c r="M65" s="221" t="n"/>
      <c r="N65" s="335" t="n"/>
      <c r="P65" s="345" t="n"/>
      <c r="Q65" s="346" t="n"/>
      <c r="R65" s="347" t="n"/>
      <c r="S65" s="348" t="n"/>
      <c r="T65" s="348" t="n"/>
      <c r="U65" s="4" t="n"/>
    </row>
    <row r="66">
      <c r="A66" s="174" t="inlineStr">
        <is>
          <t>Nett Weight</t>
        </is>
      </c>
      <c r="B66" s="179" t="n"/>
      <c r="C66" s="344">
        <f>P58</f>
        <v/>
      </c>
      <c r="D66" s="343" t="n"/>
      <c r="K66" s="221" t="n"/>
      <c r="L66" s="221" t="n"/>
      <c r="M66" s="221" t="n"/>
      <c r="N66" s="335" t="n"/>
      <c r="P66" s="345" t="n"/>
      <c r="Q66" s="346" t="n"/>
      <c r="R66" s="347" t="n"/>
      <c r="S66" s="348" t="n"/>
      <c r="T66" s="348" t="n"/>
      <c r="U66" s="4" t="n"/>
    </row>
    <row r="67">
      <c r="A67" s="174" t="inlineStr">
        <is>
          <t>Amount</t>
        </is>
      </c>
      <c r="B67" s="179" t="n"/>
      <c r="C67" s="349">
        <f>R58</f>
        <v/>
      </c>
      <c r="D67" s="343" t="n"/>
      <c r="K67" s="221" t="n"/>
      <c r="L67" s="221" t="n"/>
      <c r="M67" s="221" t="n"/>
      <c r="N67" s="335" t="n"/>
      <c r="P67" s="345" t="n"/>
      <c r="Q67" s="346" t="n"/>
      <c r="R67" s="347" t="n"/>
      <c r="S67" s="348" t="n"/>
      <c r="T67" s="348" t="n"/>
      <c r="U67" s="190" t="n"/>
    </row>
    <row r="68">
      <c r="A68" s="174" t="inlineStr">
        <is>
          <t>Jumlah Container</t>
        </is>
      </c>
      <c r="B68" s="179" t="n"/>
      <c r="C68" s="350">
        <f>I58</f>
        <v/>
      </c>
      <c r="D68" s="343" t="n"/>
      <c r="K68" s="221" t="n"/>
      <c r="L68" s="221" t="n"/>
      <c r="M68" s="221" t="n"/>
      <c r="N68" s="335" t="n"/>
      <c r="P68" s="345" t="n"/>
      <c r="Q68" s="346" t="n"/>
      <c r="R68" s="347" t="n"/>
      <c r="S68" s="348" t="n"/>
      <c r="T68" s="348" t="n"/>
      <c r="U68" s="173" t="n"/>
    </row>
    <row r="69">
      <c r="A69" s="174" t="n"/>
      <c r="B69" s="179" t="n"/>
      <c r="C69" s="351">
        <f>I28</f>
        <v/>
      </c>
      <c r="D69" s="343" t="n"/>
      <c r="K69" s="221" t="n"/>
      <c r="L69" s="221" t="n"/>
      <c r="M69" s="221" t="n"/>
      <c r="N69" s="335" t="n"/>
      <c r="P69" s="345" t="n"/>
      <c r="Q69" s="346" t="n"/>
      <c r="R69" s="347" t="n"/>
      <c r="S69" s="348" t="n"/>
      <c r="T69" s="348" t="n"/>
      <c r="U69" s="173" t="n"/>
    </row>
    <row r="70">
      <c r="A70" s="195" t="n"/>
      <c r="B70" s="179" t="n"/>
      <c r="C70" s="352">
        <f>C36*2+C37</f>
        <v/>
      </c>
      <c r="D70" s="343" t="n"/>
      <c r="K70" s="221" t="n"/>
      <c r="L70" s="221" t="n"/>
      <c r="M70" s="221" t="n"/>
      <c r="N70" s="335" t="n"/>
    </row>
    <row r="71">
      <c r="A71" s="198" t="n"/>
      <c r="B71" s="199" t="n"/>
      <c r="C71" s="200" t="n"/>
      <c r="D71" s="201" t="n"/>
    </row>
    <row r="72">
      <c r="B72" s="6" t="n"/>
      <c r="C72" s="3" t="n"/>
      <c r="D72" s="3" t="n"/>
      <c r="E72" s="4" t="n"/>
      <c r="F72" s="5" t="n"/>
      <c r="G72" s="5" t="n"/>
      <c r="H72" s="6" t="n"/>
      <c r="I72" s="6" t="n"/>
      <c r="J72" s="6" t="n"/>
      <c r="K72" s="215" t="n"/>
      <c r="L72" s="215" t="n"/>
      <c r="M72" s="215" t="n"/>
      <c r="N72" s="216" t="n"/>
      <c r="O72" s="217" t="n"/>
      <c r="P72" s="217" t="n"/>
      <c r="Q72" s="218" t="n"/>
      <c r="R72" s="219" t="n"/>
      <c r="S72" s="220" t="n"/>
      <c r="T72" s="220" t="n"/>
      <c r="U72" s="221" t="n"/>
      <c r="V72" s="221" t="n"/>
      <c r="W72" s="221" t="n"/>
      <c r="X72" s="221" t="n"/>
      <c r="Y72" s="221" t="n"/>
      <c r="Z72" s="221" t="n"/>
      <c r="AA72" s="222" t="n"/>
      <c r="AB72" s="222" t="n"/>
      <c r="AC72" s="222" t="n"/>
      <c r="AD72" s="222" t="n"/>
      <c r="AE72" s="222" t="n"/>
      <c r="AF72" s="222" t="n"/>
      <c r="AG72" s="222" t="n"/>
      <c r="AH72" s="222" t="n"/>
      <c r="AI72" s="222" t="n"/>
      <c r="AJ72" s="222" t="n"/>
      <c r="AK72" s="222" t="n"/>
      <c r="AL72" s="222" t="n"/>
      <c r="AM72" s="222" t="n"/>
      <c r="AN72" s="222" t="n"/>
      <c r="AO72" s="222" t="n"/>
      <c r="AP72" s="222" t="n"/>
      <c r="AQ72" s="222" t="n"/>
      <c r="AR72" s="222" t="n"/>
      <c r="AS72" s="222" t="n"/>
      <c r="AT72" s="222" t="n"/>
      <c r="AU72" s="222" t="n"/>
      <c r="AV72" s="222" t="n"/>
      <c r="AW72" s="222" t="n"/>
      <c r="AX72" s="222" t="n"/>
      <c r="AY72" s="222" t="n"/>
      <c r="AZ72" s="222" t="n"/>
      <c r="BA72" s="222" t="n"/>
      <c r="BB72" s="222" t="n"/>
      <c r="BC72" s="222" t="n"/>
      <c r="BD72" s="222" t="n"/>
      <c r="BE72" s="222" t="n"/>
      <c r="BF72" s="222" t="n"/>
      <c r="BG72" s="222" t="n"/>
      <c r="BH72" s="222" t="n"/>
      <c r="BI72" s="222" t="n"/>
      <c r="BJ72" s="222" t="n"/>
      <c r="BK72" s="222" t="n"/>
      <c r="BL72" s="222" t="n"/>
      <c r="BM72" s="222" t="n"/>
      <c r="BN72" s="222" t="n"/>
      <c r="BO72" s="222" t="n"/>
      <c r="BP72" s="222" t="n"/>
      <c r="BQ72" s="222" t="n"/>
      <c r="BR72" s="222" t="n"/>
      <c r="BS72" s="222" t="n"/>
      <c r="BT72" s="222" t="n"/>
      <c r="BU72" s="222" t="n"/>
      <c r="BV72" s="222" t="n"/>
      <c r="BW72" s="222" t="n"/>
      <c r="BX72" s="222" t="n"/>
      <c r="BY72" s="222" t="n"/>
      <c r="BZ72" s="222" t="n"/>
      <c r="CA72" s="222" t="n"/>
      <c r="CB72" s="222" t="n"/>
      <c r="CC72" s="222" t="n"/>
      <c r="CD72" s="222" t="n"/>
      <c r="CE72" s="222" t="n"/>
      <c r="CF72" s="222" t="n"/>
      <c r="CG72" s="222" t="n"/>
      <c r="CH72" s="222" t="n"/>
      <c r="CI72" s="222" t="n"/>
      <c r="CJ72" s="222" t="n"/>
      <c r="CK72" s="222" t="n"/>
      <c r="CL72" s="222" t="n"/>
      <c r="CM72" s="222" t="n"/>
      <c r="CN72" s="222" t="n"/>
      <c r="CO72" s="222" t="n"/>
      <c r="CP72" s="222" t="n"/>
      <c r="CQ72" s="222" t="n"/>
      <c r="CR72" s="222" t="n"/>
      <c r="CS72" s="222" t="n"/>
      <c r="CT72" s="222" t="n"/>
      <c r="CU72" s="222" t="n"/>
      <c r="CV72" s="222" t="n"/>
      <c r="CW72" s="222" t="n"/>
      <c r="CX72" s="222" t="n"/>
      <c r="CY72" s="222" t="n"/>
      <c r="CZ72" s="222" t="n"/>
      <c r="DA72" s="222" t="n"/>
      <c r="DB72" s="222" t="n"/>
      <c r="DC72" s="222" t="n"/>
      <c r="DD72" s="222" t="n"/>
      <c r="DE72" s="222" t="n"/>
      <c r="DF72" s="222" t="n"/>
      <c r="DG72" s="222" t="n"/>
      <c r="DH72" s="222" t="n"/>
      <c r="DI72" s="222" t="n"/>
      <c r="DJ72" s="222" t="n"/>
      <c r="DK72" s="222" t="n"/>
      <c r="DL72" s="222" t="n"/>
      <c r="DM72" s="222" t="n"/>
      <c r="DN72" s="222" t="n"/>
      <c r="DO72" s="222" t="n"/>
      <c r="DP72" s="222" t="n"/>
      <c r="DQ72" s="222" t="n"/>
      <c r="DR72" s="222" t="n"/>
      <c r="DS72" s="222" t="n"/>
      <c r="DT72" s="222" t="n"/>
      <c r="DU72" s="222" t="n"/>
      <c r="DV72" s="222" t="n"/>
      <c r="DW72" s="222" t="n"/>
      <c r="DX72" s="222" t="n"/>
      <c r="DY72" s="222" t="n"/>
      <c r="DZ72" s="222" t="n"/>
      <c r="EA72" s="222" t="n"/>
      <c r="EB72" s="222" t="n"/>
      <c r="EC72" s="222" t="n"/>
      <c r="ED72" s="222" t="n"/>
      <c r="EE72" s="222" t="n"/>
      <c r="EF72" s="222" t="n"/>
      <c r="EG72" s="222" t="n"/>
      <c r="EH72" s="222" t="n"/>
      <c r="EI72" s="222" t="n"/>
      <c r="EJ72" s="222" t="n"/>
      <c r="EK72" s="222" t="n"/>
      <c r="EL72" s="222" t="n"/>
      <c r="EM72" s="222" t="n"/>
      <c r="EN72" s="222" t="n"/>
      <c r="EO72" s="222" t="n"/>
      <c r="EP72" s="222" t="n"/>
      <c r="EQ72" s="222" t="n"/>
      <c r="ER72" s="222" t="n"/>
      <c r="ES72" s="222" t="n"/>
      <c r="ET72" s="222" t="n"/>
      <c r="EU72" s="222" t="n"/>
      <c r="EV72" s="222" t="n"/>
      <c r="EW72" s="222" t="n"/>
      <c r="EX72" s="222" t="n"/>
      <c r="EY72" s="222" t="n"/>
      <c r="EZ72" s="222" t="n"/>
      <c r="FA72" s="222" t="n"/>
      <c r="FB72" s="222" t="n"/>
      <c r="FC72" s="222" t="n"/>
      <c r="FD72" s="222" t="n"/>
      <c r="FE72" s="222" t="n"/>
      <c r="FF72" s="222" t="n"/>
      <c r="FG72" s="222" t="n"/>
      <c r="FH72" s="222" t="n"/>
      <c r="FI72" s="222" t="n"/>
      <c r="FJ72" s="222" t="n"/>
      <c r="FK72" s="222" t="n"/>
      <c r="FL72" s="222" t="n"/>
      <c r="FM72" s="222" t="n"/>
      <c r="FN72" s="222" t="n"/>
      <c r="FO72" s="222" t="n"/>
      <c r="FP72" s="222" t="n"/>
      <c r="FQ72" s="222" t="n"/>
      <c r="FR72" s="222" t="n"/>
      <c r="FS72" s="222" t="n"/>
      <c r="FT72" s="222" t="n"/>
      <c r="FU72" s="222" t="n"/>
      <c r="FV72" s="222" t="n"/>
      <c r="FW72" s="222" t="n"/>
      <c r="FX72" s="222" t="n"/>
      <c r="FY72" s="222" t="n"/>
      <c r="FZ72" s="222" t="n"/>
      <c r="GA72" s="222" t="n"/>
      <c r="GB72" s="222" t="n"/>
      <c r="GC72" s="222" t="n"/>
      <c r="GD72" s="222" t="n"/>
      <c r="GE72" s="222" t="n"/>
      <c r="GF72" s="222" t="n"/>
      <c r="GG72" s="222" t="n"/>
      <c r="GH72" s="222" t="n"/>
      <c r="GI72" s="222" t="n"/>
      <c r="GJ72" s="222" t="n"/>
      <c r="GK72" s="222" t="n"/>
      <c r="GL72" s="222" t="n"/>
      <c r="GM72" s="222" t="n"/>
      <c r="GN72" s="222" t="n"/>
      <c r="GO72" s="222" t="n"/>
      <c r="GP72" s="222" t="n"/>
      <c r="GQ72" s="222" t="n"/>
      <c r="GR72" s="222" t="n"/>
      <c r="GS72" s="222" t="n"/>
      <c r="GT72" s="222" t="n"/>
      <c r="GU72" s="222" t="n"/>
      <c r="GV72" s="222" t="n"/>
      <c r="GW72" s="222" t="n"/>
      <c r="GX72" s="222" t="n"/>
      <c r="GY72" s="222" t="n"/>
      <c r="GZ72" s="222" t="n"/>
      <c r="HA72" s="222" t="n"/>
      <c r="HB72" s="222" t="n"/>
      <c r="HC72" s="222" t="n"/>
      <c r="HD72" s="222" t="n"/>
      <c r="HE72" s="222" t="n"/>
      <c r="HF72" s="222" t="n"/>
      <c r="HG72" s="222" t="n"/>
      <c r="HH72" s="222" t="n"/>
      <c r="HI72" s="222" t="n"/>
      <c r="HJ72" s="222" t="n"/>
      <c r="HK72" s="222" t="n"/>
      <c r="HL72" s="222" t="n"/>
      <c r="HM72" s="222" t="n"/>
      <c r="HN72" s="222" t="n"/>
      <c r="HO72" s="222" t="n"/>
      <c r="HP72" s="222" t="n"/>
      <c r="HQ72" s="222" t="n"/>
      <c r="HR72" s="222" t="n"/>
      <c r="HS72" s="222" t="n"/>
      <c r="HT72" s="222" t="n"/>
      <c r="HU72" s="222" t="n"/>
      <c r="HV72" s="222" t="n"/>
      <c r="HW72" s="222" t="n"/>
      <c r="HX72" s="222" t="n"/>
      <c r="HY72" s="222" t="n"/>
      <c r="HZ72" s="222" t="n"/>
      <c r="IA72" s="222" t="n"/>
      <c r="IB72" s="222" t="n"/>
      <c r="IC72" s="222" t="n"/>
      <c r="ID72" s="222" t="n"/>
      <c r="IE72" s="222" t="n"/>
      <c r="IF72" s="222" t="n"/>
      <c r="IG72" s="222" t="n"/>
      <c r="IH72" s="222" t="n"/>
      <c r="II72" s="222" t="n"/>
      <c r="IJ72" s="222" t="n"/>
      <c r="IK72" s="222" t="n"/>
      <c r="IL72" s="222" t="n"/>
      <c r="IM72" s="222" t="n"/>
      <c r="IN72" s="222" t="n"/>
      <c r="IO72" s="222" t="n"/>
      <c r="IP72" s="222" t="n"/>
      <c r="IQ72" s="222" t="n"/>
      <c r="IR72" s="222" t="n"/>
      <c r="IS72" s="222" t="n"/>
      <c r="IT72" s="222" t="n"/>
      <c r="IU72" s="222" t="n"/>
      <c r="IV72" s="222" t="n"/>
      <c r="IW72" s="222" t="n"/>
      <c r="IX72" s="222" t="n"/>
      <c r="IY72" s="222" t="n"/>
      <c r="IZ72" s="222" t="n"/>
      <c r="JA72" s="222" t="n"/>
      <c r="JB72" s="222" t="n"/>
      <c r="JC72" s="222" t="n"/>
      <c r="JD72" s="222" t="n"/>
      <c r="JE72" s="222" t="n"/>
      <c r="JF72" s="222" t="n"/>
      <c r="JG72" s="222" t="n"/>
      <c r="JH72" s="222" t="n"/>
      <c r="JI72" s="222" t="n"/>
      <c r="JJ72" s="222" t="n"/>
      <c r="JK72" s="222" t="n"/>
      <c r="JL72" s="222" t="n"/>
      <c r="JM72" s="222" t="n"/>
      <c r="JN72" s="222" t="n"/>
      <c r="JO72" s="222" t="n"/>
      <c r="JP72" s="222" t="n"/>
      <c r="JQ72" s="222" t="n"/>
      <c r="JR72" s="222" t="n"/>
      <c r="JS72" s="222" t="n"/>
      <c r="JT72" s="222" t="n"/>
      <c r="JU72" s="222" t="n"/>
      <c r="JV72" s="222" t="n"/>
      <c r="JW72" s="222" t="n"/>
      <c r="JX72" s="222" t="n"/>
      <c r="JY72" s="222" t="n"/>
      <c r="JZ72" s="222" t="n"/>
      <c r="KA72" s="222" t="n"/>
      <c r="KB72" s="222" t="n"/>
      <c r="KC72" s="222" t="n"/>
      <c r="KD72" s="222" t="n"/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>
      <c r="A365" s="202" t="n"/>
      <c r="B365" s="203" t="n"/>
      <c r="C365" s="204" t="n"/>
      <c r="D365" s="204" t="n"/>
      <c r="E365" s="205" t="n"/>
      <c r="F365" s="206" t="n"/>
      <c r="G365" s="206" t="n"/>
      <c r="H365" s="6" t="n"/>
      <c r="I365" s="203" t="n"/>
      <c r="J365" s="203" t="n"/>
      <c r="K365" s="354" t="n"/>
      <c r="L365" s="354" t="n"/>
      <c r="M365" s="354" t="n"/>
      <c r="N365" s="355" t="n"/>
      <c r="O365" s="356" t="n"/>
      <c r="P365" s="356" t="n"/>
      <c r="Q365" s="357" t="n"/>
      <c r="R365" s="358" t="n"/>
      <c r="S365" s="359" t="n"/>
      <c r="T365" s="359" t="n"/>
      <c r="U365" s="360" t="n"/>
      <c r="V365" s="360" t="n"/>
      <c r="W365" s="360" t="n"/>
      <c r="X365" s="360" t="n"/>
      <c r="Y365" s="360" t="n"/>
      <c r="Z365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2026-07-25T18:12:22Z</dcterms:modified>
  <cp:lastModifiedBy>Chiswa Dian Hermansyah(ZINUS ZDI)</cp:lastModifiedBy>
</cp:coreProperties>
</file>