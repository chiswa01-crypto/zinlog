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F.TGT.SAMP</t>
        </is>
      </c>
      <c r="O12" s="111" t="n">
        <v>9.039999999999999</v>
      </c>
      <c r="P12" s="111" t="n">
        <v>7.44</v>
      </c>
      <c r="Q12" s="259">
        <f>IFERROR(R12/H12, 0)</f>
        <v/>
      </c>
      <c r="R12" s="260" t="n">
        <v>20</v>
      </c>
      <c r="S12" s="261" t="n">
        <v>18056</v>
      </c>
      <c r="T12" s="261">
        <f>IFERROR(S12*R12, 0)</f>
        <v/>
      </c>
      <c r="U12" s="73" t="inlineStr">
        <is>
          <t>050100/KPPBC</t>
        </is>
      </c>
      <c r="V12" s="74" t="inlineStr">
        <is>
          <t>S. HATTA</t>
        </is>
      </c>
      <c r="W12" s="75" t="inlineStr">
        <is>
          <t>LESTER B. PEARSON INTERNATIONAL/TORONTO</t>
        </is>
      </c>
      <c r="X12" s="76" t="inlineStr">
        <is>
          <t>ZINUS CANADA INC.</t>
        </is>
      </c>
      <c r="Y12" s="77" t="inlineStr">
        <is>
          <t>874825815644</t>
        </is>
      </c>
      <c r="Z12" s="258" t="n">
        <v>46227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F.TGT.SAMP</t>
        </is>
      </c>
      <c r="O13" s="111" t="n"/>
      <c r="P13" s="111" t="n"/>
      <c r="Q13" s="259">
        <f>IFERROR(R13/H13, 0)</f>
        <v/>
      </c>
      <c r="R13" s="260" t="n">
        <v>20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>
        <is>
          <t>TLLU4381447</t>
        </is>
      </c>
      <c r="J15" s="67" t="inlineStr">
        <is>
          <t>40FT</t>
        </is>
      </c>
      <c r="K15" s="69" t="inlineStr">
        <is>
          <t>8IN GREEN TEA MF MATTRESS QN</t>
        </is>
      </c>
      <c r="L15" s="109" t="inlineStr">
        <is>
          <t>SCF-STR-800Q</t>
        </is>
      </c>
      <c r="M15" s="110" t="inlineStr">
        <is>
          <t>0993631021</t>
        </is>
      </c>
      <c r="N15" s="69" t="inlineStr">
        <is>
          <t>F.MFM.08Q.000.WS</t>
        </is>
      </c>
      <c r="O15" s="111" t="n">
        <v>21510</v>
      </c>
      <c r="P15" s="111" t="n">
        <v>19188</v>
      </c>
      <c r="Q15" s="259">
        <f>IFERROR(R15/H15, 0)</f>
        <v/>
      </c>
      <c r="R15" s="260" t="n">
        <v>84573</v>
      </c>
      <c r="S15" s="261" t="n">
        <v>18056</v>
      </c>
      <c r="T15" s="261">
        <f>IFERROR(S15*R15, 0)</f>
        <v/>
      </c>
      <c r="U15" s="73" t="inlineStr">
        <is>
          <t>040300/KPPBC</t>
        </is>
      </c>
      <c r="V15" s="74" t="inlineStr">
        <is>
          <t>TG. PRIOK</t>
        </is>
      </c>
      <c r="W15" s="75" t="inlineStr">
        <is>
          <t>MOBILE</t>
        </is>
      </c>
      <c r="X15" s="76" t="inlineStr">
        <is>
          <t>WALMART, INC.</t>
        </is>
      </c>
      <c r="Y15" s="77" t="inlineStr">
        <is>
          <t>CMDUDJA1509935</t>
        </is>
      </c>
      <c r="Z15" s="258" t="n">
        <v>46227</v>
      </c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/>
      <c r="I16" s="67" t="n"/>
      <c r="J16" s="67" t="n"/>
      <c r="K16" s="69" t="n"/>
      <c r="L16" s="109" t="n"/>
      <c r="M16" s="110" t="n"/>
      <c r="N16" s="69" t="n"/>
      <c r="O16" s="111" t="n"/>
      <c r="P16" s="111" t="n"/>
      <c r="Q16" s="259" t="n"/>
      <c r="R16" s="260" t="n"/>
      <c r="S16" s="261" t="n"/>
      <c r="T16" s="261" t="n"/>
      <c r="U16" s="73" t="n"/>
      <c r="V16" s="74" t="n"/>
      <c r="W16" s="75" t="inlineStr">
        <is>
          <t>ETD : 27-07-2026</t>
        </is>
      </c>
      <c r="X16" s="76" t="n"/>
      <c r="Y16" s="77" t="n"/>
      <c r="Z16" s="258" t="n"/>
    </row>
    <row r="17" ht="17.1" customFormat="1" customHeight="1" s="273">
      <c r="A17" s="89" t="n"/>
      <c r="B17" s="90" t="n"/>
      <c r="C17" s="91" t="n"/>
      <c r="D17" s="91" t="n"/>
      <c r="E17" s="92" t="n"/>
      <c r="F17" s="92" t="n"/>
      <c r="G17" s="92" t="n"/>
      <c r="H17" s="93">
        <f>SUM(H15:H16)</f>
        <v/>
      </c>
      <c r="I17" s="94">
        <f>COUNTA(I15:I16)</f>
        <v/>
      </c>
      <c r="J17" s="93" t="n"/>
      <c r="K17" s="93" t="n"/>
      <c r="L17" s="95" t="n"/>
      <c r="M17" s="93" t="n"/>
      <c r="N17" s="93" t="n"/>
      <c r="O17" s="267">
        <f>SUM(O15:O16)</f>
        <v/>
      </c>
      <c r="P17" s="267">
        <f>SUM(P15:P16)</f>
        <v/>
      </c>
      <c r="Q17" s="268" t="n"/>
      <c r="R17" s="269">
        <f>SUM(R15:R16)</f>
        <v/>
      </c>
      <c r="S17" s="270" t="n"/>
      <c r="T17" s="270">
        <f>SUM(T15:T16)</f>
        <v/>
      </c>
      <c r="U17" s="93" t="n"/>
      <c r="V17" s="100" t="n"/>
      <c r="W17" s="101" t="n"/>
      <c r="X17" s="102" t="n"/>
      <c r="Y17" s="102" t="n"/>
      <c r="Z17" s="102" t="n"/>
    </row>
    <row r="18" ht="16.5" customFormat="1" customHeight="1" s="257">
      <c r="A18" s="104" t="n">
        <v>3</v>
      </c>
      <c r="B18" s="105" t="inlineStr">
        <is>
          <t>000030ZIK48020260722000507</t>
        </is>
      </c>
      <c r="C18" s="106" t="n">
        <v>457157</v>
      </c>
      <c r="D18" s="106" t="n">
        <v>457102</v>
      </c>
      <c r="E18" s="258" t="n">
        <v>46226</v>
      </c>
      <c r="F18" s="107" t="inlineStr">
        <is>
          <t>ID2607-7865</t>
        </is>
      </c>
      <c r="G18" s="258" t="n">
        <v>46223</v>
      </c>
      <c r="H18" s="108" t="n">
        <v>520</v>
      </c>
      <c r="I18" s="67" t="inlineStr">
        <is>
          <t>CMAU3883460</t>
        </is>
      </c>
      <c r="J18" s="67" t="inlineStr">
        <is>
          <t>40FT</t>
        </is>
      </c>
      <c r="K18" s="69" t="inlineStr">
        <is>
          <t>8IN GREEN TEA MF MATTRESS FL</t>
        </is>
      </c>
      <c r="L18" s="109" t="inlineStr">
        <is>
          <t>SCF-STR-800F</t>
        </is>
      </c>
      <c r="M18" s="110" t="inlineStr">
        <is>
          <t>0993630656</t>
        </is>
      </c>
      <c r="N18" s="69" t="inlineStr">
        <is>
          <t>F.MFM.08F.000.WS</t>
        </is>
      </c>
      <c r="O18" s="111" t="n">
        <v>10618.4</v>
      </c>
      <c r="P18" s="111" t="n">
        <v>9370.4</v>
      </c>
      <c r="Q18" s="259">
        <f>IFERROR(R18/H18, 0)</f>
        <v/>
      </c>
      <c r="R18" s="260" t="n">
        <v>41480.4</v>
      </c>
      <c r="S18" s="261" t="n">
        <v>18056</v>
      </c>
      <c r="T18" s="261">
        <f>IFERROR(S18*R18, 0)</f>
        <v/>
      </c>
      <c r="U18" s="73" t="inlineStr">
        <is>
          <t>040300/KPPBC</t>
        </is>
      </c>
      <c r="V18" s="74" t="inlineStr">
        <is>
          <t>TG. PRIOK</t>
        </is>
      </c>
      <c r="W18" s="75" t="inlineStr">
        <is>
          <t>MOBILE</t>
        </is>
      </c>
      <c r="X18" s="76" t="inlineStr">
        <is>
          <t>WALMART, INC.</t>
        </is>
      </c>
      <c r="Y18" s="77" t="inlineStr">
        <is>
          <t>CMDUDJA1504766</t>
        </is>
      </c>
      <c r="Z18" s="258" t="n">
        <v>46226</v>
      </c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/>
      <c r="I19" s="67" t="n"/>
      <c r="J19" s="67" t="n"/>
      <c r="K19" s="69" t="n"/>
      <c r="L19" s="109" t="n"/>
      <c r="M19" s="110" t="n"/>
      <c r="N19" s="69" t="n"/>
      <c r="O19" s="111" t="n"/>
      <c r="P19" s="111" t="n"/>
      <c r="Q19" s="259" t="n"/>
      <c r="R19" s="260" t="n"/>
      <c r="S19" s="261" t="n"/>
      <c r="T19" s="261" t="n"/>
      <c r="U19" s="73" t="n"/>
      <c r="V19" s="74" t="n"/>
      <c r="W19" s="75" t="inlineStr">
        <is>
          <t>ETD : 27-07-2026</t>
        </is>
      </c>
      <c r="X19" s="76" t="n"/>
      <c r="Y19" s="77" t="n"/>
      <c r="Z19" s="258" t="n"/>
    </row>
    <row r="20" ht="17.1" customFormat="1" customHeight="1" s="257">
      <c r="A20" s="89" t="n"/>
      <c r="B20" s="90" t="n"/>
      <c r="C20" s="262" t="n"/>
      <c r="D20" s="262" t="n"/>
      <c r="E20" s="263" t="n"/>
      <c r="F20" s="263" t="n"/>
      <c r="G20" s="263" t="n"/>
      <c r="H20" s="264">
        <f>SUM(H18:H19)</f>
        <v/>
      </c>
      <c r="I20" s="94">
        <f>COUNTA(I18:I19)</f>
        <v/>
      </c>
      <c r="J20" s="93" t="n"/>
      <c r="K20" s="93" t="n"/>
      <c r="L20" s="265" t="n"/>
      <c r="M20" s="266" t="n"/>
      <c r="N20" s="93" t="n"/>
      <c r="O20" s="267">
        <f>SUM(O18:O19)</f>
        <v/>
      </c>
      <c r="P20" s="267">
        <f>SUM(P18:P19)</f>
        <v/>
      </c>
      <c r="Q20" s="268" t="n"/>
      <c r="R20" s="269">
        <f>SUM(R18:R19)</f>
        <v/>
      </c>
      <c r="S20" s="270" t="n"/>
      <c r="T20" s="270">
        <f>SUM(T18:T19)</f>
        <v/>
      </c>
      <c r="U20" s="93" t="n"/>
      <c r="V20" s="100" t="n"/>
      <c r="W20" s="101" t="n"/>
      <c r="X20" s="102" t="n"/>
      <c r="Y20" s="271" t="n"/>
      <c r="Z20" s="272" t="n"/>
    </row>
    <row r="21" ht="16.5" customFormat="1" customHeight="1" s="257">
      <c r="A21" s="104" t="n">
        <v>4</v>
      </c>
      <c r="B21" s="105" t="inlineStr">
        <is>
          <t>000030ZIK48020260722000505</t>
        </is>
      </c>
      <c r="C21" s="106" t="n">
        <v>457069</v>
      </c>
      <c r="D21" s="106" t="n">
        <v>457014</v>
      </c>
      <c r="E21" s="258" t="n">
        <v>46226</v>
      </c>
      <c r="F21" s="107" t="inlineStr">
        <is>
          <t>ID2607-7887</t>
        </is>
      </c>
      <c r="G21" s="258" t="n">
        <v>46225</v>
      </c>
      <c r="H21" s="108" t="n">
        <v>1</v>
      </c>
      <c r="I21" s="67" t="inlineStr">
        <is>
          <t>EMCU0087902</t>
        </is>
      </c>
      <c r="J21" s="67" t="inlineStr">
        <is>
          <t>40FT</t>
        </is>
      </c>
      <c r="K21" s="69" t="inlineStr">
        <is>
          <t>8IN MYGEL FOAM MATTRESS TW</t>
        </is>
      </c>
      <c r="L21" s="109" t="inlineStr">
        <is>
          <t>ZU-MFGN1YZI-08T</t>
        </is>
      </c>
      <c r="M21" s="110" t="inlineStr">
        <is>
          <t>1CPXSUHR</t>
        </is>
      </c>
      <c r="N21" s="69" t="inlineStr">
        <is>
          <t>F.MFG.08T.003.AD</t>
        </is>
      </c>
      <c r="O21" s="111" t="n">
        <v>70550.23</v>
      </c>
      <c r="P21" s="111" t="n">
        <v>61053.73</v>
      </c>
      <c r="Q21" s="259">
        <f>IFERROR(R21/H21, 0)</f>
        <v/>
      </c>
      <c r="R21" s="260" t="n">
        <v>35.93</v>
      </c>
      <c r="S21" s="261" t="n">
        <v>18056</v>
      </c>
      <c r="T21" s="261">
        <f>IFERROR(S21*R21, 0)</f>
        <v/>
      </c>
      <c r="U21" s="73" t="inlineStr">
        <is>
          <t>040300/KPPBC</t>
        </is>
      </c>
      <c r="V21" s="74" t="inlineStr">
        <is>
          <t>TG. PRIOK</t>
        </is>
      </c>
      <c r="W21" s="75" t="inlineStr">
        <is>
          <t>SAVANNAH</t>
        </is>
      </c>
      <c r="X21" s="76" t="inlineStr">
        <is>
          <t>AMAZON.COM SERVICES LLC</t>
        </is>
      </c>
      <c r="Y21" s="77" t="inlineStr">
        <is>
          <t>EGLV080600449962</t>
        </is>
      </c>
      <c r="Z21" s="258" t="n">
        <v>46226</v>
      </c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6</v>
      </c>
      <c r="I22" s="67" t="inlineStr">
        <is>
          <t>GAOU6330736</t>
        </is>
      </c>
      <c r="J22" s="67" t="inlineStr">
        <is>
          <t>40FT</t>
        </is>
      </c>
      <c r="K22" s="69" t="inlineStr">
        <is>
          <t>8IN GREEN TEA MF MATTRESS SQ</t>
        </is>
      </c>
      <c r="L22" s="109" t="inlineStr">
        <is>
          <t>ZU-MFMA1FZI-08S</t>
        </is>
      </c>
      <c r="M22" s="110" t="inlineStr">
        <is>
          <t>1CPXSUHR</t>
        </is>
      </c>
      <c r="N22" s="69" t="inlineStr">
        <is>
          <t>F.MFM.08S.012.AD</t>
        </is>
      </c>
      <c r="O22" s="111" t="n"/>
      <c r="P22" s="111" t="n"/>
      <c r="Q22" s="259">
        <f>IFERROR(R22/H22, 0)</f>
        <v/>
      </c>
      <c r="R22" s="260" t="n">
        <v>372.9</v>
      </c>
      <c r="S22" s="261" t="n">
        <v>18056</v>
      </c>
      <c r="T22" s="261">
        <f>IFERROR(S22*R22, 0)</f>
        <v/>
      </c>
      <c r="U22" s="73" t="n"/>
      <c r="V22" s="74" t="n"/>
      <c r="W22" s="75" t="inlineStr">
        <is>
          <t>ETD : 27-07-2026</t>
        </is>
      </c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1</v>
      </c>
      <c r="I23" s="67" t="inlineStr">
        <is>
          <t>EISU8561414</t>
        </is>
      </c>
      <c r="J23" s="67" t="inlineStr">
        <is>
          <t>40FT</t>
        </is>
      </c>
      <c r="K23" s="69" t="inlineStr">
        <is>
          <t>10IN OPP HD FL</t>
        </is>
      </c>
      <c r="L23" s="277" t="inlineStr">
        <is>
          <t>ZU-MFMA1OZI-10F</t>
        </is>
      </c>
      <c r="M23" s="67" t="inlineStr">
        <is>
          <t>1CPXSUHR</t>
        </is>
      </c>
      <c r="N23" s="69" t="inlineStr">
        <is>
          <t>F.MFM.10F.013.AD</t>
        </is>
      </c>
      <c r="O23" s="111" t="n"/>
      <c r="P23" s="111" t="n"/>
      <c r="Q23" s="259">
        <f>IFERROR(R23/H23, 0)</f>
        <v/>
      </c>
      <c r="R23" s="260" t="n">
        <v>47.91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2</v>
      </c>
      <c r="I24" s="67" t="inlineStr">
        <is>
          <t>EITU1674433</t>
        </is>
      </c>
      <c r="J24" s="67" t="inlineStr">
        <is>
          <t>40FT</t>
        </is>
      </c>
      <c r="K24" s="69" t="inlineStr">
        <is>
          <t>10IN AIRFLOW GEL FOAM MATT QN</t>
        </is>
      </c>
      <c r="L24" s="109" t="inlineStr">
        <is>
          <t>ZU-MFMA1RZI-10Q</t>
        </is>
      </c>
      <c r="M24" s="67" t="inlineStr">
        <is>
          <t>1CPXSUHR</t>
        </is>
      </c>
      <c r="N24" s="69" t="inlineStr">
        <is>
          <t>F.MFM.10Q.014.AD</t>
        </is>
      </c>
      <c r="O24" s="111" t="n"/>
      <c r="P24" s="111" t="n"/>
      <c r="Q24" s="259">
        <f>IFERROR(R24/H24, 0)</f>
        <v/>
      </c>
      <c r="R24" s="260" t="n">
        <v>107.8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311</v>
      </c>
      <c r="I25" s="76" t="inlineStr">
        <is>
          <t>TCKU6083451</t>
        </is>
      </c>
      <c r="J25" s="76" t="inlineStr">
        <is>
          <t>40FT</t>
        </is>
      </c>
      <c r="K25" s="284" t="inlineStr">
        <is>
          <t>6IN GREEN TEA MF MATTRESS FL</t>
        </is>
      </c>
      <c r="L25" s="285" t="inlineStr">
        <is>
          <t>ZU-MFMA1ZZI-06F</t>
        </is>
      </c>
      <c r="M25" s="76" t="inlineStr">
        <is>
          <t>1CPXSUHR</t>
        </is>
      </c>
      <c r="N25" s="284" t="inlineStr">
        <is>
          <t>F.MFM.06F.007.AD</t>
        </is>
      </c>
      <c r="O25" s="286" t="n"/>
      <c r="P25" s="286" t="n"/>
      <c r="Q25" s="287">
        <f>IFERROR(R25/H25, 0)</f>
        <v/>
      </c>
      <c r="R25" s="288" t="n">
        <v>11920.63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79" t="n"/>
      <c r="F26" s="296" t="n"/>
      <c r="G26" s="279" t="n"/>
      <c r="H26" s="297" t="n">
        <v>355</v>
      </c>
      <c r="I26" s="297" t="inlineStr">
        <is>
          <t>EITU1661164</t>
        </is>
      </c>
      <c r="J26" s="76" t="inlineStr">
        <is>
          <t>40FT</t>
        </is>
      </c>
      <c r="K26" s="284" t="inlineStr">
        <is>
          <t>8IN GREEN TEA MF MATTRESS FL</t>
        </is>
      </c>
      <c r="L26" s="285" t="inlineStr">
        <is>
          <t>ZU-MFMA1ZZI-08F</t>
        </is>
      </c>
      <c r="M26" s="76" t="inlineStr">
        <is>
          <t>1CPXSUHR</t>
        </is>
      </c>
      <c r="N26" s="284" t="inlineStr">
        <is>
          <t>F.MFM.08F.008.AD</t>
        </is>
      </c>
      <c r="O26" s="298" t="n"/>
      <c r="P26" s="298" t="n"/>
      <c r="Q26" s="299">
        <f>IFERROR(R26/H26, 0)</f>
        <v/>
      </c>
      <c r="R26" s="300" t="n">
        <v>19876.45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1</v>
      </c>
      <c r="I27" s="305" t="inlineStr"/>
      <c r="J27" s="305" t="inlineStr"/>
      <c r="K27" s="284" t="inlineStr">
        <is>
          <t>12IN GREEN TEA MF MATTRESS EK</t>
        </is>
      </c>
      <c r="L27" s="285" t="inlineStr">
        <is>
          <t>ZU-MFMA1ZZI-12K</t>
        </is>
      </c>
      <c r="M27" s="76" t="inlineStr">
        <is>
          <t>1CPXSUHR</t>
        </is>
      </c>
      <c r="N27" s="284" t="inlineStr">
        <is>
          <t>F.MFM.12K.006.AD</t>
        </is>
      </c>
      <c r="O27" s="306" t="n"/>
      <c r="P27" s="306" t="n"/>
      <c r="Q27" s="299">
        <f>IFERROR(R27/H27, 0)</f>
        <v/>
      </c>
      <c r="R27" s="307" t="n">
        <v>101.97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5</v>
      </c>
      <c r="I28" s="305" t="inlineStr"/>
      <c r="J28" s="305" t="inlineStr"/>
      <c r="K28" s="284" t="inlineStr">
        <is>
          <t>8IN GREEN TEA MF MATTRESS SQ</t>
        </is>
      </c>
      <c r="L28" s="285" t="inlineStr">
        <is>
          <t>ZU-MFMA1FZI-08S</t>
        </is>
      </c>
      <c r="M28" s="76" t="inlineStr">
        <is>
          <t>23OYBVEV</t>
        </is>
      </c>
      <c r="N28" s="284" t="inlineStr">
        <is>
          <t>F.MFM.08S.012.AD</t>
        </is>
      </c>
      <c r="O28" s="306" t="n"/>
      <c r="P28" s="306" t="n"/>
      <c r="Q28" s="299">
        <f>IFERROR(R28/H28, 0)</f>
        <v/>
      </c>
      <c r="R28" s="307" t="n">
        <v>310.75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197</v>
      </c>
      <c r="I29" s="305" t="inlineStr"/>
      <c r="J29" s="305" t="inlineStr"/>
      <c r="K29" s="309" t="inlineStr">
        <is>
          <t>8IN OPP HD FL</t>
        </is>
      </c>
      <c r="L29" s="310" t="inlineStr">
        <is>
          <t>ZU-MFMA1OZI-08F</t>
        </is>
      </c>
      <c r="M29" s="311" t="inlineStr">
        <is>
          <t>23OYBVEV</t>
        </is>
      </c>
      <c r="N29" s="309" t="inlineStr">
        <is>
          <t>F.MFM.08F.013.AD</t>
        </is>
      </c>
      <c r="O29" s="306" t="n"/>
      <c r="P29" s="306" t="n"/>
      <c r="Q29" s="312">
        <f>IFERROR(R29/H29, 0)</f>
        <v/>
      </c>
      <c r="R29" s="307" t="n">
        <v>7669.21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18</v>
      </c>
      <c r="I30" s="305" t="inlineStr"/>
      <c r="J30" s="305" t="inlineStr"/>
      <c r="K30" s="284" t="inlineStr">
        <is>
          <t>8IN OPP HD QN</t>
        </is>
      </c>
      <c r="L30" s="285" t="inlineStr">
        <is>
          <t>ZU-MFMA1OZI-08Q</t>
        </is>
      </c>
      <c r="M30" s="76" t="inlineStr">
        <is>
          <t>23OYBVEV</t>
        </is>
      </c>
      <c r="N30" s="309" t="inlineStr">
        <is>
          <t>F.MFM.08Q.013.AD</t>
        </is>
      </c>
      <c r="O30" s="306" t="n"/>
      <c r="P30" s="306" t="n"/>
      <c r="Q30" s="312">
        <f>IFERROR(R30/H30, 0)</f>
        <v/>
      </c>
      <c r="R30" s="260" t="n">
        <v>1010.52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</v>
      </c>
      <c r="I31" s="76" t="inlineStr"/>
      <c r="J31" s="311" t="inlineStr"/>
      <c r="K31" s="284" t="inlineStr">
        <is>
          <t>12IN OPP HD QN</t>
        </is>
      </c>
      <c r="L31" s="285" t="inlineStr">
        <is>
          <t>ZU-MFMA1OZI-12Q</t>
        </is>
      </c>
      <c r="M31" s="76" t="inlineStr">
        <is>
          <t>23OYBVEV</t>
        </is>
      </c>
      <c r="N31" s="284" t="inlineStr">
        <is>
          <t>F.MFM.12Q.010.AD</t>
        </is>
      </c>
      <c r="O31" s="306" t="n"/>
      <c r="P31" s="111" t="n"/>
      <c r="Q31" s="318">
        <f>IFERROR(R31/H31, 0)</f>
        <v/>
      </c>
      <c r="R31" s="260" t="n">
        <v>67.56999999999999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2</v>
      </c>
      <c r="I32" s="76" t="inlineStr"/>
      <c r="J32" s="311" t="inlineStr"/>
      <c r="K32" s="284" t="inlineStr">
        <is>
          <t>10IN AIRFLOW GEL FOAM MATT EK</t>
        </is>
      </c>
      <c r="L32" s="285" t="inlineStr">
        <is>
          <t>ZU-MFMA1RZI-10K</t>
        </is>
      </c>
      <c r="M32" s="76" t="inlineStr">
        <is>
          <t>23OYBVEV</t>
        </is>
      </c>
      <c r="N32" s="284" t="inlineStr">
        <is>
          <t>F.MFM.10K.014.AD</t>
        </is>
      </c>
      <c r="O32" s="306" t="n"/>
      <c r="P32" s="111" t="n"/>
      <c r="Q32" s="318">
        <f>IFERROR(R32/H32, 0)</f>
        <v/>
      </c>
      <c r="R32" s="260" t="n">
        <v>131.76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302</v>
      </c>
      <c r="I33" s="76" t="inlineStr"/>
      <c r="J33" s="311" t="inlineStr"/>
      <c r="K33" s="284" t="inlineStr">
        <is>
          <t>6IN MYGEL FOAM MATTRESS FL</t>
        </is>
      </c>
      <c r="L33" s="285" t="inlineStr">
        <is>
          <t>ZU-MFGN1YZI-06F</t>
        </is>
      </c>
      <c r="M33" s="76" t="inlineStr">
        <is>
          <t>299957YO</t>
        </is>
      </c>
      <c r="N33" s="284" t="inlineStr">
        <is>
          <t>F.MFG.06F.002.AD</t>
        </is>
      </c>
      <c r="O33" s="306" t="n"/>
      <c r="P33" s="111" t="n"/>
      <c r="Q33" s="318">
        <f>IFERROR(R33/H33, 0)</f>
        <v/>
      </c>
      <c r="R33" s="260" t="n">
        <v>11756.86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450</v>
      </c>
      <c r="I34" s="311" t="inlineStr"/>
      <c r="J34" s="311" t="inlineStr"/>
      <c r="K34" s="284" t="inlineStr">
        <is>
          <t>8IN OPP HD FL</t>
        </is>
      </c>
      <c r="L34" s="285" t="inlineStr">
        <is>
          <t>ZU-MFMA1OZI-08F</t>
        </is>
      </c>
      <c r="M34" s="76" t="inlineStr">
        <is>
          <t>299957YO</t>
        </is>
      </c>
      <c r="N34" s="284" t="inlineStr">
        <is>
          <t>F.MFM.08F.013.AD</t>
        </is>
      </c>
      <c r="O34" s="306" t="n"/>
      <c r="P34" s="111" t="n"/>
      <c r="Q34" s="318">
        <f>IFERROR(R34/H34, 0)</f>
        <v/>
      </c>
      <c r="R34" s="260" t="n">
        <v>17518.5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1</v>
      </c>
      <c r="I35" s="311" t="inlineStr"/>
      <c r="J35" s="311" t="inlineStr"/>
      <c r="K35" s="284" t="inlineStr">
        <is>
          <t>8IN GREEN TEA MF MATTRESS SQ</t>
        </is>
      </c>
      <c r="L35" s="285" t="inlineStr">
        <is>
          <t>ZU-MFMA1ZZI-08S</t>
        </is>
      </c>
      <c r="M35" s="76" t="inlineStr">
        <is>
          <t>299957YO</t>
        </is>
      </c>
      <c r="N35" s="284" t="inlineStr">
        <is>
          <t>F.MFM.08S.011.AD</t>
        </is>
      </c>
      <c r="O35" s="306" t="n"/>
      <c r="P35" s="111" t="n"/>
      <c r="Q35" s="318">
        <f>IFERROR(R35/H35, 0)</f>
        <v/>
      </c>
      <c r="R35" s="260" t="n">
        <v>59.1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6</v>
      </c>
      <c r="I36" s="311" t="inlineStr"/>
      <c r="J36" s="311" t="inlineStr"/>
      <c r="K36" s="284" t="inlineStr">
        <is>
          <t>10IN GREEN TEA MF MATTRESS EK</t>
        </is>
      </c>
      <c r="L36" s="285" t="inlineStr">
        <is>
          <t>ZU-MFMA1ZZI-10K</t>
        </is>
      </c>
      <c r="M36" s="76" t="inlineStr">
        <is>
          <t>299957YO</t>
        </is>
      </c>
      <c r="N36" s="284" t="inlineStr">
        <is>
          <t>F.MFM.10K.007.AD</t>
        </is>
      </c>
      <c r="O36" s="306" t="n"/>
      <c r="P36" s="111" t="n"/>
      <c r="Q36" s="318">
        <f>IFERROR(R36/H36, 0)</f>
        <v/>
      </c>
      <c r="R36" s="260" t="n">
        <v>582.66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149</v>
      </c>
      <c r="I37" s="311" t="inlineStr"/>
      <c r="J37" s="311" t="inlineStr"/>
      <c r="K37" s="284" t="inlineStr">
        <is>
          <t>8IN MYGEL FOAM MATTRESS TW</t>
        </is>
      </c>
      <c r="L37" s="285" t="inlineStr">
        <is>
          <t>ZU-MFGN1YZI-08T</t>
        </is>
      </c>
      <c r="M37" s="76" t="inlineStr">
        <is>
          <t>2OD43VAH</t>
        </is>
      </c>
      <c r="N37" s="284" t="inlineStr">
        <is>
          <t>F.MFG.08T.003.AD</t>
        </is>
      </c>
      <c r="O37" s="306" t="n"/>
      <c r="P37" s="111" t="n"/>
      <c r="Q37" s="318">
        <f>IFERROR(R37/H37, 0)</f>
        <v/>
      </c>
      <c r="R37" s="260" t="n">
        <v>5353.57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2</v>
      </c>
      <c r="I38" s="311" t="inlineStr"/>
      <c r="J38" s="311" t="inlineStr"/>
      <c r="K38" s="284" t="inlineStr">
        <is>
          <t>10IN OPP HD FL</t>
        </is>
      </c>
      <c r="L38" s="285" t="inlineStr">
        <is>
          <t>ZU-MFMA1OZI-10F</t>
        </is>
      </c>
      <c r="M38" s="76" t="inlineStr">
        <is>
          <t>2OD43VAH</t>
        </is>
      </c>
      <c r="N38" s="284" t="inlineStr">
        <is>
          <t>F.MFM.10F.013.AD</t>
        </is>
      </c>
      <c r="O38" s="306" t="n"/>
      <c r="P38" s="306" t="n"/>
      <c r="Q38" s="312">
        <f>IFERROR(R38/H38, 0)</f>
        <v/>
      </c>
      <c r="R38" s="307" t="n">
        <v>95.81999999999999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400</v>
      </c>
      <c r="I39" s="311" t="inlineStr"/>
      <c r="J39" s="311" t="inlineStr"/>
      <c r="K39" s="309" t="inlineStr">
        <is>
          <t>12IN OPP HD QN</t>
        </is>
      </c>
      <c r="L39" s="310" t="inlineStr">
        <is>
          <t>ZU-MFMA1OZI-12Q</t>
        </is>
      </c>
      <c r="M39" s="311" t="inlineStr">
        <is>
          <t>2OD43VAH</t>
        </is>
      </c>
      <c r="N39" s="309" t="inlineStr">
        <is>
          <t>F.MFM.12Q.010.AD</t>
        </is>
      </c>
      <c r="O39" s="306" t="n"/>
      <c r="P39" s="306" t="n"/>
      <c r="Q39" s="312">
        <f>IFERROR(R39/H39, 0)</f>
        <v/>
      </c>
      <c r="R39" s="307" t="n">
        <v>27028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79" t="n"/>
      <c r="F40" s="296" t="n"/>
      <c r="G40" s="279" t="n"/>
      <c r="H40" s="76" t="n">
        <v>1</v>
      </c>
      <c r="I40" s="76" t="inlineStr"/>
      <c r="J40" s="76" t="inlineStr"/>
      <c r="K40" s="284" t="inlineStr">
        <is>
          <t>10IN AIRFLOW GEL FOAM MATT QN</t>
        </is>
      </c>
      <c r="L40" s="285" t="inlineStr">
        <is>
          <t>ZU-MFMA1RZI-10Q</t>
        </is>
      </c>
      <c r="M40" s="76" t="inlineStr">
        <is>
          <t>2OD43VAH</t>
        </is>
      </c>
      <c r="N40" s="284" t="inlineStr">
        <is>
          <t>F.MFM.10Q.014.AD</t>
        </is>
      </c>
      <c r="O40" s="111" t="n"/>
      <c r="P40" s="111" t="n"/>
      <c r="Q40" s="318">
        <f>IFERROR(R40/H40, 0)</f>
        <v/>
      </c>
      <c r="R40" s="260" t="n">
        <v>53.9</v>
      </c>
      <c r="S40" s="261" t="n">
        <v>18056</v>
      </c>
      <c r="T40" s="261">
        <f>IFERROR(S40*R40, 0)</f>
        <v/>
      </c>
      <c r="U40" s="314" t="n"/>
      <c r="V40" s="278" t="n"/>
      <c r="W40" s="324" t="n"/>
      <c r="X40" s="76" t="n"/>
      <c r="Y40" s="278" t="n"/>
      <c r="Z40" s="279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1</v>
      </c>
      <c r="I41" s="311" t="inlineStr"/>
      <c r="J41" s="311" t="inlineStr"/>
      <c r="K41" s="309" t="inlineStr">
        <is>
          <t>12IN AIRFLOW GEL FOAM MATT QN</t>
        </is>
      </c>
      <c r="L41" s="310" t="inlineStr">
        <is>
          <t>ZU-MFMA1RZI-12Q</t>
        </is>
      </c>
      <c r="M41" s="311" t="inlineStr">
        <is>
          <t>2OD43VAH</t>
        </is>
      </c>
      <c r="N41" s="309" t="inlineStr">
        <is>
          <t>F.MFM.12Q.011.AD</t>
        </is>
      </c>
      <c r="O41" s="306" t="n"/>
      <c r="P41" s="306" t="n"/>
      <c r="Q41" s="312">
        <f>IFERROR(R41/H41, 0)</f>
        <v/>
      </c>
      <c r="R41" s="307" t="n">
        <v>67.56999999999999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8IN GREEN TEA MF MATTRESS SQ</t>
        </is>
      </c>
      <c r="L42" s="310" t="inlineStr">
        <is>
          <t>ZU-MFMA1ZZI-08S</t>
        </is>
      </c>
      <c r="M42" s="311" t="inlineStr">
        <is>
          <t>2OD43VAH</t>
        </is>
      </c>
      <c r="N42" s="309" t="inlineStr">
        <is>
          <t>F.MFM.08S.011.AD</t>
        </is>
      </c>
      <c r="O42" s="306" t="n"/>
      <c r="P42" s="306" t="n"/>
      <c r="Q42" s="312">
        <f>IFERROR(R42/H42, 0)</f>
        <v/>
      </c>
      <c r="R42" s="307" t="n">
        <v>59.1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368</v>
      </c>
      <c r="I43" s="311" t="inlineStr"/>
      <c r="J43" s="311" t="inlineStr"/>
      <c r="K43" s="309" t="inlineStr">
        <is>
          <t>8IN OPP HD FL</t>
        </is>
      </c>
      <c r="L43" s="310" t="inlineStr">
        <is>
          <t>ZU-MFMA1OZI-08F</t>
        </is>
      </c>
      <c r="M43" s="311" t="inlineStr">
        <is>
          <t>2XLW4FKE</t>
        </is>
      </c>
      <c r="N43" s="309" t="inlineStr">
        <is>
          <t>F.MFM.08F.013.AD</t>
        </is>
      </c>
      <c r="O43" s="306" t="n"/>
      <c r="P43" s="306" t="n"/>
      <c r="Q43" s="312">
        <f>IFERROR(R43/H43, 0)</f>
        <v/>
      </c>
      <c r="R43" s="307" t="n">
        <v>14326.24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198</v>
      </c>
      <c r="I44" s="311" t="inlineStr"/>
      <c r="J44" s="311" t="inlineStr"/>
      <c r="K44" s="309" t="inlineStr">
        <is>
          <t>12IN OPP HD QN</t>
        </is>
      </c>
      <c r="L44" s="310" t="inlineStr">
        <is>
          <t>ZU-MFMA1OZI-12Q</t>
        </is>
      </c>
      <c r="M44" s="311" t="inlineStr">
        <is>
          <t>2XLW4FKE</t>
        </is>
      </c>
      <c r="N44" s="309" t="inlineStr">
        <is>
          <t>F.MFM.12Q.010.AD</t>
        </is>
      </c>
      <c r="O44" s="306" t="n"/>
      <c r="P44" s="306" t="n"/>
      <c r="Q44" s="312">
        <f>IFERROR(R44/H44, 0)</f>
        <v/>
      </c>
      <c r="R44" s="307" t="n">
        <v>13378.86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56</v>
      </c>
      <c r="I45" s="311" t="inlineStr"/>
      <c r="J45" s="311" t="inlineStr"/>
      <c r="K45" s="309" t="inlineStr">
        <is>
          <t>12IN GREEN TEA MF MATTRESS TX</t>
        </is>
      </c>
      <c r="L45" s="310" t="inlineStr">
        <is>
          <t>ZU-MFMA1ZZI-12X</t>
        </is>
      </c>
      <c r="M45" s="311" t="inlineStr">
        <is>
          <t>2XLW4FKE</t>
        </is>
      </c>
      <c r="N45" s="309" t="inlineStr">
        <is>
          <t>F.MFM.12X.006.AD</t>
        </is>
      </c>
      <c r="O45" s="306" t="n"/>
      <c r="P45" s="306" t="n"/>
      <c r="Q45" s="312">
        <f>IFERROR(R45/H45, 0)</f>
        <v/>
      </c>
      <c r="R45" s="307" t="n">
        <v>3264.8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</v>
      </c>
      <c r="I46" s="311" t="inlineStr"/>
      <c r="J46" s="311" t="inlineStr"/>
      <c r="K46" s="309" t="inlineStr">
        <is>
          <t>5IN OPP HD TW</t>
        </is>
      </c>
      <c r="L46" s="310" t="inlineStr">
        <is>
          <t>ZU-MFMA1OZI-05T</t>
        </is>
      </c>
      <c r="M46" s="311" t="inlineStr">
        <is>
          <t>4JWS37TM</t>
        </is>
      </c>
      <c r="N46" s="309" t="inlineStr">
        <is>
          <t>F.MFM.05T.008.AD</t>
        </is>
      </c>
      <c r="O46" s="306" t="n"/>
      <c r="P46" s="306" t="n"/>
      <c r="Q46" s="312">
        <f>IFERROR(R46/H46, 0)</f>
        <v/>
      </c>
      <c r="R46" s="307" t="n">
        <v>23.95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1138</v>
      </c>
      <c r="I47" s="311" t="inlineStr"/>
      <c r="J47" s="311" t="inlineStr"/>
      <c r="K47" s="309" t="inlineStr">
        <is>
          <t>5IN GREEN TEA MF MATTRESS TW</t>
        </is>
      </c>
      <c r="L47" s="310" t="inlineStr">
        <is>
          <t>ZU-MFMA1ZZI-05T</t>
        </is>
      </c>
      <c r="M47" s="311" t="inlineStr">
        <is>
          <t>4JWS37TM</t>
        </is>
      </c>
      <c r="N47" s="309" t="inlineStr">
        <is>
          <t>F.MFM.05T.007.AD</t>
        </is>
      </c>
      <c r="O47" s="306" t="n"/>
      <c r="P47" s="306" t="n"/>
      <c r="Q47" s="312">
        <f>IFERROR(R47/H47, 0)</f>
        <v/>
      </c>
      <c r="R47" s="307" t="n">
        <v>26925.08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7.1" customHeight="1" s="223">
      <c r="A48" s="326" t="n"/>
      <c r="B48" s="327" t="n"/>
      <c r="C48" s="328" t="n"/>
      <c r="D48" s="328" t="n"/>
      <c r="E48" s="329" t="n"/>
      <c r="F48" s="329" t="n"/>
      <c r="G48" s="329" t="n"/>
      <c r="H48" s="330">
        <f>SUM(H21:H47)</f>
        <v/>
      </c>
      <c r="I48" s="331">
        <f>COUNTA(I21:I47)</f>
        <v/>
      </c>
      <c r="J48" s="330" t="n"/>
      <c r="K48" s="330" t="n"/>
      <c r="L48" s="332" t="n"/>
      <c r="M48" s="330" t="n"/>
      <c r="N48" s="330" t="n"/>
      <c r="O48" s="333">
        <f>SUM(O21:O47)</f>
        <v/>
      </c>
      <c r="P48" s="333">
        <f>SUM(P21:P47)</f>
        <v/>
      </c>
      <c r="Q48" s="334" t="n"/>
      <c r="R48" s="335">
        <f>SUM(R21:R47)</f>
        <v/>
      </c>
      <c r="S48" s="336" t="n"/>
      <c r="T48" s="336">
        <f>SUM(T21:T47)</f>
        <v/>
      </c>
      <c r="U48" s="330" t="n"/>
      <c r="V48" s="337" t="n"/>
      <c r="W48" s="338" t="n"/>
      <c r="X48" s="337" t="n"/>
      <c r="Y48" s="337" t="n"/>
      <c r="Z48" s="337" t="n"/>
    </row>
    <row r="49" ht="16.5" customHeight="1" s="223">
      <c r="A49" s="323" t="n">
        <v>5</v>
      </c>
      <c r="B49" s="325" t="inlineStr">
        <is>
          <t>000030ZIK48020260722000504</t>
        </is>
      </c>
      <c r="C49" s="304" t="n">
        <v>455806</v>
      </c>
      <c r="D49" s="304" t="n">
        <v>455745</v>
      </c>
      <c r="E49" s="317" t="n">
        <v>46226</v>
      </c>
      <c r="F49" s="321" t="inlineStr">
        <is>
          <t>ID2607-7886</t>
        </is>
      </c>
      <c r="G49" s="317" t="n">
        <v>46225</v>
      </c>
      <c r="H49" s="311" t="n">
        <v>966</v>
      </c>
      <c r="I49" s="311" t="inlineStr">
        <is>
          <t>EGHU9205621</t>
        </is>
      </c>
      <c r="J49" s="311" t="inlineStr">
        <is>
          <t>40FT</t>
        </is>
      </c>
      <c r="K49" s="309" t="inlineStr">
        <is>
          <t>8IN OPP HD TW</t>
        </is>
      </c>
      <c r="L49" s="310" t="inlineStr">
        <is>
          <t>ZU-MFMA1OZI-08T</t>
        </is>
      </c>
      <c r="M49" s="311" t="inlineStr">
        <is>
          <t>3NDHMI4R</t>
        </is>
      </c>
      <c r="N49" s="309" t="inlineStr">
        <is>
          <t>F.MFM.08T.013.AD</t>
        </is>
      </c>
      <c r="O49" s="306" t="n">
        <v>79248.28999999999</v>
      </c>
      <c r="P49" s="306" t="n">
        <v>68661.08</v>
      </c>
      <c r="Q49" s="312">
        <f>IFERROR(R49/H49, 0)</f>
        <v/>
      </c>
      <c r="R49" s="307" t="n">
        <v>28922.04</v>
      </c>
      <c r="S49" s="308" t="n">
        <v>18056</v>
      </c>
      <c r="T49" s="308">
        <f>IFERROR(S49*R49, 0)</f>
        <v/>
      </c>
      <c r="U49" s="313" t="inlineStr">
        <is>
          <t>040300/KPPBC</t>
        </is>
      </c>
      <c r="V49" s="315" t="inlineStr">
        <is>
          <t>TG. PRIOK</t>
        </is>
      </c>
      <c r="W49" s="316" t="inlineStr">
        <is>
          <t>SAVANNAH</t>
        </is>
      </c>
      <c r="X49" s="311" t="inlineStr">
        <is>
          <t>AMAZON.COM SERVICES LLC</t>
        </is>
      </c>
      <c r="Y49" s="315" t="inlineStr">
        <is>
          <t>EGLV080600441792</t>
        </is>
      </c>
      <c r="Z49" s="317" t="n">
        <v>46226</v>
      </c>
    </row>
    <row r="50" ht="16.5" customHeight="1" s="223">
      <c r="A50" s="323" t="n"/>
      <c r="B50" s="325" t="n"/>
      <c r="C50" s="304" t="n"/>
      <c r="D50" s="304" t="n"/>
      <c r="E50" s="317" t="n"/>
      <c r="F50" s="321" t="n"/>
      <c r="G50" s="317" t="n"/>
      <c r="H50" s="311" t="n">
        <v>1145</v>
      </c>
      <c r="I50" s="311" t="inlineStr">
        <is>
          <t>EGHU9121367</t>
        </is>
      </c>
      <c r="J50" s="311" t="inlineStr">
        <is>
          <t>40FT</t>
        </is>
      </c>
      <c r="K50" s="309" t="inlineStr">
        <is>
          <t>5IN GREEN TEA MF MATTRESS TW</t>
        </is>
      </c>
      <c r="L50" s="310" t="inlineStr">
        <is>
          <t>ZU-MFMA1ZZI-05T</t>
        </is>
      </c>
      <c r="M50" s="311" t="inlineStr">
        <is>
          <t>4I3CD5IH</t>
        </is>
      </c>
      <c r="N50" s="309" t="inlineStr">
        <is>
          <t>F.MFM.05T.007.AD</t>
        </is>
      </c>
      <c r="O50" s="306" t="n"/>
      <c r="P50" s="306" t="n"/>
      <c r="Q50" s="312">
        <f>IFERROR(R50/H50, 0)</f>
        <v/>
      </c>
      <c r="R50" s="307" t="n">
        <v>27090.7</v>
      </c>
      <c r="S50" s="308" t="n">
        <v>18056</v>
      </c>
      <c r="T50" s="308">
        <f>IFERROR(S50*R50, 0)</f>
        <v/>
      </c>
      <c r="U50" s="313" t="n"/>
      <c r="V50" s="315" t="n"/>
      <c r="W50" s="316" t="inlineStr">
        <is>
          <t>ETD : 27-07-2026</t>
        </is>
      </c>
      <c r="X50" s="311" t="n"/>
      <c r="Y50" s="315" t="n"/>
      <c r="Z50" s="317" t="n"/>
    </row>
    <row r="51" ht="16.5" customHeight="1" s="223">
      <c r="A51" s="323" t="n"/>
      <c r="B51" s="325" t="n"/>
      <c r="C51" s="304" t="n"/>
      <c r="D51" s="304" t="n"/>
      <c r="E51" s="317" t="n"/>
      <c r="F51" s="321" t="n"/>
      <c r="G51" s="317" t="n"/>
      <c r="H51" s="311" t="n">
        <v>1144</v>
      </c>
      <c r="I51" s="311" t="inlineStr">
        <is>
          <t>EGHU9713330</t>
        </is>
      </c>
      <c r="J51" s="311" t="inlineStr">
        <is>
          <t>40FT</t>
        </is>
      </c>
      <c r="K51" s="309" t="inlineStr">
        <is>
          <t>5IN GREEN TEA MF MATTRESS TW</t>
        </is>
      </c>
      <c r="L51" s="310" t="inlineStr">
        <is>
          <t>ZU-MFMA1ZZI-05T</t>
        </is>
      </c>
      <c r="M51" s="311" t="inlineStr">
        <is>
          <t>88Y96MHS</t>
        </is>
      </c>
      <c r="N51" s="309" t="inlineStr">
        <is>
          <t>F.MFM.05T.007.AD</t>
        </is>
      </c>
      <c r="O51" s="306" t="n"/>
      <c r="P51" s="306" t="n"/>
      <c r="Q51" s="312">
        <f>IFERROR(R51/H51, 0)</f>
        <v/>
      </c>
      <c r="R51" s="307" t="n">
        <v>27067.04</v>
      </c>
      <c r="S51" s="308" t="n">
        <v>18056</v>
      </c>
      <c r="T51" s="308">
        <f>IFERROR(S51*R51, 0)</f>
        <v/>
      </c>
      <c r="U51" s="313" t="n"/>
      <c r="V51" s="315" t="n"/>
      <c r="W51" s="316" t="n"/>
      <c r="X51" s="311" t="n"/>
      <c r="Y51" s="315" t="n"/>
      <c r="Z51" s="317" t="n"/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502</v>
      </c>
      <c r="I52" s="311" t="inlineStr">
        <is>
          <t>EMCU8701869</t>
        </is>
      </c>
      <c r="J52" s="311" t="inlineStr">
        <is>
          <t>40FT</t>
        </is>
      </c>
      <c r="K52" s="309" t="inlineStr">
        <is>
          <t>12IN GREEN TEA MF MATTRESS QN</t>
        </is>
      </c>
      <c r="L52" s="310" t="inlineStr">
        <is>
          <t>ZU-MFMA1ZZI-12Q</t>
        </is>
      </c>
      <c r="M52" s="311" t="inlineStr">
        <is>
          <t>8B4RWISK</t>
        </is>
      </c>
      <c r="N52" s="309" t="inlineStr">
        <is>
          <t>F.MFM.12Q.006.AD</t>
        </is>
      </c>
      <c r="O52" s="306" t="n"/>
      <c r="P52" s="306" t="n"/>
      <c r="Q52" s="312">
        <f>IFERROR(R52/H52, 0)</f>
        <v/>
      </c>
      <c r="R52" s="307" t="n">
        <v>42062.58</v>
      </c>
      <c r="S52" s="308" t="n">
        <v>18056</v>
      </c>
      <c r="T52" s="308">
        <f>IFERROR(S52*R52, 0)</f>
        <v/>
      </c>
      <c r="U52" s="313" t="n"/>
      <c r="V52" s="315" t="n"/>
      <c r="W52" s="316" t="n"/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3</v>
      </c>
      <c r="I53" s="311" t="inlineStr">
        <is>
          <t>EMCU1598276</t>
        </is>
      </c>
      <c r="J53" s="311" t="inlineStr">
        <is>
          <t>40FT</t>
        </is>
      </c>
      <c r="K53" s="309" t="inlineStr">
        <is>
          <t>8IN OPP HD FL</t>
        </is>
      </c>
      <c r="L53" s="310" t="inlineStr">
        <is>
          <t>ZU-MFMA1OZI-08F</t>
        </is>
      </c>
      <c r="M53" s="311" t="inlineStr">
        <is>
          <t>8GO2PUDD</t>
        </is>
      </c>
      <c r="N53" s="309" t="inlineStr">
        <is>
          <t>F.MFM.08F.013.AD</t>
        </is>
      </c>
      <c r="O53" s="306" t="n"/>
      <c r="P53" s="306" t="n"/>
      <c r="Q53" s="312">
        <f>IFERROR(R53/H53, 0)</f>
        <v/>
      </c>
      <c r="R53" s="307" t="n">
        <v>116.79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400</v>
      </c>
      <c r="I54" s="311" t="inlineStr">
        <is>
          <t>EGSU1735716</t>
        </is>
      </c>
      <c r="J54" s="311" t="inlineStr">
        <is>
          <t>40FT</t>
        </is>
      </c>
      <c r="K54" s="309" t="inlineStr">
        <is>
          <t>8IN GREEN TEA MF MATTRESS TW</t>
        </is>
      </c>
      <c r="L54" s="310" t="inlineStr">
        <is>
          <t>ZU-MFMA1ZZI-08T</t>
        </is>
      </c>
      <c r="M54" s="311" t="inlineStr">
        <is>
          <t>8GO2PUDD</t>
        </is>
      </c>
      <c r="N54" s="309" t="inlineStr">
        <is>
          <t>F.MFM.08T.008.AD</t>
        </is>
      </c>
      <c r="O54" s="306" t="n"/>
      <c r="P54" s="306" t="n"/>
      <c r="Q54" s="312">
        <f>IFERROR(R54/H54, 0)</f>
        <v/>
      </c>
      <c r="R54" s="307" t="n">
        <v>14372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206</v>
      </c>
      <c r="I55" s="311" t="inlineStr">
        <is>
          <t>EGHU9733906</t>
        </is>
      </c>
      <c r="J55" s="311" t="inlineStr">
        <is>
          <t>40FT</t>
        </is>
      </c>
      <c r="K55" s="309" t="inlineStr">
        <is>
          <t>12IN GREEN TEA MF MATTRESS QN</t>
        </is>
      </c>
      <c r="L55" s="310" t="inlineStr">
        <is>
          <t>ZU-MFMA1ZZI-12Q</t>
        </is>
      </c>
      <c r="M55" s="311" t="inlineStr">
        <is>
          <t>8GO2PUDD</t>
        </is>
      </c>
      <c r="N55" s="309" t="inlineStr">
        <is>
          <t>F.MFM.12Q.006.AD</t>
        </is>
      </c>
      <c r="O55" s="306" t="n"/>
      <c r="P55" s="306" t="n"/>
      <c r="Q55" s="312">
        <f>IFERROR(R55/H55, 0)</f>
        <v/>
      </c>
      <c r="R55" s="307" t="n">
        <v>17260.74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605</v>
      </c>
      <c r="I56" s="311" t="inlineStr"/>
      <c r="J56" s="311" t="inlineStr"/>
      <c r="K56" s="309" t="inlineStr">
        <is>
          <t>8IN OPP HD TW</t>
        </is>
      </c>
      <c r="L56" s="310" t="inlineStr">
        <is>
          <t>ZU-MFMA1OZI-08T</t>
        </is>
      </c>
      <c r="M56" s="311" t="inlineStr">
        <is>
          <t>8VH5JQ8T</t>
        </is>
      </c>
      <c r="N56" s="309" t="inlineStr">
        <is>
          <t>F.MFM.08T.013.AD</t>
        </is>
      </c>
      <c r="O56" s="306" t="n"/>
      <c r="P56" s="306" t="n"/>
      <c r="Q56" s="312">
        <f>IFERROR(R56/H56, 0)</f>
        <v/>
      </c>
      <c r="R56" s="307" t="n">
        <v>18113.7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427</v>
      </c>
      <c r="I57" s="311" t="inlineStr"/>
      <c r="J57" s="311" t="inlineStr"/>
      <c r="K57" s="309" t="inlineStr">
        <is>
          <t>5IN GREEN TEA MF MATTRESS TW</t>
        </is>
      </c>
      <c r="L57" s="310" t="inlineStr">
        <is>
          <t>ZU-MFMA1ZZI-05T</t>
        </is>
      </c>
      <c r="M57" s="311" t="inlineStr">
        <is>
          <t>8VH5JQ8T</t>
        </is>
      </c>
      <c r="N57" s="309" t="inlineStr">
        <is>
          <t>F.MFM.05T.007.AD</t>
        </is>
      </c>
      <c r="O57" s="306" t="n"/>
      <c r="P57" s="306" t="n"/>
      <c r="Q57" s="312">
        <f>IFERROR(R57/H57, 0)</f>
        <v/>
      </c>
      <c r="R57" s="307" t="n">
        <v>10102.82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1</v>
      </c>
      <c r="I58" s="311" t="inlineStr"/>
      <c r="J58" s="311" t="inlineStr"/>
      <c r="K58" s="309" t="inlineStr">
        <is>
          <t>12IN GREEN TEA MF MATTRESS QN</t>
        </is>
      </c>
      <c r="L58" s="310" t="inlineStr">
        <is>
          <t>ZU-MFMA1ZZI-12Q</t>
        </is>
      </c>
      <c r="M58" s="311" t="inlineStr">
        <is>
          <t>8VH5JQ8T</t>
        </is>
      </c>
      <c r="N58" s="309" t="inlineStr">
        <is>
          <t>F.MFM.12Q.006.AD</t>
        </is>
      </c>
      <c r="O58" s="306" t="n"/>
      <c r="P58" s="306" t="n"/>
      <c r="Q58" s="312">
        <f>IFERROR(R58/H58, 0)</f>
        <v/>
      </c>
      <c r="R58" s="307" t="n">
        <v>83.79000000000001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7.1" customHeight="1" s="223">
      <c r="A59" s="326" t="n"/>
      <c r="B59" s="327" t="n"/>
      <c r="C59" s="328" t="n"/>
      <c r="D59" s="328" t="n"/>
      <c r="E59" s="329" t="n"/>
      <c r="F59" s="329" t="n"/>
      <c r="G59" s="329" t="n"/>
      <c r="H59" s="330">
        <f>SUM(H49:H58)</f>
        <v/>
      </c>
      <c r="I59" s="331">
        <f>COUNTA(I49:I58)</f>
        <v/>
      </c>
      <c r="J59" s="330" t="n"/>
      <c r="K59" s="330" t="n"/>
      <c r="L59" s="332" t="n"/>
      <c r="M59" s="330" t="n"/>
      <c r="N59" s="330" t="n"/>
      <c r="O59" s="333">
        <f>SUM(O49:O58)</f>
        <v/>
      </c>
      <c r="P59" s="333">
        <f>SUM(P49:P58)</f>
        <v/>
      </c>
      <c r="Q59" s="334" t="n"/>
      <c r="R59" s="335">
        <f>SUM(R49:R58)</f>
        <v/>
      </c>
      <c r="S59" s="336" t="n"/>
      <c r="T59" s="336">
        <f>SUM(T49:T58)</f>
        <v/>
      </c>
      <c r="U59" s="330" t="n"/>
      <c r="V59" s="337" t="n"/>
      <c r="W59" s="338" t="n"/>
      <c r="X59" s="337" t="n"/>
      <c r="Y59" s="337" t="n"/>
      <c r="Z59" s="337" t="n"/>
    </row>
    <row r="60" ht="16.5" customHeight="1" s="223">
      <c r="A60" s="323" t="n">
        <v>6</v>
      </c>
      <c r="B60" s="325" t="inlineStr">
        <is>
          <t>000030ZIK48020260722000506</t>
        </is>
      </c>
      <c r="C60" s="304" t="n">
        <v>454283</v>
      </c>
      <c r="D60" s="304" t="n">
        <v>454227</v>
      </c>
      <c r="E60" s="317" t="n">
        <v>46226</v>
      </c>
      <c r="F60" s="321" t="inlineStr">
        <is>
          <t>ID2607-7885</t>
        </is>
      </c>
      <c r="G60" s="317" t="n">
        <v>46225</v>
      </c>
      <c r="H60" s="311" t="n">
        <v>182</v>
      </c>
      <c r="I60" s="311" t="inlineStr">
        <is>
          <t>MSMU5513960</t>
        </is>
      </c>
      <c r="J60" s="311" t="inlineStr">
        <is>
          <t>40FT</t>
        </is>
      </c>
      <c r="K60" s="309" t="inlineStr">
        <is>
          <t>10IN GREEN TEA MF MATTRESS TX</t>
        </is>
      </c>
      <c r="L60" s="310" t="inlineStr">
        <is>
          <t>OLC-FMS-1000TXL-IN</t>
        </is>
      </c>
      <c r="M60" s="311" t="inlineStr">
        <is>
          <t>5FFUUH8B</t>
        </is>
      </c>
      <c r="N60" s="309" t="inlineStr">
        <is>
          <t>F.MFM.10X.003.BD</t>
        </is>
      </c>
      <c r="O60" s="306" t="n">
        <v>55657.92</v>
      </c>
      <c r="P60" s="306" t="n">
        <v>41484.87</v>
      </c>
      <c r="Q60" s="312">
        <f>IFERROR(R60/H60, 0)</f>
        <v/>
      </c>
      <c r="R60" s="307" t="n">
        <v>10437.7</v>
      </c>
      <c r="S60" s="308" t="n">
        <v>18056</v>
      </c>
      <c r="T60" s="308">
        <f>IFERROR(S60*R60, 0)</f>
        <v/>
      </c>
      <c r="U60" s="313" t="inlineStr">
        <is>
          <t>040300/KPPBC</t>
        </is>
      </c>
      <c r="V60" s="315" t="inlineStr">
        <is>
          <t>TG. PRIOK</t>
        </is>
      </c>
      <c r="W60" s="316" t="inlineStr">
        <is>
          <t>LONG BEACH</t>
        </is>
      </c>
      <c r="X60" s="311" t="inlineStr">
        <is>
          <t>AMAZON.COM SERVICES LLC</t>
        </is>
      </c>
      <c r="Y60" s="315" t="inlineStr">
        <is>
          <t>MEDURQ965481</t>
        </is>
      </c>
      <c r="Z60" s="317" t="n">
        <v>46226</v>
      </c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101</v>
      </c>
      <c r="I61" s="311" t="inlineStr">
        <is>
          <t>TLLU5166027</t>
        </is>
      </c>
      <c r="J61" s="311" t="inlineStr">
        <is>
          <t>40FT</t>
        </is>
      </c>
      <c r="K61" s="309" t="inlineStr">
        <is>
          <t>12IN GEL FOAM MATTRESS TW</t>
        </is>
      </c>
      <c r="L61" s="310" t="inlineStr">
        <is>
          <t>GFM-12T</t>
        </is>
      </c>
      <c r="M61" s="311" t="inlineStr">
        <is>
          <t>77K91MJU</t>
        </is>
      </c>
      <c r="N61" s="309" t="inlineStr">
        <is>
          <t>F.MFG.12T.000.BD</t>
        </is>
      </c>
      <c r="O61" s="306" t="n"/>
      <c r="P61" s="306" t="n"/>
      <c r="Q61" s="312">
        <f>IFERROR(R61/H61, 0)</f>
        <v/>
      </c>
      <c r="R61" s="307" t="n">
        <v>5225.74</v>
      </c>
      <c r="S61" s="308" t="n">
        <v>18056</v>
      </c>
      <c r="T61" s="308">
        <f>IFERROR(S61*R61, 0)</f>
        <v/>
      </c>
      <c r="U61" s="313" t="n"/>
      <c r="V61" s="315" t="n"/>
      <c r="W61" s="316" t="inlineStr">
        <is>
          <t>ETD : 27-07-2026</t>
        </is>
      </c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174</v>
      </c>
      <c r="I62" s="311" t="inlineStr">
        <is>
          <t>MSMU4309479</t>
        </is>
      </c>
      <c r="J62" s="311" t="inlineStr">
        <is>
          <t>40FT</t>
        </is>
      </c>
      <c r="K62" s="309" t="inlineStr">
        <is>
          <t>10IN GREEN TEA MF MATTRESS TX</t>
        </is>
      </c>
      <c r="L62" s="310" t="inlineStr">
        <is>
          <t>OLC-FMS-1000TXL-IN</t>
        </is>
      </c>
      <c r="M62" s="311" t="inlineStr">
        <is>
          <t>77K91MJU</t>
        </is>
      </c>
      <c r="N62" s="309" t="inlineStr">
        <is>
          <t>F.MFM.10X.003.BD</t>
        </is>
      </c>
      <c r="O62" s="306" t="n"/>
      <c r="P62" s="306" t="n"/>
      <c r="Q62" s="312">
        <f>IFERROR(R62/H62, 0)</f>
        <v/>
      </c>
      <c r="R62" s="307" t="n">
        <v>9978.9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64</v>
      </c>
      <c r="I63" s="311" t="inlineStr">
        <is>
          <t>TGHU4968395</t>
        </is>
      </c>
      <c r="J63" s="311" t="inlineStr">
        <is>
          <t>40FT</t>
        </is>
      </c>
      <c r="K63" s="309" t="inlineStr">
        <is>
          <t>12IN GEL FOAM MATTRESS TW</t>
        </is>
      </c>
      <c r="L63" s="310" t="inlineStr">
        <is>
          <t>GFM-12T</t>
        </is>
      </c>
      <c r="M63" s="311" t="inlineStr">
        <is>
          <t>7D4ITY4N</t>
        </is>
      </c>
      <c r="N63" s="309" t="inlineStr">
        <is>
          <t>F.MFG.12T.000.BD</t>
        </is>
      </c>
      <c r="O63" s="306" t="n"/>
      <c r="P63" s="306" t="n"/>
      <c r="Q63" s="312">
        <f>IFERROR(R63/H63, 0)</f>
        <v/>
      </c>
      <c r="R63" s="307" t="n">
        <v>3311.36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99</v>
      </c>
      <c r="I64" s="311" t="inlineStr">
        <is>
          <t>MSBU4617117</t>
        </is>
      </c>
      <c r="J64" s="311" t="inlineStr">
        <is>
          <t>40FT</t>
        </is>
      </c>
      <c r="K64" s="309" t="inlineStr">
        <is>
          <t>10IN GREEN TEA MF MATTRESS TX</t>
        </is>
      </c>
      <c r="L64" s="310" t="inlineStr">
        <is>
          <t>OLC-FMS-1000TXL-IN</t>
        </is>
      </c>
      <c r="M64" s="311" t="inlineStr">
        <is>
          <t>7D4ITY4N</t>
        </is>
      </c>
      <c r="N64" s="309" t="inlineStr">
        <is>
          <t>F.MFM.10X.003.BD</t>
        </is>
      </c>
      <c r="O64" s="306" t="n"/>
      <c r="P64" s="306" t="n"/>
      <c r="Q64" s="312">
        <f>IFERROR(R64/H64, 0)</f>
        <v/>
      </c>
      <c r="R64" s="307" t="n">
        <v>5677.65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1</v>
      </c>
      <c r="I65" s="311" t="inlineStr"/>
      <c r="J65" s="311" t="inlineStr"/>
      <c r="K65" s="309" t="inlineStr">
        <is>
          <t>10IN GREEN TEA MF MATTRESS TX</t>
        </is>
      </c>
      <c r="L65" s="310" t="inlineStr">
        <is>
          <t>OLC-FMS-1000TXL-IN</t>
        </is>
      </c>
      <c r="M65" s="311" t="inlineStr">
        <is>
          <t>7MO3ZAUN</t>
        </is>
      </c>
      <c r="N65" s="309" t="inlineStr">
        <is>
          <t>F.MFM.10X.003.BD</t>
        </is>
      </c>
      <c r="O65" s="306" t="n"/>
      <c r="P65" s="306" t="n"/>
      <c r="Q65" s="312">
        <f>IFERROR(R65/H65, 0)</f>
        <v/>
      </c>
      <c r="R65" s="307" t="n">
        <v>57.35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152</v>
      </c>
      <c r="I66" s="311" t="inlineStr"/>
      <c r="J66" s="311" t="inlineStr"/>
      <c r="K66" s="309" t="inlineStr">
        <is>
          <t>12IN GEL FOAM MATTRESS TW</t>
        </is>
      </c>
      <c r="L66" s="310" t="inlineStr">
        <is>
          <t>GFM-12T</t>
        </is>
      </c>
      <c r="M66" s="311" t="inlineStr">
        <is>
          <t>8Y39N9EN</t>
        </is>
      </c>
      <c r="N66" s="309" t="inlineStr">
        <is>
          <t>F.MFG.12T.000.BD</t>
        </is>
      </c>
      <c r="O66" s="306" t="n"/>
      <c r="P66" s="306" t="n"/>
      <c r="Q66" s="312">
        <f>IFERROR(R66/H66, 0)</f>
        <v/>
      </c>
      <c r="R66" s="307" t="n">
        <v>7864.48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390</v>
      </c>
      <c r="I67" s="311" t="inlineStr"/>
      <c r="J67" s="311" t="inlineStr"/>
      <c r="K67" s="309" t="inlineStr">
        <is>
          <t>3IN CV LAVENDER MF TOPPER FL</t>
        </is>
      </c>
      <c r="L67" s="310" t="inlineStr">
        <is>
          <t>ECMF-03FL-IN</t>
        </is>
      </c>
      <c r="M67" s="311" t="inlineStr">
        <is>
          <t>5FFUUH8B</t>
        </is>
      </c>
      <c r="N67" s="309" t="inlineStr">
        <is>
          <t>F.TMT.03F.010.BD</t>
        </is>
      </c>
      <c r="O67" s="306" t="n"/>
      <c r="P67" s="306" t="n"/>
      <c r="Q67" s="312">
        <f>IFERROR(R67/H67, 0)</f>
        <v/>
      </c>
      <c r="R67" s="307" t="n">
        <v>5697.9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874</v>
      </c>
      <c r="I68" s="311" t="inlineStr"/>
      <c r="J68" s="311" t="inlineStr"/>
      <c r="K68" s="309" t="inlineStr">
        <is>
          <t>3IN CV LAVENDER MF TOPPER TW</t>
        </is>
      </c>
      <c r="L68" s="310" t="inlineStr">
        <is>
          <t>ECMF-03TL-IN</t>
        </is>
      </c>
      <c r="M68" s="311" t="inlineStr">
        <is>
          <t>5FFUUH8B</t>
        </is>
      </c>
      <c r="N68" s="309" t="inlineStr">
        <is>
          <t>F.TMT.03T.010.BD</t>
        </is>
      </c>
      <c r="O68" s="306" t="n"/>
      <c r="P68" s="306" t="n"/>
      <c r="Q68" s="312">
        <f>IFERROR(R68/H68, 0)</f>
        <v/>
      </c>
      <c r="R68" s="307" t="n">
        <v>9657.700000000001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455</v>
      </c>
      <c r="I69" s="311" t="inlineStr"/>
      <c r="J69" s="311" t="inlineStr"/>
      <c r="K69" s="309" t="inlineStr">
        <is>
          <t>3IN CV LAVENDER MF TOPPER FL</t>
        </is>
      </c>
      <c r="L69" s="310" t="inlineStr">
        <is>
          <t>ECMF-03FL-IN</t>
        </is>
      </c>
      <c r="M69" s="311" t="inlineStr">
        <is>
          <t>77K91MJU</t>
        </is>
      </c>
      <c r="N69" s="309" t="inlineStr">
        <is>
          <t>F.TMT.03F.010.BD</t>
        </is>
      </c>
      <c r="O69" s="306" t="n"/>
      <c r="P69" s="306" t="n"/>
      <c r="Q69" s="312">
        <f>IFERROR(R69/H69, 0)</f>
        <v/>
      </c>
      <c r="R69" s="307" t="n">
        <v>6647.55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196</v>
      </c>
      <c r="I70" s="311" t="inlineStr"/>
      <c r="J70" s="311" t="inlineStr"/>
      <c r="K70" s="309" t="inlineStr">
        <is>
          <t>3IN CV LAVENDER MF TOPPER QN</t>
        </is>
      </c>
      <c r="L70" s="310" t="inlineStr">
        <is>
          <t>ECMF-03QL-IN</t>
        </is>
      </c>
      <c r="M70" s="311" t="inlineStr">
        <is>
          <t>77K91MJU</t>
        </is>
      </c>
      <c r="N70" s="309" t="inlineStr">
        <is>
          <t>F.TMT.03Q.010.BD</t>
        </is>
      </c>
      <c r="O70" s="306" t="n"/>
      <c r="P70" s="306" t="n"/>
      <c r="Q70" s="312">
        <f>IFERROR(R70/H70, 0)</f>
        <v/>
      </c>
      <c r="R70" s="307" t="n">
        <v>3661.28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500</v>
      </c>
      <c r="I71" s="311" t="inlineStr"/>
      <c r="J71" s="311" t="inlineStr"/>
      <c r="K71" s="309" t="inlineStr">
        <is>
          <t>3IN CV LAVENDER MF TOPPER TW</t>
        </is>
      </c>
      <c r="L71" s="310" t="inlineStr">
        <is>
          <t>ECMF-03TL-IN</t>
        </is>
      </c>
      <c r="M71" s="311" t="inlineStr">
        <is>
          <t>77K91MJU</t>
        </is>
      </c>
      <c r="N71" s="309" t="inlineStr">
        <is>
          <t>F.TMT.03T.010.BD</t>
        </is>
      </c>
      <c r="O71" s="306" t="n"/>
      <c r="P71" s="306" t="n"/>
      <c r="Q71" s="312">
        <f>IFERROR(R71/H71, 0)</f>
        <v/>
      </c>
      <c r="R71" s="307" t="n">
        <v>5525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8</v>
      </c>
      <c r="I72" s="311" t="inlineStr"/>
      <c r="J72" s="311" t="inlineStr"/>
      <c r="K72" s="309" t="inlineStr">
        <is>
          <t>3IN CV LAVENDER MF TOPPER TX</t>
        </is>
      </c>
      <c r="L72" s="310" t="inlineStr">
        <is>
          <t>ECMF-03TXLL-IN</t>
        </is>
      </c>
      <c r="M72" s="311" t="inlineStr">
        <is>
          <t>77K91MJU</t>
        </is>
      </c>
      <c r="N72" s="309" t="inlineStr">
        <is>
          <t>F.TMT.03X.010.BD</t>
        </is>
      </c>
      <c r="O72" s="306" t="n"/>
      <c r="P72" s="306" t="n"/>
      <c r="Q72" s="312">
        <f>IFERROR(R72/H72, 0)</f>
        <v/>
      </c>
      <c r="R72" s="307" t="n">
        <v>96.16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31</v>
      </c>
      <c r="I73" s="311" t="inlineStr"/>
      <c r="J73" s="311" t="inlineStr"/>
      <c r="K73" s="309" t="inlineStr">
        <is>
          <t>4IN CV LAVENDER MF TOPPER TW</t>
        </is>
      </c>
      <c r="L73" s="310" t="inlineStr">
        <is>
          <t>ECMF-LV4T-IN</t>
        </is>
      </c>
      <c r="M73" s="311" t="inlineStr">
        <is>
          <t>77K91MJU</t>
        </is>
      </c>
      <c r="N73" s="309" t="inlineStr">
        <is>
          <t>F.TMT.04T.012.BD</t>
        </is>
      </c>
      <c r="O73" s="306" t="n"/>
      <c r="P73" s="306" t="n"/>
      <c r="Q73" s="312">
        <f>IFERROR(R73/H73, 0)</f>
        <v/>
      </c>
      <c r="R73" s="307" t="n">
        <v>438.34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284</v>
      </c>
      <c r="I74" s="311" t="inlineStr"/>
      <c r="J74" s="311" t="inlineStr"/>
      <c r="K74" s="309" t="inlineStr">
        <is>
          <t>3IN CV LAVENDER MF TOPPER FL</t>
        </is>
      </c>
      <c r="L74" s="310" t="inlineStr">
        <is>
          <t>ECMF-03FL-IN</t>
        </is>
      </c>
      <c r="M74" s="311" t="inlineStr">
        <is>
          <t>7D4ITY4N</t>
        </is>
      </c>
      <c r="N74" s="309" t="inlineStr">
        <is>
          <t>F.TMT.03F.010.BD</t>
        </is>
      </c>
      <c r="O74" s="306" t="n"/>
      <c r="P74" s="306" t="n"/>
      <c r="Q74" s="312">
        <f>IFERROR(R74/H74, 0)</f>
        <v/>
      </c>
      <c r="R74" s="307" t="n">
        <v>4149.24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337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7D4ITY4N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6295.16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715</v>
      </c>
      <c r="I76" s="311" t="inlineStr"/>
      <c r="J76" s="311" t="inlineStr"/>
      <c r="K76" s="309" t="inlineStr">
        <is>
          <t>3IN CV LAVENDER MF TOPPER TW</t>
        </is>
      </c>
      <c r="L76" s="310" t="inlineStr">
        <is>
          <t>ECMF-03TL-IN</t>
        </is>
      </c>
      <c r="M76" s="311" t="inlineStr">
        <is>
          <t>7D4ITY4N</t>
        </is>
      </c>
      <c r="N76" s="309" t="inlineStr">
        <is>
          <t>F.TMT.03T.010.BD</t>
        </is>
      </c>
      <c r="O76" s="306" t="n"/>
      <c r="P76" s="306" t="n"/>
      <c r="Q76" s="312">
        <f>IFERROR(R76/H76, 0)</f>
        <v/>
      </c>
      <c r="R76" s="307" t="n">
        <v>7900.75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37</v>
      </c>
      <c r="I77" s="311" t="inlineStr"/>
      <c r="J77" s="311" t="inlineStr"/>
      <c r="K77" s="309" t="inlineStr">
        <is>
          <t>3IN CV LAVENDER MF TOPPER TX</t>
        </is>
      </c>
      <c r="L77" s="310" t="inlineStr">
        <is>
          <t>ECMF-03TXLL-IN</t>
        </is>
      </c>
      <c r="M77" s="311" t="inlineStr">
        <is>
          <t>7D4ITY4N</t>
        </is>
      </c>
      <c r="N77" s="309" t="inlineStr">
        <is>
          <t>F.TMT.03X.010.BD</t>
        </is>
      </c>
      <c r="O77" s="306" t="n"/>
      <c r="P77" s="306" t="n"/>
      <c r="Q77" s="312">
        <f>IFERROR(R77/H77, 0)</f>
        <v/>
      </c>
      <c r="R77" s="307" t="n">
        <v>444.74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3</v>
      </c>
      <c r="I78" s="311" t="inlineStr"/>
      <c r="J78" s="311" t="inlineStr"/>
      <c r="K78" s="309" t="inlineStr">
        <is>
          <t>2IN CV LAVENDER MF TOPPER QN</t>
        </is>
      </c>
      <c r="L78" s="310" t="inlineStr">
        <is>
          <t>ECMF-LV2Q-IN</t>
        </is>
      </c>
      <c r="M78" s="311" t="inlineStr">
        <is>
          <t>7D4ITY4N</t>
        </is>
      </c>
      <c r="N78" s="309" t="inlineStr">
        <is>
          <t>F.TMT.02Q.008.BD</t>
        </is>
      </c>
      <c r="O78" s="306" t="n"/>
      <c r="P78" s="306" t="n"/>
      <c r="Q78" s="312">
        <f>IFERROR(R78/H78, 0)</f>
        <v/>
      </c>
      <c r="R78" s="307" t="n">
        <v>36.39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6.5" customHeight="1" s="223">
      <c r="A79" s="323" t="n"/>
      <c r="B79" s="325" t="n"/>
      <c r="C79" s="304" t="n"/>
      <c r="D79" s="304" t="n"/>
      <c r="E79" s="317" t="n"/>
      <c r="F79" s="321" t="n"/>
      <c r="G79" s="317" t="n"/>
      <c r="H79" s="311" t="n">
        <v>86</v>
      </c>
      <c r="I79" s="311" t="inlineStr"/>
      <c r="J79" s="311" t="inlineStr"/>
      <c r="K79" s="309" t="inlineStr">
        <is>
          <t>4IN CV LAVENDER MF TOPPER TW</t>
        </is>
      </c>
      <c r="L79" s="310" t="inlineStr">
        <is>
          <t>ECMF-LV4T-IN</t>
        </is>
      </c>
      <c r="M79" s="311" t="inlineStr">
        <is>
          <t>7D4ITY4N</t>
        </is>
      </c>
      <c r="N79" s="309" t="inlineStr">
        <is>
          <t>F.TMT.04T.012.BD</t>
        </is>
      </c>
      <c r="O79" s="306" t="n"/>
      <c r="P79" s="306" t="n"/>
      <c r="Q79" s="312">
        <f>IFERROR(R79/H79, 0)</f>
        <v/>
      </c>
      <c r="R79" s="307" t="n">
        <v>1216.04</v>
      </c>
      <c r="S79" s="308" t="n">
        <v>18056</v>
      </c>
      <c r="T79" s="308">
        <f>IFERROR(S79*R79, 0)</f>
        <v/>
      </c>
      <c r="U79" s="313" t="n"/>
      <c r="V79" s="315" t="n"/>
      <c r="W79" s="316" t="n"/>
      <c r="X79" s="311" t="n"/>
      <c r="Y79" s="315" t="n"/>
      <c r="Z79" s="317" t="n"/>
    </row>
    <row r="80" ht="16.5" customHeight="1" s="223">
      <c r="A80" s="323" t="n"/>
      <c r="B80" s="325" t="n"/>
      <c r="C80" s="304" t="n"/>
      <c r="D80" s="304" t="n"/>
      <c r="E80" s="317" t="n"/>
      <c r="F80" s="321" t="n"/>
      <c r="G80" s="317" t="n"/>
      <c r="H80" s="311" t="n">
        <v>455</v>
      </c>
      <c r="I80" s="311" t="inlineStr"/>
      <c r="J80" s="311" t="inlineStr"/>
      <c r="K80" s="309" t="inlineStr">
        <is>
          <t>3IN CV LAVENDER MF TOPPER QN</t>
        </is>
      </c>
      <c r="L80" s="310" t="inlineStr">
        <is>
          <t>ECMF-03QL-IN</t>
        </is>
      </c>
      <c r="M80" s="311" t="inlineStr">
        <is>
          <t>7MO3ZAUN</t>
        </is>
      </c>
      <c r="N80" s="309" t="inlineStr">
        <is>
          <t>F.TMT.03Q.010.BD</t>
        </is>
      </c>
      <c r="O80" s="306" t="n"/>
      <c r="P80" s="306" t="n"/>
      <c r="Q80" s="312">
        <f>IFERROR(R80/H80, 0)</f>
        <v/>
      </c>
      <c r="R80" s="307" t="n">
        <v>8499.4</v>
      </c>
      <c r="S80" s="308" t="n">
        <v>18056</v>
      </c>
      <c r="T80" s="308">
        <f>IFERROR(S80*R80, 0)</f>
        <v/>
      </c>
      <c r="U80" s="313" t="n"/>
      <c r="V80" s="315" t="n"/>
      <c r="W80" s="316" t="n"/>
      <c r="X80" s="311" t="n"/>
      <c r="Y80" s="315" t="n"/>
      <c r="Z80" s="317" t="n"/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>
        <v>1490</v>
      </c>
      <c r="I81" s="311" t="inlineStr"/>
      <c r="J81" s="311" t="inlineStr"/>
      <c r="K81" s="309" t="inlineStr">
        <is>
          <t>3IN CV LAVENDER MF TOPPER TW</t>
        </is>
      </c>
      <c r="L81" s="310" t="inlineStr">
        <is>
          <t>ECMF-03TL-IN</t>
        </is>
      </c>
      <c r="M81" s="311" t="inlineStr">
        <is>
          <t>7MO3ZAUN</t>
        </is>
      </c>
      <c r="N81" s="309" t="inlineStr">
        <is>
          <t>F.TMT.03T.010.BD</t>
        </is>
      </c>
      <c r="O81" s="306" t="n"/>
      <c r="P81" s="306" t="n"/>
      <c r="Q81" s="312">
        <f>IFERROR(R81/H81, 0)</f>
        <v/>
      </c>
      <c r="R81" s="307" t="n">
        <v>16464.5</v>
      </c>
      <c r="S81" s="308" t="n">
        <v>18056</v>
      </c>
      <c r="T81" s="308">
        <f>IFERROR(S81*R81, 0)</f>
        <v/>
      </c>
      <c r="U81" s="313" t="n"/>
      <c r="V81" s="315" t="n"/>
      <c r="W81" s="316" t="n"/>
      <c r="X81" s="311" t="n"/>
      <c r="Y81" s="315" t="n"/>
      <c r="Z81" s="317" t="n"/>
    </row>
    <row r="82" ht="16.5" customHeight="1" s="223">
      <c r="A82" s="323" t="n"/>
      <c r="B82" s="325" t="n"/>
      <c r="C82" s="304" t="n"/>
      <c r="D82" s="304" t="n"/>
      <c r="E82" s="317" t="n"/>
      <c r="F82" s="321" t="n"/>
      <c r="G82" s="317" t="n"/>
      <c r="H82" s="311" t="n">
        <v>35</v>
      </c>
      <c r="I82" s="311" t="inlineStr"/>
      <c r="J82" s="311" t="inlineStr"/>
      <c r="K82" s="309" t="inlineStr">
        <is>
          <t>3IN CV LAVENDER MF TOPPER TX</t>
        </is>
      </c>
      <c r="L82" s="310" t="inlineStr">
        <is>
          <t>ECMF-03TXLL-IN</t>
        </is>
      </c>
      <c r="M82" s="311" t="inlineStr">
        <is>
          <t>7MO3ZAUN</t>
        </is>
      </c>
      <c r="N82" s="309" t="inlineStr">
        <is>
          <t>F.TMT.03X.010.BD</t>
        </is>
      </c>
      <c r="O82" s="306" t="n"/>
      <c r="P82" s="306" t="n"/>
      <c r="Q82" s="312">
        <f>IFERROR(R82/H82, 0)</f>
        <v/>
      </c>
      <c r="R82" s="307" t="n">
        <v>420.7</v>
      </c>
      <c r="S82" s="308" t="n">
        <v>18056</v>
      </c>
      <c r="T82" s="308">
        <f>IFERROR(S82*R82, 0)</f>
        <v/>
      </c>
      <c r="U82" s="313" t="n"/>
      <c r="V82" s="315" t="n"/>
      <c r="W82" s="316" t="n"/>
      <c r="X82" s="311" t="n"/>
      <c r="Y82" s="315" t="n"/>
      <c r="Z82" s="317" t="n"/>
    </row>
    <row r="83" ht="16.5" customHeight="1" s="223">
      <c r="A83" s="323" t="n"/>
      <c r="B83" s="325" t="n"/>
      <c r="C83" s="304" t="n"/>
      <c r="D83" s="304" t="n"/>
      <c r="E83" s="317" t="n"/>
      <c r="F83" s="321" t="n"/>
      <c r="G83" s="317" t="n"/>
      <c r="H83" s="311" t="n">
        <v>119</v>
      </c>
      <c r="I83" s="311" t="inlineStr"/>
      <c r="J83" s="311" t="inlineStr"/>
      <c r="K83" s="309" t="inlineStr">
        <is>
          <t>4IN CV LAVENDER MF TOPPER TW</t>
        </is>
      </c>
      <c r="L83" s="310" t="inlineStr">
        <is>
          <t>ECMF-LV4T-IN</t>
        </is>
      </c>
      <c r="M83" s="311" t="inlineStr">
        <is>
          <t>7MO3ZAUN</t>
        </is>
      </c>
      <c r="N83" s="309" t="inlineStr">
        <is>
          <t>F.TMT.04T.012.BD</t>
        </is>
      </c>
      <c r="O83" s="306" t="n"/>
      <c r="P83" s="306" t="n"/>
      <c r="Q83" s="312">
        <f>IFERROR(R83/H83, 0)</f>
        <v/>
      </c>
      <c r="R83" s="307" t="n">
        <v>1682.66</v>
      </c>
      <c r="S83" s="308" t="n">
        <v>18056</v>
      </c>
      <c r="T83" s="308">
        <f>IFERROR(S83*R83, 0)</f>
        <v/>
      </c>
      <c r="U83" s="313" t="n"/>
      <c r="V83" s="315" t="n"/>
      <c r="W83" s="316" t="n"/>
      <c r="X83" s="311" t="n"/>
      <c r="Y83" s="315" t="n"/>
      <c r="Z83" s="317" t="n"/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>
        <v>470</v>
      </c>
      <c r="I84" s="311" t="inlineStr"/>
      <c r="J84" s="311" t="inlineStr"/>
      <c r="K84" s="309" t="inlineStr">
        <is>
          <t>3IN CV LAVENDER MF TOPPER QN</t>
        </is>
      </c>
      <c r="L84" s="310" t="inlineStr">
        <is>
          <t>ECMF-03QL-IN</t>
        </is>
      </c>
      <c r="M84" s="311" t="inlineStr">
        <is>
          <t>8Y39N9EN</t>
        </is>
      </c>
      <c r="N84" s="309" t="inlineStr">
        <is>
          <t>F.TMT.03Q.010.BD</t>
        </is>
      </c>
      <c r="O84" s="306" t="n"/>
      <c r="P84" s="306" t="n"/>
      <c r="Q84" s="312">
        <f>IFERROR(R84/H84, 0)</f>
        <v/>
      </c>
      <c r="R84" s="307" t="n">
        <v>8779.6</v>
      </c>
      <c r="S84" s="308" t="n">
        <v>18056</v>
      </c>
      <c r="T84" s="308">
        <f>IFERROR(S84*R84, 0)</f>
        <v/>
      </c>
      <c r="U84" s="313" t="n"/>
      <c r="V84" s="315" t="n"/>
      <c r="W84" s="316" t="n"/>
      <c r="X84" s="311" t="n"/>
      <c r="Y84" s="315" t="n"/>
      <c r="Z84" s="317" t="n"/>
    </row>
    <row r="85" ht="16.5" customHeight="1" s="223">
      <c r="A85" s="323" t="n"/>
      <c r="B85" s="325" t="n"/>
      <c r="C85" s="304" t="n"/>
      <c r="D85" s="304" t="n"/>
      <c r="E85" s="317" t="n"/>
      <c r="F85" s="321" t="n"/>
      <c r="G85" s="317" t="n"/>
      <c r="H85" s="311" t="n">
        <v>323</v>
      </c>
      <c r="I85" s="311" t="inlineStr"/>
      <c r="J85" s="311" t="inlineStr"/>
      <c r="K85" s="309" t="inlineStr">
        <is>
          <t>3IN CV LAVENDER MF TOPPER TX</t>
        </is>
      </c>
      <c r="L85" s="310" t="inlineStr">
        <is>
          <t>ECMF-03TXLL-IN</t>
        </is>
      </c>
      <c r="M85" s="311" t="inlineStr">
        <is>
          <t>8Y39N9EN</t>
        </is>
      </c>
      <c r="N85" s="309" t="inlineStr">
        <is>
          <t>F.TMT.03X.010.BD</t>
        </is>
      </c>
      <c r="O85" s="306" t="n"/>
      <c r="P85" s="306" t="n"/>
      <c r="Q85" s="312">
        <f>IFERROR(R85/H85, 0)</f>
        <v/>
      </c>
      <c r="R85" s="307" t="n">
        <v>3882.46</v>
      </c>
      <c r="S85" s="308" t="n">
        <v>18056</v>
      </c>
      <c r="T85" s="308">
        <f>IFERROR(S85*R85, 0)</f>
        <v/>
      </c>
      <c r="U85" s="313" t="n"/>
      <c r="V85" s="315" t="n"/>
      <c r="W85" s="316" t="n"/>
      <c r="X85" s="311" t="n"/>
      <c r="Y85" s="315" t="n"/>
      <c r="Z85" s="317" t="n"/>
    </row>
    <row r="86" ht="16.5" customHeight="1" s="223">
      <c r="A86" s="323" t="n"/>
      <c r="B86" s="325" t="n"/>
      <c r="C86" s="304" t="n"/>
      <c r="D86" s="304" t="n"/>
      <c r="E86" s="317" t="n"/>
      <c r="F86" s="321" t="n"/>
      <c r="G86" s="317" t="n"/>
      <c r="H86" s="311" t="n">
        <v>19</v>
      </c>
      <c r="I86" s="311" t="inlineStr"/>
      <c r="J86" s="311" t="inlineStr"/>
      <c r="K86" s="309" t="inlineStr">
        <is>
          <t>2IN CV LAVENDER MF TOPPER QN</t>
        </is>
      </c>
      <c r="L86" s="310" t="inlineStr">
        <is>
          <t>ECMF-LV2Q-IN</t>
        </is>
      </c>
      <c r="M86" s="311" t="inlineStr">
        <is>
          <t>8Y39N9EN</t>
        </is>
      </c>
      <c r="N86" s="309" t="inlineStr">
        <is>
          <t>F.TMT.02Q.008.BD</t>
        </is>
      </c>
      <c r="O86" s="306" t="n"/>
      <c r="P86" s="306" t="n"/>
      <c r="Q86" s="312">
        <f>IFERROR(R86/H86, 0)</f>
        <v/>
      </c>
      <c r="R86" s="307" t="n">
        <v>230.47</v>
      </c>
      <c r="S86" s="308" t="n">
        <v>18056</v>
      </c>
      <c r="T86" s="308">
        <f>IFERROR(S86*R86, 0)</f>
        <v/>
      </c>
      <c r="U86" s="313" t="n"/>
      <c r="V86" s="315" t="n"/>
      <c r="W86" s="316" t="n"/>
      <c r="X86" s="311" t="n"/>
      <c r="Y86" s="315" t="n"/>
      <c r="Z86" s="317" t="n"/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127</v>
      </c>
      <c r="I87" s="311" t="inlineStr"/>
      <c r="J87" s="311" t="inlineStr"/>
      <c r="K87" s="309" t="inlineStr">
        <is>
          <t>4IN CV LAVENDER MF TOPPER TW</t>
        </is>
      </c>
      <c r="L87" s="310" t="inlineStr">
        <is>
          <t>ECMF-LV4T-IN</t>
        </is>
      </c>
      <c r="M87" s="311" t="inlineStr">
        <is>
          <t>8Y39N9EN</t>
        </is>
      </c>
      <c r="N87" s="309" t="inlineStr">
        <is>
          <t>F.TMT.04T.012.BD</t>
        </is>
      </c>
      <c r="O87" s="306" t="n"/>
      <c r="P87" s="306" t="n"/>
      <c r="Q87" s="312">
        <f>IFERROR(R87/H87, 0)</f>
        <v/>
      </c>
      <c r="R87" s="307" t="n">
        <v>1795.78</v>
      </c>
      <c r="S87" s="308" t="n">
        <v>18056</v>
      </c>
      <c r="T87" s="308">
        <f>IFERROR(S87*R87, 0)</f>
        <v/>
      </c>
      <c r="U87" s="313" t="n"/>
      <c r="V87" s="315" t="n"/>
      <c r="W87" s="316" t="n"/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SUM(H60:H87)</f>
        <v/>
      </c>
      <c r="I88" s="331">
        <f>COUNTA(I60:I87)</f>
        <v/>
      </c>
      <c r="J88" s="330" t="n"/>
      <c r="K88" s="330" t="n"/>
      <c r="L88" s="332" t="n"/>
      <c r="M88" s="330" t="n"/>
      <c r="N88" s="330" t="n"/>
      <c r="O88" s="333">
        <f>SUM(O60:O87)</f>
        <v/>
      </c>
      <c r="P88" s="333">
        <f>SUM(P60:P87)</f>
        <v/>
      </c>
      <c r="Q88" s="334" t="n"/>
      <c r="R88" s="335">
        <f>SUM(R60:R87)</f>
        <v/>
      </c>
      <c r="S88" s="336" t="n"/>
      <c r="T88" s="336">
        <f>SUM(T60:T87)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SUM(H14,H17,H20,H48,H59,H88)</f>
        <v/>
      </c>
      <c r="I89" s="311">
        <f>SUM(I14,I17,I20,I48,I59,I88)</f>
        <v/>
      </c>
      <c r="J89" s="311" t="n"/>
      <c r="K89" s="309" t="n"/>
      <c r="L89" s="310" t="n"/>
      <c r="M89" s="311" t="n"/>
      <c r="N89" s="309" t="n"/>
      <c r="O89" s="306">
        <f>SUM(O14,O17,O20,O48,O59,O88)</f>
        <v/>
      </c>
      <c r="P89" s="306">
        <f>SUM(P14,P17,P20,P48,P59,P88)</f>
        <v/>
      </c>
      <c r="Q89" s="312" t="n"/>
      <c r="R89" s="307">
        <f>SUM(R14,R17,R20,R48,R59,R88)</f>
        <v/>
      </c>
      <c r="S89" s="308" t="n"/>
      <c r="T89" s="308">
        <f>SUM(T14,T17,T20,T48,T59,T88)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2026-07-27T15:13:38Z</dcterms:modified>
  <cp:lastModifiedBy>Chiswa Dian Hermansyah(ZINUS ZDI)</cp:lastModifiedBy>
</cp:coreProperties>
</file>