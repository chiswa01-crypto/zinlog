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000030ZIK48020260803000554</t>
        </is>
      </c>
      <c r="C12" s="245" t="n">
        <v>390034</v>
      </c>
      <c r="D12" s="245" t="n">
        <v>390034</v>
      </c>
      <c r="E12" s="246" t="n">
        <v>46237</v>
      </c>
      <c r="F12" s="245" t="inlineStr">
        <is>
          <t>SAMPLE-ZIID26-0064-NCV</t>
        </is>
      </c>
      <c r="G12" s="246" t="n">
        <v>46233</v>
      </c>
      <c r="H12" s="247" t="n">
        <v>1</v>
      </c>
      <c r="I12" s="245" t="inlineStr"/>
      <c r="J12" s="245" t="inlineStr"/>
      <c r="K12" s="245" t="inlineStr">
        <is>
          <t>5IN GREEN TEA MF MATTRESS TW</t>
        </is>
      </c>
      <c r="L12" s="245" t="inlineStr">
        <is>
          <t>ZU-MFMA1ZZI-05T</t>
        </is>
      </c>
      <c r="M12" s="248" t="inlineStr"/>
      <c r="N12" s="245" t="inlineStr">
        <is>
          <t>F.MFM.05T.007.AD</t>
        </is>
      </c>
      <c r="O12" s="249" t="n">
        <v>811.52</v>
      </c>
      <c r="P12" s="249" t="n">
        <v>765.02</v>
      </c>
      <c r="Q12" s="250">
        <f>R12/H12</f>
        <v/>
      </c>
      <c r="R12" s="251" t="n">
        <v>30.64</v>
      </c>
      <c r="S12" s="249" t="n">
        <v>17937</v>
      </c>
      <c r="T12" s="252">
        <f>S12*R12</f>
        <v/>
      </c>
      <c r="U12" s="245" t="inlineStr">
        <is>
          <t>050100/KPPBC</t>
        </is>
      </c>
      <c r="V12" s="245" t="inlineStr">
        <is>
          <t>S. HATTA</t>
        </is>
      </c>
      <c r="W12" s="245" t="inlineStr">
        <is>
          <t>GUANGZHOU, US</t>
        </is>
      </c>
      <c r="X12" s="245" t="inlineStr">
        <is>
          <t>SGS-CSTC STANDARDS TECHNICAL SERVICES</t>
        </is>
      </c>
      <c r="Y12" s="245" t="inlineStr">
        <is>
          <t>PLIID2H02224</t>
        </is>
      </c>
      <c r="Z12" s="246" t="n">
        <v>46237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6IN GREEN TEA MF MATTRESS QN</t>
        </is>
      </c>
      <c r="L13" s="245" t="inlineStr">
        <is>
          <t>ZU-MFMA1ZZI-06Q</t>
        </is>
      </c>
      <c r="M13" s="248" t="inlineStr"/>
      <c r="N13" s="245" t="inlineStr">
        <is>
          <t>F.MFM.06Q.007.AD</t>
        </is>
      </c>
      <c r="O13" s="245" t="n"/>
      <c r="P13" s="245" t="n"/>
      <c r="Q13" s="250">
        <f>R13/H13</f>
        <v/>
      </c>
      <c r="R13" s="251" t="n">
        <v>54.31</v>
      </c>
      <c r="S13" s="249" t="n">
        <v>17937</v>
      </c>
      <c r="T13" s="252">
        <f>S13*R13</f>
        <v/>
      </c>
      <c r="U13" s="245" t="n"/>
      <c r="V13" s="245" t="n"/>
      <c r="W13" s="245" t="inlineStr">
        <is>
          <t>ETD : 10-08-2026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10IN GREEN TEA MF MATTRESS TX</t>
        </is>
      </c>
      <c r="L14" s="245" t="inlineStr">
        <is>
          <t>ZU-MFMA1ZZI-10X</t>
        </is>
      </c>
      <c r="M14" s="248" t="inlineStr"/>
      <c r="N14" s="245" t="inlineStr">
        <is>
          <t>F.MFM.10X.007.AD</t>
        </is>
      </c>
      <c r="O14" s="245" t="n"/>
      <c r="P14" s="245" t="n"/>
      <c r="Q14" s="250">
        <f>R14/H14</f>
        <v/>
      </c>
      <c r="R14" s="251" t="n">
        <v>67.67</v>
      </c>
      <c r="S14" s="249" t="n">
        <v>17937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12IN GREEN TEA MF MATTRESS TX</t>
        </is>
      </c>
      <c r="L15" s="245" t="inlineStr">
        <is>
          <t>ZU-MFMA1ZZI-12X</t>
        </is>
      </c>
      <c r="M15" s="248" t="inlineStr"/>
      <c r="N15" s="245" t="inlineStr">
        <is>
          <t>F.MFM.12X.006.AD</t>
        </is>
      </c>
      <c r="O15" s="245" t="n"/>
      <c r="P15" s="245" t="n"/>
      <c r="Q15" s="250">
        <f>R15/H15</f>
        <v/>
      </c>
      <c r="R15" s="251" t="n">
        <v>63.85</v>
      </c>
      <c r="S15" s="249" t="n">
        <v>17937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14IN GREEN TEA FOAM MATTRESS K</t>
        </is>
      </c>
      <c r="L16" s="245" t="inlineStr">
        <is>
          <t>ZU-MFMA1ZZI-14K</t>
        </is>
      </c>
      <c r="M16" s="248" t="inlineStr"/>
      <c r="N16" s="245" t="inlineStr">
        <is>
          <t>F.MFM.14K.000.AD</t>
        </is>
      </c>
      <c r="O16" s="245" t="n"/>
      <c r="P16" s="245" t="n"/>
      <c r="Q16" s="250">
        <f>R16/H16</f>
        <v/>
      </c>
      <c r="R16" s="251" t="n">
        <v>132.6</v>
      </c>
      <c r="S16" s="249" t="n">
        <v>17937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14IN GREEN TEA FOAM MATTRESS Q</t>
        </is>
      </c>
      <c r="L17" s="245" t="inlineStr">
        <is>
          <t>ZU-MFMA1ZZI-14Q</t>
        </is>
      </c>
      <c r="M17" s="248" t="inlineStr"/>
      <c r="N17" s="245" t="inlineStr">
        <is>
          <t>F.MFM.14Q.000.AD</t>
        </is>
      </c>
      <c r="O17" s="245" t="n"/>
      <c r="P17" s="245" t="n"/>
      <c r="Q17" s="250">
        <f>R17/H17</f>
        <v/>
      </c>
      <c r="R17" s="251" t="n">
        <v>108.23</v>
      </c>
      <c r="S17" s="249" t="n">
        <v>17937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2</v>
      </c>
      <c r="I18" s="245" t="inlineStr"/>
      <c r="J18" s="245" t="inlineStr"/>
      <c r="K18" s="245" t="inlineStr">
        <is>
          <t>6IN GREEN TEA MF MATTRESS FL</t>
        </is>
      </c>
      <c r="L18" s="245" t="inlineStr">
        <is>
          <t>ZU-MFMA1ZZI-06F</t>
        </is>
      </c>
      <c r="M18" s="248" t="inlineStr"/>
      <c r="N18" s="245" t="inlineStr">
        <is>
          <t>F.MFM.06F.007.AD</t>
        </is>
      </c>
      <c r="O18" s="245" t="n"/>
      <c r="P18" s="245" t="n"/>
      <c r="Q18" s="250">
        <f>R18/H18</f>
        <v/>
      </c>
      <c r="R18" s="251" t="n">
        <v>92.09999999999999</v>
      </c>
      <c r="S18" s="249" t="n">
        <v>17937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2</v>
      </c>
      <c r="I19" s="245" t="inlineStr"/>
      <c r="J19" s="245" t="inlineStr"/>
      <c r="K19" s="245" t="inlineStr">
        <is>
          <t>6IN GREEN TEA MF MATTRESS EK</t>
        </is>
      </c>
      <c r="L19" s="245" t="inlineStr">
        <is>
          <t>ZU-MFMA1ZZI-06K</t>
        </is>
      </c>
      <c r="M19" s="248" t="inlineStr"/>
      <c r="N19" s="245" t="inlineStr">
        <is>
          <t>F.MFM.06K.007.AD</t>
        </is>
      </c>
      <c r="O19" s="245" t="n"/>
      <c r="P19" s="245" t="n"/>
      <c r="Q19" s="250">
        <f>R19/H19</f>
        <v/>
      </c>
      <c r="R19" s="251" t="n">
        <v>134.58</v>
      </c>
      <c r="S19" s="249" t="n">
        <v>17937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2</v>
      </c>
      <c r="I20" s="245" t="inlineStr"/>
      <c r="J20" s="245" t="inlineStr"/>
      <c r="K20" s="245" t="inlineStr">
        <is>
          <t>6IN GREEN TEA MF MATTRESS NT</t>
        </is>
      </c>
      <c r="L20" s="245" t="inlineStr">
        <is>
          <t>ZU-MFMA1ZZI-06N</t>
        </is>
      </c>
      <c r="M20" s="248" t="inlineStr"/>
      <c r="N20" s="245" t="inlineStr">
        <is>
          <t>F.MFM.06N.007.AD</t>
        </is>
      </c>
      <c r="O20" s="245" t="n"/>
      <c r="P20" s="245" t="n"/>
      <c r="Q20" s="250">
        <f>R20/H20</f>
        <v/>
      </c>
      <c r="R20" s="251" t="n">
        <v>57.94</v>
      </c>
      <c r="S20" s="249" t="n">
        <v>17937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2</v>
      </c>
      <c r="I21" s="245" t="inlineStr"/>
      <c r="J21" s="245" t="inlineStr"/>
      <c r="K21" s="245" t="inlineStr">
        <is>
          <t>6IN GREEN TEA MF MATTRESS TW</t>
        </is>
      </c>
      <c r="L21" s="245" t="inlineStr">
        <is>
          <t>ZU-MFMA1ZZI-06T</t>
        </is>
      </c>
      <c r="M21" s="248" t="inlineStr"/>
      <c r="N21" s="245" t="inlineStr">
        <is>
          <t>F.MFM.06T.007.AD</t>
        </is>
      </c>
      <c r="O21" s="245" t="n"/>
      <c r="P21" s="245" t="n"/>
      <c r="Q21" s="250">
        <f>R21/H21</f>
        <v/>
      </c>
      <c r="R21" s="251" t="n">
        <v>69.22</v>
      </c>
      <c r="S21" s="249" t="n">
        <v>17937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</v>
      </c>
      <c r="I22" s="245" t="inlineStr"/>
      <c r="J22" s="245" t="inlineStr"/>
      <c r="K22" s="245" t="inlineStr">
        <is>
          <t>8IN GREEN TEA MF MATTRESS FL</t>
        </is>
      </c>
      <c r="L22" s="245" t="inlineStr">
        <is>
          <t>ZU-MFMA1ZZI-08F</t>
        </is>
      </c>
      <c r="M22" s="248" t="inlineStr"/>
      <c r="N22" s="245" t="inlineStr">
        <is>
          <t>F.MFM.08F.008.AD</t>
        </is>
      </c>
      <c r="O22" s="245" t="n"/>
      <c r="P22" s="245" t="n"/>
      <c r="Q22" s="250">
        <f>R22/H22</f>
        <v/>
      </c>
      <c r="R22" s="251" t="n">
        <v>118.74</v>
      </c>
      <c r="S22" s="249" t="n">
        <v>17937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</v>
      </c>
      <c r="I23" s="245" t="inlineStr"/>
      <c r="J23" s="245" t="inlineStr"/>
      <c r="K23" s="245" t="inlineStr">
        <is>
          <t>8IN GREEN TEA MF MATTRESS EK</t>
        </is>
      </c>
      <c r="L23" s="245" t="inlineStr">
        <is>
          <t>ZU-MFMA1ZZI-08K</t>
        </is>
      </c>
      <c r="M23" s="248" t="inlineStr"/>
      <c r="N23" s="245" t="inlineStr">
        <is>
          <t>F.MFM.08K.008.AD</t>
        </is>
      </c>
      <c r="O23" s="245" t="n"/>
      <c r="P23" s="245" t="n"/>
      <c r="Q23" s="250">
        <f>R23/H23</f>
        <v/>
      </c>
      <c r="R23" s="251" t="n">
        <v>171.92</v>
      </c>
      <c r="S23" s="249" t="n">
        <v>17937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2</v>
      </c>
      <c r="I24" s="245" t="inlineStr"/>
      <c r="J24" s="245" t="inlineStr"/>
      <c r="K24" s="245" t="inlineStr">
        <is>
          <t>8IN GREEN TEA MF MATTRESS QN</t>
        </is>
      </c>
      <c r="L24" s="245" t="inlineStr">
        <is>
          <t>ZU-MFMA1ZZI-08Q</t>
        </is>
      </c>
      <c r="M24" s="248" t="inlineStr"/>
      <c r="N24" s="245" t="inlineStr">
        <is>
          <t>F.MFM.08Q.008.AD</t>
        </is>
      </c>
      <c r="O24" s="245" t="n"/>
      <c r="P24" s="245" t="n"/>
      <c r="Q24" s="250">
        <f>R24/H24</f>
        <v/>
      </c>
      <c r="R24" s="251" t="n">
        <v>139.92</v>
      </c>
      <c r="S24" s="249" t="n">
        <v>17937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2</v>
      </c>
      <c r="I25" s="245" t="inlineStr"/>
      <c r="J25" s="245" t="inlineStr"/>
      <c r="K25" s="245" t="inlineStr">
        <is>
          <t>8IN GREEN TEA MF MATTRESS SQ</t>
        </is>
      </c>
      <c r="L25" s="245" t="inlineStr">
        <is>
          <t>ZU-MFMA1ZZI-08S</t>
        </is>
      </c>
      <c r="M25" s="248" t="inlineStr"/>
      <c r="N25" s="245" t="inlineStr">
        <is>
          <t>F.MFM.08S.011.AD</t>
        </is>
      </c>
      <c r="O25" s="245" t="n"/>
      <c r="P25" s="245" t="n"/>
      <c r="Q25" s="250">
        <f>R25/H25</f>
        <v/>
      </c>
      <c r="R25" s="251" t="n">
        <v>132.02</v>
      </c>
      <c r="S25" s="249" t="n">
        <v>17937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2</v>
      </c>
      <c r="I26" s="245" t="inlineStr"/>
      <c r="J26" s="245" t="inlineStr"/>
      <c r="K26" s="245" t="inlineStr">
        <is>
          <t>8IN GREEN TEA MF MATTRESS TW</t>
        </is>
      </c>
      <c r="L26" s="245" t="inlineStr">
        <is>
          <t>ZU-MFMA1ZZI-08T</t>
        </is>
      </c>
      <c r="M26" s="248" t="inlineStr"/>
      <c r="N26" s="245" t="inlineStr">
        <is>
          <t>F.MFM.08T.008.AD</t>
        </is>
      </c>
      <c r="O26" s="245" t="n"/>
      <c r="P26" s="245" t="n"/>
      <c r="Q26" s="250">
        <f>R26/H26</f>
        <v/>
      </c>
      <c r="R26" s="251" t="n">
        <v>88.31999999999999</v>
      </c>
      <c r="S26" s="249" t="n">
        <v>17937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2</v>
      </c>
      <c r="I27" s="245" t="inlineStr"/>
      <c r="J27" s="245" t="inlineStr"/>
      <c r="K27" s="245" t="inlineStr">
        <is>
          <t>10IN GREEN TEA MF MATTRESS FL</t>
        </is>
      </c>
      <c r="L27" s="245" t="inlineStr">
        <is>
          <t>ZU-MFMA1ZZI-10F</t>
        </is>
      </c>
      <c r="M27" s="248" t="inlineStr"/>
      <c r="N27" s="245" t="inlineStr">
        <is>
          <t>F.MFM.10F.007.AD</t>
        </is>
      </c>
      <c r="O27" s="245" t="n"/>
      <c r="P27" s="245" t="n"/>
      <c r="Q27" s="250">
        <f>R27/H27</f>
        <v/>
      </c>
      <c r="R27" s="251" t="n">
        <v>140.22</v>
      </c>
      <c r="S27" s="249" t="n">
        <v>17937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2</v>
      </c>
      <c r="I28" s="245" t="inlineStr"/>
      <c r="J28" s="245" t="inlineStr"/>
      <c r="K28" s="245" t="inlineStr">
        <is>
          <t>10IN GREEN TEA MF MATTRESS TW</t>
        </is>
      </c>
      <c r="L28" s="245" t="inlineStr">
        <is>
          <t>ZU-MFMA1ZZI-10T</t>
        </is>
      </c>
      <c r="M28" s="248" t="inlineStr"/>
      <c r="N28" s="245" t="inlineStr">
        <is>
          <t>F.MFM.10T.007.AD</t>
        </is>
      </c>
      <c r="O28" s="245" t="n"/>
      <c r="P28" s="245" t="n"/>
      <c r="Q28" s="250">
        <f>R28/H28</f>
        <v/>
      </c>
      <c r="R28" s="251" t="n">
        <v>105.98</v>
      </c>
      <c r="S28" s="249" t="n">
        <v>17937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2</v>
      </c>
      <c r="I29" s="245" t="inlineStr"/>
      <c r="J29" s="245" t="inlineStr"/>
      <c r="K29" s="245" t="inlineStr">
        <is>
          <t>12IN GREEN TEA MF MATTRESS CK</t>
        </is>
      </c>
      <c r="L29" s="245" t="inlineStr">
        <is>
          <t>ZU-MFMA1ZZI-12C</t>
        </is>
      </c>
      <c r="M29" s="248" t="inlineStr"/>
      <c r="N29" s="245" t="inlineStr">
        <is>
          <t>F.MFM.12C.006.AD</t>
        </is>
      </c>
      <c r="O29" s="245" t="n"/>
      <c r="P29" s="245" t="n"/>
      <c r="Q29" s="250">
        <f>R29/H29</f>
        <v/>
      </c>
      <c r="R29" s="251" t="n">
        <v>233.36</v>
      </c>
      <c r="S29" s="249" t="n">
        <v>17937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2</v>
      </c>
      <c r="I30" s="245" t="inlineStr"/>
      <c r="J30" s="245" t="inlineStr"/>
      <c r="K30" s="245" t="inlineStr">
        <is>
          <t>12IN GREEN TEA MF MATTRESS FL</t>
        </is>
      </c>
      <c r="L30" s="245" t="inlineStr">
        <is>
          <t>ZU-MFMA1ZZI-12F</t>
        </is>
      </c>
      <c r="M30" s="248" t="inlineStr"/>
      <c r="N30" s="245" t="inlineStr">
        <is>
          <t>F.MFM.12F.006.AD</t>
        </is>
      </c>
      <c r="O30" s="245" t="n"/>
      <c r="P30" s="245" t="n"/>
      <c r="Q30" s="250">
        <f>R30/H30</f>
        <v/>
      </c>
      <c r="R30" s="251" t="n">
        <v>163.18</v>
      </c>
      <c r="S30" s="249" t="n">
        <v>17937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2</v>
      </c>
      <c r="I31" s="245" t="inlineStr"/>
      <c r="J31" s="245" t="inlineStr"/>
      <c r="K31" s="245" t="inlineStr">
        <is>
          <t>12IN GREEN TEA MF MATTRESS TW</t>
        </is>
      </c>
      <c r="L31" s="245" t="inlineStr">
        <is>
          <t>ZU-MFMA1ZZI-12T</t>
        </is>
      </c>
      <c r="M31" s="248" t="inlineStr"/>
      <c r="N31" s="245" t="inlineStr">
        <is>
          <t>F.MFM.12T.006.AD</t>
        </is>
      </c>
      <c r="O31" s="245" t="n"/>
      <c r="P31" s="245" t="n"/>
      <c r="Q31" s="250">
        <f>R31/H31</f>
        <v/>
      </c>
      <c r="R31" s="251" t="n">
        <v>121.74</v>
      </c>
      <c r="S31" s="249" t="n">
        <v>17937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FOAM MATTRESS</t>
        </is>
      </c>
      <c r="L32" s="245" t="inlineStr">
        <is>
          <t>SAMPLE</t>
        </is>
      </c>
      <c r="M32" s="248" t="inlineStr"/>
      <c r="N32" s="245" t="inlineStr">
        <is>
          <t>F.MFM.SAMP</t>
        </is>
      </c>
      <c r="O32" s="245" t="n"/>
      <c r="P32" s="245" t="n"/>
      <c r="Q32" s="250">
        <f>R32/H32</f>
        <v/>
      </c>
      <c r="R32" s="251" t="n">
        <v>51.34</v>
      </c>
      <c r="S32" s="249" t="n">
        <v>17937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FOAM MATTRESS</t>
        </is>
      </c>
      <c r="L33" s="245" t="inlineStr">
        <is>
          <t>SAMPLE</t>
        </is>
      </c>
      <c r="M33" s="248" t="inlineStr"/>
      <c r="N33" s="245" t="inlineStr">
        <is>
          <t>F.MFM.SAMP</t>
        </is>
      </c>
      <c r="O33" s="245" t="n"/>
      <c r="P33" s="245" t="n"/>
      <c r="Q33" s="250">
        <f>R33/H33</f>
        <v/>
      </c>
      <c r="R33" s="251" t="n">
        <v>46.34</v>
      </c>
      <c r="S33" s="249" t="n">
        <v>17937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7.1" customHeight="1" s="202">
      <c r="A34" s="254" t="n"/>
      <c r="B34" s="254" t="n"/>
      <c r="C34" s="254" t="n"/>
      <c r="D34" s="254" t="n"/>
      <c r="E34" s="254" t="n"/>
      <c r="F34" s="254" t="n"/>
      <c r="G34" s="254" t="n"/>
      <c r="H34" s="255">
        <f>SUM(H12:H33)</f>
        <v/>
      </c>
      <c r="I34" s="254">
        <f>COUNTA(I12:I33)</f>
        <v/>
      </c>
      <c r="J34" s="254" t="n"/>
      <c r="K34" s="254" t="n"/>
      <c r="L34" s="254" t="n"/>
      <c r="M34" s="254" t="n"/>
      <c r="N34" s="254" t="n"/>
      <c r="O34" s="256">
        <f>SUM(O12:O33)</f>
        <v/>
      </c>
      <c r="P34" s="256">
        <f>SUM(P12:P33)</f>
        <v/>
      </c>
      <c r="Q34" s="254" t="n"/>
      <c r="R34" s="257">
        <f>SUM(R12:R33)</f>
        <v/>
      </c>
      <c r="S34" s="254" t="n"/>
      <c r="T34" s="258">
        <f>SUM(T12:T33)</f>
        <v/>
      </c>
      <c r="U34" s="254" t="n"/>
      <c r="V34" s="254" t="n"/>
      <c r="W34" s="254" t="n"/>
      <c r="X34" s="254" t="n"/>
      <c r="Y34" s="254" t="n"/>
      <c r="Z34" s="254" t="n"/>
    </row>
    <row r="35" ht="8.1" customHeight="1" s="202"/>
    <row r="36" ht="20.1" customHeight="1" s="202">
      <c r="A36" s="259">
        <f>COUNT(A12:A35)</f>
        <v/>
      </c>
      <c r="B36" s="260" t="n"/>
      <c r="C36" s="260" t="n"/>
      <c r="D36" s="260" t="n"/>
      <c r="E36" s="260" t="n"/>
      <c r="F36" s="260" t="n"/>
      <c r="G36" s="260" t="n"/>
      <c r="H36" s="261">
        <f>H34</f>
        <v/>
      </c>
      <c r="I36" s="261">
        <f>I34</f>
        <v/>
      </c>
      <c r="J36" s="260" t="n"/>
      <c r="K36" s="260" t="n"/>
      <c r="L36" s="260" t="n"/>
      <c r="M36" s="260" t="n"/>
      <c r="N36" s="260" t="n"/>
      <c r="O36" s="262">
        <f>O34</f>
        <v/>
      </c>
      <c r="P36" s="262">
        <f>P34</f>
        <v/>
      </c>
      <c r="Q36" s="260" t="n"/>
      <c r="R36" s="263">
        <f>R34</f>
        <v/>
      </c>
      <c r="S36" s="260" t="n"/>
      <c r="T36" s="264">
        <f>T34</f>
        <v/>
      </c>
      <c r="U36" s="260" t="n"/>
      <c r="V36" s="260" t="n"/>
      <c r="W36" s="260" t="n"/>
      <c r="X36" s="260" t="n"/>
      <c r="Y36" s="260" t="n"/>
      <c r="Z36" s="260" t="n"/>
    </row>
    <row r="37" ht="17.1" customHeight="1" s="202"/>
    <row r="38" ht="17.1" customHeight="1" s="202">
      <c r="B38" s="265" t="inlineStr">
        <is>
          <t>Total Qty Export :</t>
        </is>
      </c>
      <c r="C38" s="266">
        <f>H36-C39</f>
        <v/>
      </c>
    </row>
    <row r="39" ht="17.1" customHeight="1" s="202">
      <c r="B39" s="267" t="inlineStr">
        <is>
          <t>Total Qty Export Sample :</t>
        </is>
      </c>
      <c r="C39" s="268" t="inlineStr"/>
    </row>
    <row r="41" ht="17.1" customHeight="1" s="202">
      <c r="A41" s="269" t="n"/>
      <c r="B41" s="270" t="n"/>
      <c r="C41" s="270" t="n"/>
      <c r="D41" s="271" t="n"/>
      <c r="U41" s="272" t="inlineStr">
        <is>
          <t>Tangerang, 19 August 2026</t>
        </is>
      </c>
    </row>
    <row r="42" ht="17.1" customHeight="1" s="202">
      <c r="A42" s="273" t="inlineStr">
        <is>
          <t>Total Document</t>
        </is>
      </c>
      <c r="C42" s="274">
        <f>A36</f>
        <v/>
      </c>
      <c r="D42" s="275" t="n"/>
      <c r="U42" s="272" t="inlineStr">
        <is>
          <t>Kasubsi Hanggar Pabean dan Cukai</t>
        </is>
      </c>
    </row>
    <row r="43" ht="17.1" customHeight="1" s="202">
      <c r="A43" s="273" t="inlineStr">
        <is>
          <t>Gross Weight</t>
        </is>
      </c>
      <c r="C43" s="276">
        <f>O36</f>
        <v/>
      </c>
      <c r="D43" s="275" t="n"/>
    </row>
    <row r="44" ht="17.1" customHeight="1" s="202">
      <c r="A44" s="273" t="inlineStr">
        <is>
          <t>Nett Weight</t>
        </is>
      </c>
      <c r="C44" s="276">
        <f>P36</f>
        <v/>
      </c>
      <c r="D44" s="275" t="n"/>
    </row>
    <row r="45" ht="17.1" customHeight="1" s="202">
      <c r="A45" s="273" t="inlineStr">
        <is>
          <t>Amount</t>
        </is>
      </c>
      <c r="C45" s="277">
        <f>R36</f>
        <v/>
      </c>
      <c r="D45" s="275" t="n"/>
    </row>
    <row r="46" ht="17.1" customHeight="1" s="202">
      <c r="A46" s="273" t="inlineStr">
        <is>
          <t>Jumlah Container</t>
        </is>
      </c>
      <c r="C46" s="278">
        <f>I36-C47</f>
        <v/>
      </c>
      <c r="D46" s="275" t="n"/>
    </row>
    <row r="47" ht="17.1" customHeight="1" s="202">
      <c r="A47" s="279" t="n"/>
      <c r="C47" s="280" t="inlineStr"/>
      <c r="D47" s="275" t="n"/>
    </row>
    <row r="48" ht="17.1" customHeight="1" s="202">
      <c r="A48" s="279" t="n"/>
      <c r="C48" s="281">
        <f>C46*2+C47</f>
        <v/>
      </c>
      <c r="D48" s="275" t="n"/>
    </row>
    <row r="49" ht="16.2" customHeight="1" s="202">
      <c r="A49" s="282" t="n"/>
      <c r="B49" s="283" t="n"/>
      <c r="C49" s="283" t="n"/>
      <c r="D49" s="284" t="n"/>
    </row>
  </sheetData>
  <autoFilter ref="A10:Z11">
    <filterColumn colId="2" hiddenButton="0" showButton="0"/>
    <filterColumn colId="8" hiddenButton="0" showButton="0"/>
  </autoFilter>
  <mergeCells count="26">
    <mergeCell ref="C42:D42"/>
    <mergeCell ref="C45:D45"/>
    <mergeCell ref="E10:E11"/>
    <mergeCell ref="G10:G11"/>
    <mergeCell ref="M10:M11"/>
    <mergeCell ref="Y10:Y11"/>
    <mergeCell ref="Q10:Q11"/>
    <mergeCell ref="C10:D10"/>
    <mergeCell ref="C47:D47"/>
    <mergeCell ref="I10:J11"/>
    <mergeCell ref="A6:Z6"/>
    <mergeCell ref="C44:D44"/>
    <mergeCell ref="B10:B11"/>
    <mergeCell ref="A7:Z7"/>
    <mergeCell ref="L10:L11"/>
    <mergeCell ref="X10:X11"/>
    <mergeCell ref="N10:N11"/>
    <mergeCell ref="C43:D43"/>
    <mergeCell ref="Z10:Z11"/>
    <mergeCell ref="C46:D46"/>
    <mergeCell ref="A10:A11"/>
    <mergeCell ref="C48:D48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2026-08-19T03:41:00Z</dcterms:modified>
  <cp:lastModifiedBy>Chiswa Dian Hermansyah(ZINUS ZDI)</cp:lastModifiedBy>
</cp:coreProperties>
</file>