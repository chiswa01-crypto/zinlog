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sz val="12"/>
    </font>
    <font>
      <name val="Times New Roman"/>
      <sz val="11"/>
    </font>
    <font>
      <name val="Times New Roman"/>
      <b val="1"/>
      <sz val="14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7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left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0" pivotButton="0" quotePrefix="0" xfId="0"/>
    <xf numFmtId="173" fontId="30" fillId="0" borderId="0" applyAlignment="1" pivotButton="0" quotePrefix="0" xfId="0">
      <alignment horizontal="left" vertical="center"/>
    </xf>
    <xf numFmtId="174" fontId="30" fillId="0" borderId="0" applyAlignment="1" pivotButton="0" quotePrefix="0" xfId="0">
      <alignment horizontal="left" vertical="center"/>
    </xf>
    <xf numFmtId="175" fontId="30" fillId="0" borderId="0" applyAlignment="1" pivotButton="0" quotePrefix="0" xfId="0">
      <alignment horizontal="left" vertical="center"/>
    </xf>
    <xf numFmtId="176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left" vertical="center"/>
    </xf>
    <xf numFmtId="178" fontId="30" fillId="0" borderId="0" applyAlignment="1" pivotButton="0" quotePrefix="0" xfId="0">
      <alignment horizontal="left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6" t="inlineStr">
        <is>
          <t>000030ZIK48020260807000588</t>
        </is>
      </c>
      <c r="C12" s="245" t="n">
        <v>499694</v>
      </c>
      <c r="D12" s="245" t="n">
        <v>499644</v>
      </c>
      <c r="E12" s="247" t="n">
        <v>46244</v>
      </c>
      <c r="F12" s="246" t="inlineStr">
        <is>
          <t>ID2608-8007</t>
        </is>
      </c>
      <c r="G12" s="247" t="n">
        <v>46237</v>
      </c>
      <c r="H12" s="248" t="n">
        <v>900</v>
      </c>
      <c r="I12" s="246" t="inlineStr">
        <is>
          <t>HLXU8329993</t>
        </is>
      </c>
      <c r="J12" s="245" t="inlineStr">
        <is>
          <t>40FT</t>
        </is>
      </c>
      <c r="K12" s="246" t="inlineStr">
        <is>
          <t>8IN GREEN TEA MF MATTRESS QN</t>
        </is>
      </c>
      <c r="L12" s="246" t="inlineStr">
        <is>
          <t>SCF-STR-800Q</t>
        </is>
      </c>
      <c r="M12" s="249" t="inlineStr">
        <is>
          <t>0993631126</t>
        </is>
      </c>
      <c r="N12" s="245" t="inlineStr">
        <is>
          <t>F.MFM.08Q.000.WS</t>
        </is>
      </c>
      <c r="O12" s="250" t="n">
        <v>21510</v>
      </c>
      <c r="P12" s="250" t="n">
        <v>19188</v>
      </c>
      <c r="Q12" s="251">
        <f>R12/H12</f>
        <v/>
      </c>
      <c r="R12" s="252" t="n">
        <v>84573</v>
      </c>
      <c r="S12" s="250" t="n">
        <v>18062</v>
      </c>
      <c r="T12" s="253">
        <f>S12*R12</f>
        <v/>
      </c>
      <c r="U12" s="246" t="inlineStr">
        <is>
          <t>040300/KPPBC</t>
        </is>
      </c>
      <c r="V12" s="246" t="inlineStr">
        <is>
          <t>TG. PRIOK</t>
        </is>
      </c>
      <c r="W12" s="245" t="inlineStr">
        <is>
          <t>CHARLESTON, US</t>
        </is>
      </c>
      <c r="X12" s="246" t="inlineStr">
        <is>
          <t>WALMART, INC.</t>
        </is>
      </c>
      <c r="Y12" s="246" t="inlineStr">
        <is>
          <t>HLCUJK1260816670</t>
        </is>
      </c>
      <c r="Z12" s="247" t="n">
        <v>46244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6" t="inlineStr">
        <is>
          <t>FSCU8082112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14-08-2026</t>
        </is>
      </c>
      <c r="X13" s="245" t="n"/>
      <c r="Y13" s="245" t="n"/>
      <c r="Z13" s="245" t="n"/>
    </row>
    <row r="14" ht="17.1" customFormat="1" customHeight="1" s="244">
      <c r="A14" s="254" t="n"/>
      <c r="B14" s="254" t="n"/>
      <c r="C14" s="254" t="n"/>
      <c r="D14" s="254" t="n"/>
      <c r="E14" s="254" t="n"/>
      <c r="F14" s="254" t="n"/>
      <c r="G14" s="254" t="n"/>
      <c r="H14" s="255">
        <f>SUM(H12:H13)</f>
        <v/>
      </c>
      <c r="I14" s="254">
        <f>COUNTA(I12:I13)</f>
        <v/>
      </c>
      <c r="J14" s="254" t="n"/>
      <c r="K14" s="254" t="n"/>
      <c r="L14" s="254" t="n"/>
      <c r="M14" s="254" t="n"/>
      <c r="N14" s="254" t="n"/>
      <c r="O14" s="256">
        <f>SUM(O12:O13)</f>
        <v/>
      </c>
      <c r="P14" s="256">
        <f>SUM(P12:P13)</f>
        <v/>
      </c>
      <c r="Q14" s="254" t="n"/>
      <c r="R14" s="257">
        <f>SUM(R12:R13)</f>
        <v/>
      </c>
      <c r="S14" s="254" t="n"/>
      <c r="T14" s="258">
        <f>SUM(T12:T13)</f>
        <v/>
      </c>
      <c r="U14" s="254" t="n"/>
      <c r="V14" s="254" t="n"/>
      <c r="W14" s="254" t="n"/>
      <c r="X14" s="254" t="n"/>
      <c r="Y14" s="254" t="n"/>
      <c r="Z14" s="254" t="n"/>
    </row>
    <row r="15" ht="8.1" customFormat="1" customHeight="1" s="244"/>
    <row r="16" ht="20.1" customFormat="1" customHeight="1" s="244">
      <c r="A16" s="259">
        <f>COUNT(A12:A15)</f>
        <v/>
      </c>
      <c r="B16" s="260" t="n"/>
      <c r="C16" s="260" t="n"/>
      <c r="D16" s="260" t="n"/>
      <c r="E16" s="260" t="n"/>
      <c r="F16" s="260" t="n"/>
      <c r="G16" s="260" t="n"/>
      <c r="H16" s="261">
        <f>H14</f>
        <v/>
      </c>
      <c r="I16" s="261">
        <f>I14</f>
        <v/>
      </c>
      <c r="J16" s="260" t="n"/>
      <c r="K16" s="260" t="n"/>
      <c r="L16" s="260" t="n"/>
      <c r="M16" s="260" t="n"/>
      <c r="N16" s="260" t="n"/>
      <c r="O16" s="262">
        <f>O14</f>
        <v/>
      </c>
      <c r="P16" s="262">
        <f>P14</f>
        <v/>
      </c>
      <c r="Q16" s="260" t="n"/>
      <c r="R16" s="263">
        <f>R14</f>
        <v/>
      </c>
      <c r="S16" s="260" t="n"/>
      <c r="T16" s="264">
        <f>T14</f>
        <v/>
      </c>
      <c r="U16" s="260" t="n"/>
      <c r="V16" s="260" t="n"/>
      <c r="W16" s="260" t="n"/>
      <c r="X16" s="260" t="n"/>
      <c r="Y16" s="260" t="n"/>
      <c r="Z16" s="260" t="n"/>
    </row>
    <row r="17" ht="17.1" customFormat="1" customHeight="1" s="265"/>
    <row r="18" ht="17.1" customHeight="1" s="202" thickBot="1">
      <c r="B18" s="266" t="inlineStr">
        <is>
          <t>Total Qty Export :</t>
        </is>
      </c>
      <c r="C18" s="267">
        <f>H16-C19</f>
        <v/>
      </c>
    </row>
    <row r="19" ht="17.1" customFormat="1" customHeight="1" s="218" thickBot="1">
      <c r="B19" s="268" t="inlineStr">
        <is>
          <t>Total Qty Export Sample :</t>
        </is>
      </c>
      <c r="C19" s="269" t="inlineStr"/>
    </row>
    <row r="20" ht="17.1" customHeight="1" s="202"/>
    <row r="21" ht="17.1" customHeight="1" s="202">
      <c r="U21" s="270" t="inlineStr">
        <is>
          <t>Tangerang, 17 August 2026</t>
        </is>
      </c>
    </row>
    <row r="22" ht="17.1" customHeight="1" s="202">
      <c r="A22" s="271" t="inlineStr">
        <is>
          <t>Total Document</t>
        </is>
      </c>
      <c r="C22" s="272">
        <f>A16</f>
        <v/>
      </c>
      <c r="U22" s="270" t="inlineStr">
        <is>
          <t>Kasubsi Hanggar Pabean dan Cukai</t>
        </is>
      </c>
    </row>
    <row r="23" ht="17.1" customHeight="1" s="202" thickBot="1">
      <c r="A23" s="271" t="inlineStr">
        <is>
          <t>Gross Weight</t>
        </is>
      </c>
      <c r="C23" s="273">
        <f>O16</f>
        <v/>
      </c>
    </row>
    <row r="24" ht="17.1" customHeight="1" s="202" thickTop="1">
      <c r="A24" s="271" t="inlineStr">
        <is>
          <t>Nett Weight</t>
        </is>
      </c>
      <c r="C24" s="273">
        <f>P16</f>
        <v/>
      </c>
    </row>
    <row r="25" ht="17.1" customHeight="1" s="202">
      <c r="A25" s="271" t="inlineStr">
        <is>
          <t>Amount</t>
        </is>
      </c>
      <c r="C25" s="274">
        <f>R16</f>
        <v/>
      </c>
    </row>
    <row r="26" ht="17.1" customHeight="1" s="202">
      <c r="A26" s="271" t="inlineStr">
        <is>
          <t>Jumlah Container</t>
        </is>
      </c>
      <c r="C26" s="275">
        <f>I16-C27</f>
        <v/>
      </c>
    </row>
    <row r="27" ht="17.1" customHeight="1" s="202">
      <c r="C27" s="276" t="inlineStr"/>
    </row>
    <row r="28" ht="17.1" customHeight="1" s="202">
      <c r="C28" s="277">
        <f>C26*2+C27</f>
        <v/>
      </c>
    </row>
    <row r="29" ht="17.1" customHeight="1" s="202"/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24:D24"/>
    <mergeCell ref="C26:D26"/>
    <mergeCell ref="E10:E11"/>
    <mergeCell ref="G10:G11"/>
    <mergeCell ref="M10:M11"/>
    <mergeCell ref="Y10:Y11"/>
    <mergeCell ref="Q10:Q11"/>
    <mergeCell ref="C10:D10"/>
    <mergeCell ref="C25:D25"/>
    <mergeCell ref="I10:J11"/>
    <mergeCell ref="A6:Z6"/>
    <mergeCell ref="C22:D22"/>
    <mergeCell ref="B10:B1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2026-08-17T06:14:14Z</dcterms:modified>
  <cp:lastModifiedBy>Chiswa Dian Hermansyah(ZINUS ZDI)</cp:lastModifiedBy>
</cp:coreProperties>
</file>