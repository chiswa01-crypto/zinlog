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  <numFmt numFmtId="180" formatCode="yyyy-mm-dd h:mm:ss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07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80" fontId="0" fillId="0" borderId="0" pivotButton="0" quotePrefix="0" xfId="0"/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t="n">
        <v>1</v>
      </c>
      <c r="B12" t="inlineStr">
        <is>
          <t>000030ZIK4802026072100494</t>
        </is>
      </c>
      <c r="C12" t="inlineStr">
        <is>
          <t>450515</t>
        </is>
      </c>
      <c r="D12" t="inlineStr">
        <is>
          <t>450465</t>
        </is>
      </c>
      <c r="E12" s="204" t="n">
        <v>46225</v>
      </c>
      <c r="F12" t="inlineStr">
        <is>
          <t>ID2607-7861</t>
        </is>
      </c>
      <c r="G12" s="204" t="n">
        <v>46223</v>
      </c>
      <c r="H12" t="n">
        <v>850</v>
      </c>
      <c r="I12" t="inlineStr">
        <is>
          <t>TXGU583961</t>
        </is>
      </c>
      <c r="J12" t="inlineStr">
        <is>
          <t>40FT</t>
        </is>
      </c>
      <c r="K12" t="inlineStr">
        <is>
          <t>6IN GREEN TEA MF MATTRESS FL</t>
        </is>
      </c>
      <c r="L12" t="inlineStr">
        <is>
          <t>EB-FMS-0600F-IN</t>
        </is>
      </c>
      <c r="M12" t="inlineStr">
        <is>
          <t>66X4TV01</t>
        </is>
      </c>
      <c r="N12" t="inlineStr">
        <is>
          <t>F.MFM.06F.001.BD</t>
        </is>
      </c>
      <c r="O12" t="n">
        <v>12962.5</v>
      </c>
      <c r="P12" t="n">
        <v>11730</v>
      </c>
      <c r="Q12">
        <f>IFERROR(R12/H12, 0)</f>
        <v/>
      </c>
      <c r="R12" t="n">
        <v>40018</v>
      </c>
      <c r="S12" t="n">
        <v>18056</v>
      </c>
      <c r="T12">
        <f>IFERROR(S12*R12, 0)</f>
        <v/>
      </c>
      <c r="U12" t="inlineStr">
        <is>
          <t>040300/KPPBC</t>
        </is>
      </c>
      <c r="V12" t="inlineStr">
        <is>
          <t>TG. PRIOK</t>
        </is>
      </c>
      <c r="W12" t="inlineStr">
        <is>
          <t>SAVANNAH</t>
        </is>
      </c>
      <c r="X12" t="inlineStr">
        <is>
          <t>AMAZON.COM SERVICES LLC</t>
        </is>
      </c>
      <c r="Y12" t="inlineStr">
        <is>
          <t>EGLV080600441901</t>
        </is>
      </c>
      <c r="Z12" s="204" t="n">
        <v>46225</v>
      </c>
    </row>
    <row r="13" ht="19.95" customFormat="1" customHeight="1" s="203">
      <c r="H13">
        <f>SUM(H12:H12)</f>
        <v/>
      </c>
      <c r="I13">
        <f>COUNTA(I12:I12)</f>
        <v/>
      </c>
      <c r="O13">
        <f>SUM(O12:O12)</f>
        <v/>
      </c>
      <c r="P13">
        <f>SUM(P12:P12)</f>
        <v/>
      </c>
      <c r="R13">
        <f>SUM(R12:R12)</f>
        <v/>
      </c>
      <c r="T13">
        <f>SUM(T12:T12)</f>
        <v/>
      </c>
    </row>
    <row r="14" ht="19.95" customFormat="1" customHeight="1" s="203">
      <c r="A14" t="n">
        <v>2</v>
      </c>
      <c r="B14" t="inlineStr">
        <is>
          <t>000030ZIK4802026072100495</t>
        </is>
      </c>
      <c r="C14" t="inlineStr">
        <is>
          <t>450530</t>
        </is>
      </c>
      <c r="D14" t="inlineStr">
        <is>
          <t>450480</t>
        </is>
      </c>
      <c r="E14" s="204" t="n">
        <v>46225</v>
      </c>
      <c r="F14" t="inlineStr">
        <is>
          <t>ID2607-7862</t>
        </is>
      </c>
      <c r="G14" s="204" t="n">
        <v>46223</v>
      </c>
      <c r="H14" t="n">
        <v>352</v>
      </c>
      <c r="I14" t="inlineStr">
        <is>
          <t>TXGU583972</t>
        </is>
      </c>
      <c r="J14" t="inlineStr">
        <is>
          <t>40FT</t>
        </is>
      </c>
      <c r="K14" t="inlineStr">
        <is>
          <t>14IN GREEN TEA FOAM MATTRESS Q</t>
        </is>
      </c>
      <c r="L14" t="inlineStr">
        <is>
          <t>ZU-MFMA1ZZI-14Q</t>
        </is>
      </c>
      <c r="M14" t="inlineStr">
        <is>
          <t>66X4TV02</t>
        </is>
      </c>
      <c r="N14" t="inlineStr">
        <is>
          <t>F.MFM.06F.002.BD</t>
        </is>
      </c>
      <c r="O14" t="n">
        <v>24598.94</v>
      </c>
      <c r="P14" t="n">
        <v>22252.54</v>
      </c>
      <c r="Q14">
        <f>IFERROR(R14/H14, 0)</f>
        <v/>
      </c>
      <c r="R14" t="n">
        <v>36097.6</v>
      </c>
      <c r="S14" t="n">
        <v>18056</v>
      </c>
      <c r="T14">
        <f>IFERROR(S14*R14, 0)</f>
        <v/>
      </c>
      <c r="U14" t="inlineStr">
        <is>
          <t>040300/KPPBC</t>
        </is>
      </c>
      <c r="V14" t="inlineStr">
        <is>
          <t>TG. PRIOK</t>
        </is>
      </c>
      <c r="W14" t="inlineStr">
        <is>
          <t>SAVANNAH</t>
        </is>
      </c>
      <c r="X14" t="inlineStr">
        <is>
          <t>AMAZON.COM SERVICES LLC</t>
        </is>
      </c>
      <c r="Y14" t="inlineStr">
        <is>
          <t>EGLV080600441902</t>
        </is>
      </c>
      <c r="Z14" s="204" t="n">
        <v>46225</v>
      </c>
    </row>
    <row r="15" ht="19.95" customFormat="1" customHeight="1" s="203">
      <c r="E15" s="204" t="n"/>
      <c r="G15" s="204" t="n"/>
      <c r="H15" t="n">
        <v>170</v>
      </c>
      <c r="I15" t="inlineStr">
        <is>
          <t>EGHU968202</t>
        </is>
      </c>
      <c r="J15" t="inlineStr">
        <is>
          <t>40FT</t>
        </is>
      </c>
      <c r="K15" t="inlineStr">
        <is>
          <t>14IN GREEN TEA FOAM MATTRESS K</t>
        </is>
      </c>
      <c r="L15" t="inlineStr">
        <is>
          <t>ZU-MFMA1ZZI-14K</t>
        </is>
      </c>
      <c r="M15" t="inlineStr">
        <is>
          <t>8NSJB02</t>
        </is>
      </c>
      <c r="N15" t="inlineStr">
        <is>
          <t>F.MFM.14K.002.AD</t>
        </is>
      </c>
      <c r="Q15">
        <f>IFERROR(R15/H15, 0)</f>
        <v/>
      </c>
      <c r="R15" t="n">
        <v>21984.4</v>
      </c>
      <c r="S15" t="n">
        <v>18056</v>
      </c>
      <c r="T15">
        <f>IFERROR(S15*R15, 0)</f>
        <v/>
      </c>
      <c r="W15" t="inlineStr">
        <is>
          <t>ETD : 27-07-2026</t>
        </is>
      </c>
      <c r="Z15" s="204" t="n"/>
    </row>
    <row r="16" ht="19.95" customFormat="1" customHeight="1" s="203">
      <c r="E16" s="204" t="n"/>
      <c r="G16" s="204" t="n"/>
      <c r="H16">
        <f>SUM(H14:H15)</f>
        <v/>
      </c>
      <c r="I16">
        <f>COUNTA(I14:I15)</f>
        <v/>
      </c>
      <c r="O16">
        <f>SUM(O14:O15)</f>
        <v/>
      </c>
      <c r="P16">
        <f>SUM(P14:P15)</f>
        <v/>
      </c>
      <c r="R16">
        <f>SUM(R14:R15)</f>
        <v/>
      </c>
      <c r="T16">
        <f>SUM(T14:T15)</f>
        <v/>
      </c>
      <c r="Z16" s="204" t="n"/>
    </row>
    <row r="17" ht="19.95" customFormat="1" customHeight="1" s="205">
      <c r="A17">
        <f>COUNT(A12:A16)</f>
        <v/>
      </c>
      <c r="H17">
        <f>H13+H16</f>
        <v/>
      </c>
      <c r="I17">
        <f>I13+I16</f>
        <v/>
      </c>
      <c r="O17">
        <f>O13+O16</f>
        <v/>
      </c>
      <c r="P17">
        <f>P13+P16</f>
        <v/>
      </c>
      <c r="R17">
        <f>R13+R16</f>
        <v/>
      </c>
      <c r="T17">
        <f>T13+T16</f>
        <v/>
      </c>
    </row>
    <row r="18" ht="19.95" customFormat="1" customHeight="1" s="203"/>
    <row r="19" ht="19.95" customFormat="1" customHeight="1" s="203">
      <c r="B19" t="inlineStr">
        <is>
          <t>Total Qty Export :</t>
        </is>
      </c>
      <c r="C19">
        <f>H17</f>
        <v/>
      </c>
    </row>
    <row r="20" ht="19.95" customFormat="1" customHeight="1" s="203">
      <c r="B20" t="inlineStr">
        <is>
          <t>Total Qty Export Sample :</t>
        </is>
      </c>
    </row>
    <row r="21" ht="19.95" customFormat="1" customHeight="1" s="203"/>
    <row r="22" ht="19.95" customFormat="1" customHeight="1" s="203">
      <c r="U22" t="inlineStr">
        <is>
          <t>Tangerang, 25 July 2026</t>
        </is>
      </c>
    </row>
    <row r="23" ht="19.95" customFormat="1" customHeight="1" s="205">
      <c r="A23" t="inlineStr">
        <is>
          <t>Total Document</t>
        </is>
      </c>
      <c r="C23">
        <f>A17</f>
        <v/>
      </c>
    </row>
    <row r="24" ht="19.95" customFormat="1" customHeight="1" s="205">
      <c r="A24" t="inlineStr">
        <is>
          <t>Gross Weight</t>
        </is>
      </c>
      <c r="C24">
        <f>O17</f>
        <v/>
      </c>
    </row>
    <row r="25" ht="19.95" customHeight="1" s="181" thickBot="1">
      <c r="A25" t="inlineStr">
        <is>
          <t>Nett Weight</t>
        </is>
      </c>
      <c r="C25">
        <f>P17</f>
        <v/>
      </c>
    </row>
    <row r="26" ht="19.95" customFormat="1" customHeight="1" s="189" thickBot="1">
      <c r="A26" t="inlineStr">
        <is>
          <t>Amount</t>
        </is>
      </c>
      <c r="C26">
        <f>R17</f>
        <v/>
      </c>
    </row>
    <row r="27" ht="19.95" customHeight="1" s="181">
      <c r="A27" t="inlineStr">
        <is>
          <t>Jumlah Container</t>
        </is>
      </c>
      <c r="C27">
        <f>I17</f>
        <v/>
      </c>
    </row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06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2026-07-25T16:26:49Z</dcterms:modified>
  <cp:lastModifiedBy>Chiswa Dian Hermansyah(ZINUS ZDI)</cp:lastModifiedBy>
</cp:coreProperties>
</file>