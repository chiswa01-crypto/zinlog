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  <numFmt numFmtId="180" formatCode="dd-mm-yyyy"/>
  </numFmts>
  <fonts count="30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0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80" fontId="24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0" fontId="25" fillId="6" borderId="30" applyAlignment="1" pivotButton="0" quotePrefix="0" xfId="0">
      <alignment horizontal="center" vertical="center"/>
    </xf>
    <xf numFmtId="3" fontId="25" fillId="6" borderId="30" applyAlignment="1" pivotButton="0" quotePrefix="0" xfId="0">
      <alignment horizontal="center" vertical="center"/>
    </xf>
    <xf numFmtId="4" fontId="25" fillId="6" borderId="30" applyAlignment="1" pivotButton="0" quotePrefix="0" xfId="0">
      <alignment horizontal="center" vertical="center"/>
    </xf>
    <xf numFmtId="172" fontId="25" fillId="6" borderId="30" applyAlignment="1" pivotButton="0" quotePrefix="0" xfId="0">
      <alignment horizontal="center" vertical="center"/>
    </xf>
    <xf numFmtId="168" fontId="25" fillId="6" borderId="30" applyAlignment="1" pivotButton="0" quotePrefix="0" xfId="0">
      <alignment horizontal="center" vertical="center"/>
    </xf>
    <xf numFmtId="1" fontId="26" fillId="0" borderId="31" applyAlignment="1" pivotButton="0" quotePrefix="0" xfId="0">
      <alignment horizontal="center" vertical="center"/>
    </xf>
    <xf numFmtId="0" fontId="26" fillId="0" borderId="31" applyAlignment="1" pivotButton="0" quotePrefix="0" xfId="0">
      <alignment horizontal="center" vertical="center"/>
    </xf>
    <xf numFmtId="3" fontId="26" fillId="0" borderId="31" applyAlignment="1" pivotButton="0" quotePrefix="0" xfId="0">
      <alignment horizontal="center" vertical="center"/>
    </xf>
    <xf numFmtId="4" fontId="26" fillId="0" borderId="31" applyAlignment="1" pivotButton="0" quotePrefix="0" xfId="0">
      <alignment horizontal="center" vertical="center"/>
    </xf>
    <xf numFmtId="172" fontId="26" fillId="0" borderId="31" applyAlignment="1" pivotButton="0" quotePrefix="0" xfId="0">
      <alignment horizontal="center" vertical="center"/>
    </xf>
    <xf numFmtId="168" fontId="26" fillId="0" borderId="31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7" fillId="7" borderId="0" applyAlignment="1" pivotButton="0" quotePrefix="0" xfId="0">
      <alignment horizontal="center" vertical="center"/>
    </xf>
    <xf numFmtId="3" fontId="26" fillId="7" borderId="0" applyAlignment="1" pivotButton="0" quotePrefix="0" xfId="0">
      <alignment horizontal="center" vertical="center"/>
    </xf>
    <xf numFmtId="0" fontId="27" fillId="8" borderId="0" applyAlignment="1" pivotButton="0" quotePrefix="0" xfId="0">
      <alignment horizontal="center" vertical="center"/>
    </xf>
    <xf numFmtId="0" fontId="26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35" pivotButton="0" quotePrefix="0" xfId="0"/>
    <xf numFmtId="173" fontId="29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29" fillId="0" borderId="36" applyAlignment="1" pivotButton="0" quotePrefix="0" xfId="0">
      <alignment horizontal="left" vertical="center"/>
    </xf>
    <xf numFmtId="175" fontId="29" fillId="0" borderId="36" applyAlignment="1" pivotButton="0" quotePrefix="0" xfId="0">
      <alignment horizontal="left" vertical="center"/>
    </xf>
    <xf numFmtId="176" fontId="29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29" fillId="0" borderId="36" applyAlignment="1" pivotButton="0" quotePrefix="0" xfId="0">
      <alignment horizontal="left" vertical="center"/>
    </xf>
    <xf numFmtId="178" fontId="29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000030ZIK48020260813000618</t>
        </is>
      </c>
      <c r="C12" s="245" t="n">
        <v>513093</v>
      </c>
      <c r="D12" s="245" t="n">
        <v>513041</v>
      </c>
      <c r="E12" s="246" t="n">
        <v>46248</v>
      </c>
      <c r="F12" s="245" t="inlineStr">
        <is>
          <t>ID2608-8122</t>
        </is>
      </c>
      <c r="G12" s="246" t="n">
        <v>46247</v>
      </c>
      <c r="H12" s="245" t="n"/>
      <c r="I12" s="245" t="inlineStr">
        <is>
          <t>ONEU1994640</t>
        </is>
      </c>
      <c r="J12" s="245" t="inlineStr">
        <is>
          <t>40FT</t>
        </is>
      </c>
      <c r="K12" s="245" t="n"/>
      <c r="L12" s="245" t="n"/>
      <c r="M12" s="245" t="n"/>
      <c r="N12" s="245" t="n"/>
      <c r="O12" s="247" t="n">
        <v>10526.67</v>
      </c>
      <c r="P12" s="247" t="n">
        <v>9140.67</v>
      </c>
      <c r="Q12" s="245" t="n"/>
      <c r="R12" s="245" t="n"/>
      <c r="S12" s="245" t="n"/>
      <c r="T12" s="245" t="n"/>
      <c r="U12" s="245" t="inlineStr">
        <is>
          <t>040300/KPPBC</t>
        </is>
      </c>
      <c r="V12" s="245" t="inlineStr">
        <is>
          <t>TG. PRIOK</t>
        </is>
      </c>
      <c r="W12" s="245" t="inlineStr">
        <is>
          <t>LOS ANGELES, US</t>
        </is>
      </c>
      <c r="X12" s="245" t="inlineStr">
        <is>
          <t>WALMART, INC.</t>
        </is>
      </c>
      <c r="Y12" s="245" t="inlineStr">
        <is>
          <t>ONEYJKTG69556502</t>
        </is>
      </c>
      <c r="Z12" s="246" t="n">
        <v>46248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5" t="n"/>
      <c r="I13" s="245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inlineStr">
        <is>
          <t>ETD : 19-08-2026</t>
        </is>
      </c>
      <c r="X13" s="245" t="n"/>
      <c r="Y13" s="245" t="n"/>
      <c r="Z13" s="245" t="n"/>
    </row>
    <row r="14" ht="17.1" customFormat="1" customHeight="1" s="244">
      <c r="A14" s="248" t="n"/>
      <c r="B14" s="248" t="n"/>
      <c r="C14" s="248" t="n"/>
      <c r="D14" s="248" t="n"/>
      <c r="E14" s="248" t="n"/>
      <c r="F14" s="248" t="n"/>
      <c r="G14" s="248" t="n"/>
      <c r="H14" s="249">
        <f>SUM(H12:H13)</f>
        <v/>
      </c>
      <c r="I14" s="248">
        <f>COUNTA(I12:I13)</f>
        <v/>
      </c>
      <c r="J14" s="248" t="n"/>
      <c r="K14" s="248" t="n"/>
      <c r="L14" s="248" t="n"/>
      <c r="M14" s="248" t="n"/>
      <c r="N14" s="248" t="n"/>
      <c r="O14" s="250">
        <f>SUM(O12:O13)</f>
        <v/>
      </c>
      <c r="P14" s="250">
        <f>SUM(P12:P13)</f>
        <v/>
      </c>
      <c r="Q14" s="248" t="n"/>
      <c r="R14" s="251">
        <f>SUM(R12:R13)</f>
        <v/>
      </c>
      <c r="S14" s="248" t="n"/>
      <c r="T14" s="252">
        <f>SUM(T12:T13)</f>
        <v/>
      </c>
      <c r="U14" s="248" t="n"/>
      <c r="V14" s="248" t="n"/>
      <c r="W14" s="248" t="n"/>
      <c r="X14" s="248" t="n"/>
      <c r="Y14" s="248" t="n"/>
      <c r="Z14" s="248" t="n"/>
    </row>
    <row r="15" ht="8.1" customFormat="1" customHeight="1" s="244"/>
    <row r="16" ht="20.1" customFormat="1" customHeight="1" s="244">
      <c r="A16" s="253">
        <f>COUNT(A12:A15)</f>
        <v/>
      </c>
      <c r="B16" s="254" t="n"/>
      <c r="C16" s="254" t="n"/>
      <c r="D16" s="254" t="n"/>
      <c r="E16" s="254" t="n"/>
      <c r="F16" s="254" t="n"/>
      <c r="G16" s="254" t="n"/>
      <c r="H16" s="255">
        <f>H14</f>
        <v/>
      </c>
      <c r="I16" s="255">
        <f>I14</f>
        <v/>
      </c>
      <c r="J16" s="254" t="n"/>
      <c r="K16" s="254" t="n"/>
      <c r="L16" s="254" t="n"/>
      <c r="M16" s="254" t="n"/>
      <c r="N16" s="254" t="n"/>
      <c r="O16" s="256">
        <f>O14</f>
        <v/>
      </c>
      <c r="P16" s="256">
        <f>P14</f>
        <v/>
      </c>
      <c r="Q16" s="254" t="n"/>
      <c r="R16" s="257">
        <f>R14</f>
        <v/>
      </c>
      <c r="S16" s="254" t="n"/>
      <c r="T16" s="258">
        <f>T14</f>
        <v/>
      </c>
      <c r="U16" s="254" t="n"/>
      <c r="V16" s="254" t="n"/>
      <c r="W16" s="254" t="n"/>
      <c r="X16" s="254" t="n"/>
      <c r="Y16" s="254" t="n"/>
      <c r="Z16" s="254" t="n"/>
    </row>
    <row r="17" ht="17.1" customFormat="1" customHeight="1" s="259"/>
    <row r="18" ht="17.1" customHeight="1" s="202" thickBot="1">
      <c r="B18" s="260" t="inlineStr">
        <is>
          <t>Total Qty Export :</t>
        </is>
      </c>
      <c r="C18" s="261">
        <f>H16-C19</f>
        <v/>
      </c>
    </row>
    <row r="19" ht="17.1" customFormat="1" customHeight="1" s="218" thickBot="1">
      <c r="B19" s="262" t="inlineStr">
        <is>
          <t>Total Qty Export Sample :</t>
        </is>
      </c>
      <c r="C19" s="263" t="inlineStr"/>
    </row>
    <row r="20" ht="17.1" customHeight="1" s="202"/>
    <row r="21" ht="17.1" customHeight="1" s="202">
      <c r="A21" s="264" t="n"/>
      <c r="B21" s="265" t="n"/>
      <c r="C21" s="265" t="n"/>
      <c r="D21" s="266" t="n"/>
      <c r="U21" s="267" t="inlineStr">
        <is>
          <t>Tangerang, 18 August 2026</t>
        </is>
      </c>
    </row>
    <row r="22" ht="17.1" customHeight="1" s="202">
      <c r="A22" s="268" t="inlineStr">
        <is>
          <t>Total Document</t>
        </is>
      </c>
      <c r="C22" s="269">
        <f>A16</f>
        <v/>
      </c>
      <c r="D22" s="270" t="n"/>
      <c r="U22" s="267" t="inlineStr">
        <is>
          <t>Kasubsi Hanggar Pabean dan Cukai</t>
        </is>
      </c>
    </row>
    <row r="23" ht="17.1" customHeight="1" s="202" thickBot="1">
      <c r="A23" s="268" t="inlineStr">
        <is>
          <t>Gross Weight</t>
        </is>
      </c>
      <c r="C23" s="271">
        <f>O16</f>
        <v/>
      </c>
      <c r="D23" s="270" t="n"/>
    </row>
    <row r="24" ht="17.1" customHeight="1" s="202" thickTop="1">
      <c r="A24" s="268" t="inlineStr">
        <is>
          <t>Nett Weight</t>
        </is>
      </c>
      <c r="C24" s="271">
        <f>P16</f>
        <v/>
      </c>
      <c r="D24" s="270" t="n"/>
    </row>
    <row r="25" ht="17.1" customHeight="1" s="202">
      <c r="A25" s="268" t="inlineStr">
        <is>
          <t>Amount</t>
        </is>
      </c>
      <c r="C25" s="272">
        <f>R16</f>
        <v/>
      </c>
      <c r="D25" s="270" t="n"/>
    </row>
    <row r="26" ht="17.1" customHeight="1" s="202">
      <c r="A26" s="268" t="inlineStr">
        <is>
          <t>Jumlah Container</t>
        </is>
      </c>
      <c r="C26" s="273">
        <f>I16-C27</f>
        <v/>
      </c>
      <c r="D26" s="270" t="n"/>
    </row>
    <row r="27" ht="17.1" customHeight="1" s="202">
      <c r="A27" s="274" t="n"/>
      <c r="C27" s="275" t="inlineStr"/>
      <c r="D27" s="270" t="n"/>
    </row>
    <row r="28" ht="17.1" customHeight="1" s="202">
      <c r="A28" s="274" t="n"/>
      <c r="C28" s="276">
        <f>C26*2+C27</f>
        <v/>
      </c>
      <c r="D28" s="270" t="n"/>
    </row>
    <row r="29" ht="16.2" customHeight="1" s="202">
      <c r="A29" s="277" t="n"/>
      <c r="B29" s="278" t="n"/>
      <c r="C29" s="278" t="n"/>
      <c r="D29" s="279" t="n"/>
    </row>
    <row r="30" ht="17.1" customHeight="1" s="202"/>
    <row r="31" ht="17.1" customHeight="1" s="202"/>
    <row r="32" ht="16.2" customHeight="1" s="202" thickBot="1"/>
    <row r="33" ht="16.2" customFormat="1" customHeight="1" s="17" thickTop="1"/>
  </sheetData>
  <autoFilter ref="A10:Z11">
    <filterColumn colId="2" hiddenButton="0" showButton="0"/>
    <filterColumn colId="8" hiddenButton="0" showButton="0"/>
  </autoFilter>
  <mergeCells count="26">
    <mergeCell ref="C24:D24"/>
    <mergeCell ref="C26:D26"/>
    <mergeCell ref="E10:E11"/>
    <mergeCell ref="G10:G11"/>
    <mergeCell ref="M10:M11"/>
    <mergeCell ref="Y10:Y11"/>
    <mergeCell ref="Q10:Q11"/>
    <mergeCell ref="C10:D10"/>
    <mergeCell ref="C25:D25"/>
    <mergeCell ref="I10:J11"/>
    <mergeCell ref="A6:Z6"/>
    <mergeCell ref="C22:D22"/>
    <mergeCell ref="B10:B11"/>
    <mergeCell ref="A7:Z7"/>
    <mergeCell ref="L10:L11"/>
    <mergeCell ref="X10:X11"/>
    <mergeCell ref="N10:N11"/>
    <mergeCell ref="Z10:Z11"/>
    <mergeCell ref="C27:D27"/>
    <mergeCell ref="A10:A11"/>
    <mergeCell ref="C23:D23"/>
    <mergeCell ref="K10:K11"/>
    <mergeCell ref="A8:Z8"/>
    <mergeCell ref="C28:D2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2026-08-18T07:28:55Z</dcterms:modified>
  <cp:lastModifiedBy>Chiswa Dian Hermansyah(ZINUS ZDI)</cp:lastModifiedBy>
</cp:coreProperties>
</file>