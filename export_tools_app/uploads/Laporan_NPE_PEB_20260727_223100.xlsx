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>
        <v>7</v>
      </c>
      <c r="B89" s="325" t="inlineStr"/>
      <c r="C89" s="304" t="inlineStr"/>
      <c r="D89" s="304" t="inlineStr"/>
      <c r="E89" s="317" t="inlineStr">
        <is>
          <t>07/17/2026</t>
        </is>
      </c>
      <c r="F89" s="321" t="inlineStr">
        <is>
          <t>Shipper</t>
        </is>
      </c>
      <c r="G89" s="317" t="inlineStr"/>
      <c r="H89" s="311" t="n">
        <v>520</v>
      </c>
      <c r="I89" s="311" t="inlineStr"/>
      <c r="J89" s="311" t="inlineStr"/>
      <c r="K89" s="309" t="inlineStr">
        <is>
          <t>9404.21.20 0993630576 SCF-STR-800F F.MFM.08F.000.WS 8IN GREEN TEA MF MATTRESS FL 520 PCS $79.77 $41,480.4 9, 520 PCS $41,480.4 9, Signed by WE DECLARE THAT THE SHIPMENT CONTAINS NO SOLID WOOD PACKING MATERIALS-PACKING LIST Shipper Invoice No. and Date ID2607-7848 07/17/2026 PT.ZINUS DREAM INDONESIA. L/C No. and Date JL. RAYA SERANG KM. 12 RT. 01 RW. 05, KP. GEBANG DESA/KEL. SUKADAMAI, KEC. CIKUPA, KAB. TANGERANG BANTEN Consignee Buyer (if other than consignee) ZINUS INC WALMART, INC. ZINUS INC-811 EXCELLENCE DRIVE 8F, 10(AMIGO-TOWER) YATAP-RO, BENTONVILLE AR 72716 81 BEON-GIL, BUNDANG-GU, SEONGNAM-SI, UNITED STATES GYUNGGI-DO, KOREA Notify Other Reference EXPEDITORS INTL OF WA INC</t>
        </is>
      </c>
      <c r="L89" s="310" t="inlineStr">
        <is>
          <t>SCF-STR-800F</t>
        </is>
      </c>
      <c r="M89" s="311" t="inlineStr">
        <is>
          <t>0993630576</t>
        </is>
      </c>
      <c r="N89" s="309" t="inlineStr">
        <is>
          <t>F.MFM.08F.000.WS</t>
        </is>
      </c>
      <c r="O89" s="306" t="inlineStr"/>
      <c r="P89" s="306" t="inlineStr"/>
      <c r="Q89" s="312">
        <f>IFERROR(R89/H89, 0)</f>
        <v/>
      </c>
      <c r="R89" s="307" t="n">
        <v>0</v>
      </c>
      <c r="S89" s="308" t="n">
        <v>18056</v>
      </c>
      <c r="T89" s="308">
        <f>IFERROR(S89*R89, 0)</f>
        <v/>
      </c>
      <c r="U89" s="313" t="inlineStr"/>
      <c r="V89" s="315" t="inlineStr"/>
      <c r="W89" s="316" t="inlineStr">
        <is>
          <t>UNITED STATES</t>
        </is>
      </c>
      <c r="X89" s="311" t="inlineStr"/>
      <c r="Y89" s="315" t="inlineStr"/>
      <c r="Z89" s="317" t="inlineStr"/>
    </row>
    <row r="90" ht="16.5" customHeight="1" s="223">
      <c r="A90" s="323" t="n"/>
      <c r="B90" s="325" t="n"/>
      <c r="C90" s="304" t="n"/>
      <c r="D90" s="304" t="n"/>
      <c r="E90" s="317" t="n"/>
      <c r="F90" s="321" t="n"/>
      <c r="G90" s="317" t="n"/>
      <c r="H90" s="311" t="n"/>
      <c r="I90" s="311" t="n"/>
      <c r="J90" s="311" t="n"/>
      <c r="K90" s="309" t="n"/>
      <c r="L90" s="310" t="n"/>
      <c r="M90" s="311" t="n"/>
      <c r="N90" s="309" t="n"/>
      <c r="O90" s="306" t="n"/>
      <c r="P90" s="306" t="n"/>
      <c r="Q90" s="312" t="n"/>
      <c r="R90" s="307" t="n"/>
      <c r="S90" s="308" t="n"/>
      <c r="T90" s="308" t="n"/>
      <c r="U90" s="313" t="n"/>
      <c r="V90" s="315" t="n"/>
      <c r="W90" s="316" t="inlineStr">
        <is>
          <t>ETD : 27-07-2026</t>
        </is>
      </c>
      <c r="X90" s="311" t="n"/>
      <c r="Y90" s="315" t="n"/>
      <c r="Z90" s="317" t="n"/>
    </row>
    <row r="91" ht="17.1" customHeight="1" s="223">
      <c r="A91" s="326" t="n"/>
      <c r="B91" s="327" t="n"/>
      <c r="C91" s="328" t="n"/>
      <c r="D91" s="328" t="n"/>
      <c r="E91" s="329" t="n"/>
      <c r="F91" s="329" t="n"/>
      <c r="G91" s="329" t="n"/>
      <c r="H91" s="330">
        <f>SUM(H89:H90)</f>
        <v/>
      </c>
      <c r="I91" s="331">
        <f>COUNTA(I89:I90)</f>
        <v/>
      </c>
      <c r="J91" s="330" t="n"/>
      <c r="K91" s="330" t="n"/>
      <c r="L91" s="332" t="n"/>
      <c r="M91" s="330" t="n"/>
      <c r="N91" s="330" t="n"/>
      <c r="O91" s="333">
        <f>SUM(O89:O90)</f>
        <v/>
      </c>
      <c r="P91" s="333">
        <f>SUM(P89:P90)</f>
        <v/>
      </c>
      <c r="Q91" s="334" t="n"/>
      <c r="R91" s="335">
        <f>SUM(R89:R90)</f>
        <v/>
      </c>
      <c r="S91" s="336" t="n"/>
      <c r="T91" s="336">
        <f>SUM(T89:T90)</f>
        <v/>
      </c>
      <c r="U91" s="330" t="n"/>
      <c r="V91" s="337" t="n"/>
      <c r="W91" s="338" t="n"/>
      <c r="X91" s="337" t="n"/>
      <c r="Y91" s="337" t="n"/>
      <c r="Z91" s="337" t="n"/>
    </row>
    <row r="92" ht="16.5" customHeight="1" s="223">
      <c r="A92" s="323" t="n">
        <v>8</v>
      </c>
      <c r="B92" s="325" t="inlineStr"/>
      <c r="C92" s="304" t="inlineStr"/>
      <c r="D92" s="304" t="inlineStr"/>
      <c r="E92" s="317" t="inlineStr">
        <is>
          <t>07/17/2026</t>
        </is>
      </c>
      <c r="F92" s="321" t="inlineStr">
        <is>
          <t>Shipper</t>
        </is>
      </c>
      <c r="G92" s="317" t="inlineStr"/>
      <c r="H92" s="311" t="n">
        <v>693</v>
      </c>
      <c r="I92" s="311" t="inlineStr"/>
      <c r="J92" s="311" t="inlineStr"/>
      <c r="K92" s="309" t="inlineStr">
        <is>
          <t>9404.21.20 0993631151 SCF-STR-800T F.MFM.08T.000.WS 8IN GREEN TEA MF MATTRESS TW 693 PCS $61.5 $42,619.5 9, 693 PCS $42,619.5 9, Signed by WE DECLARE THAT THE SHIPMENT CONTAINS NO SOLID WOOD PACKING MATERIALS-PACKING LIST Shipper Invoice No. and Date ID2607-7849 07/17/2026 PT.ZINUS DREAM INDONESIA. L/C No. and Date JL. RAYA SERANG KM. 12 RT. 01 RW. 05, KP. GEBANG DESA/KEL. SUKADAMAI, KEC. CIKUPA, KAB. TANGERANG BANTEN Consignee Buyer (if other than consignee) ZINUS INC WALMART, INC. ZINUS INC-811 EXCELLENCE DRIVE 8F, 10(AMIGO-TOWER) YATAP-RO, BENTONVILLE AR 72716 81 BEON-GIL, BUNDANG-GU, SEONGNAM-SI, UNITED STATES GYUNGGI-DO, KOREA Notify Other Reference EXPEDITORS INTL OF WA INC</t>
        </is>
      </c>
      <c r="L92" s="310" t="inlineStr">
        <is>
          <t>SCF-STR-800T</t>
        </is>
      </c>
      <c r="M92" s="311" t="inlineStr">
        <is>
          <t>0993631151</t>
        </is>
      </c>
      <c r="N92" s="309" t="inlineStr">
        <is>
          <t>F.MFM.08T.000.WS</t>
        </is>
      </c>
      <c r="O92" s="306" t="inlineStr"/>
      <c r="P92" s="306" t="inlineStr"/>
      <c r="Q92" s="312">
        <f>IFERROR(R92/H92, 0)</f>
        <v/>
      </c>
      <c r="R92" s="307" t="n">
        <v>0</v>
      </c>
      <c r="S92" s="308" t="n">
        <v>18056</v>
      </c>
      <c r="T92" s="308">
        <f>IFERROR(S92*R92, 0)</f>
        <v/>
      </c>
      <c r="U92" s="313" t="inlineStr"/>
      <c r="V92" s="315" t="inlineStr"/>
      <c r="W92" s="316" t="inlineStr">
        <is>
          <t>UNITED STATES</t>
        </is>
      </c>
      <c r="X92" s="311" t="inlineStr"/>
      <c r="Y92" s="315" t="inlineStr"/>
      <c r="Z92" s="317" t="inlineStr"/>
    </row>
    <row r="93" ht="16.5" customHeight="1" s="223">
      <c r="A93" s="323" t="n"/>
      <c r="B93" s="325" t="n"/>
      <c r="C93" s="304" t="n"/>
      <c r="D93" s="304" t="n"/>
      <c r="E93" s="317" t="n"/>
      <c r="F93" s="321" t="n"/>
      <c r="G93" s="317" t="n"/>
      <c r="H93" s="311" t="n"/>
      <c r="I93" s="311" t="n"/>
      <c r="J93" s="311" t="n"/>
      <c r="K93" s="309" t="n"/>
      <c r="L93" s="310" t="n"/>
      <c r="M93" s="311" t="n"/>
      <c r="N93" s="309" t="n"/>
      <c r="O93" s="306" t="n"/>
      <c r="P93" s="306" t="n"/>
      <c r="Q93" s="312" t="n"/>
      <c r="R93" s="307" t="n"/>
      <c r="S93" s="308" t="n"/>
      <c r="T93" s="308" t="n"/>
      <c r="U93" s="313" t="n"/>
      <c r="V93" s="315" t="n"/>
      <c r="W93" s="316" t="inlineStr">
        <is>
          <t>ETD : 27-07-2026</t>
        </is>
      </c>
      <c r="X93" s="311" t="n"/>
      <c r="Y93" s="315" t="n"/>
      <c r="Z93" s="317" t="n"/>
    </row>
    <row r="94" ht="17.1" customHeight="1" s="223">
      <c r="A94" s="326" t="n"/>
      <c r="B94" s="327" t="n"/>
      <c r="C94" s="328" t="n"/>
      <c r="D94" s="328" t="n"/>
      <c r="E94" s="329" t="n"/>
      <c r="F94" s="329" t="n"/>
      <c r="G94" s="329" t="n"/>
      <c r="H94" s="330">
        <f>SUM(H92:H93)</f>
        <v/>
      </c>
      <c r="I94" s="331">
        <f>COUNTA(I92:I93)</f>
        <v/>
      </c>
      <c r="J94" s="330" t="n"/>
      <c r="K94" s="330" t="n"/>
      <c r="L94" s="332" t="n"/>
      <c r="M94" s="330" t="n"/>
      <c r="N94" s="330" t="n"/>
      <c r="O94" s="333">
        <f>SUM(O92:O93)</f>
        <v/>
      </c>
      <c r="P94" s="333">
        <f>SUM(P92:P93)</f>
        <v/>
      </c>
      <c r="Q94" s="334" t="n"/>
      <c r="R94" s="335">
        <f>SUM(R92:R93)</f>
        <v/>
      </c>
      <c r="S94" s="336" t="n"/>
      <c r="T94" s="336">
        <f>SUM(T92:T93)</f>
        <v/>
      </c>
      <c r="U94" s="330" t="n"/>
      <c r="V94" s="337" t="n"/>
      <c r="W94" s="338" t="n"/>
      <c r="X94" s="337" t="n"/>
      <c r="Y94" s="337" t="n"/>
      <c r="Z94" s="337" t="n"/>
    </row>
    <row r="95" ht="16.5" customHeight="1" s="223">
      <c r="A95" s="323" t="n"/>
      <c r="B95" s="325" t="n"/>
      <c r="C95" s="304" t="n"/>
      <c r="D95" s="304" t="n"/>
      <c r="E95" s="317" t="n"/>
      <c r="F95" s="321" t="n"/>
      <c r="G95" s="317" t="n"/>
      <c r="H95" s="311">
        <f>SUM(H22,H50,H79,H82,H85,H88,H91,H94)</f>
        <v/>
      </c>
      <c r="I95" s="311">
        <f>SUM(I22,I50,I79,I82,I85,I88,I91,I94)</f>
        <v/>
      </c>
      <c r="J95" s="311" t="n"/>
      <c r="K95" s="309" t="n"/>
      <c r="L95" s="310" t="n"/>
      <c r="M95" s="311" t="n"/>
      <c r="N95" s="309" t="n"/>
      <c r="O95" s="306">
        <f>SUM(O22,O50,O79,O82,O85,O88,O91,O94)</f>
        <v/>
      </c>
      <c r="P95" s="306">
        <f>SUM(P22,P50,P79,P82,P85,P88,P91,P94)</f>
        <v/>
      </c>
      <c r="Q95" s="312" t="n"/>
      <c r="R95" s="307">
        <f>SUM(R22,R50,R79,R82,R85,R88,R91,R94)</f>
        <v/>
      </c>
      <c r="S95" s="308" t="n"/>
      <c r="T95" s="308">
        <f>SUM(T22,T50,T79,T82,T85,T88,T91,T94)</f>
        <v/>
      </c>
      <c r="U95" s="313" t="n"/>
      <c r="V95" s="315" t="n"/>
      <c r="W95" s="316" t="n"/>
      <c r="X95" s="311" t="n"/>
      <c r="Y95" s="315" t="n"/>
      <c r="Z95" s="317" t="n"/>
    </row>
    <row r="96"/>
    <row r="97" ht="20" customHeight="1" s="223">
      <c r="G97" s="339" t="inlineStr">
        <is>
          <t>Total Qty Export</t>
        </is>
      </c>
      <c r="H97" s="340">
        <f>H95</f>
        <v/>
      </c>
    </row>
    <row r="98" ht="20" customHeight="1" s="223">
      <c r="G98" s="339" t="inlineStr">
        <is>
          <t>Total Qty Export Sample</t>
        </is>
      </c>
      <c r="H98" s="339" t="n">
        <v>0</v>
      </c>
    </row>
    <row r="99" ht="20" customHeight="1" s="223">
      <c r="G99" s="339" t="inlineStr">
        <is>
          <t>Total Document</t>
        </is>
      </c>
      <c r="H99" s="339" t="n">
        <v>8</v>
      </c>
    </row>
    <row r="100" ht="20" customHeight="1" s="223">
      <c r="G100" s="339" t="inlineStr">
        <is>
          <t>Gross Weight</t>
        </is>
      </c>
      <c r="H100" s="340">
        <f>O95</f>
        <v/>
      </c>
    </row>
    <row r="101" ht="20" customHeight="1" s="223">
      <c r="G101" s="339" t="inlineStr">
        <is>
          <t>Nett Weight</t>
        </is>
      </c>
      <c r="H101" s="340">
        <f>P95</f>
        <v/>
      </c>
    </row>
    <row r="102" ht="20" customHeight="1" s="223">
      <c r="G102" s="339" t="inlineStr">
        <is>
          <t>Amount</t>
        </is>
      </c>
      <c r="H102" s="340">
        <f>R95</f>
        <v/>
      </c>
    </row>
    <row r="103" ht="20" customHeight="1" s="223">
      <c r="G103" s="339" t="inlineStr">
        <is>
          <t>Jumlah Container</t>
        </is>
      </c>
      <c r="H103" s="339" t="inlineStr">
        <is>
          <t>: 20x40FT, 0x20FT, = 40 TEUS</t>
        </is>
      </c>
    </row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2026-07-27T15:31:00Z</dcterms:modified>
  <cp:lastModifiedBy>Chiswa Dian Hermansyah(ZINUS ZDI)</cp:lastModifiedBy>
</cp:coreProperties>
</file>