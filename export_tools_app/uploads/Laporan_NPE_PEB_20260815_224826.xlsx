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9" fontId="24" fillId="6" borderId="13" applyAlignment="1" pivotButton="0" quotePrefix="1" xfId="4">
      <alignment horizontal="left" vertical="center"/>
    </xf>
    <xf numFmtId="49" fontId="25" fillId="6" borderId="13" applyAlignment="1" pivotButton="0" quotePrefix="1" xfId="5">
      <alignment horizontal="right" vertical="center"/>
    </xf>
    <xf numFmtId="49" fontId="24" fillId="0" borderId="13" applyAlignment="1" pivotButton="0" quotePrefix="1" xfId="4">
      <alignment horizontal="left" vertical="center"/>
    </xf>
    <xf numFmtId="49" fontId="25" fillId="0" borderId="13" applyAlignment="1" pivotButton="0" quotePrefix="1" xfId="5">
      <alignment horizontal="right" vertical="center"/>
    </xf>
    <xf numFmtId="0" fontId="24" fillId="2" borderId="15" applyAlignment="1" pivotButton="0" quotePrefix="0" xfId="5">
      <alignment horizontal="left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0" fontId="24" fillId="0" borderId="12" applyAlignment="1" pivotButton="0" quotePrefix="0" xfId="5">
      <alignment horizontal="left" vertical="center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1" fontId="25" fillId="0" borderId="8" applyAlignment="1" pivotButton="0" quotePrefix="1" xfId="4">
      <alignment horizontal="center" vertical="center"/>
    </xf>
    <xf numFmtId="41" fontId="2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1" fontId="25" fillId="0" borderId="0" applyAlignment="1" pivotButton="0" quotePrefix="1" xfId="4">
      <alignment horizontal="center" vertical="center"/>
    </xf>
    <xf numFmtId="164" fontId="25" fillId="0" borderId="0" applyAlignment="1" pivotButton="0" quotePrefix="1" xfId="4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3" fontId="25" fillId="4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000030ZIK48020260805000566</t>
        </is>
      </c>
      <c r="C12" s="81" t="n">
        <v>487492</v>
      </c>
      <c r="D12" s="81" t="n">
        <v>487439</v>
      </c>
      <c r="E12" s="258" t="n">
        <v>46239</v>
      </c>
      <c r="F12" s="82" t="inlineStr">
        <is>
          <t>ID2608-8033</t>
        </is>
      </c>
      <c r="G12" s="258" t="n">
        <v>46239</v>
      </c>
      <c r="H12" s="83" t="n">
        <v>900</v>
      </c>
      <c r="I12" s="42" t="inlineStr">
        <is>
          <t>TCKU7836966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0993631008</t>
        </is>
      </c>
      <c r="N12" s="44" t="inlineStr">
        <is>
          <t>F.MFM.08Q.000.WS</t>
        </is>
      </c>
      <c r="O12" s="86" t="n">
        <v>21510</v>
      </c>
      <c r="P12" s="86" t="n">
        <v>19188</v>
      </c>
      <c r="Q12" s="259">
        <f>IFERROR(R12/H12, 0)</f>
        <v/>
      </c>
      <c r="R12" s="260" t="n">
        <v>84573</v>
      </c>
      <c r="S12" s="261" t="n">
        <v>18062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NORFOLK, US</t>
        </is>
      </c>
      <c r="X12" s="51" t="inlineStr">
        <is>
          <t>WALMART, INC.</t>
        </is>
      </c>
      <c r="Y12" s="52" t="inlineStr">
        <is>
          <t>CMDUDJA1511956</t>
        </is>
      </c>
      <c r="Z12" s="258" t="n">
        <v>46239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CMAU3559086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10-08-2026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 t="n">
        <v>2</v>
      </c>
      <c r="B15" s="80" t="inlineStr">
        <is>
          <t>000030ZIK48020260805000567</t>
        </is>
      </c>
      <c r="C15" s="81" t="n">
        <v>487510</v>
      </c>
      <c r="D15" s="81" t="n">
        <v>487457</v>
      </c>
      <c r="E15" s="258" t="n">
        <v>46239</v>
      </c>
      <c r="F15" s="82" t="inlineStr">
        <is>
          <t>ID2608-8034</t>
        </is>
      </c>
      <c r="G15" s="258" t="n">
        <v>46239</v>
      </c>
      <c r="H15" s="83" t="n">
        <v>520</v>
      </c>
      <c r="I15" s="42" t="inlineStr">
        <is>
          <t>CMAU9377725</t>
        </is>
      </c>
      <c r="J15" s="42" t="inlineStr">
        <is>
          <t>40FT</t>
        </is>
      </c>
      <c r="K15" s="44" t="inlineStr">
        <is>
          <t>8IN GREEN TEA MF MATTRESS FL</t>
        </is>
      </c>
      <c r="L15" s="84" t="inlineStr">
        <is>
          <t>SCF-STR-800F</t>
        </is>
      </c>
      <c r="M15" s="85" t="inlineStr">
        <is>
          <t>0993630591</t>
        </is>
      </c>
      <c r="N15" s="44" t="inlineStr">
        <is>
          <t>F.MFM.08F.000.WS</t>
        </is>
      </c>
      <c r="O15" s="86" t="n">
        <v>10618.4</v>
      </c>
      <c r="P15" s="86" t="n">
        <v>9370.4</v>
      </c>
      <c r="Q15" s="259">
        <f>IFERROR(R15/H15, 0)</f>
        <v/>
      </c>
      <c r="R15" s="260" t="n">
        <v>41480.4</v>
      </c>
      <c r="S15" s="261" t="n">
        <v>18062</v>
      </c>
      <c r="T15" s="261">
        <f>IFERROR(S15*R15, 0)</f>
        <v/>
      </c>
      <c r="U15" s="48" t="inlineStr">
        <is>
          <t>040300/KPPBC</t>
        </is>
      </c>
      <c r="V15" s="49" t="inlineStr">
        <is>
          <t>TG. PRIOK</t>
        </is>
      </c>
      <c r="W15" s="50" t="inlineStr">
        <is>
          <t>NORFOLK, US</t>
        </is>
      </c>
      <c r="X15" s="51" t="inlineStr">
        <is>
          <t>WALMART, INC.</t>
        </is>
      </c>
      <c r="Y15" s="52" t="inlineStr">
        <is>
          <t>CMDUDJA1512017</t>
        </is>
      </c>
      <c r="Z15" s="258" t="n">
        <v>46239</v>
      </c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/>
      <c r="I16" s="42" t="n"/>
      <c r="J16" s="42" t="n"/>
      <c r="K16" s="44" t="n"/>
      <c r="L16" s="84" t="n"/>
      <c r="M16" s="85" t="n"/>
      <c r="N16" s="44" t="n"/>
      <c r="O16" s="86" t="n"/>
      <c r="P16" s="86" t="n"/>
      <c r="Q16" s="259" t="n"/>
      <c r="R16" s="260" t="n"/>
      <c r="S16" s="261" t="n"/>
      <c r="T16" s="261" t="n"/>
      <c r="U16" s="48" t="n"/>
      <c r="V16" s="49" t="n"/>
      <c r="W16" s="50" t="inlineStr">
        <is>
          <t>ETD : 10-08-2026</t>
        </is>
      </c>
      <c r="X16" s="51" t="n"/>
      <c r="Y16" s="52" t="n"/>
      <c r="Z16" s="258" t="n"/>
    </row>
    <row r="17" ht="17.1" customFormat="1" customHeight="1" s="273">
      <c r="A17" s="64" t="n"/>
      <c r="B17" s="65" t="n"/>
      <c r="C17" s="66" t="n"/>
      <c r="D17" s="66" t="n"/>
      <c r="E17" s="67" t="n"/>
      <c r="F17" s="67" t="n"/>
      <c r="G17" s="67" t="n"/>
      <c r="H17" s="68">
        <f>SUM(H15:H16)</f>
        <v/>
      </c>
      <c r="I17" s="69">
        <f>COUNTA(I15:I16)</f>
        <v/>
      </c>
      <c r="J17" s="68" t="n"/>
      <c r="K17" s="68" t="n"/>
      <c r="L17" s="70" t="n"/>
      <c r="M17" s="68" t="n"/>
      <c r="N17" s="68" t="n"/>
      <c r="O17" s="267">
        <f>SUM(O15:O16)</f>
        <v/>
      </c>
      <c r="P17" s="267">
        <f>SUM(P15:P16)</f>
        <v/>
      </c>
      <c r="Q17" s="268" t="n"/>
      <c r="R17" s="269">
        <f>SUM(R15:R16)</f>
        <v/>
      </c>
      <c r="S17" s="270" t="n"/>
      <c r="T17" s="270">
        <f>SUM(T15:T16)</f>
        <v/>
      </c>
      <c r="U17" s="68" t="n"/>
      <c r="V17" s="75" t="n"/>
      <c r="W17" s="76" t="n"/>
      <c r="X17" s="77" t="n"/>
      <c r="Y17" s="77" t="n"/>
      <c r="Z17" s="77" t="n"/>
    </row>
    <row r="18" ht="16.5" customFormat="1" customHeight="1" s="257">
      <c r="A18" s="79">
        <f>COUNT(A12:A17)</f>
        <v/>
      </c>
      <c r="B18" s="80" t="n"/>
      <c r="C18" s="81" t="n"/>
      <c r="D18" s="81" t="n"/>
      <c r="E18" s="258" t="n"/>
      <c r="F18" s="82" t="n"/>
      <c r="G18" s="258" t="n"/>
      <c r="H18" s="83">
        <f>SUM(H14,H17)</f>
        <v/>
      </c>
      <c r="I18" s="42">
        <f>SUM(I14,I17)</f>
        <v/>
      </c>
      <c r="J18" s="42" t="n"/>
      <c r="K18" s="44" t="n"/>
      <c r="L18" s="84" t="n"/>
      <c r="M18" s="85" t="n"/>
      <c r="N18" s="44" t="n"/>
      <c r="O18" s="86">
        <f>SUM(O14,O17)</f>
        <v/>
      </c>
      <c r="P18" s="86">
        <f>SUM(P14,P17)</f>
        <v/>
      </c>
      <c r="Q18" s="259" t="n"/>
      <c r="R18" s="260">
        <f>SUM(R14,R17)</f>
        <v/>
      </c>
      <c r="S18" s="261" t="n"/>
      <c r="T18" s="261">
        <f>SUM(T14,T17)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4" t="n"/>
      <c r="F19" s="58" t="n"/>
      <c r="G19" s="274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5" t="n"/>
      <c r="S19" s="261" t="n"/>
      <c r="T19" s="261" t="n"/>
      <c r="U19" s="48" t="n"/>
      <c r="V19" s="49" t="n"/>
      <c r="W19" s="50" t="n"/>
      <c r="X19" s="62" t="n"/>
      <c r="Y19" s="63" t="n"/>
      <c r="Z19" s="274" t="n"/>
    </row>
    <row r="20" ht="20" customFormat="1" customHeight="1" s="257">
      <c r="A20" s="54" t="n"/>
      <c r="B20" s="276" t="inlineStr">
        <is>
          <t>Total Qty Export :</t>
        </is>
      </c>
      <c r="C20" s="277">
        <f>H18-C21</f>
        <v/>
      </c>
      <c r="D20" s="56" t="n"/>
      <c r="E20" s="274" t="n"/>
      <c r="F20" s="58" t="n"/>
      <c r="G20" s="274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5" t="n"/>
      <c r="S20" s="261" t="n"/>
      <c r="T20" s="261" t="n"/>
      <c r="U20" s="48" t="n"/>
      <c r="V20" s="49" t="n"/>
      <c r="W20" s="50" t="n"/>
      <c r="X20" s="62" t="n"/>
      <c r="Y20" s="63" t="n"/>
      <c r="Z20" s="274" t="n"/>
    </row>
    <row r="21" ht="20" customFormat="1" customHeight="1" s="257">
      <c r="A21" s="54" t="n"/>
      <c r="B21" s="278" t="inlineStr">
        <is>
          <t>Total Qty Export Sample :</t>
        </is>
      </c>
      <c r="C21" s="279" t="n">
        <v>0</v>
      </c>
      <c r="D21" s="56" t="n"/>
      <c r="E21" s="274" t="n"/>
      <c r="F21" s="58" t="n"/>
      <c r="G21" s="274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5" t="n"/>
      <c r="S21" s="261" t="n"/>
      <c r="T21" s="261" t="n"/>
      <c r="U21" s="48" t="n"/>
      <c r="V21" s="49" t="n"/>
      <c r="W21" s="50" t="n"/>
      <c r="X21" s="62" t="n"/>
      <c r="Y21" s="63" t="n"/>
      <c r="Z21" s="274" t="n"/>
    </row>
    <row r="22" ht="16.5" customFormat="1" customHeight="1" s="257">
      <c r="A22" s="54" t="n"/>
      <c r="B22" s="55" t="n"/>
      <c r="C22" s="56" t="n"/>
      <c r="D22" s="56" t="n"/>
      <c r="E22" s="274" t="n"/>
      <c r="F22" s="58" t="n"/>
      <c r="G22" s="274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5" t="n"/>
      <c r="S22" s="261" t="n"/>
      <c r="T22" s="261" t="n"/>
      <c r="U22" s="48" t="n"/>
      <c r="V22" s="49" t="n"/>
      <c r="W22" s="50" t="n"/>
      <c r="X22" s="62" t="n"/>
      <c r="Y22" s="63" t="n"/>
      <c r="Z22" s="274" t="n"/>
    </row>
    <row r="23" ht="20" customFormat="1" customHeight="1" s="273">
      <c r="A23" s="64" t="n"/>
      <c r="B23" s="65" t="n"/>
      <c r="C23" s="66" t="n"/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280" t="inlineStr">
        <is>
          <t>Tangerang, 15 August 2026</t>
        </is>
      </c>
      <c r="V23" s="75" t="n"/>
      <c r="W23" s="76" t="n"/>
      <c r="X23" s="77" t="n"/>
      <c r="Y23" s="77" t="n"/>
      <c r="Z23" s="77" t="n"/>
    </row>
    <row r="24" ht="20" customFormat="1" customHeight="1" s="273">
      <c r="A24" s="281" t="inlineStr">
        <is>
          <t>Total Document</t>
        </is>
      </c>
      <c r="B24" s="80" t="n"/>
      <c r="C24" s="282">
        <f>A18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283" t="inlineStr">
        <is>
          <t>Kasubsi Hanggar Pabean dan Cukai</t>
        </is>
      </c>
      <c r="V24" s="49" t="n"/>
      <c r="W24" s="50" t="n"/>
      <c r="X24" s="51" t="n"/>
      <c r="Y24" s="52" t="n"/>
      <c r="Z24" s="258" t="n"/>
    </row>
    <row r="25" ht="20" customHeight="1" s="223" thickBot="1">
      <c r="A25" s="284" t="inlineStr">
        <is>
          <t>Gross Weight</t>
        </is>
      </c>
      <c r="B25" s="90" t="n"/>
      <c r="C25" s="285">
        <f>O18</f>
        <v/>
      </c>
      <c r="D25" s="92" t="n"/>
      <c r="E25" s="286" t="n"/>
      <c r="F25" s="287" t="n"/>
      <c r="G25" s="287" t="n"/>
      <c r="H25" s="95" t="n"/>
      <c r="I25" s="19" t="n"/>
      <c r="J25" s="19" t="n"/>
      <c r="K25" s="225" t="n"/>
      <c r="L25" s="225" t="n"/>
      <c r="M25" s="225" t="n"/>
      <c r="N25" s="226" t="n"/>
      <c r="O25" s="288" t="n"/>
      <c r="P25" s="288" t="n"/>
      <c r="Q25" s="289" t="n"/>
      <c r="R25" s="290" t="n"/>
      <c r="S25" s="291" t="n"/>
      <c r="T25" s="291" t="n"/>
      <c r="U25" s="292" t="n"/>
      <c r="V25" s="292" t="n"/>
      <c r="W25" s="292" t="n"/>
      <c r="X25" s="101" t="n"/>
      <c r="Y25" s="129" t="n"/>
      <c r="Z25" s="129" t="n"/>
    </row>
    <row r="26" ht="20" customFormat="1" customHeight="1" s="231" thickBot="1">
      <c r="A26" s="293" t="inlineStr">
        <is>
          <t>Nett Weight</t>
        </is>
      </c>
      <c r="B26" s="104" t="n"/>
      <c r="C26" s="294">
        <f>P18</f>
        <v/>
      </c>
      <c r="D26" s="295" t="n"/>
      <c r="E26" s="295" t="n"/>
      <c r="F26" s="295" t="n"/>
      <c r="G26" s="295" t="n"/>
      <c r="H26" s="107" t="n"/>
      <c r="I26" s="107" t="n"/>
      <c r="J26" s="108" t="n"/>
      <c r="K26" s="296" t="n"/>
      <c r="L26" s="297" t="n"/>
      <c r="M26" s="298" t="n"/>
      <c r="N26" s="299" t="n"/>
      <c r="O26" s="113" t="n"/>
      <c r="P26" s="113" t="n"/>
      <c r="Q26" s="300" t="n"/>
      <c r="R26" s="301" t="n"/>
      <c r="S26" s="302" t="n"/>
      <c r="T26" s="303" t="n"/>
      <c r="U26" s="118" t="n"/>
      <c r="V26" s="118" t="n"/>
      <c r="W26" s="118" t="n"/>
      <c r="X26" s="118" t="n"/>
      <c r="Y26" s="119" t="n"/>
      <c r="Z26" s="119" t="n"/>
    </row>
    <row r="27" ht="20" customHeight="1" s="223">
      <c r="A27" s="304" t="inlineStr">
        <is>
          <t>Amount</t>
        </is>
      </c>
      <c r="B27" s="121" t="n"/>
      <c r="C27" s="305">
        <f>R18</f>
        <v/>
      </c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20" customHeight="1" s="223">
      <c r="A28" s="304" t="inlineStr">
        <is>
          <t>Jumlah Container</t>
        </is>
      </c>
      <c r="B28" s="130" t="n"/>
      <c r="C28" s="310">
        <f>I18</f>
        <v/>
      </c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1" t="n"/>
      <c r="I29" s="311" t="n"/>
      <c r="J29" s="307" t="n"/>
      <c r="T29" s="312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3" t="n"/>
      <c r="S30" s="312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4" t="n"/>
      <c r="Q31" s="315" t="n"/>
      <c r="R31" s="313" t="n"/>
      <c r="S31" s="312" t="n"/>
      <c r="T31" s="312" t="n"/>
      <c r="U31" s="148" t="n"/>
    </row>
    <row r="32" ht="17.1" customHeight="1" s="223">
      <c r="A32" s="149" t="n"/>
      <c r="B32" s="150" t="n"/>
      <c r="C32" s="316" t="n"/>
      <c r="G32" s="144" t="n"/>
      <c r="H32" s="151" t="n"/>
      <c r="I32" s="151" t="n"/>
      <c r="K32" s="221" t="n"/>
      <c r="L32" s="221" t="n"/>
      <c r="M32" s="221" t="n"/>
      <c r="N32" s="308" t="n"/>
      <c r="P32" s="314" t="n"/>
      <c r="Q32" s="315" t="n"/>
      <c r="R32" s="313" t="n"/>
      <c r="S32" s="312" t="n"/>
      <c r="T32" s="312" t="n"/>
      <c r="U32" s="148" t="n"/>
    </row>
    <row r="33" ht="17.1" customHeight="1" s="223">
      <c r="A33" s="149" t="n"/>
      <c r="B33" s="152" t="n"/>
      <c r="C33" s="317" t="n"/>
      <c r="H33" s="153" t="n"/>
      <c r="I33" s="154" t="n"/>
      <c r="K33" s="221" t="n"/>
      <c r="L33" s="221" t="n"/>
      <c r="M33" s="221" t="n"/>
      <c r="N33" s="308" t="n"/>
      <c r="P33" s="318" t="n"/>
      <c r="Q33" s="319" t="n"/>
      <c r="R33" s="320" t="n"/>
      <c r="S33" s="321" t="n"/>
      <c r="T33" s="321" t="n"/>
      <c r="U33" s="4" t="n"/>
    </row>
    <row r="34" ht="17.1" customHeight="1" s="223">
      <c r="A34" s="149" t="n"/>
      <c r="B34" s="152" t="n"/>
      <c r="C34" s="317" t="n"/>
      <c r="K34" s="221" t="n"/>
      <c r="L34" s="221" t="n"/>
      <c r="M34" s="221" t="n"/>
      <c r="N34" s="308" t="n"/>
      <c r="P34" s="318" t="n"/>
      <c r="Q34" s="319" t="n"/>
      <c r="R34" s="320" t="n"/>
      <c r="S34" s="321" t="n"/>
      <c r="T34" s="321" t="n"/>
      <c r="U34" s="4" t="n"/>
    </row>
    <row r="35" ht="17.1" customHeight="1" s="223">
      <c r="A35" s="149" t="n"/>
      <c r="B35" s="152" t="n"/>
      <c r="C35" s="322" t="n"/>
      <c r="K35" s="221" t="n"/>
      <c r="L35" s="221" t="n"/>
      <c r="M35" s="221" t="n"/>
      <c r="N35" s="308" t="n"/>
      <c r="P35" s="318" t="n"/>
      <c r="Q35" s="319" t="n"/>
      <c r="R35" s="320" t="n"/>
      <c r="S35" s="321" t="n"/>
      <c r="T35" s="321" t="n"/>
      <c r="U35" s="159" t="n"/>
    </row>
    <row r="36" ht="17.1" customHeight="1" s="223">
      <c r="A36" s="149" t="n"/>
      <c r="B36" s="152" t="n"/>
      <c r="C36" s="323" t="n"/>
      <c r="K36" s="221" t="n"/>
      <c r="L36" s="221" t="n"/>
      <c r="M36" s="221" t="n"/>
      <c r="N36" s="308" t="n"/>
      <c r="P36" s="318" t="n"/>
      <c r="Q36" s="319" t="n"/>
      <c r="R36" s="320" t="n"/>
      <c r="S36" s="321" t="n"/>
      <c r="T36" s="321" t="n"/>
      <c r="U36" s="148" t="n"/>
    </row>
    <row r="37" ht="17.1" customHeight="1" s="223">
      <c r="A37" s="149" t="n"/>
      <c r="B37" s="152" t="n"/>
      <c r="C37" s="324" t="n"/>
      <c r="K37" s="221" t="n"/>
      <c r="L37" s="221" t="n"/>
      <c r="M37" s="221" t="n"/>
      <c r="N37" s="308" t="n"/>
      <c r="P37" s="318" t="n"/>
      <c r="Q37" s="319" t="n"/>
      <c r="R37" s="320" t="n"/>
      <c r="S37" s="321" t="n"/>
      <c r="T37" s="321" t="n"/>
      <c r="U37" s="148" t="n"/>
    </row>
    <row r="38" ht="17.1" customHeight="1" s="223">
      <c r="A38" s="160" t="n"/>
      <c r="B38" s="152" t="n"/>
      <c r="C38" s="325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6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7" t="n"/>
      <c r="L333" s="327" t="n"/>
      <c r="M333" s="327" t="n"/>
      <c r="N333" s="328" t="n"/>
      <c r="O333" s="329" t="n"/>
      <c r="P333" s="329" t="n"/>
      <c r="Q333" s="330" t="n"/>
      <c r="R333" s="331" t="n"/>
      <c r="S333" s="332" t="n"/>
      <c r="T333" s="332" t="n"/>
      <c r="U333" s="333" t="n"/>
      <c r="V333" s="333" t="n"/>
      <c r="W333" s="333" t="n"/>
      <c r="X333" s="333" t="n"/>
      <c r="Y333" s="333" t="n"/>
      <c r="Z333" s="333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2026-08-15T15:48:26Z</dcterms:modified>
  <cp:lastModifiedBy>Chiswa Dian Hermansyah(ZINUS ZDI)</cp:lastModifiedBy>
</cp:coreProperties>
</file>