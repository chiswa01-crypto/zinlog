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17" firstSheet="0" activeTab="0" autoFilterDateGrouping="1"/>
  </bookViews>
  <sheets>
    <sheet name="DATABASE LOKAL BC 4.0 2025" sheetId="1" state="visible" r:id="rId1"/>
  </sheets>
  <definedNames>
    <definedName name="_xlnm._FilterDatabase" localSheetId="0" hidden="1">'DATABASE LOKAL BC 4.0 2025'!$A$4:$S$10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_-* #,##0.00_-;\-* #,##0.00_-;_-* &quot;-&quot;_-;_-@_-"/>
    <numFmt numFmtId="165" formatCode="_-* #,##0.0000_-;\-* #,##0.0000_-;_-* &quot;-&quot;_-;_-@_-"/>
    <numFmt numFmtId="166" formatCode="[$-13809]dd\ mmmm\ yyyy;@"/>
    <numFmt numFmtId="167" formatCode="_-[$Rp-3809]* #,##0.00_-;\-[$Rp-3809]* #,##0.00_-;_-[$Rp-3809]* &quot;-&quot;??_-;_-@_-"/>
    <numFmt numFmtId="168" formatCode="[$-13809]d\ mmm\ yyyy;@"/>
    <numFmt numFmtId="169" formatCode="_(&quot;$&quot;* #,##0.00_);_(&quot;$&quot;* \(#,##0.00\);_(&quot;$&quot;* &quot;-&quot;??_);_(@_)"/>
  </numFmts>
  <fonts count="10">
    <font>
      <name val="Calibri"/>
      <family val="2"/>
      <color theme="1"/>
      <sz val="11"/>
      <scheme val="minor"/>
    </font>
    <font>
      <name val="Arial Nova Cond"/>
      <family val="2"/>
      <sz val="12"/>
    </font>
    <font>
      <name val="Calibri"/>
      <family val="2"/>
      <color theme="1"/>
      <sz val="11"/>
      <scheme val="minor"/>
    </font>
    <font>
      <name val="Arial"/>
      <family val="2"/>
      <sz val="10"/>
    </font>
    <font>
      <name val="Arial Nova Cond"/>
      <family val="2"/>
      <color theme="1"/>
      <sz val="12"/>
    </font>
    <font>
      <name val="Arial Nova Cond"/>
      <family val="2"/>
      <b val="1"/>
      <sz val="12"/>
    </font>
    <font>
      <name val="Calibri Light"/>
      <family val="2"/>
      <color theme="1"/>
      <sz val="10"/>
    </font>
    <font>
      <name val="Arial Nova Cond"/>
      <family val="2"/>
      <b val="1"/>
      <color theme="1"/>
      <sz val="12"/>
    </font>
    <font>
      <name val="Calibri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3999755851924192"/>
        <bgColor indexed="64"/>
      </patternFill>
    </fill>
    <fill>
      <patternFill patternType="solid">
        <fgColor rgb="00F2F4F7"/>
        <bgColor rgb="00F2F4F7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0">
    <xf numFmtId="0" fontId="2" fillId="0" borderId="0"/>
    <xf numFmtId="41" fontId="2" fillId="0" borderId="0"/>
    <xf numFmtId="0" fontId="3" fillId="0" borderId="0" applyAlignment="1">
      <alignment vertical="top"/>
    </xf>
    <xf numFmtId="43" fontId="2" fillId="0" borderId="0"/>
    <xf numFmtId="0" fontId="3" fillId="0" borderId="0"/>
    <xf numFmtId="169" fontId="2" fillId="0" borderId="0"/>
    <xf numFmtId="0" fontId="6" fillId="0" borderId="0"/>
    <xf numFmtId="0" fontId="2" fillId="0" borderId="0"/>
    <xf numFmtId="0" fontId="2" fillId="0" borderId="0"/>
    <xf numFmtId="0" fontId="3" fillId="0" borderId="0"/>
  </cellStyleXfs>
  <cellXfs count="95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/>
    </xf>
    <xf numFmtId="164" fontId="1" fillId="0" borderId="1" applyAlignment="1" pivotButton="0" quotePrefix="0" xfId="1">
      <alignment vertical="center" wrapText="1"/>
    </xf>
    <xf numFmtId="0" fontId="1" fillId="0" borderId="1" applyAlignment="1" pivotButton="0" quotePrefix="1" xfId="0">
      <alignment horizontal="center" vertical="center"/>
    </xf>
    <xf numFmtId="0" fontId="4" fillId="0" borderId="0" pivotButton="0" quotePrefix="0" xfId="0"/>
    <xf numFmtId="164" fontId="4" fillId="0" borderId="0" pivotButton="0" quotePrefix="0" xfId="1"/>
    <xf numFmtId="0" fontId="4" fillId="0" borderId="0" applyAlignment="1" pivotButton="0" quotePrefix="0" xfId="0">
      <alignment horizontal="center"/>
    </xf>
    <xf numFmtId="1" fontId="1" fillId="0" borderId="1" applyAlignment="1" pivotButton="0" quotePrefix="1" xfId="0">
      <alignment horizontal="center" vertical="center" wrapText="1"/>
    </xf>
    <xf numFmtId="1" fontId="4" fillId="0" borderId="0" pivotButton="0" quotePrefix="0" xfId="0"/>
    <xf numFmtId="0" fontId="4" fillId="0" borderId="0" applyAlignment="1" pivotButton="0" quotePrefix="0" xfId="0">
      <alignment horizontal="center" vertical="center"/>
    </xf>
    <xf numFmtId="1" fontId="1" fillId="0" borderId="1" applyAlignment="1" pivotButton="0" quotePrefix="0" xfId="0">
      <alignment horizontal="left" vertical="center" wrapText="1"/>
    </xf>
    <xf numFmtId="1" fontId="4" fillId="0" borderId="0" applyAlignment="1" pivotButton="0" quotePrefix="0" xfId="0">
      <alignment horizontal="left"/>
    </xf>
    <xf numFmtId="0" fontId="1" fillId="0" borderId="1" applyAlignment="1" pivotButton="0" quotePrefix="0" xfId="0">
      <alignment horizontal="left" vertical="center"/>
    </xf>
    <xf numFmtId="0" fontId="4" fillId="0" borderId="0" applyAlignment="1" pivotButton="0" quotePrefix="0" xfId="0">
      <alignment horizontal="left"/>
    </xf>
    <xf numFmtId="165" fontId="1" fillId="0" borderId="1" applyAlignment="1" pivotButton="0" quotePrefix="0" xfId="1">
      <alignment vertical="center" wrapText="1"/>
    </xf>
    <xf numFmtId="165" fontId="4" fillId="0" borderId="0" pivotButton="0" quotePrefix="0" xfId="1"/>
    <xf numFmtId="165" fontId="1" fillId="0" borderId="1" applyAlignment="1" pivotButton="0" quotePrefix="1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1" fontId="1" fillId="0" borderId="2" applyAlignment="1" pivotButton="0" quotePrefix="1" xfId="0">
      <alignment horizontal="center" vertical="center" wrapText="1"/>
    </xf>
    <xf numFmtId="164" fontId="1" fillId="0" borderId="2" applyAlignment="1" pivotButton="0" quotePrefix="0" xfId="1">
      <alignment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3" applyAlignment="1" pivotButton="0" quotePrefix="0" xfId="0">
      <alignment vertical="center"/>
    </xf>
    <xf numFmtId="1" fontId="1" fillId="0" borderId="3" applyAlignment="1" pivotButton="0" quotePrefix="1" xfId="0">
      <alignment horizontal="center" vertical="center" wrapText="1"/>
    </xf>
    <xf numFmtId="0" fontId="1" fillId="0" borderId="3" applyAlignment="1" pivotButton="0" quotePrefix="1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left" vertical="center"/>
    </xf>
    <xf numFmtId="0" fontId="1" fillId="0" borderId="3" applyAlignment="1" pivotButton="0" quotePrefix="0" xfId="0">
      <alignment vertical="center" wrapText="1"/>
    </xf>
    <xf numFmtId="165" fontId="1" fillId="0" borderId="3" applyAlignment="1" pivotButton="0" quotePrefix="1" xfId="0">
      <alignment horizontal="center" vertical="center" wrapText="1"/>
    </xf>
    <xf numFmtId="165" fontId="1" fillId="0" borderId="3" applyAlignment="1" pivotButton="0" quotePrefix="0" xfId="1">
      <alignment vertical="center" wrapText="1"/>
    </xf>
    <xf numFmtId="0" fontId="1" fillId="2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vertical="center"/>
    </xf>
    <xf numFmtId="0" fontId="1" fillId="0" borderId="2" applyAlignment="1" pivotButton="0" quotePrefix="1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left" vertical="center"/>
    </xf>
    <xf numFmtId="0" fontId="1" fillId="0" borderId="2" applyAlignment="1" pivotButton="0" quotePrefix="0" xfId="0">
      <alignment vertical="center" wrapText="1"/>
    </xf>
    <xf numFmtId="165" fontId="1" fillId="0" borderId="2" applyAlignment="1" pivotButton="0" quotePrefix="1" xfId="0">
      <alignment horizontal="center" vertical="center" wrapText="1"/>
    </xf>
    <xf numFmtId="165" fontId="1" fillId="0" borderId="2" applyAlignment="1" pivotButton="0" quotePrefix="0" xfId="1">
      <alignment vertical="center" wrapText="1"/>
    </xf>
    <xf numFmtId="166" fontId="1" fillId="2" borderId="1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/>
    </xf>
    <xf numFmtId="0" fontId="5" fillId="0" borderId="5" applyAlignment="1" pivotButton="0" quotePrefix="0" xfId="0">
      <alignment horizontal="center" vertical="center" wrapText="1"/>
    </xf>
    <xf numFmtId="0" fontId="5" fillId="0" borderId="5" applyAlignment="1" pivotButton="0" quotePrefix="0" xfId="0">
      <alignment vertical="center"/>
    </xf>
    <xf numFmtId="1" fontId="5" fillId="0" borderId="5" applyAlignment="1" pivotButton="0" quotePrefix="1" xfId="0">
      <alignment horizontal="center" vertical="center" wrapText="1"/>
    </xf>
    <xf numFmtId="166" fontId="5" fillId="0" borderId="5" applyAlignment="1" pivotButton="0" quotePrefix="0" xfId="0">
      <alignment horizontal="center" vertical="center" wrapText="1"/>
    </xf>
    <xf numFmtId="0" fontId="5" fillId="0" borderId="5" applyAlignment="1" pivotButton="0" quotePrefix="1" xfId="0">
      <alignment horizontal="center" vertical="center"/>
    </xf>
    <xf numFmtId="0" fontId="5" fillId="0" borderId="5" applyAlignment="1" pivotButton="0" quotePrefix="0" xfId="0">
      <alignment horizontal="center" vertical="center"/>
    </xf>
    <xf numFmtId="0" fontId="5" fillId="0" borderId="5" applyAlignment="1" pivotButton="0" quotePrefix="0" xfId="0">
      <alignment horizontal="left" vertical="center"/>
    </xf>
    <xf numFmtId="0" fontId="5" fillId="0" borderId="5" applyAlignment="1" pivotButton="0" quotePrefix="0" xfId="0">
      <alignment vertical="center" wrapText="1"/>
    </xf>
    <xf numFmtId="1" fontId="5" fillId="0" borderId="5" applyAlignment="1" pivotButton="0" quotePrefix="0" xfId="0">
      <alignment horizontal="left" vertical="center" wrapText="1"/>
    </xf>
    <xf numFmtId="165" fontId="5" fillId="0" borderId="5" applyAlignment="1" pivotButton="0" quotePrefix="1" xfId="0">
      <alignment horizontal="center" vertical="center" wrapText="1"/>
    </xf>
    <xf numFmtId="165" fontId="5" fillId="0" borderId="5" applyAlignment="1" pivotButton="0" quotePrefix="0" xfId="1">
      <alignment vertical="center" wrapText="1"/>
    </xf>
    <xf numFmtId="164" fontId="5" fillId="0" borderId="5" applyAlignment="1" pivotButton="0" quotePrefix="0" xfId="1">
      <alignment vertical="center" wrapText="1"/>
    </xf>
    <xf numFmtId="167" fontId="4" fillId="0" borderId="0" pivotButton="0" quotePrefix="0" xfId="1"/>
    <xf numFmtId="0" fontId="5" fillId="0" borderId="0" applyAlignment="1" pivotButton="0" quotePrefix="0" xfId="0">
      <alignment horizontal="center" vertical="center" wrapText="1"/>
    </xf>
    <xf numFmtId="168" fontId="5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166" fontId="1" fillId="2" borderId="2" applyAlignment="1" pivotButton="0" quotePrefix="0" xfId="0">
      <alignment horizontal="center" vertical="center" wrapText="1"/>
    </xf>
    <xf numFmtId="1" fontId="1" fillId="0" borderId="2" applyAlignment="1" pivotButton="0" quotePrefix="0" xfId="0">
      <alignment horizontal="left" vertical="center" wrapText="1"/>
    </xf>
    <xf numFmtId="0" fontId="7" fillId="0" borderId="0" pivotButton="0" quotePrefix="0" xfId="0"/>
    <xf numFmtId="167" fontId="5" fillId="0" borderId="6" applyAlignment="1" pivotButton="0" quotePrefix="0" xfId="1">
      <alignment horizontal="right" vertical="center" wrapText="1"/>
    </xf>
    <xf numFmtId="0" fontId="4" fillId="0" borderId="7" applyAlignment="1" pivotButton="0" quotePrefix="0" xfId="0">
      <alignment horizontal="center" vertical="center"/>
    </xf>
    <xf numFmtId="167" fontId="1" fillId="0" borderId="8" applyAlignment="1" pivotButton="0" quotePrefix="0" xfId="1">
      <alignment horizontal="right" vertical="center" wrapText="1"/>
    </xf>
    <xf numFmtId="0" fontId="4" fillId="0" borderId="9" applyAlignment="1" pivotButton="0" quotePrefix="0" xfId="0">
      <alignment horizontal="center" vertical="center"/>
    </xf>
    <xf numFmtId="167" fontId="1" fillId="0" borderId="10" applyAlignment="1" pivotButton="0" quotePrefix="0" xfId="1">
      <alignment horizontal="right" vertical="center" wrapText="1"/>
    </xf>
    <xf numFmtId="0" fontId="4" fillId="0" borderId="11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 wrapText="1"/>
    </xf>
    <xf numFmtId="166" fontId="1" fillId="2" borderId="3" applyAlignment="1" pivotButton="0" quotePrefix="0" xfId="0">
      <alignment horizontal="center" vertical="center" wrapText="1"/>
    </xf>
    <xf numFmtId="1" fontId="1" fillId="0" borderId="3" applyAlignment="1" pivotButton="0" quotePrefix="0" xfId="0">
      <alignment horizontal="left" vertical="center" wrapText="1"/>
    </xf>
    <xf numFmtId="164" fontId="1" fillId="0" borderId="3" applyAlignment="1" pivotButton="0" quotePrefix="0" xfId="1">
      <alignment vertical="center" wrapText="1"/>
    </xf>
    <xf numFmtId="167" fontId="1" fillId="0" borderId="12" applyAlignment="1" pivotButton="0" quotePrefix="0" xfId="1">
      <alignment horizontal="right" vertical="center" wrapText="1"/>
    </xf>
    <xf numFmtId="0" fontId="5" fillId="3" borderId="4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 wrapText="1"/>
    </xf>
    <xf numFmtId="1" fontId="5" fillId="3" borderId="5" applyAlignment="1" pivotButton="0" quotePrefix="0" xfId="0">
      <alignment horizontal="center" vertical="center" wrapText="1"/>
    </xf>
    <xf numFmtId="0" fontId="5" fillId="3" borderId="5" applyAlignment="1" pivotButton="0" quotePrefix="0" xfId="0">
      <alignment horizontal="center" vertical="center"/>
    </xf>
    <xf numFmtId="165" fontId="5" fillId="3" borderId="5" applyAlignment="1" pivotButton="0" quotePrefix="0" xfId="1">
      <alignment horizontal="center" vertical="center" wrapText="1"/>
    </xf>
    <xf numFmtId="164" fontId="5" fillId="3" borderId="5" applyAlignment="1" pivotButton="0" quotePrefix="0" xfId="1">
      <alignment horizontal="center" vertical="center" wrapText="1"/>
    </xf>
    <xf numFmtId="167" fontId="5" fillId="3" borderId="6" applyAlignment="1" pivotButton="0" quotePrefix="0" xfId="1">
      <alignment horizontal="center" vertical="center" wrapText="1"/>
    </xf>
    <xf numFmtId="0" fontId="4" fillId="0" borderId="0" pivotButton="0" quotePrefix="0" xfId="0"/>
    <xf numFmtId="165" fontId="4" fillId="0" borderId="0" pivotButton="0" quotePrefix="0" xfId="1"/>
    <xf numFmtId="164" fontId="4" fillId="0" borderId="0" pivotButton="0" quotePrefix="0" xfId="1"/>
    <xf numFmtId="167" fontId="4" fillId="0" borderId="0" pivotButton="0" quotePrefix="0" xfId="1"/>
    <xf numFmtId="168" fontId="5" fillId="0" borderId="0" applyAlignment="1" pivotButton="0" quotePrefix="0" xfId="0">
      <alignment horizontal="center" vertical="center" wrapText="1"/>
    </xf>
    <xf numFmtId="165" fontId="5" fillId="3" borderId="5" applyAlignment="1" pivotButton="0" quotePrefix="0" xfId="1">
      <alignment horizontal="center" vertical="center" wrapText="1"/>
    </xf>
    <xf numFmtId="164" fontId="5" fillId="3" borderId="5" applyAlignment="1" pivotButton="0" quotePrefix="0" xfId="1">
      <alignment horizontal="center" vertical="center" wrapText="1"/>
    </xf>
    <xf numFmtId="167" fontId="5" fillId="3" borderId="6" applyAlignment="1" pivotButton="0" quotePrefix="0" xfId="1">
      <alignment horizontal="center" vertical="center" wrapText="1"/>
    </xf>
    <xf numFmtId="0" fontId="8" fillId="0" borderId="13" applyAlignment="1" pivotButton="0" quotePrefix="0" xfId="0">
      <alignment horizontal="center" vertical="center"/>
    </xf>
    <xf numFmtId="0" fontId="8" fillId="0" borderId="13" applyAlignment="1" pivotButton="0" quotePrefix="0" xfId="0">
      <alignment horizontal="left" vertical="center"/>
    </xf>
    <xf numFmtId="3" fontId="8" fillId="0" borderId="13" applyAlignment="1" pivotButton="0" quotePrefix="0" xfId="0">
      <alignment horizontal="right" vertical="center"/>
    </xf>
    <xf numFmtId="4" fontId="8" fillId="0" borderId="13" applyAlignment="1" pivotButton="0" quotePrefix="0" xfId="0">
      <alignment horizontal="right" vertical="center"/>
    </xf>
    <xf numFmtId="0" fontId="9" fillId="4" borderId="13" applyAlignment="1" pivotButton="0" quotePrefix="0" xfId="0">
      <alignment horizontal="center" vertical="center"/>
    </xf>
    <xf numFmtId="0" fontId="9" fillId="4" borderId="13" pivotButton="0" quotePrefix="0" xfId="0"/>
    <xf numFmtId="4" fontId="9" fillId="4" borderId="13" applyAlignment="1" pivotButton="0" quotePrefix="0" xfId="0">
      <alignment horizontal="right" vertical="center"/>
    </xf>
  </cellXfs>
  <cellStyles count="10">
    <cellStyle name="Normal" xfId="0" builtinId="0"/>
    <cellStyle name="Comma [0]" xfId="1" builtinId="6"/>
    <cellStyle name="Normal 7" xfId="2"/>
    <cellStyle name="Comma 2" xfId="3"/>
    <cellStyle name="Normal 3" xfId="4"/>
    <cellStyle name="Currency 2" xfId="5"/>
    <cellStyle name="Normal 2" xfId="6"/>
    <cellStyle name="Normal 2 2 2 3 3 2 2 3 2 5 2" xfId="7"/>
    <cellStyle name="Normal 2 2 2 3 3 2 2 3 2 5 2 4" xfId="8"/>
    <cellStyle name="Normal 2 4" xfId="9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S7"/>
  <sheetViews>
    <sheetView tabSelected="1" zoomScale="79" zoomScaleNormal="79" workbookViewId="0">
      <pane ySplit="4" topLeftCell="A5" activePane="bottomLeft" state="frozen"/>
      <selection pane="bottomLeft" activeCell="E8" sqref="E8"/>
    </sheetView>
  </sheetViews>
  <sheetFormatPr baseColWidth="8" defaultColWidth="9.109375" defaultRowHeight="15.6"/>
  <cols>
    <col width="7.44140625" customWidth="1" style="12" min="1" max="1"/>
    <col width="11.33203125" customWidth="1" style="80" min="2" max="2"/>
    <col width="38.6640625" customWidth="1" style="80" min="3" max="3"/>
    <col width="13.6640625" customWidth="1" style="11" min="4" max="4"/>
    <col width="33.109375" customWidth="1" style="80" min="5" max="5"/>
    <col width="36" customWidth="1" style="80" min="6" max="6"/>
    <col width="31.88671875" customWidth="1" style="9" min="7" max="7"/>
    <col width="27.5546875" customWidth="1" style="80" min="8" max="8"/>
    <col width="6.44140625" customWidth="1" style="9" min="9" max="9"/>
    <col width="19.6640625" customWidth="1" style="16" min="10" max="10"/>
    <col width="85" customWidth="1" style="80" min="11" max="11"/>
    <col width="16.88671875" customWidth="1" style="14" min="12" max="12"/>
    <col width="23.6640625" customWidth="1" style="12" min="13" max="13"/>
    <col width="19.33203125" customWidth="1" style="81" min="14" max="14"/>
    <col width="13.33203125" customWidth="1" style="80" min="15" max="15"/>
    <col width="19" bestFit="1" customWidth="1" style="81" min="16" max="16"/>
    <col width="19.33203125" bestFit="1" customWidth="1" style="81" min="17" max="17"/>
    <col width="19.33203125" customWidth="1" style="82" min="18" max="18"/>
    <col width="24.6640625" bestFit="1" customWidth="1" style="83" min="19" max="19"/>
    <col width="9.109375" customWidth="1" style="80" min="20" max="16384"/>
  </cols>
  <sheetData>
    <row r="1" ht="32.1" customHeight="1">
      <c r="A1" s="55" t="inlineStr">
        <is>
          <t>KAWASAN BERIKAT PT ZINUS DREAM INDONESIA</t>
        </is>
      </c>
    </row>
    <row r="2" ht="32.1" customHeight="1">
      <c r="A2" s="84" t="inlineStr">
        <is>
          <t>LAPORAN PEMASUKAN BARANG PER DOKUMEN PABEAN</t>
        </is>
      </c>
    </row>
    <row r="3" ht="32.1" customHeight="1" thickBot="1">
      <c r="A3" s="57" t="inlineStr">
        <is>
          <t>PERIODE</t>
        </is>
      </c>
    </row>
    <row r="4" ht="30.75" customFormat="1" customHeight="1" s="80" thickBot="1">
      <c r="A4" s="73" t="inlineStr">
        <is>
          <t>NO</t>
        </is>
      </c>
      <c r="B4" s="74" t="inlineStr">
        <is>
          <t>DOKUMEN</t>
        </is>
      </c>
      <c r="C4" s="74" t="inlineStr">
        <is>
          <t>NOMOR AJU</t>
        </is>
      </c>
      <c r="D4" s="75" t="inlineStr">
        <is>
          <t>NOMOR DAFTAR</t>
        </is>
      </c>
      <c r="E4" s="74" t="inlineStr">
        <is>
          <t>TANGGAL DAFTAR</t>
        </is>
      </c>
      <c r="F4" s="74" t="inlineStr">
        <is>
          <t>NAMA PEMASOK/PENGIRIM</t>
        </is>
      </c>
      <c r="G4" s="74" t="inlineStr">
        <is>
          <t>NO SURAT JALAN</t>
        </is>
      </c>
      <c r="H4" s="74" t="inlineStr">
        <is>
          <t>NO INVOICE</t>
        </is>
      </c>
      <c r="I4" s="74" t="inlineStr">
        <is>
          <t>SERI</t>
        </is>
      </c>
      <c r="J4" s="74" t="inlineStr">
        <is>
          <t>KODE BARANG</t>
        </is>
      </c>
      <c r="K4" s="76" t="inlineStr">
        <is>
          <t>NAMA BARANG</t>
        </is>
      </c>
      <c r="L4" s="75" t="inlineStr">
        <is>
          <t>KODE HS</t>
        </is>
      </c>
      <c r="M4" s="74" t="inlineStr">
        <is>
          <t>KEMASAN</t>
        </is>
      </c>
      <c r="N4" s="85" t="inlineStr">
        <is>
          <t>JUMLAH</t>
        </is>
      </c>
      <c r="O4" s="74" t="inlineStr">
        <is>
          <t>SATUAN</t>
        </is>
      </c>
      <c r="P4" s="85" t="inlineStr">
        <is>
          <t>BRUTO</t>
        </is>
      </c>
      <c r="Q4" s="85" t="inlineStr">
        <is>
          <t>NETTO</t>
        </is>
      </c>
      <c r="R4" s="86" t="inlineStr">
        <is>
          <t>HARGA SATUAN</t>
        </is>
      </c>
      <c r="S4" s="87" t="inlineStr">
        <is>
          <t>NILAI BARANG</t>
        </is>
      </c>
    </row>
    <row r="5" ht="32.25" customHeight="1">
      <c r="A5" s="88" t="n">
        <v>1</v>
      </c>
      <c r="B5" s="88" t="inlineStr">
        <is>
          <t>BC 4.0</t>
        </is>
      </c>
      <c r="C5" s="88" t="inlineStr">
        <is>
          <t>000040ZIK48020260814002707</t>
        </is>
      </c>
      <c r="D5" s="88" t="inlineStr">
        <is>
          <t>114924</t>
        </is>
      </c>
      <c r="E5" s="88" t="inlineStr">
        <is>
          <t>14-08-2026</t>
        </is>
      </c>
      <c r="F5" s="89" t="inlineStr">
        <is>
          <t>PT KARYA INDAH MULTIGUNA</t>
        </is>
      </c>
      <c r="G5" s="88" t="inlineStr">
        <is>
          <t>08-2026-04796</t>
        </is>
      </c>
      <c r="H5" s="88" t="inlineStr">
        <is>
          <t>08-2026-01379</t>
        </is>
      </c>
      <c r="I5" s="88" t="inlineStr">
        <is>
          <t>1</t>
        </is>
      </c>
      <c r="J5" s="88" t="inlineStr">
        <is>
          <t>R.PCBF.O3297.ZU</t>
        </is>
      </c>
      <c r="K5" s="89" t="inlineStr">
        <is>
          <t>C-BOX.OUTER.10Q.F-FOAM</t>
        </is>
      </c>
      <c r="L5" s="88" t="inlineStr">
        <is>
          <t>48191000</t>
        </is>
      </c>
      <c r="M5" s="88" t="inlineStr">
        <is>
          <t>BUNDLE</t>
        </is>
      </c>
      <c r="N5" s="90" t="n">
        <v>776</v>
      </c>
      <c r="O5" s="88" t="inlineStr">
        <is>
          <t>PCE (PIECE)</t>
        </is>
      </c>
      <c r="P5" s="91" t="n">
        <v>1616.098</v>
      </c>
      <c r="Q5" s="91" t="n">
        <v>1569.77</v>
      </c>
      <c r="R5" s="91" t="n">
        <v>23950</v>
      </c>
      <c r="S5" s="91" t="n">
        <v>18585200</v>
      </c>
    </row>
    <row r="6" ht="32.25" customHeight="1">
      <c r="A6" s="88" t="n">
        <v>2</v>
      </c>
      <c r="B6" s="88" t="inlineStr">
        <is>
          <t>BC 4.0</t>
        </is>
      </c>
      <c r="C6" s="88" t="inlineStr">
        <is>
          <t>000040ZIK48020260814002720</t>
        </is>
      </c>
      <c r="D6" s="88" t="inlineStr">
        <is>
          <t>115479</t>
        </is>
      </c>
      <c r="E6" s="88" t="inlineStr">
        <is>
          <t>14-08-2026</t>
        </is>
      </c>
      <c r="F6" s="89" t="inlineStr">
        <is>
          <t>PT KARYA INDAH MULTIGUNA</t>
        </is>
      </c>
      <c r="G6" s="88" t="inlineStr">
        <is>
          <t>08-2026-89064</t>
        </is>
      </c>
      <c r="H6" s="88" t="inlineStr">
        <is>
          <t>08-2026-10006</t>
        </is>
      </c>
      <c r="I6" s="88" t="inlineStr">
        <is>
          <t>1</t>
        </is>
      </c>
      <c r="J6" s="88" t="inlineStr">
        <is>
          <t>R.PCBF.O3639.BG</t>
        </is>
      </c>
      <c r="K6" s="89" t="inlineStr">
        <is>
          <t>C-BOX.OUTER.05T.F-FOAM (PENGGANTI REJECT)</t>
        </is>
      </c>
      <c r="L6" s="88" t="inlineStr">
        <is>
          <t>48191000</t>
        </is>
      </c>
      <c r="M6" s="88" t="inlineStr">
        <is>
          <t>UNPACKAGE</t>
        </is>
      </c>
      <c r="N6" s="90" t="n">
        <v>1</v>
      </c>
      <c r="O6" s="88" t="inlineStr">
        <is>
          <t>PCE (PIECE)</t>
        </is>
      </c>
      <c r="P6" s="91" t="n">
        <v>1.238</v>
      </c>
      <c r="Q6" s="91" t="n">
        <v>1.177</v>
      </c>
      <c r="R6" s="91" t="n">
        <v>14263</v>
      </c>
      <c r="S6" s="91" t="n">
        <v>14263</v>
      </c>
    </row>
    <row r="7" ht="32.25" customHeight="1">
      <c r="A7" s="92">
        <f>COUNTA(A5:A6)</f>
        <v/>
      </c>
      <c r="B7" s="93" t="n"/>
      <c r="C7" s="93" t="n"/>
      <c r="D7" s="93" t="n"/>
      <c r="E7" s="93" t="n"/>
      <c r="F7" s="93" t="n"/>
      <c r="G7" s="93" t="n"/>
      <c r="H7" s="93" t="n"/>
      <c r="I7" s="93" t="n"/>
      <c r="J7" s="93" t="n"/>
      <c r="K7" s="93" t="n"/>
      <c r="L7" s="93" t="n"/>
      <c r="M7" s="93" t="n"/>
      <c r="N7" s="93" t="n"/>
      <c r="O7" s="93" t="n"/>
      <c r="P7" s="94">
        <f>SUM(P5:P6)</f>
        <v/>
      </c>
      <c r="Q7" s="94">
        <f>SUM(Q5:Q6)</f>
        <v/>
      </c>
      <c r="R7" s="93" t="n"/>
      <c r="S7" s="94">
        <f>SUM(S5:S6)</f>
        <v/>
      </c>
    </row>
    <row r="8" ht="32.25" customHeight="1"/>
    <row r="9" ht="32.25" customHeight="1"/>
    <row r="10" ht="32.25" customHeight="1"/>
    <row r="11" ht="32.25" customHeight="1" thickBot="1"/>
    <row r="12" ht="32.25" customFormat="1" customHeight="1" s="61" thickBot="1"/>
  </sheetData>
  <autoFilter ref="A4:S10"/>
  <mergeCells count="3">
    <mergeCell ref="A3:S3"/>
    <mergeCell ref="A2:S2"/>
    <mergeCell ref="A1:S1"/>
  </mergeCells>
  <pageMargins left="0.7" right="0.7" top="0.75" bottom="0.75" header="0.3" footer="0.3"/>
  <pageSetup orientation="portrait" horizontalDpi="180" verticalDpi="18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2023-01-27T02:29:59Z</dcterms:created>
  <dcterms:modified xsi:type="dcterms:W3CDTF">2026-08-17T05:12:49Z</dcterms:modified>
  <cp:lastModifiedBy>Chiswa Dian Hermansyah(ZINUS ZDI)</cp:lastModifiedBy>
  <cp:lastPrinted>2024-09-09T10:32:07Z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MediaServiceImageTags" fmtid="{D5CDD505-2E9C-101B-9397-08002B2CF9AE}" pid="2">
    <vt:lpwstr/>
  </property>
  <property name="ContentTypeId" fmtid="{D5CDD505-2E9C-101B-9397-08002B2CF9AE}" pid="3">
    <vt:lpwstr>0x010100D6F70CCAC0526E4C89EB3FA30B7DF62C</vt:lpwstr>
  </property>
</Properties>
</file>