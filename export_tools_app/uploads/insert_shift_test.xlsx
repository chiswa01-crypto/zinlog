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n"/>
      <c r="C12" s="260" t="n"/>
      <c r="D12" s="260" t="n"/>
      <c r="E12" s="261" t="n"/>
      <c r="F12" s="262" t="n"/>
      <c r="G12" s="261" t="n"/>
      <c r="H12" s="263" t="n">
        <v>850</v>
      </c>
      <c r="I12" s="263" t="n"/>
      <c r="J12" s="263" t="n"/>
      <c r="K12" s="264" t="n"/>
      <c r="L12" s="265" t="n"/>
      <c r="M12" s="263" t="n"/>
      <c r="N12" s="264" t="n"/>
      <c r="O12" s="266" t="n"/>
      <c r="P12" s="266" t="n"/>
      <c r="Q12" s="267" t="n"/>
      <c r="R12" s="268" t="n"/>
      <c r="S12" s="269" t="n"/>
      <c r="T12" s="269" t="n"/>
      <c r="U12" s="270" t="n"/>
      <c r="V12" s="271" t="n"/>
      <c r="W12" s="272" t="n"/>
      <c r="X12" s="263" t="n"/>
      <c r="Y12" s="271" t="n"/>
      <c r="Z12" s="261" t="n"/>
    </row>
    <row r="13" ht="16.5" customFormat="1" customHeight="1" s="257">
      <c r="A13" s="273" t="n"/>
      <c r="B13" s="274" t="n"/>
      <c r="C13" s="275" t="n"/>
      <c r="D13" s="275" t="n"/>
      <c r="E13" s="276" t="n"/>
      <c r="F13" s="276" t="n"/>
      <c r="G13" s="276" t="n"/>
      <c r="H13" s="277">
        <f>SUM(H12:H12)</f>
        <v/>
      </c>
      <c r="I13" s="278" t="n"/>
      <c r="J13" s="277" t="n"/>
      <c r="K13" s="277" t="n"/>
      <c r="L13" s="279" t="n"/>
      <c r="M13" s="277" t="n"/>
      <c r="N13" s="277" t="n"/>
      <c r="O13" s="280" t="n"/>
      <c r="P13" s="280" t="n"/>
      <c r="Q13" s="281" t="n"/>
      <c r="R13" s="282" t="n"/>
      <c r="S13" s="283" t="n"/>
      <c r="T13" s="283" t="n"/>
      <c r="U13" s="277" t="n"/>
      <c r="V13" s="284" t="n"/>
      <c r="W13" s="285" t="n"/>
      <c r="X13" s="284" t="n"/>
      <c r="Y13" s="284" t="n"/>
      <c r="Z13" s="284" t="n"/>
    </row>
    <row r="14" ht="16.5" customFormat="1" customHeight="1" s="257">
      <c r="A14" s="258" t="n">
        <v>2</v>
      </c>
      <c r="B14" s="259" t="n"/>
      <c r="C14" s="260" t="n"/>
      <c r="D14" s="260" t="n"/>
      <c r="E14" s="261" t="n"/>
      <c r="F14" s="262" t="n"/>
      <c r="G14" s="261" t="n"/>
      <c r="H14" s="263" t="n">
        <v>352</v>
      </c>
      <c r="I14" s="263" t="n"/>
      <c r="J14" s="263" t="n"/>
      <c r="K14" s="264" t="n"/>
      <c r="L14" s="265" t="n"/>
      <c r="M14" s="263" t="n"/>
      <c r="N14" s="264" t="n"/>
      <c r="O14" s="266" t="n"/>
      <c r="P14" s="266" t="n"/>
      <c r="Q14" s="267" t="n"/>
      <c r="R14" s="268" t="n"/>
      <c r="S14" s="269" t="n"/>
      <c r="T14" s="269" t="n"/>
      <c r="U14" s="270" t="n"/>
      <c r="V14" s="271" t="n"/>
      <c r="W14" s="272" t="n"/>
      <c r="X14" s="263" t="n"/>
      <c r="Y14" s="271" t="n"/>
      <c r="Z14" s="261" t="n"/>
    </row>
    <row r="15" ht="16.5" customFormat="1" customHeight="1" s="257">
      <c r="A15" s="258" t="n"/>
      <c r="B15" s="259" t="n"/>
      <c r="C15" s="260" t="n"/>
      <c r="D15" s="260" t="n"/>
      <c r="E15" s="261" t="n"/>
      <c r="F15" s="262" t="n"/>
      <c r="G15" s="261" t="n"/>
      <c r="H15" s="263" t="n">
        <v>170</v>
      </c>
      <c r="I15" s="263" t="n"/>
      <c r="J15" s="263" t="n"/>
      <c r="K15" s="264" t="n"/>
      <c r="L15" s="265" t="n"/>
      <c r="M15" s="263" t="n"/>
      <c r="N15" s="264" t="n"/>
      <c r="O15" s="266" t="n"/>
      <c r="P15" s="266" t="n"/>
      <c r="Q15" s="267" t="n"/>
      <c r="R15" s="268" t="n"/>
      <c r="S15" s="269" t="n"/>
      <c r="T15" s="269" t="n"/>
      <c r="U15" s="270" t="n"/>
      <c r="V15" s="271" t="n"/>
      <c r="W15" s="272" t="n"/>
      <c r="X15" s="263" t="n"/>
      <c r="Y15" s="271" t="n"/>
      <c r="Z15" s="261" t="n"/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SUM(H14:H15)</f>
        <v/>
      </c>
      <c r="I16" s="278" t="n"/>
      <c r="J16" s="277" t="n"/>
      <c r="K16" s="277" t="n"/>
      <c r="L16" s="279" t="n"/>
      <c r="M16" s="277" t="n"/>
      <c r="N16" s="277" t="n"/>
      <c r="O16" s="280" t="n"/>
      <c r="P16" s="280" t="n"/>
      <c r="Q16" s="281" t="n"/>
      <c r="R16" s="282" t="n"/>
      <c r="S16" s="283" t="n"/>
      <c r="T16" s="283" t="n"/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128">
        <f>COUNT(A12:A16)</f>
        <v/>
      </c>
      <c r="B17" s="129" t="n"/>
      <c r="C17" s="287" t="n"/>
      <c r="D17" s="288" t="n"/>
      <c r="E17" s="288" t="n"/>
      <c r="F17" s="288" t="n"/>
      <c r="G17" s="288" t="n"/>
      <c r="H17" s="132">
        <f>H13+H16</f>
        <v/>
      </c>
      <c r="I17" s="132">
        <f>I17+I23</f>
        <v/>
      </c>
      <c r="J17" s="133" t="n"/>
      <c r="K17" s="289" t="n"/>
      <c r="L17" s="290" t="n"/>
      <c r="M17" s="291" t="n"/>
      <c r="N17" s="292" t="n"/>
      <c r="O17" s="138">
        <f>O17+O23</f>
        <v/>
      </c>
      <c r="P17" s="138">
        <f>P17+P23</f>
        <v/>
      </c>
      <c r="Q17" s="293" t="n"/>
      <c r="R17" s="294">
        <f>+R17+R23</f>
        <v/>
      </c>
      <c r="S17" s="295" t="n"/>
      <c r="T17" s="296">
        <f>T17+T23</f>
        <v/>
      </c>
      <c r="U17" s="143" t="n"/>
      <c r="V17" s="143" t="n"/>
      <c r="W17" s="143" t="n"/>
      <c r="X17" s="143" t="n"/>
      <c r="Y17" s="144" t="n"/>
      <c r="Z17" s="144" t="n"/>
    </row>
    <row r="18" ht="16.5" customFormat="1" customHeight="1" s="257">
      <c r="A18" s="145" t="n"/>
      <c r="B18" s="146" t="n"/>
      <c r="C18" s="147" t="n"/>
      <c r="E18" s="148" t="n"/>
      <c r="F18" s="149" t="n"/>
      <c r="G18" s="149" t="n"/>
      <c r="H18" s="297" t="n"/>
      <c r="I18" s="297" t="n"/>
      <c r="J18" s="298" t="n"/>
      <c r="K18" s="221" t="n"/>
      <c r="L18" s="221" t="n"/>
      <c r="M18" s="221" t="n"/>
      <c r="N18" s="299" t="n"/>
      <c r="Q18" s="300" t="n"/>
      <c r="U18" s="154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55" t="inlineStr">
        <is>
          <t>Total Qty Export :</t>
        </is>
      </c>
      <c r="C19" s="156">
        <f>H26-C29</f>
        <v/>
      </c>
      <c r="E19" s="148" t="n"/>
      <c r="F19" s="149" t="n"/>
      <c r="G19" s="149" t="n"/>
      <c r="H19" s="298" t="n"/>
      <c r="I19" s="298" t="n"/>
      <c r="J19" s="298" t="n"/>
      <c r="K19" s="221" t="n"/>
      <c r="L19" s="221" t="n"/>
      <c r="M19" s="221" t="n"/>
      <c r="N19" s="299" t="n"/>
      <c r="Q19" s="300" t="n"/>
      <c r="U19" s="154" t="n"/>
      <c r="V19" s="154" t="n"/>
      <c r="W19" s="154" t="n"/>
      <c r="X19" s="154" t="n"/>
      <c r="Y19" s="154" t="n"/>
      <c r="Z19" s="154" t="n"/>
    </row>
    <row r="20" ht="16.5" customFormat="1" customHeight="1" s="257">
      <c r="A20" s="145" t="n"/>
      <c r="B20" s="157" t="inlineStr">
        <is>
          <t>Total Qty Export Sample :</t>
        </is>
      </c>
      <c r="C20" s="158" t="n"/>
      <c r="E20" s="148" t="n"/>
      <c r="F20" s="149" t="n"/>
      <c r="G20" s="149" t="n"/>
      <c r="H20" s="301" t="n"/>
      <c r="I20" s="301" t="n"/>
      <c r="J20" s="298" t="n"/>
      <c r="T20" s="302" t="n"/>
      <c r="V20" s="154" t="n"/>
      <c r="W20" s="154" t="n"/>
      <c r="X20" s="154" t="n"/>
      <c r="Y20" s="154" t="n"/>
      <c r="Z20" s="154" t="n"/>
    </row>
    <row r="21" ht="16.5" customFormat="1" customHeight="1" s="257">
      <c r="A21" s="145" t="n"/>
      <c r="B21" s="161" t="n"/>
      <c r="C21" s="147" t="n"/>
      <c r="D21" s="147" t="n"/>
      <c r="E21" s="148" t="n"/>
      <c r="F21" s="149" t="n"/>
      <c r="G21" s="149" t="n"/>
      <c r="H21" s="298" t="n"/>
      <c r="I21" s="298" t="n"/>
      <c r="J21" s="298" t="n"/>
      <c r="K21" s="221" t="n"/>
      <c r="L21" s="221" t="n"/>
      <c r="M21" s="221" t="n"/>
      <c r="R21" s="303" t="n"/>
      <c r="S21" s="302" t="n"/>
      <c r="U21" s="163" t="n"/>
    </row>
    <row r="22" ht="16.5" customFormat="1" customHeight="1" s="257">
      <c r="A22" s="164" t="n"/>
      <c r="B22" s="165" t="n"/>
      <c r="C22" s="166" t="n"/>
      <c r="D22" s="167" t="n"/>
      <c r="E22" s="168" t="n"/>
      <c r="F22" s="169" t="n"/>
      <c r="G22" s="169" t="n"/>
      <c r="H22" s="170" t="n"/>
      <c r="I22" s="170" t="n"/>
      <c r="K22" s="221" t="n"/>
      <c r="L22" s="221" t="n"/>
      <c r="M22" s="221" t="n"/>
      <c r="N22" s="299" t="n"/>
      <c r="P22" s="304" t="n"/>
      <c r="Q22" s="305" t="n"/>
      <c r="R22" s="303" t="n"/>
      <c r="S22" s="302" t="n"/>
      <c r="T22" s="302" t="n"/>
      <c r="U22" s="173" t="inlineStr">
        <is>
          <t>Tangerang, 31 July 2026</t>
        </is>
      </c>
    </row>
    <row r="23" ht="17.1" customFormat="1" customHeight="1" s="286">
      <c r="A23" s="174" t="inlineStr">
        <is>
          <t>Total Document</t>
        </is>
      </c>
      <c r="B23" s="175" t="n"/>
      <c r="C23" s="306">
        <f>A26</f>
        <v/>
      </c>
      <c r="D23" s="307" t="n"/>
      <c r="G23" s="169" t="n"/>
      <c r="H23" s="178" t="n"/>
      <c r="I23" s="178" t="n"/>
      <c r="K23" s="221" t="n"/>
      <c r="L23" s="221" t="n"/>
      <c r="M23" s="221" t="n"/>
      <c r="N23" s="299" t="n"/>
      <c r="P23" s="304" t="n"/>
      <c r="Q23" s="305" t="n"/>
      <c r="R23" s="303" t="n"/>
      <c r="S23" s="302" t="n"/>
      <c r="T23" s="302" t="n"/>
      <c r="U23" s="173">
        <f>+[1]REKAP!X34</f>
        <v/>
      </c>
    </row>
    <row r="24" ht="17.1" customFormat="1" customHeight="1" s="286">
      <c r="A24" s="174" t="inlineStr">
        <is>
          <t>Gross Weight</t>
        </is>
      </c>
      <c r="B24" s="179" t="n"/>
      <c r="C24" s="308">
        <f>O26</f>
        <v/>
      </c>
      <c r="D24" s="307" t="n"/>
      <c r="H24" s="182" t="n"/>
      <c r="I24" s="183" t="n"/>
      <c r="K24" s="221" t="n"/>
      <c r="L24" s="221" t="n"/>
      <c r="M24" s="221" t="n"/>
      <c r="N24" s="299" t="n"/>
      <c r="P24" s="309" t="n"/>
      <c r="Q24" s="310" t="n"/>
      <c r="R24" s="311" t="n"/>
      <c r="S24" s="312" t="n"/>
      <c r="T24" s="312" t="n"/>
      <c r="U24" s="4" t="n"/>
    </row>
    <row r="25" ht="8.1" customHeight="1" s="223" thickBot="1">
      <c r="A25" s="174" t="inlineStr">
        <is>
          <t>Nett Weight</t>
        </is>
      </c>
      <c r="B25" s="179" t="n"/>
      <c r="C25" s="308">
        <f>P26</f>
        <v/>
      </c>
      <c r="D25" s="307" t="n"/>
      <c r="K25" s="221" t="n"/>
      <c r="L25" s="221" t="n"/>
      <c r="M25" s="221" t="n"/>
      <c r="N25" s="299" t="n"/>
      <c r="P25" s="309" t="n"/>
      <c r="Q25" s="310" t="n"/>
      <c r="R25" s="311" t="n"/>
      <c r="S25" s="312" t="n"/>
      <c r="T25" s="312" t="n"/>
      <c r="U25" s="4" t="n"/>
    </row>
    <row r="26" ht="20.1" customFormat="1" customHeight="1" s="231" thickBot="1">
      <c r="A26" s="174" t="inlineStr">
        <is>
          <t>Amount</t>
        </is>
      </c>
      <c r="B26" s="179" t="n"/>
      <c r="C26" s="313">
        <f>R26</f>
        <v/>
      </c>
      <c r="D26" s="307" t="n"/>
      <c r="K26" s="221" t="n"/>
      <c r="L26" s="221" t="n"/>
      <c r="M26" s="221" t="n"/>
      <c r="N26" s="299" t="n"/>
      <c r="P26" s="309" t="n"/>
      <c r="Q26" s="310" t="n"/>
      <c r="R26" s="311" t="n"/>
      <c r="S26" s="312" t="n"/>
      <c r="T26" s="312" t="n"/>
      <c r="U26" s="190" t="n"/>
    </row>
    <row r="27" ht="17.1" customHeight="1" s="223">
      <c r="A27" s="174" t="inlineStr">
        <is>
          <t>Jumlah Container</t>
        </is>
      </c>
      <c r="B27" s="179" t="n"/>
      <c r="C27" s="314">
        <f>I26-C37</f>
        <v/>
      </c>
      <c r="D27" s="307" t="n"/>
      <c r="K27" s="221" t="n"/>
      <c r="L27" s="221" t="n"/>
      <c r="M27" s="221" t="n"/>
      <c r="N27" s="299" t="n"/>
      <c r="P27" s="309" t="n"/>
      <c r="Q27" s="310" t="n"/>
      <c r="R27" s="311" t="n"/>
      <c r="S27" s="312" t="n"/>
      <c r="T27" s="312" t="n"/>
      <c r="U27" s="173" t="n"/>
    </row>
    <row r="28" ht="17.1" customHeight="1" s="223">
      <c r="A28" s="174" t="n"/>
      <c r="B28" s="179" t="n"/>
      <c r="C28" s="315">
        <f>I28</f>
        <v/>
      </c>
      <c r="D28" s="307" t="n"/>
      <c r="K28" s="221" t="n"/>
      <c r="L28" s="221" t="n"/>
      <c r="M28" s="221" t="n"/>
      <c r="N28" s="299" t="n"/>
      <c r="P28" s="309" t="n"/>
      <c r="Q28" s="310" t="n"/>
      <c r="R28" s="311" t="n"/>
      <c r="S28" s="312" t="n"/>
      <c r="T28" s="312" t="n"/>
      <c r="U28" s="173" t="n"/>
    </row>
    <row r="29" ht="17.1" customHeight="1" s="223">
      <c r="A29" s="195" t="n"/>
      <c r="B29" s="179" t="n"/>
      <c r="C29" s="316">
        <f>C36*2+C37</f>
        <v/>
      </c>
      <c r="D29" s="307" t="n"/>
      <c r="K29" s="221" t="n"/>
      <c r="L29" s="221" t="n"/>
      <c r="M29" s="221" t="n"/>
      <c r="N29" s="299" t="n"/>
    </row>
    <row r="30" ht="17.1" customHeight="1" s="223" thickBot="1">
      <c r="A30" s="198" t="n"/>
      <c r="B30" s="199" t="n"/>
      <c r="C30" s="200" t="n"/>
      <c r="D30" s="201" t="n"/>
    </row>
    <row r="31" ht="17.1" customHeight="1" s="223" thickTop="1">
      <c r="B31" s="6" t="n"/>
      <c r="C31" s="3" t="n"/>
      <c r="D31" s="3" t="n"/>
      <c r="E31" s="4" t="n"/>
      <c r="F31" s="5" t="n"/>
      <c r="G31" s="5" t="n"/>
      <c r="H31" s="6" t="n"/>
      <c r="I31" s="6" t="n"/>
      <c r="J31" s="6" t="n"/>
      <c r="K31" s="215" t="n"/>
      <c r="L31" s="215" t="n"/>
      <c r="M31" s="215" t="n"/>
      <c r="N31" s="216" t="n"/>
      <c r="O31" s="217" t="n"/>
      <c r="P31" s="217" t="n"/>
      <c r="Q31" s="218" t="n"/>
      <c r="R31" s="219" t="n"/>
      <c r="S31" s="220" t="n"/>
      <c r="T31" s="220" t="n"/>
      <c r="U31" s="221" t="n"/>
      <c r="V31" s="221" t="n"/>
      <c r="W31" s="221" t="n"/>
      <c r="X31" s="221" t="n"/>
      <c r="Y31" s="221" t="n"/>
      <c r="Z31" s="221" t="n"/>
      <c r="AA31" s="222" t="n"/>
      <c r="AB31" s="222" t="n"/>
      <c r="AC31" s="222" t="n"/>
      <c r="AD31" s="222" t="n"/>
      <c r="AE31" s="222" t="n"/>
      <c r="AF31" s="222" t="n"/>
      <c r="AG31" s="222" t="n"/>
      <c r="AH31" s="222" t="n"/>
      <c r="AI31" s="222" t="n"/>
      <c r="AJ31" s="222" t="n"/>
      <c r="AK31" s="222" t="n"/>
      <c r="AL31" s="222" t="n"/>
      <c r="AM31" s="222" t="n"/>
      <c r="AN31" s="222" t="n"/>
      <c r="AO31" s="222" t="n"/>
      <c r="AP31" s="222" t="n"/>
      <c r="AQ31" s="222" t="n"/>
      <c r="AR31" s="222" t="n"/>
      <c r="AS31" s="222" t="n"/>
      <c r="AT31" s="222" t="n"/>
      <c r="AU31" s="222" t="n"/>
      <c r="AV31" s="222" t="n"/>
      <c r="AW31" s="222" t="n"/>
      <c r="AX31" s="222" t="n"/>
      <c r="AY31" s="222" t="n"/>
      <c r="AZ31" s="222" t="n"/>
      <c r="BA31" s="222" t="n"/>
      <c r="BB31" s="222" t="n"/>
      <c r="BC31" s="222" t="n"/>
      <c r="BD31" s="222" t="n"/>
      <c r="BE31" s="222" t="n"/>
      <c r="BF31" s="222" t="n"/>
      <c r="BG31" s="222" t="n"/>
      <c r="BH31" s="222" t="n"/>
      <c r="BI31" s="222" t="n"/>
      <c r="BJ31" s="222" t="n"/>
      <c r="BK31" s="222" t="n"/>
      <c r="BL31" s="222" t="n"/>
      <c r="BM31" s="222" t="n"/>
      <c r="BN31" s="222" t="n"/>
      <c r="BO31" s="222" t="n"/>
      <c r="BP31" s="222" t="n"/>
      <c r="BQ31" s="222" t="n"/>
      <c r="BR31" s="222" t="n"/>
      <c r="BS31" s="222" t="n"/>
      <c r="BT31" s="222" t="n"/>
      <c r="BU31" s="222" t="n"/>
      <c r="BV31" s="222" t="n"/>
      <c r="BW31" s="222" t="n"/>
      <c r="BX31" s="222" t="n"/>
      <c r="BY31" s="222" t="n"/>
      <c r="BZ31" s="222" t="n"/>
      <c r="CA31" s="222" t="n"/>
      <c r="CB31" s="222" t="n"/>
      <c r="CC31" s="222" t="n"/>
      <c r="CD31" s="222" t="n"/>
      <c r="CE31" s="222" t="n"/>
      <c r="CF31" s="222" t="n"/>
      <c r="CG31" s="222" t="n"/>
      <c r="CH31" s="222" t="n"/>
      <c r="CI31" s="222" t="n"/>
      <c r="CJ31" s="222" t="n"/>
      <c r="CK31" s="222" t="n"/>
      <c r="CL31" s="222" t="n"/>
      <c r="CM31" s="222" t="n"/>
      <c r="CN31" s="222" t="n"/>
      <c r="CO31" s="222" t="n"/>
      <c r="CP31" s="222" t="n"/>
      <c r="CQ31" s="222" t="n"/>
      <c r="CR31" s="222" t="n"/>
      <c r="CS31" s="222" t="n"/>
      <c r="CT31" s="222" t="n"/>
      <c r="CU31" s="222" t="n"/>
      <c r="CV31" s="222" t="n"/>
      <c r="CW31" s="222" t="n"/>
      <c r="CX31" s="222" t="n"/>
      <c r="CY31" s="222" t="n"/>
      <c r="CZ31" s="222" t="n"/>
      <c r="DA31" s="222" t="n"/>
      <c r="DB31" s="222" t="n"/>
      <c r="DC31" s="222" t="n"/>
      <c r="DD31" s="222" t="n"/>
      <c r="DE31" s="222" t="n"/>
      <c r="DF31" s="222" t="n"/>
      <c r="DG31" s="222" t="n"/>
      <c r="DH31" s="222" t="n"/>
      <c r="DI31" s="222" t="n"/>
      <c r="DJ31" s="222" t="n"/>
      <c r="DK31" s="222" t="n"/>
      <c r="DL31" s="222" t="n"/>
      <c r="DM31" s="222" t="n"/>
      <c r="DN31" s="222" t="n"/>
      <c r="DO31" s="222" t="n"/>
      <c r="DP31" s="222" t="n"/>
      <c r="DQ31" s="222" t="n"/>
      <c r="DR31" s="222" t="n"/>
      <c r="DS31" s="222" t="n"/>
      <c r="DT31" s="222" t="n"/>
      <c r="DU31" s="222" t="n"/>
      <c r="DV31" s="222" t="n"/>
      <c r="DW31" s="222" t="n"/>
      <c r="DX31" s="222" t="n"/>
      <c r="DY31" s="222" t="n"/>
      <c r="DZ31" s="222" t="n"/>
      <c r="EA31" s="222" t="n"/>
      <c r="EB31" s="222" t="n"/>
      <c r="EC31" s="222" t="n"/>
      <c r="ED31" s="222" t="n"/>
      <c r="EE31" s="222" t="n"/>
      <c r="EF31" s="222" t="n"/>
      <c r="EG31" s="222" t="n"/>
      <c r="EH31" s="222" t="n"/>
      <c r="EI31" s="222" t="n"/>
      <c r="EJ31" s="222" t="n"/>
      <c r="EK31" s="222" t="n"/>
      <c r="EL31" s="222" t="n"/>
      <c r="EM31" s="222" t="n"/>
      <c r="EN31" s="222" t="n"/>
      <c r="EO31" s="222" t="n"/>
      <c r="EP31" s="222" t="n"/>
      <c r="EQ31" s="222" t="n"/>
      <c r="ER31" s="222" t="n"/>
      <c r="ES31" s="222" t="n"/>
      <c r="ET31" s="222" t="n"/>
      <c r="EU31" s="222" t="n"/>
      <c r="EV31" s="222" t="n"/>
      <c r="EW31" s="222" t="n"/>
      <c r="EX31" s="222" t="n"/>
      <c r="EY31" s="222" t="n"/>
      <c r="EZ31" s="222" t="n"/>
      <c r="FA31" s="222" t="n"/>
      <c r="FB31" s="222" t="n"/>
      <c r="FC31" s="222" t="n"/>
      <c r="FD31" s="222" t="n"/>
      <c r="FE31" s="222" t="n"/>
      <c r="FF31" s="222" t="n"/>
      <c r="FG31" s="222" t="n"/>
      <c r="FH31" s="222" t="n"/>
      <c r="FI31" s="222" t="n"/>
      <c r="FJ31" s="222" t="n"/>
      <c r="FK31" s="222" t="n"/>
      <c r="FL31" s="222" t="n"/>
      <c r="FM31" s="222" t="n"/>
      <c r="FN31" s="222" t="n"/>
      <c r="FO31" s="222" t="n"/>
      <c r="FP31" s="222" t="n"/>
      <c r="FQ31" s="222" t="n"/>
      <c r="FR31" s="222" t="n"/>
      <c r="FS31" s="222" t="n"/>
      <c r="FT31" s="222" t="n"/>
      <c r="FU31" s="222" t="n"/>
      <c r="FV31" s="222" t="n"/>
      <c r="FW31" s="222" t="n"/>
      <c r="FX31" s="222" t="n"/>
      <c r="FY31" s="222" t="n"/>
      <c r="FZ31" s="222" t="n"/>
      <c r="GA31" s="222" t="n"/>
      <c r="GB31" s="222" t="n"/>
      <c r="GC31" s="222" t="n"/>
      <c r="GD31" s="222" t="n"/>
      <c r="GE31" s="222" t="n"/>
      <c r="GF31" s="222" t="n"/>
      <c r="GG31" s="222" t="n"/>
      <c r="GH31" s="222" t="n"/>
      <c r="GI31" s="222" t="n"/>
      <c r="GJ31" s="222" t="n"/>
      <c r="GK31" s="222" t="n"/>
      <c r="GL31" s="222" t="n"/>
      <c r="GM31" s="222" t="n"/>
      <c r="GN31" s="222" t="n"/>
      <c r="GO31" s="222" t="n"/>
      <c r="GP31" s="222" t="n"/>
      <c r="GQ31" s="222" t="n"/>
      <c r="GR31" s="222" t="n"/>
      <c r="GS31" s="222" t="n"/>
      <c r="GT31" s="222" t="n"/>
      <c r="GU31" s="222" t="n"/>
      <c r="GV31" s="222" t="n"/>
      <c r="GW31" s="222" t="n"/>
      <c r="GX31" s="222" t="n"/>
      <c r="GY31" s="222" t="n"/>
      <c r="GZ31" s="222" t="n"/>
      <c r="HA31" s="222" t="n"/>
      <c r="HB31" s="222" t="n"/>
      <c r="HC31" s="222" t="n"/>
      <c r="HD31" s="222" t="n"/>
      <c r="HE31" s="222" t="n"/>
      <c r="HF31" s="222" t="n"/>
      <c r="HG31" s="222" t="n"/>
      <c r="HH31" s="222" t="n"/>
      <c r="HI31" s="222" t="n"/>
      <c r="HJ31" s="222" t="n"/>
      <c r="HK31" s="222" t="n"/>
      <c r="HL31" s="222" t="n"/>
      <c r="HM31" s="222" t="n"/>
      <c r="HN31" s="222" t="n"/>
      <c r="HO31" s="222" t="n"/>
      <c r="HP31" s="222" t="n"/>
      <c r="HQ31" s="222" t="n"/>
      <c r="HR31" s="222" t="n"/>
      <c r="HS31" s="222" t="n"/>
      <c r="HT31" s="222" t="n"/>
      <c r="HU31" s="222" t="n"/>
      <c r="HV31" s="222" t="n"/>
      <c r="HW31" s="222" t="n"/>
      <c r="HX31" s="222" t="n"/>
      <c r="HY31" s="222" t="n"/>
      <c r="HZ31" s="222" t="n"/>
      <c r="IA31" s="222" t="n"/>
      <c r="IB31" s="222" t="n"/>
      <c r="IC31" s="222" t="n"/>
      <c r="ID31" s="222" t="n"/>
      <c r="IE31" s="222" t="n"/>
      <c r="IF31" s="222" t="n"/>
      <c r="IG31" s="222" t="n"/>
      <c r="IH31" s="222" t="n"/>
      <c r="II31" s="222" t="n"/>
      <c r="IJ31" s="222" t="n"/>
      <c r="IK31" s="222" t="n"/>
      <c r="IL31" s="222" t="n"/>
      <c r="IM31" s="222" t="n"/>
      <c r="IN31" s="222" t="n"/>
      <c r="IO31" s="222" t="n"/>
      <c r="IP31" s="222" t="n"/>
      <c r="IQ31" s="222" t="n"/>
      <c r="IR31" s="222" t="n"/>
      <c r="IS31" s="222" t="n"/>
      <c r="IT31" s="222" t="n"/>
      <c r="IU31" s="222" t="n"/>
      <c r="IV31" s="222" t="n"/>
      <c r="IW31" s="222" t="n"/>
      <c r="IX31" s="222" t="n"/>
      <c r="IY31" s="222" t="n"/>
      <c r="IZ31" s="222" t="n"/>
      <c r="JA31" s="222" t="n"/>
      <c r="JB31" s="222" t="n"/>
      <c r="JC31" s="222" t="n"/>
      <c r="JD31" s="222" t="n"/>
      <c r="JE31" s="222" t="n"/>
      <c r="JF31" s="222" t="n"/>
      <c r="JG31" s="222" t="n"/>
      <c r="JH31" s="222" t="n"/>
      <c r="JI31" s="222" t="n"/>
      <c r="JJ31" s="222" t="n"/>
      <c r="JK31" s="222" t="n"/>
      <c r="JL31" s="222" t="n"/>
      <c r="JM31" s="222" t="n"/>
      <c r="JN31" s="222" t="n"/>
      <c r="JO31" s="222" t="n"/>
      <c r="JP31" s="222" t="n"/>
      <c r="JQ31" s="222" t="n"/>
      <c r="JR31" s="222" t="n"/>
      <c r="JS31" s="222" t="n"/>
      <c r="JT31" s="222" t="n"/>
      <c r="JU31" s="222" t="n"/>
      <c r="JV31" s="222" t="n"/>
      <c r="JW31" s="222" t="n"/>
      <c r="JX31" s="222" t="n"/>
      <c r="JY31" s="222" t="n"/>
      <c r="JZ31" s="222" t="n"/>
      <c r="KA31" s="222" t="n"/>
      <c r="KB31" s="222" t="n"/>
      <c r="KC31" s="222" t="n"/>
      <c r="KD31" s="222" t="n"/>
    </row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>
      <c r="A324" s="202" t="n"/>
      <c r="B324" s="203" t="n"/>
      <c r="C324" s="204" t="n"/>
      <c r="D324" s="204" t="n"/>
      <c r="E324" s="205" t="n"/>
      <c r="F324" s="206" t="n"/>
      <c r="G324" s="206" t="n"/>
      <c r="H324" s="6" t="n"/>
      <c r="I324" s="203" t="n"/>
      <c r="J324" s="203" t="n"/>
      <c r="K324" s="317" t="n"/>
      <c r="L324" s="317" t="n"/>
      <c r="M324" s="317" t="n"/>
      <c r="N324" s="318" t="n"/>
      <c r="O324" s="319" t="n"/>
      <c r="P324" s="319" t="n"/>
      <c r="Q324" s="320" t="n"/>
      <c r="R324" s="321" t="n"/>
      <c r="S324" s="322" t="n"/>
      <c r="T324" s="322" t="n"/>
      <c r="U324" s="323" t="n"/>
      <c r="V324" s="323" t="n"/>
      <c r="W324" s="323" t="n"/>
      <c r="X324" s="323" t="n"/>
      <c r="Y324" s="323" t="n"/>
      <c r="Z324" s="323" t="n"/>
    </row>
    <row r="333" ht="15" customFormat="1" customHeight="1" s="324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2026-07-25T16:50:59Z</dcterms:modified>
  <cp:lastModifiedBy>Chiswa Dian Hermansyah(ZINUS ZDI)</cp:lastModifiedBy>
</cp:coreProperties>
</file>