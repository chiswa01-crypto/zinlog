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bulan" sheetId="1" state="visible" r:id="rId1"/>
  </sheets>
  <externalReferences>
    <externalReference r:id="rId2"/>
  </externalReferences>
  <definedNames>
    <definedName name="_xlnm._FilterDatabase" localSheetId="0" hidden="1">'bulan'!$A$10:$Z$11</definedName>
  </definedNames>
  <calcPr calcId="191029" fullCalcOnLoad="1"/>
</workbook>
</file>

<file path=xl/styles.xml><?xml version="1.0" encoding="utf-8"?>
<styleSheet xmlns="http://schemas.openxmlformats.org/spreadsheetml/2006/main">
  <numFmts count="16">
    <numFmt numFmtId="164" formatCode="000000"/>
    <numFmt numFmtId="165" formatCode="_-* #,##0.00_-;\-* #,##0.00_-;_-* &quot;-&quot;_-;_-@_-"/>
    <numFmt numFmtId="166" formatCode="_-[$$-409]* #,##0.00_ ;_-[$$-409]* \-#,##0.00\ ;_-[$$-409]* &quot;-&quot;??_ ;_-@_ "/>
    <numFmt numFmtId="167" formatCode="_(&quot;$&quot;* #,##0.00_);_(&quot;$&quot;* \(#,##0.00\);_(&quot;$&quot;* &quot;-&quot;??_);_(@_)"/>
    <numFmt numFmtId="168" formatCode="_-[$Rp-421]* #,##0.00_-;\-[$Rp-421]* #,##0.00_-;_-[$Rp-421]* &quot;-&quot;??_-;_-@_-"/>
    <numFmt numFmtId="169" formatCode="_(* #,##0.00_);_(* \(#,##0.00\);_(* &quot;-&quot;_);_(@_)"/>
    <numFmt numFmtId="170" formatCode="dd\-mm\-yyyy;@"/>
    <numFmt numFmtId="171" formatCode="[$-409]d\-mmm\-yyyy;@"/>
    <numFmt numFmtId="172" formatCode="_([$$-409]* #,##0.00_);_([$$-409]* \(#,##0.00\);_([$$-409]* &quot;-&quot;??_);_(@_)"/>
    <numFmt numFmtId="173" formatCode="&quot;:&quot;\ General\ &quot;Document&quot;"/>
    <numFmt numFmtId="174" formatCode="&quot;:&quot;\ #,##0.00\ &quot;KGS&quot;"/>
    <numFmt numFmtId="175" formatCode="&quot;: $&quot;\ #,##0.00"/>
    <numFmt numFmtId="176" formatCode="&quot;:&quot;\ General&quot;X40FT&quot;"/>
    <numFmt numFmtId="177" formatCode="&quot;:&quot;\ General&quot;X20FT&quot;"/>
    <numFmt numFmtId="178" formatCode="&quot;=&quot;\ #,##0\ &quot;TEUS&quot;"/>
    <numFmt numFmtId="179" formatCode="yyyy-mm-dd"/>
  </numFmts>
  <fonts count="31">
    <font>
      <name val="Arial"/>
      <charset val="134"/>
      <sz val="10"/>
    </font>
    <font>
      <name val="Calibri"/>
      <charset val="1"/>
      <family val="2"/>
      <color theme="1"/>
      <sz val="11"/>
      <scheme val="minor"/>
    </font>
    <font>
      <name val="Times New Roman"/>
      <family val="1"/>
      <sz val="14"/>
    </font>
    <font>
      <name val="Times New Roman"/>
      <family val="1"/>
      <sz val="11"/>
    </font>
    <font>
      <name val="Calibri"/>
      <family val="2"/>
      <sz val="12"/>
      <scheme val="minor"/>
    </font>
    <font>
      <name val="Arial"/>
      <family val="2"/>
      <sz val="10"/>
    </font>
    <font>
      <name val="Times New Roman"/>
      <family val="1"/>
      <b val="1"/>
      <sz val="16"/>
    </font>
    <font>
      <name val="Times New Roman"/>
      <family val="1"/>
      <b val="1"/>
      <sz val="11"/>
    </font>
    <font>
      <name val="Times New Roman"/>
      <family val="1"/>
      <b val="1"/>
      <color theme="1"/>
      <sz val="11"/>
    </font>
    <font>
      <name val="Calibri"/>
      <family val="2"/>
      <b val="1"/>
      <sz val="12"/>
      <scheme val="minor"/>
    </font>
    <font>
      <name val="宋体"/>
      <charset val="134"/>
      <family val="3"/>
      <sz val="12"/>
    </font>
    <font>
      <name val="Calibri"/>
      <family val="2"/>
      <color theme="1"/>
      <sz val="12"/>
      <scheme val="minor"/>
    </font>
    <font>
      <name val="Times New Roman"/>
      <family val="1"/>
      <sz val="12"/>
    </font>
    <font>
      <name val="Calibri"/>
      <family val="2"/>
      <b val="1"/>
      <color theme="1"/>
      <sz val="12"/>
      <scheme val="minor"/>
    </font>
    <font>
      <name val="Times New Roman"/>
      <family val="1"/>
      <color theme="1"/>
      <sz val="11"/>
    </font>
    <font>
      <name val="Times New Roman"/>
      <family val="1"/>
      <b val="1"/>
      <sz val="12"/>
    </font>
    <font>
      <name val="바탕체"/>
      <family val="3"/>
      <sz val="12"/>
    </font>
    <font>
      <name val="Times New Roman"/>
      <family val="1"/>
      <b val="1"/>
      <color indexed="8"/>
      <sz val="12"/>
    </font>
    <font>
      <name val="Times New Roman"/>
      <family val="1"/>
      <color theme="0"/>
      <sz val="12"/>
    </font>
    <font>
      <name val="Times New Roman"/>
      <family val="1"/>
      <color indexed="10"/>
      <sz val="11"/>
    </font>
    <font>
      <name val="Times New Roman"/>
      <family val="1"/>
      <b val="1"/>
      <color theme="7"/>
      <sz val="11"/>
    </font>
    <font>
      <name val="Times New Roman"/>
      <family val="1"/>
      <b val="1"/>
      <sz val="14"/>
    </font>
    <font>
      <name val="Times New Roman"/>
      <family val="1"/>
      <b val="1"/>
      <color theme="0"/>
      <sz val="11"/>
    </font>
    <font>
      <name val="Times New Roman"/>
      <family val="1"/>
      <sz val="11"/>
      <u val="single"/>
    </font>
    <font>
      <name val="Calibri"/>
      <sz val="11"/>
    </font>
    <font>
      <name val="Calibri"/>
      <sz val="12"/>
    </font>
    <font>
      <name val="Calibri"/>
      <b val="1"/>
      <sz val="12"/>
    </font>
    <font>
      <name val="Times New Roman"/>
      <b val="1"/>
      <sz val="12"/>
    </font>
    <font>
      <name val="Times New Roman"/>
      <sz val="12"/>
    </font>
    <font>
      <name val="Times New Roman"/>
      <sz val="11"/>
    </font>
    <font>
      <name val="Times New Roman"/>
      <b val="1"/>
      <sz val="14"/>
    </font>
  </fonts>
  <fills count="8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92D050"/>
        <bgColor rgb="FF92D050"/>
      </patternFill>
    </fill>
  </fills>
  <borders count="32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</border>
  </borders>
  <cellStyleXfs count="11">
    <xf numFmtId="0" fontId="0" fillId="0" borderId="0" applyAlignment="1">
      <alignment vertical="center"/>
    </xf>
    <xf numFmtId="43" fontId="12" fillId="0" borderId="0" applyAlignment="1">
      <alignment vertical="center"/>
    </xf>
    <xf numFmtId="41" fontId="5" fillId="0" borderId="0"/>
    <xf numFmtId="167" fontId="5" fillId="0" borderId="0"/>
    <xf numFmtId="0" fontId="1" fillId="0" borderId="0"/>
    <xf numFmtId="0" fontId="5" fillId="0" borderId="0" applyAlignment="1">
      <alignment vertical="center"/>
    </xf>
    <xf numFmtId="41" fontId="1" fillId="0" borderId="0"/>
    <xf numFmtId="0" fontId="10" fillId="0" borderId="0" applyAlignment="1">
      <alignment vertical="center"/>
    </xf>
    <xf numFmtId="43" fontId="5" fillId="0" borderId="0"/>
    <xf numFmtId="43" fontId="1" fillId="0" borderId="0"/>
    <xf numFmtId="0" fontId="16" fillId="0" borderId="0"/>
  </cellStyleXfs>
  <cellXfs count="278">
    <xf numFmtId="0" fontId="0" fillId="0" borderId="0" applyAlignment="1" pivotButton="0" quotePrefix="0" xfId="0">
      <alignment vertical="center"/>
    </xf>
    <xf numFmtId="1" fontId="2" fillId="0" borderId="0" applyAlignment="1" pivotButton="0" quotePrefix="0" xfId="4">
      <alignment horizontal="center" vertical="center"/>
    </xf>
    <xf numFmtId="49" fontId="2" fillId="0" borderId="0" applyAlignment="1" pivotButton="0" quotePrefix="0" xfId="4">
      <alignment horizontal="left" vertical="center"/>
    </xf>
    <xf numFmtId="164" fontId="3" fillId="0" borderId="0" applyAlignment="1" pivotButton="0" quotePrefix="0" xfId="4">
      <alignment horizontal="center" vertical="center"/>
    </xf>
    <xf numFmtId="0" fontId="3" fillId="0" borderId="0" applyAlignment="1" pivotButton="0" quotePrefix="0" xfId="4">
      <alignment horizontal="center" vertical="center"/>
    </xf>
    <xf numFmtId="0" fontId="3" fillId="0" borderId="0" applyAlignment="1" pivotButton="0" quotePrefix="0" xfId="4">
      <alignment horizontal="left" vertical="center"/>
    </xf>
    <xf numFmtId="49" fontId="3" fillId="0" borderId="0" applyAlignment="1" pivotButton="0" quotePrefix="0" xfId="4">
      <alignment horizontal="center" vertical="center"/>
    </xf>
    <xf numFmtId="41" fontId="3" fillId="0" borderId="0" applyAlignment="1" pivotButton="0" quotePrefix="0" xfId="4">
      <alignment horizontal="center" vertical="center" shrinkToFit="1"/>
    </xf>
    <xf numFmtId="41" fontId="4" fillId="0" borderId="0" applyAlignment="1" pivotButton="0" quotePrefix="0" xfId="4">
      <alignment horizontal="center" vertical="center" shrinkToFit="1"/>
    </xf>
    <xf numFmtId="165" fontId="3" fillId="0" borderId="0" applyAlignment="1" pivotButton="0" quotePrefix="0" xfId="2">
      <alignment horizontal="right" vertical="center"/>
    </xf>
    <xf numFmtId="166" fontId="3" fillId="0" borderId="0" applyAlignment="1" pivotButton="0" quotePrefix="0" xfId="4">
      <alignment horizontal="right" vertical="center"/>
    </xf>
    <xf numFmtId="167" fontId="3" fillId="0" borderId="0" applyAlignment="1" pivotButton="0" quotePrefix="0" xfId="3">
      <alignment horizontal="right" vertical="center"/>
    </xf>
    <xf numFmtId="168" fontId="3" fillId="0" borderId="0" applyAlignment="1" pivotButton="0" quotePrefix="0" xfId="3">
      <alignment horizontal="right" vertical="center"/>
    </xf>
    <xf numFmtId="41" fontId="3" fillId="0" borderId="0" applyAlignment="1" pivotButton="0" quotePrefix="0" xfId="4">
      <alignment horizontal="center" vertical="center"/>
    </xf>
    <xf numFmtId="41" fontId="3" fillId="0" borderId="0" applyAlignment="1" pivotButton="0" quotePrefix="0" xfId="4">
      <alignment vertical="center"/>
    </xf>
    <xf numFmtId="1" fontId="2" fillId="0" borderId="0" applyAlignment="1" pivotButton="0" quotePrefix="0" xfId="5">
      <alignment horizontal="center" vertical="center"/>
    </xf>
    <xf numFmtId="49" fontId="2" fillId="0" borderId="0" applyAlignment="1" pivotButton="0" quotePrefix="0" xfId="5">
      <alignment horizontal="left" vertical="center"/>
    </xf>
    <xf numFmtId="1" fontId="3" fillId="0" borderId="0" applyAlignment="1" pivotButton="0" quotePrefix="0" xfId="4">
      <alignment horizontal="center" vertical="center"/>
    </xf>
    <xf numFmtId="1" fontId="3" fillId="0" borderId="1" applyAlignment="1" pivotButton="0" quotePrefix="0" xfId="4">
      <alignment horizontal="center" vertical="center"/>
    </xf>
    <xf numFmtId="49" fontId="3" fillId="0" borderId="1" applyAlignment="1" pivotButton="0" quotePrefix="0" xfId="4">
      <alignment horizontal="center" vertical="center"/>
    </xf>
    <xf numFmtId="164" fontId="3" fillId="0" borderId="1" applyAlignment="1" pivotButton="0" quotePrefix="0" xfId="4">
      <alignment horizontal="center" vertical="center"/>
    </xf>
    <xf numFmtId="0" fontId="3" fillId="0" borderId="1" applyAlignment="1" pivotButton="0" quotePrefix="0" xfId="4">
      <alignment horizontal="center" vertical="center" shrinkToFit="1"/>
    </xf>
    <xf numFmtId="0" fontId="3" fillId="0" borderId="1" applyAlignment="1" pivotButton="0" quotePrefix="0" xfId="4">
      <alignment horizontal="left" vertical="center" shrinkToFit="1"/>
    </xf>
    <xf numFmtId="41" fontId="3" fillId="0" borderId="1" applyAlignment="1" pivotButton="0" quotePrefix="0" xfId="4">
      <alignment horizontal="center" vertical="center"/>
    </xf>
    <xf numFmtId="41" fontId="4" fillId="0" borderId="1" applyAlignment="1" pivotButton="0" quotePrefix="0" xfId="4">
      <alignment horizontal="center" vertical="center"/>
    </xf>
    <xf numFmtId="165" fontId="3" fillId="0" borderId="1" applyAlignment="1" pivotButton="0" quotePrefix="0" xfId="2">
      <alignment horizontal="center" vertical="center"/>
    </xf>
    <xf numFmtId="166" fontId="3" fillId="0" borderId="1" applyAlignment="1" pivotButton="0" quotePrefix="0" xfId="4">
      <alignment horizontal="center" vertical="center"/>
    </xf>
    <xf numFmtId="167" fontId="3" fillId="0" borderId="1" applyAlignment="1" pivotButton="0" quotePrefix="0" xfId="3">
      <alignment horizontal="center" vertical="center"/>
    </xf>
    <xf numFmtId="168" fontId="3" fillId="0" borderId="1" applyAlignment="1" pivotButton="0" quotePrefix="0" xfId="3">
      <alignment horizontal="center" vertical="center"/>
    </xf>
    <xf numFmtId="165" fontId="7" fillId="0" borderId="2" applyAlignment="1" pivotButton="0" quotePrefix="0" xfId="2">
      <alignment horizontal="center" vertical="center"/>
    </xf>
    <xf numFmtId="167" fontId="7" fillId="0" borderId="2" applyAlignment="1" pivotButton="0" quotePrefix="0" xfId="3">
      <alignment horizontal="center" vertical="center"/>
    </xf>
    <xf numFmtId="168" fontId="7" fillId="0" borderId="2" applyAlignment="1" pivotButton="0" quotePrefix="0" xfId="3">
      <alignment horizontal="center" vertical="center"/>
    </xf>
    <xf numFmtId="169" fontId="7" fillId="0" borderId="2" applyAlignment="1" pivotButton="0" quotePrefix="0" xfId="6">
      <alignment horizontal="center" vertical="center"/>
    </xf>
    <xf numFmtId="41" fontId="7" fillId="0" borderId="0" applyAlignment="1" pivotButton="0" quotePrefix="0" xfId="4">
      <alignment vertical="center"/>
    </xf>
    <xf numFmtId="41" fontId="7" fillId="0" borderId="8" applyAlignment="1" pivotButton="0" quotePrefix="0" xfId="4">
      <alignment horizontal="center" vertical="center" wrapText="1"/>
    </xf>
    <xf numFmtId="164" fontId="7" fillId="0" borderId="8" applyAlignment="1" pivotButton="0" quotePrefix="0" xfId="4">
      <alignment horizontal="center" vertical="center" wrapText="1"/>
    </xf>
    <xf numFmtId="165" fontId="7" fillId="0" borderId="7" applyAlignment="1" pivotButton="0" quotePrefix="1" xfId="2">
      <alignment horizontal="center" vertical="center"/>
    </xf>
    <xf numFmtId="165" fontId="7" fillId="0" borderId="7" applyAlignment="1" pivotButton="0" quotePrefix="0" xfId="2">
      <alignment horizontal="center" vertical="center"/>
    </xf>
    <xf numFmtId="167" fontId="7" fillId="0" borderId="7" applyAlignment="1" pivotButton="0" quotePrefix="0" xfId="3">
      <alignment horizontal="center" vertical="center"/>
    </xf>
    <xf numFmtId="168" fontId="7" fillId="0" borderId="7" applyAlignment="1" pivotButton="0" quotePrefix="0" xfId="3">
      <alignment horizontal="center" vertical="center"/>
    </xf>
    <xf numFmtId="169" fontId="7" fillId="0" borderId="7" applyAlignment="1" pivotButton="0" quotePrefix="0" xfId="6">
      <alignment horizontal="center" vertical="center"/>
    </xf>
    <xf numFmtId="170" fontId="4" fillId="0" borderId="12" applyAlignment="1" pivotButton="0" quotePrefix="1" xfId="5">
      <alignment horizontal="center" vertical="center" wrapText="1"/>
    </xf>
    <xf numFmtId="0" fontId="4" fillId="0" borderId="12" applyAlignment="1" pivotButton="0" quotePrefix="0" xfId="5">
      <alignment horizontal="center" vertical="center"/>
    </xf>
    <xf numFmtId="0" fontId="11" fillId="0" borderId="13" applyAlignment="1" pivotButton="0" quotePrefix="0" xfId="5">
      <alignment horizontal="center"/>
    </xf>
    <xf numFmtId="0" fontId="4" fillId="0" borderId="12" applyAlignment="1" pivotButton="0" quotePrefix="0" xfId="5">
      <alignment horizontal="center"/>
    </xf>
    <xf numFmtId="166" fontId="4" fillId="0" borderId="12" applyAlignment="1" pivotButton="0" quotePrefix="0" xfId="1">
      <alignment vertical="center" wrapText="1"/>
    </xf>
    <xf numFmtId="167" fontId="4" fillId="0" borderId="13" applyAlignment="1" pivotButton="0" quotePrefix="0" xfId="3">
      <alignment horizontal="center" vertical="center" wrapText="1"/>
    </xf>
    <xf numFmtId="168" fontId="4" fillId="0" borderId="12" applyAlignment="1" pivotButton="0" quotePrefix="0" xfId="3">
      <alignment horizontal="center" vertical="center" wrapText="1"/>
    </xf>
    <xf numFmtId="0" fontId="4" fillId="0" borderId="12" applyAlignment="1" pivotButton="0" quotePrefix="0" xfId="5">
      <alignment horizontal="center" vertical="top" wrapText="1"/>
    </xf>
    <xf numFmtId="0" fontId="4" fillId="0" borderId="12" applyAlignment="1" pivotButton="0" quotePrefix="0" xfId="5">
      <alignment horizontal="center" vertical="center" wrapText="1"/>
    </xf>
    <xf numFmtId="0" fontId="11" fillId="0" borderId="12" applyAlignment="1" pivotButton="0" quotePrefix="0" xfId="5">
      <alignment horizontal="center" vertical="center"/>
    </xf>
    <xf numFmtId="0" fontId="4" fillId="0" borderId="12" applyAlignment="1" pivotButton="0" quotePrefix="0" xfId="4">
      <alignment horizontal="center" vertical="center"/>
    </xf>
    <xf numFmtId="0" fontId="4" fillId="0" borderId="12" applyAlignment="1" pivotButton="0" quotePrefix="1" xfId="4">
      <alignment horizontal="center" vertical="center" wrapText="1"/>
    </xf>
    <xf numFmtId="41" fontId="4" fillId="0" borderId="0" applyAlignment="1" pivotButton="0" quotePrefix="0" xfId="4">
      <alignment vertical="center" wrapText="1"/>
    </xf>
    <xf numFmtId="1" fontId="4" fillId="0" borderId="13" applyAlignment="1" pivotButton="0" quotePrefix="1" xfId="4">
      <alignment horizontal="center" vertical="center" wrapText="1"/>
    </xf>
    <xf numFmtId="49" fontId="4" fillId="0" borderId="13" applyAlignment="1" pivotButton="0" quotePrefix="1" xfId="4">
      <alignment horizontal="center" vertical="center"/>
    </xf>
    <xf numFmtId="49" fontId="4" fillId="0" borderId="13" applyAlignment="1" pivotButton="0" quotePrefix="1" xfId="5">
      <alignment horizontal="center" vertical="center" wrapText="1"/>
    </xf>
    <xf numFmtId="170" fontId="4" fillId="0" borderId="13" applyAlignment="1" pivotButton="0" quotePrefix="1" xfId="5">
      <alignment horizontal="center" vertical="center" wrapText="1"/>
    </xf>
    <xf numFmtId="14" fontId="4" fillId="0" borderId="13" applyAlignment="1" pivotButton="0" quotePrefix="1" xfId="5">
      <alignment horizontal="center" vertical="center" wrapText="1"/>
    </xf>
    <xf numFmtId="0" fontId="4" fillId="0" borderId="14" applyAlignment="1" pivotButton="0" quotePrefix="0" xfId="5">
      <alignment horizontal="center" vertical="center"/>
    </xf>
    <xf numFmtId="0" fontId="4" fillId="0" borderId="13" applyAlignment="1" pivotButton="0" quotePrefix="0" xfId="5">
      <alignment horizontal="center"/>
    </xf>
    <xf numFmtId="39" fontId="4" fillId="0" borderId="13" applyAlignment="1" pivotButton="0" quotePrefix="0" xfId="2">
      <alignment vertical="center"/>
    </xf>
    <xf numFmtId="0" fontId="4" fillId="0" borderId="13" applyAlignment="1" pivotButton="0" quotePrefix="0" xfId="4">
      <alignment horizontal="center" vertical="center"/>
    </xf>
    <xf numFmtId="0" fontId="4" fillId="0" borderId="13" applyAlignment="1" pivotButton="0" quotePrefix="1" xfId="4">
      <alignment horizontal="center" vertical="center" wrapText="1"/>
    </xf>
    <xf numFmtId="1" fontId="9" fillId="2" borderId="15" applyAlignment="1" pivotButton="0" quotePrefix="1" xfId="4">
      <alignment horizontal="center" vertical="center" wrapText="1"/>
    </xf>
    <xf numFmtId="49" fontId="9" fillId="2" borderId="15" applyAlignment="1" pivotButton="0" quotePrefix="1" xfId="4">
      <alignment horizontal="center" vertical="center" wrapText="1"/>
    </xf>
    <xf numFmtId="49" fontId="9" fillId="2" borderId="15" applyAlignment="1" pivotButton="0" quotePrefix="0" xfId="5">
      <alignment horizontal="center" vertical="center"/>
    </xf>
    <xf numFmtId="14" fontId="9" fillId="2" borderId="15" applyAlignment="1" pivotButton="0" quotePrefix="0" xfId="5">
      <alignment horizontal="center" vertical="center"/>
    </xf>
    <xf numFmtId="0" fontId="9" fillId="2" borderId="15" applyAlignment="1" pivotButton="0" quotePrefix="0" xfId="5">
      <alignment horizontal="center" vertical="center"/>
    </xf>
    <xf numFmtId="0" fontId="9" fillId="2" borderId="16" applyAlignment="1" pivotButton="0" quotePrefix="0" xfId="5">
      <alignment horizontal="center"/>
    </xf>
    <xf numFmtId="14" fontId="13" fillId="2" borderId="15" applyAlignment="1" pivotButton="0" quotePrefix="1" xfId="5">
      <alignment horizontal="center" vertical="center" wrapText="1"/>
    </xf>
    <xf numFmtId="165" fontId="13" fillId="2" borderId="15" applyAlignment="1" pivotButton="0" quotePrefix="0" xfId="2">
      <alignment horizontal="center"/>
    </xf>
    <xf numFmtId="166" fontId="9" fillId="2" borderId="15" applyAlignment="1" pivotButton="0" quotePrefix="0" xfId="1">
      <alignment vertical="center" wrapText="1"/>
    </xf>
    <xf numFmtId="167" fontId="9" fillId="2" borderId="15" applyAlignment="1" pivotButton="0" quotePrefix="0" xfId="3">
      <alignment horizontal="center" vertical="center" wrapText="1"/>
    </xf>
    <xf numFmtId="168" fontId="9" fillId="2" borderId="15" applyAlignment="1" pivotButton="0" quotePrefix="0" xfId="3">
      <alignment horizontal="center" vertical="center" wrapText="1"/>
    </xf>
    <xf numFmtId="0" fontId="9" fillId="2" borderId="15" applyAlignment="1" pivotButton="0" quotePrefix="0" xfId="5">
      <alignment horizontal="center" vertical="center" wrapText="1"/>
    </xf>
    <xf numFmtId="0" fontId="9" fillId="2" borderId="15" applyAlignment="1" pivotButton="0" quotePrefix="0" xfId="5">
      <alignment horizontal="center"/>
    </xf>
    <xf numFmtId="0" fontId="9" fillId="2" borderId="15" applyAlignment="1" pivotButton="0" quotePrefix="0" xfId="4">
      <alignment horizontal="center" vertical="center" wrapText="1"/>
    </xf>
    <xf numFmtId="41" fontId="9" fillId="0" borderId="0" applyAlignment="1" pivotButton="0" quotePrefix="0" xfId="4">
      <alignment vertical="center" wrapText="1"/>
    </xf>
    <xf numFmtId="1" fontId="4" fillId="0" borderId="12" applyAlignment="1" pivotButton="0" quotePrefix="1" xfId="4">
      <alignment horizontal="center" vertical="center" wrapText="1"/>
    </xf>
    <xf numFmtId="49" fontId="4" fillId="0" borderId="12" applyAlignment="1" pivotButton="0" quotePrefix="1" xfId="4">
      <alignment horizontal="center" vertical="center"/>
    </xf>
    <xf numFmtId="49" fontId="4" fillId="0" borderId="12" applyAlignment="1" pivotButton="0" quotePrefix="1" xfId="5">
      <alignment horizontal="center" vertical="center" wrapText="1"/>
    </xf>
    <xf numFmtId="14" fontId="4" fillId="0" borderId="12" applyAlignment="1" pivotButton="0" quotePrefix="1" xfId="5">
      <alignment horizontal="center" vertical="center" wrapText="1"/>
    </xf>
    <xf numFmtId="0" fontId="4" fillId="0" borderId="12" applyAlignment="1" pivotButton="0" quotePrefix="0" xfId="7">
      <alignment horizontal="center" vertical="center"/>
    </xf>
    <xf numFmtId="0" fontId="11" fillId="0" borderId="12" applyAlignment="1" pivotButton="0" quotePrefix="0" xfId="5">
      <alignment horizontal="center"/>
    </xf>
    <xf numFmtId="0" fontId="4" fillId="0" borderId="12" applyAlignment="1" pivotButton="0" quotePrefix="1" xfId="5">
      <alignment horizontal="center" vertical="center"/>
    </xf>
    <xf numFmtId="39" fontId="4" fillId="0" borderId="12" applyAlignment="1" pivotButton="0" quotePrefix="0" xfId="2">
      <alignment vertical="center"/>
    </xf>
    <xf numFmtId="167" fontId="4" fillId="0" borderId="12" applyAlignment="1" pivotButton="0" quotePrefix="0" xfId="3">
      <alignment horizontal="center" vertical="center" wrapText="1"/>
    </xf>
    <xf numFmtId="0" fontId="4" fillId="0" borderId="13" applyAlignment="1" pivotButton="0" quotePrefix="0" xfId="7">
      <alignment horizontal="center" vertical="center"/>
    </xf>
    <xf numFmtId="1" fontId="3" fillId="0" borderId="9" applyAlignment="1" pivotButton="0" quotePrefix="1" xfId="4">
      <alignment horizontal="center" vertical="center"/>
    </xf>
    <xf numFmtId="49" fontId="3" fillId="0" borderId="1" applyAlignment="1" pivotButton="0" quotePrefix="1" xfId="4">
      <alignment horizontal="center" vertical="center"/>
    </xf>
    <xf numFmtId="164" fontId="3" fillId="3" borderId="1" applyAlignment="1" pivotButton="0" quotePrefix="1" xfId="8">
      <alignment horizontal="center" vertical="center" wrapText="1"/>
    </xf>
    <xf numFmtId="164" fontId="14" fillId="3" borderId="1" applyAlignment="1" pivotButton="0" quotePrefix="1" xfId="4">
      <alignment horizontal="center" vertical="center"/>
    </xf>
    <xf numFmtId="171" fontId="3" fillId="3" borderId="1" applyAlignment="1" pivotButton="0" quotePrefix="1" xfId="4">
      <alignment horizontal="center" vertical="center" wrapText="1"/>
    </xf>
    <xf numFmtId="171" fontId="3" fillId="3" borderId="1" applyAlignment="1" pivotButton="0" quotePrefix="1" xfId="4">
      <alignment horizontal="left" vertical="center" wrapText="1"/>
    </xf>
    <xf numFmtId="0" fontId="3" fillId="0" borderId="1" applyAlignment="1" pivotButton="0" quotePrefix="0" xfId="4">
      <alignment horizontal="center" vertical="center"/>
    </xf>
    <xf numFmtId="165" fontId="3" fillId="3" borderId="1" applyAlignment="1" pivotButton="0" quotePrefix="1" xfId="2">
      <alignment horizontal="right" vertical="center" wrapText="1"/>
    </xf>
    <xf numFmtId="166" fontId="3" fillId="3" borderId="1" applyAlignment="1" pivotButton="0" quotePrefix="1" xfId="4">
      <alignment horizontal="right" vertical="center" wrapText="1"/>
    </xf>
    <xf numFmtId="167" fontId="3" fillId="3" borderId="1" applyAlignment="1" pivotButton="0" quotePrefix="1" xfId="3">
      <alignment horizontal="right" vertical="center" wrapText="1"/>
    </xf>
    <xf numFmtId="168" fontId="3" fillId="3" borderId="1" applyAlignment="1" pivotButton="0" quotePrefix="1" xfId="3">
      <alignment horizontal="right" vertical="center" wrapText="1"/>
    </xf>
    <xf numFmtId="43" fontId="3" fillId="3" borderId="1" applyAlignment="1" pivotButton="0" quotePrefix="1" xfId="4">
      <alignment horizontal="center" vertical="center" wrapText="1"/>
    </xf>
    <xf numFmtId="4" fontId="3" fillId="0" borderId="10" applyAlignment="1" pivotButton="0" quotePrefix="0" xfId="9">
      <alignment horizontal="center" vertical="center"/>
    </xf>
    <xf numFmtId="4" fontId="3" fillId="0" borderId="0" applyAlignment="1" pivotButton="0" quotePrefix="0" xfId="9">
      <alignment horizontal="center" vertical="center"/>
    </xf>
    <xf numFmtId="1" fontId="15" fillId="0" borderId="8" applyAlignment="1" pivotButton="0" quotePrefix="1" xfId="4">
      <alignment horizontal="center" vertical="center"/>
    </xf>
    <xf numFmtId="49" fontId="15" fillId="0" borderId="3" applyAlignment="1" pivotButton="0" quotePrefix="1" xfId="4">
      <alignment horizontal="center" vertical="center"/>
    </xf>
    <xf numFmtId="41" fontId="15" fillId="0" borderId="3" applyAlignment="1" pivotButton="0" quotePrefix="0" xfId="4">
      <alignment vertical="center"/>
    </xf>
    <xf numFmtId="41" fontId="15" fillId="0" borderId="17" applyAlignment="1" pivotButton="0" quotePrefix="0" xfId="4">
      <alignment vertical="center"/>
    </xf>
    <xf numFmtId="3" fontId="17" fillId="0" borderId="18" applyAlignment="1" pivotButton="0" quotePrefix="0" xfId="10">
      <alignment horizontal="center" vertical="center"/>
    </xf>
    <xf numFmtId="0" fontId="15" fillId="0" borderId="4" applyAlignment="1" pivotButton="0" quotePrefix="0" xfId="4">
      <alignment horizontal="center" vertical="center"/>
    </xf>
    <xf numFmtId="41" fontId="15" fillId="0" borderId="4" applyAlignment="1" pivotButton="0" quotePrefix="0" xfId="4">
      <alignment vertical="center"/>
    </xf>
    <xf numFmtId="41" fontId="15" fillId="0" borderId="4" applyAlignment="1" pivotButton="0" quotePrefix="0" xfId="4">
      <alignment horizontal="center" vertical="center"/>
    </xf>
    <xf numFmtId="41" fontId="15" fillId="0" borderId="8" applyAlignment="1" pivotButton="0" quotePrefix="0" xfId="4">
      <alignment horizontal="center" vertical="center"/>
    </xf>
    <xf numFmtId="41" fontId="9" fillId="0" borderId="8" applyAlignment="1" pivotButton="0" quotePrefix="0" xfId="4">
      <alignment horizontal="center" vertical="center"/>
    </xf>
    <xf numFmtId="4" fontId="17" fillId="0" borderId="18" applyAlignment="1" pivotButton="0" quotePrefix="0" xfId="10">
      <alignment horizontal="center" vertical="center"/>
    </xf>
    <xf numFmtId="166" fontId="15" fillId="0" borderId="8" applyAlignment="1" pivotButton="0" quotePrefix="0" xfId="9">
      <alignment horizontal="right" vertical="center"/>
    </xf>
    <xf numFmtId="172" fontId="17" fillId="0" borderId="18" applyAlignment="1" pivotButton="0" quotePrefix="0" xfId="10">
      <alignment horizontal="center" vertical="center"/>
    </xf>
    <xf numFmtId="168" fontId="17" fillId="0" borderId="4" applyAlignment="1" pivotButton="0" quotePrefix="0" xfId="10">
      <alignment horizontal="center" vertical="center"/>
    </xf>
    <xf numFmtId="168" fontId="17" fillId="0" borderId="18" applyAlignment="1" pivotButton="0" quotePrefix="0" xfId="10">
      <alignment horizontal="center" vertical="center"/>
    </xf>
    <xf numFmtId="4" fontId="15" fillId="0" borderId="8" applyAlignment="1" pivotButton="0" quotePrefix="0" xfId="9">
      <alignment horizontal="center" vertical="center"/>
    </xf>
    <xf numFmtId="4" fontId="15" fillId="0" borderId="0" applyAlignment="1" pivotButton="0" quotePrefix="0" xfId="9">
      <alignment horizontal="center" vertical="center"/>
    </xf>
    <xf numFmtId="1" fontId="3" fillId="0" borderId="0" applyAlignment="1" pivotButton="0" quotePrefix="1" xfId="4">
      <alignment horizontal="center" vertical="center"/>
    </xf>
    <xf numFmtId="49" fontId="3" fillId="0" borderId="0" applyAlignment="1" pivotButton="0" quotePrefix="1" xfId="4">
      <alignment horizontal="center" vertical="center"/>
    </xf>
    <xf numFmtId="164" fontId="3" fillId="0" borderId="0" applyAlignment="1" pivotButton="0" quotePrefix="1" xfId="4">
      <alignment horizontal="center" vertical="center"/>
    </xf>
    <xf numFmtId="0" fontId="3" fillId="0" borderId="0" applyAlignment="1" pivotButton="0" quotePrefix="1" xfId="4">
      <alignment horizontal="center" vertical="center"/>
    </xf>
    <xf numFmtId="0" fontId="3" fillId="0" borderId="0" applyAlignment="1" pivotButton="0" quotePrefix="1" xfId="4">
      <alignment horizontal="left" vertical="center"/>
    </xf>
    <xf numFmtId="41" fontId="7" fillId="0" borderId="0" applyAlignment="1" pivotButton="0" quotePrefix="1" xfId="4">
      <alignment horizontal="center" vertical="center"/>
    </xf>
    <xf numFmtId="41" fontId="3" fillId="0" borderId="0" applyAlignment="1" pivotButton="0" quotePrefix="1" xfId="4">
      <alignment horizontal="center" vertical="center"/>
    </xf>
    <xf numFmtId="41" fontId="4" fillId="0" borderId="0" applyAlignment="1" pivotButton="0" quotePrefix="0" xfId="4">
      <alignment horizontal="center" vertical="center"/>
    </xf>
    <xf numFmtId="166" fontId="3" fillId="0" borderId="0" applyAlignment="1" pivotButton="0" quotePrefix="0" xfId="9">
      <alignment horizontal="right" vertical="center"/>
    </xf>
    <xf numFmtId="4" fontId="3" fillId="0" borderId="0" applyAlignment="1" pivotButton="0" quotePrefix="0" xfId="9">
      <alignment horizontal="center" vertical="center"/>
    </xf>
    <xf numFmtId="49" fontId="18" fillId="4" borderId="0" applyAlignment="1" pivotButton="0" quotePrefix="1" xfId="4">
      <alignment horizontal="center" vertical="center"/>
    </xf>
    <xf numFmtId="3" fontId="15" fillId="4" borderId="0" applyAlignment="1" pivotButton="0" quotePrefix="1" xfId="4">
      <alignment horizontal="center" vertical="center"/>
    </xf>
    <xf numFmtId="49" fontId="18" fillId="5" borderId="0" applyAlignment="1" pivotButton="0" quotePrefix="1" xfId="4">
      <alignment horizontal="center" vertical="center"/>
    </xf>
    <xf numFmtId="3" fontId="15" fillId="5" borderId="0" applyAlignment="1" pivotButton="0" quotePrefix="1" xfId="4">
      <alignment horizontal="center" vertical="center"/>
    </xf>
    <xf numFmtId="41" fontId="2" fillId="0" borderId="0" applyAlignment="1" pivotButton="0" quotePrefix="1" xfId="4">
      <alignment horizontal="center" vertical="center"/>
    </xf>
    <xf numFmtId="168" fontId="3" fillId="0" borderId="0" applyAlignment="1" pivotButton="0" quotePrefix="0" xfId="3">
      <alignment horizontal="left" vertical="center"/>
    </xf>
    <xf numFmtId="49" fontId="3" fillId="0" borderId="0" applyAlignment="1" pivotButton="0" quotePrefix="1" xfId="4">
      <alignment vertical="center"/>
    </xf>
    <xf numFmtId="167" fontId="3" fillId="0" borderId="0" applyAlignment="1" pivotButton="0" quotePrefix="0" xfId="3">
      <alignment horizontal="left" vertical="center"/>
    </xf>
    <xf numFmtId="4" fontId="3" fillId="0" borderId="0" applyAlignment="1" pivotButton="0" quotePrefix="0" xfId="4">
      <alignment horizontal="center" vertical="center"/>
    </xf>
    <xf numFmtId="1" fontId="3" fillId="0" borderId="19" applyAlignment="1" pivotButton="0" quotePrefix="1" xfId="4">
      <alignment horizontal="center" vertical="center"/>
    </xf>
    <xf numFmtId="49" fontId="3" fillId="0" borderId="20" applyAlignment="1" pivotButton="0" quotePrefix="1" xfId="4">
      <alignment horizontal="center" vertical="center"/>
    </xf>
    <xf numFmtId="164" fontId="3" fillId="0" borderId="20" applyAlignment="1" pivotButton="0" quotePrefix="1" xfId="4">
      <alignment horizontal="center" vertical="center"/>
    </xf>
    <xf numFmtId="164" fontId="3" fillId="0" borderId="21" applyAlignment="1" pivotButton="0" quotePrefix="1" xfId="4">
      <alignment horizontal="center" vertical="center"/>
    </xf>
    <xf numFmtId="0" fontId="19" fillId="0" borderId="0" applyAlignment="1" pivotButton="0" quotePrefix="1" xfId="4">
      <alignment horizontal="center" vertical="center"/>
    </xf>
    <xf numFmtId="0" fontId="19" fillId="0" borderId="0" applyAlignment="1" pivotButton="0" quotePrefix="1" xfId="4">
      <alignment horizontal="left" vertical="center"/>
    </xf>
    <xf numFmtId="0" fontId="20" fillId="0" borderId="0" applyAlignment="1" pivotButton="0" quotePrefix="0" xfId="4">
      <alignment horizontal="center" vertical="center"/>
    </xf>
    <xf numFmtId="165" fontId="3" fillId="0" borderId="0" applyAlignment="1" pivotButton="0" quotePrefix="0" xfId="2">
      <alignment horizontal="left" vertical="center"/>
    </xf>
    <xf numFmtId="166" fontId="3" fillId="0" borderId="0" applyAlignment="1" pivotButton="0" quotePrefix="0" xfId="4">
      <alignment horizontal="left" vertical="center"/>
    </xf>
    <xf numFmtId="4" fontId="3" fillId="0" borderId="0" applyAlignment="1" pivotButton="0" quotePrefix="0" xfId="4">
      <alignment horizontal="left" vertical="center"/>
    </xf>
    <xf numFmtId="1" fontId="21" fillId="0" borderId="22" applyAlignment="1" pivotButton="0" quotePrefix="0" xfId="4">
      <alignment vertical="center"/>
    </xf>
    <xf numFmtId="49" fontId="2" fillId="0" borderId="0" applyAlignment="1" pivotButton="0" quotePrefix="1" xfId="4">
      <alignment horizontal="center" vertical="center"/>
    </xf>
    <xf numFmtId="0" fontId="7" fillId="0" borderId="0" applyAlignment="1" pivotButton="0" quotePrefix="0" xfId="4">
      <alignment horizontal="center" vertical="center"/>
    </xf>
    <xf numFmtId="49" fontId="2" fillId="0" borderId="0" applyAlignment="1" pivotButton="0" quotePrefix="0" xfId="4">
      <alignment horizontal="center" vertical="center"/>
    </xf>
    <xf numFmtId="49" fontId="22" fillId="0" borderId="0" applyAlignment="1" pivotButton="0" quotePrefix="0" xfId="4">
      <alignment horizontal="center" vertical="center"/>
    </xf>
    <xf numFmtId="0" fontId="22" fillId="0" borderId="0" applyAlignment="1" pivotButton="0" quotePrefix="0" xfId="4">
      <alignment horizontal="center" vertical="center"/>
    </xf>
    <xf numFmtId="165" fontId="3" fillId="0" borderId="0" applyAlignment="1" pivotButton="0" quotePrefix="0" xfId="2">
      <alignment vertical="center"/>
    </xf>
    <xf numFmtId="166" fontId="3" fillId="0" borderId="0" applyAlignment="1" pivotButton="0" quotePrefix="0" xfId="4">
      <alignment vertical="center"/>
    </xf>
    <xf numFmtId="167" fontId="3" fillId="0" borderId="0" applyAlignment="1" pivotButton="0" quotePrefix="0" xfId="3">
      <alignment vertical="center"/>
    </xf>
    <xf numFmtId="168" fontId="3" fillId="0" borderId="0" applyAlignment="1" pivotButton="0" quotePrefix="0" xfId="3">
      <alignment vertical="center"/>
    </xf>
    <xf numFmtId="4" fontId="23" fillId="0" borderId="0" applyAlignment="1" pivotButton="0" quotePrefix="0" xfId="4">
      <alignment horizontal="left" vertical="center"/>
    </xf>
    <xf numFmtId="1" fontId="2" fillId="0" borderId="22" applyAlignment="1" pivotButton="0" quotePrefix="0" xfId="4">
      <alignment horizontal="center" vertical="center"/>
    </xf>
    <xf numFmtId="1" fontId="3" fillId="0" borderId="24" applyAlignment="1" pivotButton="0" quotePrefix="0" xfId="4">
      <alignment horizontal="center" vertical="center"/>
    </xf>
    <xf numFmtId="49" fontId="3" fillId="0" borderId="25" applyAlignment="1" pivotButton="0" quotePrefix="0" xfId="4">
      <alignment horizontal="center" vertical="center"/>
    </xf>
    <xf numFmtId="164" fontId="3" fillId="0" borderId="25" applyAlignment="1" pivotButton="0" quotePrefix="0" xfId="4">
      <alignment horizontal="center" vertical="center"/>
    </xf>
    <xf numFmtId="164" fontId="3" fillId="0" borderId="26" applyAlignment="1" pivotButton="0" quotePrefix="0" xfId="4">
      <alignment horizontal="center" vertical="center"/>
    </xf>
    <xf numFmtId="41" fontId="6" fillId="0" borderId="0" applyAlignment="1" pivotButton="0" quotePrefix="0" xfId="4">
      <alignment horizontal="left" vertical="center"/>
    </xf>
    <xf numFmtId="164" fontId="6" fillId="0" borderId="0" applyAlignment="1" pivotButton="0" quotePrefix="0" xfId="4">
      <alignment horizontal="left" vertical="center"/>
    </xf>
    <xf numFmtId="1" fontId="7" fillId="0" borderId="2" applyAlignment="1" pivotButton="0" quotePrefix="0" xfId="4">
      <alignment horizontal="center" vertical="center" wrapText="1"/>
    </xf>
    <xf numFmtId="1" fontId="7" fillId="0" borderId="7" applyAlignment="1" pivotButton="0" quotePrefix="0" xfId="4">
      <alignment horizontal="center" vertical="center" wrapText="1"/>
    </xf>
    <xf numFmtId="49" fontId="7" fillId="0" borderId="2" applyAlignment="1" pivotButton="0" quotePrefix="0" xfId="4">
      <alignment horizontal="center" vertical="center" wrapText="1"/>
    </xf>
    <xf numFmtId="49" fontId="7" fillId="0" borderId="7" applyAlignment="1" pivotButton="0" quotePrefix="0" xfId="4">
      <alignment horizontal="center" vertical="center" wrapText="1"/>
    </xf>
    <xf numFmtId="41" fontId="7" fillId="0" borderId="3" applyAlignment="1" pivotButton="0" quotePrefix="0" xfId="4">
      <alignment horizontal="center" vertical="center" wrapText="1"/>
    </xf>
    <xf numFmtId="41" fontId="7" fillId="0" borderId="4" applyAlignment="1" pivotButton="0" quotePrefix="0" xfId="4">
      <alignment horizontal="center" vertical="center" wrapText="1"/>
    </xf>
    <xf numFmtId="0" fontId="8" fillId="0" borderId="2" applyAlignment="1" pivotButton="0" quotePrefix="0" xfId="4">
      <alignment horizontal="center" vertical="center" wrapText="1"/>
    </xf>
    <xf numFmtId="0" fontId="8" fillId="0" borderId="7" applyAlignment="1" pivotButton="0" quotePrefix="0" xfId="4">
      <alignment horizontal="center" vertical="center" wrapText="1"/>
    </xf>
    <xf numFmtId="0" fontId="8" fillId="0" borderId="5" applyAlignment="1" pivotButton="0" quotePrefix="0" xfId="4">
      <alignment horizontal="center" vertical="center" wrapText="1"/>
    </xf>
    <xf numFmtId="0" fontId="8" fillId="0" borderId="9" applyAlignment="1" pivotButton="0" quotePrefix="0" xfId="4">
      <alignment horizontal="center" vertical="center" wrapText="1"/>
    </xf>
    <xf numFmtId="49" fontId="7" fillId="0" borderId="6" applyAlignment="1" pivotButton="0" quotePrefix="0" xfId="4">
      <alignment horizontal="center" vertical="center" wrapText="1"/>
    </xf>
    <xf numFmtId="49" fontId="7" fillId="0" borderId="10" applyAlignment="1" pivotButton="0" quotePrefix="0" xfId="4">
      <alignment horizontal="center" vertical="center" wrapText="1"/>
    </xf>
    <xf numFmtId="169" fontId="7" fillId="0" borderId="2" applyAlignment="1" pivotButton="0" quotePrefix="0" xfId="6">
      <alignment horizontal="center" vertical="center"/>
    </xf>
    <xf numFmtId="169" fontId="7" fillId="0" borderId="7" applyAlignment="1" pivotButton="0" quotePrefix="0" xfId="6">
      <alignment horizontal="center" vertical="center"/>
    </xf>
    <xf numFmtId="173" fontId="21" fillId="0" borderId="0" applyAlignment="1" pivotButton="0" quotePrefix="0" xfId="4">
      <alignment horizontal="left" vertical="center"/>
    </xf>
    <xf numFmtId="173" fontId="21" fillId="0" borderId="23" applyAlignment="1" pivotButton="0" quotePrefix="0" xfId="4">
      <alignment horizontal="left" vertical="center"/>
    </xf>
    <xf numFmtId="174" fontId="21" fillId="0" borderId="0" applyAlignment="1" pivotButton="0" quotePrefix="0" xfId="4">
      <alignment horizontal="left" vertical="center"/>
    </xf>
    <xf numFmtId="174" fontId="21" fillId="0" borderId="23" applyAlignment="1" pivotButton="0" quotePrefix="0" xfId="4">
      <alignment horizontal="left" vertical="center"/>
    </xf>
    <xf numFmtId="49" fontId="7" fillId="0" borderId="5" applyAlignment="1" pivotButton="0" quotePrefix="0" xfId="4">
      <alignment horizontal="center" vertical="center" wrapText="1"/>
    </xf>
    <xf numFmtId="49" fontId="7" fillId="0" borderId="9" applyAlignment="1" pivotButton="0" quotePrefix="0" xfId="4">
      <alignment horizontal="center" vertical="center" wrapText="1"/>
    </xf>
    <xf numFmtId="49" fontId="7" fillId="0" borderId="11" applyAlignment="1" pivotButton="0" quotePrefix="0" xfId="4">
      <alignment horizontal="center" vertical="center" wrapText="1"/>
    </xf>
    <xf numFmtId="41" fontId="7" fillId="0" borderId="2" applyAlignment="1" pivotButton="0" quotePrefix="0" xfId="4">
      <alignment horizontal="center" vertical="center" wrapText="1"/>
    </xf>
    <xf numFmtId="41" fontId="7" fillId="0" borderId="7" applyAlignment="1" pivotButton="0" quotePrefix="0" xfId="4">
      <alignment horizontal="center" vertical="center" wrapText="1"/>
    </xf>
    <xf numFmtId="41" fontId="9" fillId="0" borderId="2" applyAlignment="1" pivotButton="0" quotePrefix="0" xfId="4">
      <alignment horizontal="center" vertical="center" wrapText="1"/>
    </xf>
    <xf numFmtId="41" fontId="9" fillId="0" borderId="7" applyAlignment="1" pivotButton="0" quotePrefix="0" xfId="4">
      <alignment horizontal="center" vertical="center" wrapText="1"/>
    </xf>
    <xf numFmtId="166" fontId="7" fillId="0" borderId="2" applyAlignment="1" pivotButton="0" quotePrefix="0" xfId="6">
      <alignment horizontal="center" vertical="center" wrapText="1"/>
    </xf>
    <xf numFmtId="166" fontId="7" fillId="0" borderId="7" applyAlignment="1" pivotButton="0" quotePrefix="0" xfId="6">
      <alignment horizontal="center" vertical="center" wrapText="1"/>
    </xf>
    <xf numFmtId="175" fontId="21" fillId="0" borderId="0" applyAlignment="1" pivotButton="0" quotePrefix="0" xfId="4">
      <alignment horizontal="left" vertical="center"/>
    </xf>
    <xf numFmtId="175" fontId="21" fillId="0" borderId="23" applyAlignment="1" pivotButton="0" quotePrefix="0" xfId="4">
      <alignment horizontal="left" vertical="center"/>
    </xf>
    <xf numFmtId="176" fontId="21" fillId="0" borderId="0" applyAlignment="1" pivotButton="0" quotePrefix="0" xfId="4">
      <alignment horizontal="left" vertical="center"/>
    </xf>
    <xf numFmtId="176" fontId="21" fillId="0" borderId="23" applyAlignment="1" pivotButton="0" quotePrefix="0" xfId="4">
      <alignment horizontal="left" vertical="center"/>
    </xf>
    <xf numFmtId="177" fontId="21" fillId="0" borderId="0" applyAlignment="1" pivotButton="0" quotePrefix="0" xfId="4">
      <alignment horizontal="left" vertical="center"/>
    </xf>
    <xf numFmtId="177" fontId="21" fillId="0" borderId="23" applyAlignment="1" pivotButton="0" quotePrefix="0" xfId="4">
      <alignment horizontal="left" vertical="center"/>
    </xf>
    <xf numFmtId="178" fontId="21" fillId="0" borderId="0" applyAlignment="1" pivotButton="0" quotePrefix="0" xfId="4">
      <alignment horizontal="left" vertical="center"/>
    </xf>
    <xf numFmtId="178" fontId="21" fillId="0" borderId="23" applyAlignment="1" pivotButton="0" quotePrefix="0" xfId="4">
      <alignment horizontal="left" vertical="center"/>
    </xf>
    <xf numFmtId="0" fontId="0" fillId="0" borderId="0" pivotButton="0" quotePrefix="0" xfId="0"/>
    <xf numFmtId="41" fontId="3" fillId="0" borderId="0" applyAlignment="1" pivotButton="0" quotePrefix="0" xfId="4">
      <alignment horizontal="center" vertical="center" shrinkToFit="1"/>
    </xf>
    <xf numFmtId="41" fontId="4" fillId="0" borderId="0" applyAlignment="1" pivotButton="0" quotePrefix="0" xfId="4">
      <alignment horizontal="center" vertical="center" shrinkToFit="1"/>
    </xf>
    <xf numFmtId="165" fontId="3" fillId="0" borderId="0" applyAlignment="1" pivotButton="0" quotePrefix="0" xfId="2">
      <alignment horizontal="right" vertical="center"/>
    </xf>
    <xf numFmtId="166" fontId="3" fillId="0" borderId="0" applyAlignment="1" pivotButton="0" quotePrefix="0" xfId="4">
      <alignment horizontal="right" vertical="center"/>
    </xf>
    <xf numFmtId="167" fontId="3" fillId="0" borderId="0" applyAlignment="1" pivotButton="0" quotePrefix="0" xfId="3">
      <alignment horizontal="right" vertical="center"/>
    </xf>
    <xf numFmtId="168" fontId="3" fillId="0" borderId="0" applyAlignment="1" pivotButton="0" quotePrefix="0" xfId="3">
      <alignment horizontal="right" vertical="center"/>
    </xf>
    <xf numFmtId="41" fontId="3" fillId="0" borderId="0" applyAlignment="1" pivotButton="0" quotePrefix="0" xfId="4">
      <alignment horizontal="center" vertical="center"/>
    </xf>
    <xf numFmtId="41" fontId="3" fillId="0" borderId="0" applyAlignment="1" pivotButton="0" quotePrefix="0" xfId="4">
      <alignment vertical="center"/>
    </xf>
    <xf numFmtId="41" fontId="6" fillId="0" borderId="0" applyAlignment="1" pivotButton="0" quotePrefix="0" xfId="4">
      <alignment horizontal="left" vertical="center"/>
    </xf>
    <xf numFmtId="41" fontId="3" fillId="0" borderId="1" applyAlignment="1" pivotButton="0" quotePrefix="0" xfId="4">
      <alignment horizontal="center" vertical="center"/>
    </xf>
    <xf numFmtId="41" fontId="4" fillId="0" borderId="1" applyAlignment="1" pivotButton="0" quotePrefix="0" xfId="4">
      <alignment horizontal="center" vertical="center"/>
    </xf>
    <xf numFmtId="165" fontId="3" fillId="0" borderId="1" applyAlignment="1" pivotButton="0" quotePrefix="0" xfId="2">
      <alignment horizontal="center" vertical="center"/>
    </xf>
    <xf numFmtId="166" fontId="3" fillId="0" borderId="1" applyAlignment="1" pivotButton="0" quotePrefix="0" xfId="4">
      <alignment horizontal="center" vertical="center"/>
    </xf>
    <xf numFmtId="167" fontId="3" fillId="0" borderId="1" applyAlignment="1" pivotButton="0" quotePrefix="0" xfId="3">
      <alignment horizontal="center" vertical="center"/>
    </xf>
    <xf numFmtId="168" fontId="3" fillId="0" borderId="1" applyAlignment="1" pivotButton="0" quotePrefix="0" xfId="3">
      <alignment horizontal="center" vertical="center"/>
    </xf>
    <xf numFmtId="41" fontId="7" fillId="0" borderId="0" applyAlignment="1" pivotButton="0" quotePrefix="0" xfId="4">
      <alignment vertical="center"/>
    </xf>
    <xf numFmtId="1" fontId="7" fillId="0" borderId="8" applyAlignment="1" pivotButton="0" quotePrefix="0" xfId="4">
      <alignment horizontal="center" vertical="center" wrapText="1"/>
    </xf>
    <xf numFmtId="49" fontId="7" fillId="0" borderId="8" applyAlignment="1" pivotButton="0" quotePrefix="0" xfId="4">
      <alignment horizontal="center" vertical="center" wrapText="1"/>
    </xf>
    <xf numFmtId="41" fontId="7" fillId="0" borderId="8" applyAlignment="1" pivotButton="0" quotePrefix="0" xfId="4">
      <alignment horizontal="center" vertical="center" wrapText="1"/>
    </xf>
    <xf numFmtId="0" fontId="0" fillId="0" borderId="4" pivotButton="0" quotePrefix="0" xfId="0"/>
    <xf numFmtId="0" fontId="8" fillId="0" borderId="8" applyAlignment="1" pivotButton="0" quotePrefix="0" xfId="4">
      <alignment horizontal="center" vertical="center" wrapText="1"/>
    </xf>
    <xf numFmtId="0" fontId="8" fillId="0" borderId="3" applyAlignment="1" pivotButton="0" quotePrefix="0" xfId="4">
      <alignment horizontal="center" vertical="center" wrapText="1"/>
    </xf>
    <xf numFmtId="49" fontId="7" fillId="0" borderId="4" applyAlignment="1" pivotButton="0" quotePrefix="0" xfId="4">
      <alignment horizontal="center" vertical="center" wrapText="1"/>
    </xf>
    <xf numFmtId="0" fontId="0" fillId="0" borderId="6" pivotButton="0" quotePrefix="0" xfId="0"/>
    <xf numFmtId="41" fontId="9" fillId="0" borderId="8" applyAlignment="1" pivotButton="0" quotePrefix="0" xfId="4">
      <alignment horizontal="center" vertical="center" wrapText="1"/>
    </xf>
    <xf numFmtId="165" fontId="7" fillId="0" borderId="2" applyAlignment="1" pivotButton="0" quotePrefix="0" xfId="2">
      <alignment horizontal="center" vertical="center"/>
    </xf>
    <xf numFmtId="166" fontId="7" fillId="0" borderId="8" applyAlignment="1" pivotButton="0" quotePrefix="0" xfId="6">
      <alignment horizontal="center" vertical="center" wrapText="1"/>
    </xf>
    <xf numFmtId="167" fontId="7" fillId="0" borderId="2" applyAlignment="1" pivotButton="0" quotePrefix="0" xfId="3">
      <alignment horizontal="center" vertical="center"/>
    </xf>
    <xf numFmtId="168" fontId="7" fillId="0" borderId="2" applyAlignment="1" pivotButton="0" quotePrefix="0" xfId="3">
      <alignment horizontal="center" vertical="center"/>
    </xf>
    <xf numFmtId="169" fontId="7" fillId="0" borderId="2" applyAlignment="1" pivotButton="0" quotePrefix="0" xfId="6">
      <alignment horizontal="center" vertical="center"/>
    </xf>
    <xf numFmtId="169" fontId="7" fillId="0" borderId="8" applyAlignment="1" pivotButton="0" quotePrefix="0" xfId="6">
      <alignment horizontal="center" vertical="center"/>
    </xf>
    <xf numFmtId="0" fontId="0" fillId="0" borderId="7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27" pivotButton="0" quotePrefix="0" xfId="0"/>
    <xf numFmtId="0" fontId="0" fillId="0" borderId="11" pivotButton="0" quotePrefix="0" xfId="0"/>
    <xf numFmtId="165" fontId="7" fillId="0" borderId="7" applyAlignment="1" pivotButton="0" quotePrefix="1" xfId="2">
      <alignment horizontal="center" vertical="center"/>
    </xf>
    <xf numFmtId="165" fontId="7" fillId="0" borderId="7" applyAlignment="1" pivotButton="0" quotePrefix="0" xfId="2">
      <alignment horizontal="center" vertical="center"/>
    </xf>
    <xf numFmtId="167" fontId="7" fillId="0" borderId="7" applyAlignment="1" pivotButton="0" quotePrefix="0" xfId="3">
      <alignment horizontal="center" vertical="center"/>
    </xf>
    <xf numFmtId="168" fontId="7" fillId="0" borderId="7" applyAlignment="1" pivotButton="0" quotePrefix="0" xfId="3">
      <alignment horizontal="center" vertical="center"/>
    </xf>
    <xf numFmtId="169" fontId="7" fillId="0" borderId="7" applyAlignment="1" pivotButton="0" quotePrefix="0" xfId="6">
      <alignment horizontal="center" vertical="center"/>
    </xf>
    <xf numFmtId="41" fontId="4" fillId="0" borderId="0" applyAlignment="1" pivotButton="0" quotePrefix="0" xfId="4">
      <alignment vertical="center" wrapText="1"/>
    </xf>
    <xf numFmtId="0" fontId="24" fillId="0" borderId="30" applyAlignment="1" pivotButton="0" quotePrefix="0" xfId="0">
      <alignment horizontal="center" vertical="center"/>
    </xf>
    <xf numFmtId="0" fontId="24" fillId="0" borderId="30" applyAlignment="1" pivotButton="0" quotePrefix="0" xfId="0">
      <alignment horizontal="left" vertical="center"/>
    </xf>
    <xf numFmtId="179" fontId="24" fillId="0" borderId="30" applyAlignment="1" pivotButton="0" quotePrefix="0" xfId="0">
      <alignment horizontal="center" vertical="center"/>
    </xf>
    <xf numFmtId="3" fontId="24" fillId="0" borderId="30" applyAlignment="1" pivotButton="0" quotePrefix="0" xfId="0">
      <alignment horizontal="center" vertical="center"/>
    </xf>
    <xf numFmtId="0" fontId="25" fillId="0" borderId="30" applyAlignment="1" pivotButton="0" quotePrefix="0" xfId="0">
      <alignment horizontal="center" vertical="center"/>
    </xf>
    <xf numFmtId="4" fontId="24" fillId="0" borderId="30" applyAlignment="1" pivotButton="0" quotePrefix="0" xfId="0">
      <alignment horizontal="center" vertical="center"/>
    </xf>
    <xf numFmtId="166" fontId="24" fillId="0" borderId="30" applyAlignment="1" pivotButton="0" quotePrefix="0" xfId="0">
      <alignment horizontal="center" vertical="center"/>
    </xf>
    <xf numFmtId="172" fontId="24" fillId="0" borderId="30" applyAlignment="1" pivotButton="0" quotePrefix="0" xfId="0">
      <alignment horizontal="center" vertical="center"/>
    </xf>
    <xf numFmtId="168" fontId="24" fillId="0" borderId="30" applyAlignment="1" pivotButton="0" quotePrefix="0" xfId="0">
      <alignment horizontal="center" vertical="center"/>
    </xf>
    <xf numFmtId="0" fontId="26" fillId="6" borderId="30" applyAlignment="1" pivotButton="0" quotePrefix="0" xfId="0">
      <alignment horizontal="center" vertical="center"/>
    </xf>
    <xf numFmtId="3" fontId="26" fillId="6" borderId="30" applyAlignment="1" pivotButton="0" quotePrefix="0" xfId="0">
      <alignment horizontal="center" vertical="center"/>
    </xf>
    <xf numFmtId="4" fontId="26" fillId="6" borderId="30" applyAlignment="1" pivotButton="0" quotePrefix="0" xfId="0">
      <alignment horizontal="center" vertical="center"/>
    </xf>
    <xf numFmtId="172" fontId="26" fillId="6" borderId="30" applyAlignment="1" pivotButton="0" quotePrefix="0" xfId="0">
      <alignment horizontal="center" vertical="center"/>
    </xf>
    <xf numFmtId="168" fontId="26" fillId="6" borderId="30" applyAlignment="1" pivotButton="0" quotePrefix="0" xfId="0">
      <alignment horizontal="center" vertical="center"/>
    </xf>
    <xf numFmtId="1" fontId="27" fillId="0" borderId="31" applyAlignment="1" pivotButton="0" quotePrefix="0" xfId="0">
      <alignment horizontal="center" vertical="center"/>
    </xf>
    <xf numFmtId="0" fontId="27" fillId="0" borderId="31" applyAlignment="1" pivotButton="0" quotePrefix="0" xfId="0">
      <alignment horizontal="center" vertical="center"/>
    </xf>
    <xf numFmtId="3" fontId="27" fillId="0" borderId="31" applyAlignment="1" pivotButton="0" quotePrefix="0" xfId="0">
      <alignment horizontal="center" vertical="center"/>
    </xf>
    <xf numFmtId="4" fontId="27" fillId="0" borderId="31" applyAlignment="1" pivotButton="0" quotePrefix="0" xfId="0">
      <alignment horizontal="center" vertical="center"/>
    </xf>
    <xf numFmtId="172" fontId="27" fillId="0" borderId="31" applyAlignment="1" pivotButton="0" quotePrefix="0" xfId="0">
      <alignment horizontal="center" vertical="center"/>
    </xf>
    <xf numFmtId="168" fontId="27" fillId="0" borderId="31" applyAlignment="1" pivotButton="0" quotePrefix="0" xfId="0">
      <alignment horizontal="center" vertical="center"/>
    </xf>
    <xf numFmtId="41" fontId="9" fillId="0" borderId="0" applyAlignment="1" pivotButton="0" quotePrefix="0" xfId="4">
      <alignment vertical="center" wrapText="1"/>
    </xf>
    <xf numFmtId="0" fontId="28" fillId="7" borderId="0" applyAlignment="1" pivotButton="0" quotePrefix="0" xfId="0">
      <alignment horizontal="center" vertical="center"/>
    </xf>
    <xf numFmtId="3" fontId="27" fillId="7" borderId="0" applyAlignment="1" pivotButton="0" quotePrefix="0" xfId="0">
      <alignment horizontal="center" vertical="center"/>
    </xf>
    <xf numFmtId="0" fontId="28" fillId="0" borderId="0" applyAlignment="1" pivotButton="0" quotePrefix="0" xfId="0">
      <alignment horizontal="center" vertical="center"/>
    </xf>
    <xf numFmtId="0" fontId="28" fillId="0" borderId="0" pivotButton="0" quotePrefix="0" xfId="0"/>
    <xf numFmtId="0" fontId="29" fillId="0" borderId="0" applyAlignment="1" pivotButton="0" quotePrefix="0" xfId="0">
      <alignment horizontal="left" vertical="center"/>
    </xf>
    <xf numFmtId="0" fontId="30" fillId="0" borderId="0" pivotButton="0" quotePrefix="0" xfId="0"/>
    <xf numFmtId="173" fontId="30" fillId="0" borderId="0" applyAlignment="1" pivotButton="0" quotePrefix="0" xfId="0">
      <alignment horizontal="left" vertical="center"/>
    </xf>
    <xf numFmtId="174" fontId="30" fillId="0" borderId="0" applyAlignment="1" pivotButton="0" quotePrefix="0" xfId="0">
      <alignment horizontal="left" vertical="center"/>
    </xf>
    <xf numFmtId="175" fontId="30" fillId="0" borderId="0" applyAlignment="1" pivotButton="0" quotePrefix="0" xfId="0">
      <alignment horizontal="left" vertical="center"/>
    </xf>
    <xf numFmtId="176" fontId="30" fillId="0" borderId="0" applyAlignment="1" pivotButton="0" quotePrefix="0" xfId="0">
      <alignment horizontal="left" vertical="center"/>
    </xf>
    <xf numFmtId="177" fontId="30" fillId="0" borderId="0" applyAlignment="1" pivotButton="0" quotePrefix="0" xfId="0">
      <alignment horizontal="left" vertical="center"/>
    </xf>
    <xf numFmtId="178" fontId="30" fillId="0" borderId="0" applyAlignment="1" pivotButton="0" quotePrefix="0" xfId="0">
      <alignment horizontal="left" vertical="center"/>
    </xf>
  </cellXfs>
  <cellStyles count="11">
    <cellStyle name="Normal" xfId="0" builtinId="0"/>
    <cellStyle name="Comma" xfId="1" builtinId="3"/>
    <cellStyle name="Comma [0]" xfId="2" builtinId="6"/>
    <cellStyle name="Currency" xfId="3" builtinId="4"/>
    <cellStyle name="Normal 3 2" xfId="4"/>
    <cellStyle name="Normal 4" xfId="5"/>
    <cellStyle name="Comma [0] 2 2" xfId="6"/>
    <cellStyle name="常规 3 8" xfId="7"/>
    <cellStyle name="Comma 10" xfId="8"/>
    <cellStyle name="Comma 2 2" xfId="9"/>
    <cellStyle name="常规_Jct99-0009" xfId="1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https://zinus.sharepoint.com/Users/Welcome/Downloads/Laporan%20BC%20Bulan%20Juli%202019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REKAP"/>
      <sheetName val="IMPOR"/>
      <sheetName val="EKSPOR"/>
      <sheetName val="2.7 IN SK"/>
      <sheetName val="2.7 OUT SK"/>
      <sheetName val="4.1"/>
      <sheetName val="4.0"/>
      <sheetName val="4.0 SEWA"/>
      <sheetName val="2.6.2"/>
      <sheetName val="2.6.1"/>
      <sheetName val="2.7 IN"/>
      <sheetName val="2.7 IN ALIH"/>
      <sheetName val="4.1 SEWA"/>
      <sheetName val="2.5"/>
      <sheetName val="2.7 IN MESIN"/>
      <sheetName val="2.7 OUT"/>
      <sheetName val="2.7 OUT ALIH"/>
      <sheetName val="2.7 OUT MESIN"/>
      <sheetName val="RE-EKSPOR"/>
    </sheetNames>
    <sheetDataSet>
      <sheetData sheetId="0" refreshError="1">
        <row r="7">
          <cell r="A7" t="str">
            <v>PT ZINUS GLOBAL INDONESIA</v>
          </cell>
        </row>
        <row r="34">
          <cell r="X34" t="str">
            <v>Kasubsi Hanggar Pabean dan Cukai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8"/>
  <sheetViews>
    <sheetView tabSelected="1" zoomScale="50" zoomScaleNormal="55" workbookViewId="0">
      <pane xSplit="2" ySplit="11" topLeftCell="C12" activePane="bottomRight" state="frozen"/>
      <selection pane="topRight" activeCell="C6" sqref="C6"/>
      <selection pane="bottomLeft" activeCell="A12" sqref="A12"/>
      <selection pane="bottomRight" activeCell="G26" sqref="G26"/>
    </sheetView>
  </sheetViews>
  <sheetFormatPr baseColWidth="8" defaultColWidth="9.109375" defaultRowHeight="15.6"/>
  <cols>
    <col width="6.55" customWidth="1" style="17" min="1" max="1"/>
    <col width="34.11" customWidth="1" style="6" min="2" max="2"/>
    <col width="27.33" customWidth="1" style="3" min="3" max="4"/>
    <col width="16" customWidth="1" style="202" min="4" max="4"/>
    <col width="16.11" customWidth="1" style="4" min="5" max="5"/>
    <col width="27.66" customWidth="1" style="5" min="6" max="6"/>
    <col width="13.11" customWidth="1" style="5" min="7" max="7"/>
    <col width="13.55" customWidth="1" style="6" min="8" max="8"/>
    <col width="19.11" customWidth="1" style="6" min="9" max="9"/>
    <col width="5.66" customWidth="1" style="6" min="10" max="10"/>
    <col width="92.11" customWidth="1" style="203" min="11" max="11"/>
    <col width="63.44" customWidth="1" style="203" min="12" max="12"/>
    <col width="16.55" customWidth="1" style="203" min="13" max="13"/>
    <col width="21.55" customWidth="1" style="204" min="14" max="14"/>
    <col width="16.33" customWidth="1" style="205" min="15" max="16"/>
    <col width="16.33" customWidth="1" style="202" min="16" max="16"/>
    <col width="13.89" customWidth="1" style="206" min="17" max="17"/>
    <col width="20.33" customWidth="1" style="207" min="18" max="18"/>
    <col width="15.55" customWidth="1" style="208" min="19" max="19"/>
    <col width="28.44" customWidth="1" style="208" min="20" max="20"/>
    <col width="22.33" customWidth="1" style="209" min="21" max="21"/>
    <col width="18.66" customWidth="1" style="209" min="22" max="22"/>
    <col width="33.55" customWidth="1" style="209" min="23" max="23"/>
    <col width="64" customWidth="1" style="209" min="24" max="24"/>
    <col width="26.66" customWidth="1" style="209" min="25" max="25"/>
    <col width="22.55" customWidth="1" style="209" min="26" max="26"/>
    <col width="9.109375" customWidth="1" style="210" min="27" max="289"/>
    <col width="24.88671875" bestFit="1" customWidth="1" style="210" min="290" max="290"/>
    <col width="9.109375" customWidth="1" style="210" min="291" max="16384"/>
  </cols>
  <sheetData>
    <row r="1" hidden="1" ht="18" customHeight="1" s="202">
      <c r="A1" s="1" t="inlineStr">
        <is>
          <t>KEMENTERIAN KEUANGAN REPUBLIK INDONESIA</t>
        </is>
      </c>
      <c r="B1" s="2" t="n"/>
    </row>
    <row r="2" hidden="1" ht="18" customHeight="1" s="202">
      <c r="A2" s="1" t="inlineStr">
        <is>
          <t>DIREKTORAT JENDERAL BEA DAN CUKAI</t>
        </is>
      </c>
      <c r="B2" s="2" t="n"/>
    </row>
    <row r="3" hidden="1" ht="18" customHeight="1" s="202">
      <c r="A3" s="15" t="inlineStr">
        <is>
          <t>KANTOR WILAYAH DJBC BANTEN</t>
        </is>
      </c>
      <c r="B3" s="16" t="n"/>
    </row>
    <row r="4" hidden="1" ht="18" customHeight="1" s="202">
      <c r="A4" s="15" t="inlineStr">
        <is>
          <t>KANTOR PENGAWASAN DAN PELAYANAN BEA DAN CUKAI TIPE MADYA PABEAN A TANGERANG</t>
        </is>
      </c>
      <c r="B4" s="16" t="n"/>
    </row>
    <row r="5" ht="14.25" customHeight="1" s="202"/>
    <row r="6" ht="24.75" customHeight="1" s="202">
      <c r="A6" s="211" t="inlineStr">
        <is>
          <t>LAPORAN BULANAN  EKSPOR (BC 3.0)</t>
        </is>
      </c>
    </row>
    <row r="7" ht="24.75" customHeight="1" s="202">
      <c r="A7" s="211" t="inlineStr">
        <is>
          <t>PT. ZINUS DREAM INDONESIA</t>
        </is>
      </c>
    </row>
    <row r="8" ht="24.75" customHeight="1" s="202">
      <c r="A8" s="166" t="inlineStr">
        <is>
          <t>BULAN : AUGUST 2026</t>
        </is>
      </c>
    </row>
    <row r="9" ht="14.25" customHeight="1" s="202" thickBot="1">
      <c r="A9" s="18" t="n"/>
      <c r="B9" s="19" t="n"/>
      <c r="C9" s="20" t="n"/>
      <c r="D9" s="20" t="n"/>
      <c r="E9" s="21" t="n"/>
      <c r="F9" s="22" t="n"/>
      <c r="G9" s="22" t="n"/>
      <c r="H9" s="19" t="n"/>
      <c r="I9" s="19" t="n"/>
      <c r="J9" s="19" t="n"/>
      <c r="K9" s="212" t="n"/>
      <c r="L9" s="212" t="n"/>
      <c r="M9" s="212" t="n"/>
      <c r="N9" s="213" t="n"/>
      <c r="O9" s="214" t="n"/>
      <c r="P9" s="214" t="n"/>
      <c r="Q9" s="215" t="n"/>
      <c r="R9" s="216" t="n"/>
      <c r="S9" s="217" t="n"/>
      <c r="T9" s="217" t="n"/>
      <c r="U9" s="212" t="n"/>
      <c r="V9" s="212" t="n"/>
      <c r="W9" s="212" t="n"/>
      <c r="X9" s="212" t="n"/>
    </row>
    <row r="10" ht="20.1" customFormat="1" customHeight="1" s="218" thickBot="1">
      <c r="A10" s="219" t="inlineStr">
        <is>
          <t>NO</t>
        </is>
      </c>
      <c r="B10" s="220" t="inlineStr">
        <is>
          <t>NO AJU</t>
        </is>
      </c>
      <c r="C10" s="221" t="inlineStr">
        <is>
          <t>NOMOR</t>
        </is>
      </c>
      <c r="D10" s="222" t="n"/>
      <c r="E10" s="223" t="inlineStr">
        <is>
          <t>TANGGAL</t>
        </is>
      </c>
      <c r="F10" s="223" t="inlineStr">
        <is>
          <t>INVOICE</t>
        </is>
      </c>
      <c r="G10" s="224" t="inlineStr">
        <is>
          <t>TANGGAL INVOICE</t>
        </is>
      </c>
      <c r="H10" s="225" t="inlineStr">
        <is>
          <t>JUMLAH BARANG</t>
        </is>
      </c>
      <c r="I10" s="169" t="inlineStr">
        <is>
          <t>KONTAINER/SIZE</t>
        </is>
      </c>
      <c r="J10" s="226" t="n"/>
      <c r="K10" s="221" t="inlineStr">
        <is>
          <t>URAIAN JENIS BARANG</t>
        </is>
      </c>
      <c r="L10" s="223" t="inlineStr">
        <is>
          <t>SKU</t>
        </is>
      </c>
      <c r="M10" s="221" t="inlineStr">
        <is>
          <t>Nomor PO</t>
        </is>
      </c>
      <c r="N10" s="227" t="inlineStr">
        <is>
          <t>F-CODE</t>
        </is>
      </c>
      <c r="O10" s="228" t="inlineStr">
        <is>
          <t>BRUTO</t>
        </is>
      </c>
      <c r="P10" s="228" t="inlineStr">
        <is>
          <t>NETTO</t>
        </is>
      </c>
      <c r="Q10" s="229" t="inlineStr">
        <is>
          <t>UNIT PRICE</t>
        </is>
      </c>
      <c r="R10" s="230" t="inlineStr">
        <is>
          <t>FOB</t>
        </is>
      </c>
      <c r="S10" s="231" t="inlineStr">
        <is>
          <t>KURS</t>
        </is>
      </c>
      <c r="T10" s="231" t="inlineStr">
        <is>
          <t>IDR</t>
        </is>
      </c>
      <c r="U10" s="232" t="inlineStr">
        <is>
          <t>KANTOR PABEAN</t>
        </is>
      </c>
      <c r="V10" s="232" t="inlineStr">
        <is>
          <t>PELABUHAN</t>
        </is>
      </c>
      <c r="W10" s="232" t="inlineStr">
        <is>
          <t>NEGARA</t>
        </is>
      </c>
      <c r="X10" s="233" t="inlineStr">
        <is>
          <t>PENERIMA BARANG</t>
        </is>
      </c>
      <c r="Y10" s="233" t="inlineStr">
        <is>
          <t>NOMOR B/L / AWB</t>
        </is>
      </c>
      <c r="Z10" s="233" t="inlineStr">
        <is>
          <t>TANGGAL B/L</t>
        </is>
      </c>
    </row>
    <row r="11" ht="20.1" customFormat="1" customHeight="1" s="218" thickBot="1">
      <c r="A11" s="234" t="n"/>
      <c r="B11" s="234" t="n"/>
      <c r="C11" s="221" t="inlineStr">
        <is>
          <t xml:space="preserve">PEB </t>
        </is>
      </c>
      <c r="D11" s="35" t="inlineStr">
        <is>
          <t>NPE</t>
        </is>
      </c>
      <c r="E11" s="234" t="n"/>
      <c r="F11" s="234" t="n"/>
      <c r="G11" s="235" t="n"/>
      <c r="H11" s="236" t="n"/>
      <c r="I11" s="237" t="n"/>
      <c r="J11" s="238" t="n"/>
      <c r="K11" s="234" t="n"/>
      <c r="L11" s="234" t="n"/>
      <c r="M11" s="234" t="n"/>
      <c r="N11" s="234" t="n"/>
      <c r="O11" s="239" t="inlineStr">
        <is>
          <t>(KG)</t>
        </is>
      </c>
      <c r="P11" s="240" t="inlineStr">
        <is>
          <t>(KG)</t>
        </is>
      </c>
      <c r="Q11" s="234" t="n"/>
      <c r="R11" s="241" t="inlineStr">
        <is>
          <t>(USD)</t>
        </is>
      </c>
      <c r="S11" s="242" t="n"/>
      <c r="T11" s="242" t="n"/>
      <c r="U11" s="243" t="inlineStr">
        <is>
          <t>MUAT / EKSPOR</t>
        </is>
      </c>
      <c r="V11" s="243" t="inlineStr">
        <is>
          <t>MUAT</t>
        </is>
      </c>
      <c r="W11" s="243" t="inlineStr">
        <is>
          <t>TUJUAN</t>
        </is>
      </c>
      <c r="X11" s="234" t="n"/>
      <c r="Y11" s="234" t="n"/>
      <c r="Z11" s="234" t="n"/>
    </row>
    <row r="12" ht="16.5" customFormat="1" customHeight="1" s="244">
      <c r="A12" s="245" t="n">
        <v>1</v>
      </c>
      <c r="B12" s="246" t="inlineStr">
        <is>
          <t>000040ZIK48020260814002720</t>
        </is>
      </c>
      <c r="C12" s="245" t="inlineStr"/>
      <c r="D12" s="245" t="inlineStr"/>
      <c r="E12" s="247" t="n">
        <v>46248</v>
      </c>
      <c r="F12" s="246" t="inlineStr">
        <is>
          <t>08-2026-10006</t>
        </is>
      </c>
      <c r="G12" s="245" t="inlineStr"/>
      <c r="H12" s="248" t="n"/>
      <c r="I12" s="246" t="n"/>
      <c r="J12" s="245" t="n"/>
      <c r="K12" s="246" t="n"/>
      <c r="L12" s="246" t="n"/>
      <c r="M12" s="249" t="n"/>
      <c r="N12" s="245" t="n"/>
      <c r="O12" s="250" t="inlineStr"/>
      <c r="P12" s="250" t="inlineStr"/>
      <c r="Q12" s="251">
        <f>R12/H12</f>
        <v/>
      </c>
      <c r="R12" s="252" t="n"/>
      <c r="S12" s="250" t="n"/>
      <c r="T12" s="253">
        <f>S12*R12</f>
        <v/>
      </c>
      <c r="U12" s="246" t="inlineStr">
        <is>
          <t>KPPBC TMP A TANGERANG F. KOLOM KHUSUS BEA DAN CUKAI</t>
        </is>
      </c>
      <c r="V12" s="246" t="inlineStr"/>
      <c r="W12" s="245" t="inlineStr">
        <is>
          <t>US</t>
        </is>
      </c>
      <c r="X12" s="246" t="inlineStr"/>
      <c r="Y12" s="246" t="inlineStr"/>
      <c r="Z12" s="245" t="inlineStr"/>
    </row>
    <row r="13" ht="16.5" customFormat="1" customHeight="1" s="244">
      <c r="A13" s="245" t="n"/>
      <c r="B13" s="245" t="n"/>
      <c r="C13" s="245" t="n"/>
      <c r="D13" s="245" t="n"/>
      <c r="E13" s="245" t="n"/>
      <c r="F13" s="245" t="n"/>
      <c r="G13" s="245" t="n"/>
      <c r="H13" s="245" t="n"/>
      <c r="I13" s="245" t="n"/>
      <c r="J13" s="245" t="n"/>
      <c r="K13" s="245" t="n"/>
      <c r="L13" s="245" t="n"/>
      <c r="M13" s="245" t="n"/>
      <c r="N13" s="245" t="n"/>
      <c r="O13" s="245" t="n"/>
      <c r="P13" s="245" t="n"/>
      <c r="Q13" s="245" t="n"/>
      <c r="R13" s="245" t="n"/>
      <c r="S13" s="245" t="n"/>
      <c r="T13" s="245" t="n"/>
      <c r="U13" s="245" t="n"/>
      <c r="V13" s="245" t="n"/>
      <c r="W13" s="245" t="inlineStr"/>
      <c r="X13" s="245" t="n"/>
      <c r="Y13" s="245" t="n"/>
      <c r="Z13" s="245" t="n"/>
    </row>
    <row r="14" ht="17.1" customFormat="1" customHeight="1" s="244">
      <c r="A14" s="254" t="n"/>
      <c r="B14" s="254" t="n"/>
      <c r="C14" s="254" t="n"/>
      <c r="D14" s="254" t="n"/>
      <c r="E14" s="254" t="n"/>
      <c r="F14" s="254" t="n"/>
      <c r="G14" s="254" t="n"/>
      <c r="H14" s="255">
        <f>SUM(H12:H13)</f>
        <v/>
      </c>
      <c r="I14" s="254">
        <f>COUNTA(I12:I13)</f>
        <v/>
      </c>
      <c r="J14" s="254" t="n"/>
      <c r="K14" s="254" t="n"/>
      <c r="L14" s="254" t="n"/>
      <c r="M14" s="254" t="n"/>
      <c r="N14" s="254" t="n"/>
      <c r="O14" s="256">
        <f>SUM(O12:O13)</f>
        <v/>
      </c>
      <c r="P14" s="256">
        <f>SUM(P12:P13)</f>
        <v/>
      </c>
      <c r="Q14" s="254" t="n"/>
      <c r="R14" s="257">
        <f>SUM(R12:R13)</f>
        <v/>
      </c>
      <c r="S14" s="254" t="n"/>
      <c r="T14" s="258">
        <f>SUM(T12:T13)</f>
        <v/>
      </c>
      <c r="U14" s="254" t="n"/>
      <c r="V14" s="254" t="n"/>
      <c r="W14" s="254" t="n"/>
      <c r="X14" s="254" t="n"/>
      <c r="Y14" s="254" t="n"/>
      <c r="Z14" s="254" t="n"/>
    </row>
    <row r="15" ht="8.1" customFormat="1" customHeight="1" s="244"/>
    <row r="16" ht="20.1" customFormat="1" customHeight="1" s="244">
      <c r="A16" s="259">
        <f>COUNT(A12:A15)</f>
        <v/>
      </c>
      <c r="B16" s="260" t="n"/>
      <c r="C16" s="260" t="n"/>
      <c r="D16" s="260" t="n"/>
      <c r="E16" s="260" t="n"/>
      <c r="F16" s="260" t="n"/>
      <c r="G16" s="260" t="n"/>
      <c r="H16" s="261">
        <f>H14</f>
        <v/>
      </c>
      <c r="I16" s="261">
        <f>I14</f>
        <v/>
      </c>
      <c r="J16" s="260" t="n"/>
      <c r="K16" s="260" t="n"/>
      <c r="L16" s="260" t="n"/>
      <c r="M16" s="260" t="n"/>
      <c r="N16" s="260" t="n"/>
      <c r="O16" s="262">
        <f>O14</f>
        <v/>
      </c>
      <c r="P16" s="262">
        <f>P14</f>
        <v/>
      </c>
      <c r="Q16" s="260" t="n"/>
      <c r="R16" s="263">
        <f>R14</f>
        <v/>
      </c>
      <c r="S16" s="260" t="n"/>
      <c r="T16" s="264">
        <f>T14</f>
        <v/>
      </c>
      <c r="U16" s="260" t="n"/>
      <c r="V16" s="260" t="n"/>
      <c r="W16" s="260" t="n"/>
      <c r="X16" s="260" t="n"/>
      <c r="Y16" s="260" t="n"/>
      <c r="Z16" s="260" t="n"/>
    </row>
    <row r="17" ht="17.1" customFormat="1" customHeight="1" s="265"/>
    <row r="18" ht="17.1" customHeight="1" s="202" thickBot="1">
      <c r="B18" s="266" t="inlineStr">
        <is>
          <t>Total Qty Export :</t>
        </is>
      </c>
      <c r="C18" s="267">
        <f>H16-C19</f>
        <v/>
      </c>
    </row>
    <row r="19" ht="17.1" customFormat="1" customHeight="1" s="218" thickBot="1">
      <c r="B19" s="268" t="inlineStr">
        <is>
          <t>Total Qty Export Sample :</t>
        </is>
      </c>
      <c r="C19" s="269" t="inlineStr"/>
    </row>
    <row r="20" ht="17.1" customHeight="1" s="202"/>
    <row r="21" ht="17.1" customHeight="1" s="202">
      <c r="U21" s="270" t="inlineStr">
        <is>
          <t>Tangerang, 17 August 2026</t>
        </is>
      </c>
    </row>
    <row r="22" ht="17.1" customHeight="1" s="202">
      <c r="A22" s="271" t="inlineStr">
        <is>
          <t>Total Document</t>
        </is>
      </c>
      <c r="C22" s="272">
        <f>A16</f>
        <v/>
      </c>
      <c r="U22" s="270" t="inlineStr">
        <is>
          <t>Kasubsi Hanggar Pabean dan Cukai</t>
        </is>
      </c>
    </row>
    <row r="23" ht="17.1" customHeight="1" s="202" thickBot="1">
      <c r="A23" s="271" t="inlineStr">
        <is>
          <t>Gross Weight</t>
        </is>
      </c>
      <c r="C23" s="273">
        <f>O16</f>
        <v/>
      </c>
    </row>
    <row r="24" ht="17.1" customHeight="1" s="202" thickTop="1">
      <c r="A24" s="271" t="inlineStr">
        <is>
          <t>Nett Weight</t>
        </is>
      </c>
      <c r="C24" s="273">
        <f>P16</f>
        <v/>
      </c>
    </row>
    <row r="25" ht="17.1" customHeight="1" s="202">
      <c r="A25" s="271" t="inlineStr">
        <is>
          <t>Amount</t>
        </is>
      </c>
      <c r="C25" s="274">
        <f>R16</f>
        <v/>
      </c>
    </row>
    <row r="26" ht="17.1" customHeight="1" s="202">
      <c r="A26" s="271" t="inlineStr">
        <is>
          <t>Jumlah Container</t>
        </is>
      </c>
      <c r="C26" s="275">
        <f>I16-C27</f>
        <v/>
      </c>
    </row>
    <row r="27" ht="17.1" customHeight="1" s="202">
      <c r="C27" s="276" t="inlineStr"/>
    </row>
    <row r="28" ht="17.1" customHeight="1" s="202">
      <c r="C28" s="277">
        <f>C26*2+C27</f>
        <v/>
      </c>
    </row>
    <row r="29" ht="17.1" customHeight="1" s="202"/>
    <row r="30" ht="17.1" customHeight="1" s="202"/>
    <row r="31" ht="17.1" customHeight="1" s="202"/>
    <row r="32" ht="16.2" customHeight="1" s="202" thickBot="1"/>
    <row r="33" ht="16.2" customFormat="1" customHeight="1" s="17" thickTop="1"/>
  </sheetData>
  <autoFilter ref="A10:Z11">
    <filterColumn colId="2" hiddenButton="0" showButton="0"/>
    <filterColumn colId="8" hiddenButton="0" showButton="0"/>
  </autoFilter>
  <mergeCells count="26">
    <mergeCell ref="C24:D24"/>
    <mergeCell ref="C26:D26"/>
    <mergeCell ref="E10:E11"/>
    <mergeCell ref="G10:G11"/>
    <mergeCell ref="M10:M11"/>
    <mergeCell ref="Y10:Y11"/>
    <mergeCell ref="Q10:Q11"/>
    <mergeCell ref="C10:D10"/>
    <mergeCell ref="C25:D25"/>
    <mergeCell ref="I10:J11"/>
    <mergeCell ref="A6:Z6"/>
    <mergeCell ref="C22:D22"/>
    <mergeCell ref="B10:B11"/>
    <mergeCell ref="A7:Z7"/>
    <mergeCell ref="L10:L11"/>
    <mergeCell ref="X10:X11"/>
    <mergeCell ref="N10:N11"/>
    <mergeCell ref="Z10:Z11"/>
    <mergeCell ref="C27:D27"/>
    <mergeCell ref="A10:A11"/>
    <mergeCell ref="C23:D23"/>
    <mergeCell ref="K10:K11"/>
    <mergeCell ref="A8:Z8"/>
    <mergeCell ref="C28:D28"/>
    <mergeCell ref="F10:F11"/>
    <mergeCell ref="H10:H11"/>
  </mergeCells>
  <pageMargins left="0.7" right="0.7" top="0.75" bottom="0.75" header="0.3" footer="0.3"/>
  <pageSetup orientation="portrait" paperSize="9" horizontalDpi="4294967295" verticalDpi="4294967295"/>
  <headerFooter>
    <oddHeader/>
    <oddFooter>&amp;R&amp;F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Chiswa Dian Hermansyah(ZINUS ZDI)</dc:creator>
  <dcterms:created xsi:type="dcterms:W3CDTF">2026-07-25T07:40:00Z</dcterms:created>
  <dcterms:modified xsi:type="dcterms:W3CDTF">2026-08-17T06:13:45Z</dcterms:modified>
  <cp:lastModifiedBy>Chiswa Dian Hermansyah(ZINUS ZDI)</cp:lastModifiedBy>
</cp:coreProperties>
</file>