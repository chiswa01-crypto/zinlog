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000030ZIK48020260807000597</t>
        </is>
      </c>
      <c r="C12" s="245" t="n">
        <v>498987</v>
      </c>
      <c r="D12" s="245" t="n">
        <v>498939</v>
      </c>
      <c r="E12" s="246" t="n">
        <v>46244</v>
      </c>
      <c r="F12" s="245" t="inlineStr">
        <is>
          <t>ID2608-8077</t>
        </is>
      </c>
      <c r="G12" s="246" t="n">
        <v>46241</v>
      </c>
      <c r="H12" s="247" t="n">
        <v>900</v>
      </c>
      <c r="I12" s="245" t="inlineStr">
        <is>
          <t>SEKU4321234</t>
        </is>
      </c>
      <c r="J12" s="245" t="inlineStr">
        <is>
          <t>40FT</t>
        </is>
      </c>
      <c r="K12" s="245" t="inlineStr">
        <is>
          <t>8IN GREEN TEA MF MATTRESS QN</t>
        </is>
      </c>
      <c r="L12" s="245" t="inlineStr">
        <is>
          <t>SCF-STR-800Q</t>
        </is>
      </c>
      <c r="M12" s="248" t="inlineStr">
        <is>
          <t>0993630479</t>
        </is>
      </c>
      <c r="N12" s="245" t="inlineStr">
        <is>
          <t>F.MFM.08Q.000.WS</t>
        </is>
      </c>
      <c r="O12" s="249" t="n">
        <v>21510</v>
      </c>
      <c r="P12" s="249" t="n">
        <v>19188</v>
      </c>
      <c r="Q12" s="250">
        <f>R12/H12</f>
        <v/>
      </c>
      <c r="R12" s="251" t="n">
        <v>84573</v>
      </c>
      <c r="S12" s="249" t="n">
        <v>18062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CHARLESTON, US</t>
        </is>
      </c>
      <c r="X12" s="245" t="inlineStr">
        <is>
          <t>WALMART, INC.</t>
        </is>
      </c>
      <c r="Y12" s="245" t="inlineStr">
        <is>
          <t>CMDUDJA1516054A</t>
        </is>
      </c>
      <c r="Z12" s="246" t="n">
        <v>46244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TLLU8305907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15-08-2026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8.1" customFormat="1" customHeight="1" s="244"/>
    <row r="16" ht="20.1" customFormat="1" customHeight="1" s="244">
      <c r="A16" s="258">
        <f>COUNT(A12:A15)</f>
        <v/>
      </c>
      <c r="B16" s="259" t="n"/>
      <c r="C16" s="259" t="n"/>
      <c r="D16" s="259" t="n"/>
      <c r="E16" s="259" t="n"/>
      <c r="F16" s="259" t="n"/>
      <c r="G16" s="259" t="n"/>
      <c r="H16" s="260">
        <f>H14</f>
        <v/>
      </c>
      <c r="I16" s="260">
        <f>I14</f>
        <v/>
      </c>
      <c r="J16" s="259" t="n"/>
      <c r="K16" s="259" t="n"/>
      <c r="L16" s="259" t="n"/>
      <c r="M16" s="259" t="n"/>
      <c r="N16" s="259" t="n"/>
      <c r="O16" s="261">
        <f>O14</f>
        <v/>
      </c>
      <c r="P16" s="261">
        <f>P14</f>
        <v/>
      </c>
      <c r="Q16" s="259" t="n"/>
      <c r="R16" s="262">
        <f>R14</f>
        <v/>
      </c>
      <c r="S16" s="259" t="n"/>
      <c r="T16" s="263">
        <f>T14</f>
        <v/>
      </c>
      <c r="U16" s="259" t="n"/>
      <c r="V16" s="259" t="n"/>
      <c r="W16" s="259" t="n"/>
      <c r="X16" s="259" t="n"/>
      <c r="Y16" s="259" t="n"/>
      <c r="Z16" s="259" t="n"/>
    </row>
    <row r="17" ht="17.1" customFormat="1" customHeight="1" s="264"/>
    <row r="18" ht="17.1" customHeight="1" s="202" thickBot="1">
      <c r="B18" s="265" t="inlineStr">
        <is>
          <t>Total Qty Export :</t>
        </is>
      </c>
      <c r="C18" s="266">
        <f>H16-C19</f>
        <v/>
      </c>
    </row>
    <row r="19" ht="17.1" customFormat="1" customHeight="1" s="218" thickBot="1">
      <c r="B19" s="267" t="inlineStr">
        <is>
          <t>Total Qty Export Sample :</t>
        </is>
      </c>
      <c r="C19" s="268" t="inlineStr"/>
    </row>
    <row r="20" ht="17.1" customHeight="1" s="202"/>
    <row r="21" ht="17.1" customHeight="1" s="202">
      <c r="A21" s="269" t="n"/>
      <c r="B21" s="270" t="n"/>
      <c r="C21" s="270" t="n"/>
      <c r="D21" s="271" t="n"/>
      <c r="U21" s="272" t="inlineStr">
        <is>
          <t>Tangerang, 18 August 2026</t>
        </is>
      </c>
    </row>
    <row r="22" ht="17.1" customHeight="1" s="202">
      <c r="A22" s="273" t="inlineStr">
        <is>
          <t>Total Document</t>
        </is>
      </c>
      <c r="C22" s="274">
        <f>A16</f>
        <v/>
      </c>
      <c r="D22" s="275" t="n"/>
      <c r="U22" s="272" t="inlineStr">
        <is>
          <t>Kasubsi Hanggar Pabean dan Cukai</t>
        </is>
      </c>
    </row>
    <row r="23" ht="17.1" customHeight="1" s="202" thickBot="1">
      <c r="A23" s="273" t="inlineStr">
        <is>
          <t>Gross Weight</t>
        </is>
      </c>
      <c r="C23" s="276">
        <f>O16</f>
        <v/>
      </c>
      <c r="D23" s="275" t="n"/>
    </row>
    <row r="24" ht="17.1" customHeight="1" s="202" thickTop="1">
      <c r="A24" s="273" t="inlineStr">
        <is>
          <t>Nett Weight</t>
        </is>
      </c>
      <c r="C24" s="276">
        <f>P16</f>
        <v/>
      </c>
      <c r="D24" s="275" t="n"/>
    </row>
    <row r="25" ht="17.1" customHeight="1" s="202">
      <c r="A25" s="273" t="inlineStr">
        <is>
          <t>Amount</t>
        </is>
      </c>
      <c r="C25" s="277">
        <f>R16</f>
        <v/>
      </c>
      <c r="D25" s="275" t="n"/>
    </row>
    <row r="26" ht="17.1" customHeight="1" s="202">
      <c r="A26" s="273" t="inlineStr">
        <is>
          <t>Jumlah Container</t>
        </is>
      </c>
      <c r="C26" s="278">
        <f>I16-C27</f>
        <v/>
      </c>
      <c r="D26" s="275" t="n"/>
    </row>
    <row r="27" ht="17.1" customHeight="1" s="202">
      <c r="A27" s="279" t="n"/>
      <c r="C27" s="280" t="inlineStr"/>
      <c r="D27" s="275" t="n"/>
    </row>
    <row r="28" ht="17.1" customHeight="1" s="202">
      <c r="A28" s="279" t="n"/>
      <c r="C28" s="281">
        <f>C26*2+C27</f>
        <v/>
      </c>
      <c r="D28" s="275" t="n"/>
    </row>
    <row r="29" ht="16.2" customHeight="1" s="202">
      <c r="A29" s="282" t="n"/>
      <c r="B29" s="283" t="n"/>
      <c r="C29" s="283" t="n"/>
      <c r="D29" s="284" t="n"/>
    </row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C26:D26"/>
    <mergeCell ref="E10:E11"/>
    <mergeCell ref="G10:G11"/>
    <mergeCell ref="M10:M11"/>
    <mergeCell ref="Y10:Y11"/>
    <mergeCell ref="Q10:Q11"/>
    <mergeCell ref="C10:D10"/>
    <mergeCell ref="C25:D25"/>
    <mergeCell ref="I10:J11"/>
    <mergeCell ref="A6:Z6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2026-08-18T05:57:25Z</dcterms:modified>
  <cp:lastModifiedBy>Chiswa Dian Hermansyah(ZINUS ZDI)</cp:lastModifiedBy>
</cp:coreProperties>
</file>