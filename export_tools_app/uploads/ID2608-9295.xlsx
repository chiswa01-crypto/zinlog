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PORT\CI PL\2026\8. August\31\"/>
    </mc:Choice>
  </mc:AlternateContent>
  <xr:revisionPtr revIDLastSave="0" documentId="8_{FF9FCB7E-497A-4E8C-A339-AB5CB957F5BF}" xr6:coauthVersionLast="47" xr6:coauthVersionMax="47" xr10:uidLastSave="{00000000-0000-0000-0000-000000000000}"/>
  <bookViews>
    <workbookView xWindow="-120" yWindow="-120" windowWidth="29040" windowHeight="15840" tabRatio="349" firstSheet="1" activeTab="2" xr2:uid="{00000000-000D-0000-FFFF-FFFF00000000}"/>
  </bookViews>
  <sheets>
    <sheet name="CM" sheetId="3" state="hidden" r:id="rId1"/>
    <sheet name="CI" sheetId="10" r:id="rId2"/>
    <sheet name=" PL" sheetId="12" r:id="rId3"/>
    <sheet name="SHIPPING MARK" sheetId="4" state="hidden" r:id="rId4"/>
    <sheet name="SN" sheetId="7" state="hidden" r:id="rId5"/>
    <sheet name="PO" sheetId="8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3._Document" localSheetId="2">'[1]1.Global Setting'!#REF!</definedName>
    <definedName name="_3._Document" localSheetId="1">'[1]1.Global Setting'!#REF!</definedName>
    <definedName name="_4._Cost_center___Profit_Center" localSheetId="2">'[1]1.Global Setting'!#REF!</definedName>
    <definedName name="_4._Cost_center___Profit_Center" localSheetId="1">'[1]1.Global Setting'!#REF!</definedName>
    <definedName name="_5._Tax" localSheetId="2">'[1]1.Global Setting'!#REF!</definedName>
    <definedName name="_5._Tax" localSheetId="1">'[1]1.Global Setting'!#REF!</definedName>
    <definedName name="_xlnm._FilterDatabase" localSheetId="1" hidden="1">CI!$B$28:$N$37</definedName>
    <definedName name="_xlnm._FilterDatabase" localSheetId="4" hidden="1">SN!$A$27:$G$47</definedName>
    <definedName name="_Key2" localSheetId="2" hidden="1">#REF!</definedName>
    <definedName name="_Key2" localSheetId="1" hidden="1">#REF!</definedName>
    <definedName name="_Order1" hidden="1">255</definedName>
    <definedName name="_Order2" hidden="1">255</definedName>
    <definedName name="☞" localSheetId="2">'[2]1.Global Setting'!#REF!</definedName>
    <definedName name="☞" localSheetId="1">'[2]1.Global Setting'!#REF!</definedName>
    <definedName name="a" localSheetId="2">#REF!</definedName>
    <definedName name="a" localSheetId="1">#REF!</definedName>
    <definedName name="application" localSheetId="2">#REF!</definedName>
    <definedName name="application" localSheetId="1">#REF!</definedName>
    <definedName name="_xlnm.Criteria" localSheetId="2">#REF!</definedName>
    <definedName name="_xlnm.Criteria">#REF!</definedName>
    <definedName name="_xlnm.Database" localSheetId="2">'[3]Materials List'!#REF!</definedName>
    <definedName name="_xlnm.Database" localSheetId="1">'[3]Materials List'!#REF!</definedName>
    <definedName name="_xlnm.Database" hidden="1">'[3]Materials List'!#REF!</definedName>
    <definedName name="ETC" localSheetId="2">#REF!</definedName>
    <definedName name="ETC" localSheetId="1">#REF!</definedName>
    <definedName name="_xlnm.Extract" localSheetId="2">#REF!</definedName>
    <definedName name="_xlnm.Extract" localSheetId="1">#REF!</definedName>
    <definedName name="_xlnm.Extract">#REF!</definedName>
    <definedName name="flow" localSheetId="2">#REF!</definedName>
    <definedName name="flow" localSheetId="1">#REF!</definedName>
    <definedName name="head" localSheetId="2">#REF!</definedName>
    <definedName name="head" localSheetId="1">#REF!</definedName>
    <definedName name="Keetsa_Pillows" localSheetId="2">'[4]Materials List'!#REF!</definedName>
    <definedName name="Keetsa_Pillows" localSheetId="1">'[4]Materials List'!#REF!</definedName>
    <definedName name="kmart" localSheetId="2">'[5]Materials List'!#REF!</definedName>
    <definedName name="kmart" localSheetId="1">'[5]Materials List'!#REF!</definedName>
    <definedName name="kmart">'[6]Materials List'!#REF!</definedName>
    <definedName name="MARK" localSheetId="2">'[4]Materials List'!#REF!</definedName>
    <definedName name="MARK" localSheetId="1">'[4]Materials List'!#REF!</definedName>
    <definedName name="MARK2" localSheetId="2">#REF!</definedName>
    <definedName name="MARK2" localSheetId="1">#REF!</definedName>
    <definedName name="_xlnm.Print_Area" localSheetId="2">' PL'!$B$2:$K$81</definedName>
    <definedName name="_xlnm.Print_Area" localSheetId="1">CI!$B$2:$N$80</definedName>
    <definedName name="_xlnm.Print_Area" localSheetId="0">CM!$A$1:$J$20</definedName>
    <definedName name="_xlnm.Print_Area" localSheetId="4">SN!$A$1:$G$64</definedName>
    <definedName name="_xlnm.Print_Area" hidden="1">#REF!</definedName>
    <definedName name="_xlnm.Print_Titles" hidden="1">#REF!</definedName>
    <definedName name="RATE1">'[7]WMT-150Q'!$F$13</definedName>
    <definedName name="_xlnm.Recorder" localSheetId="2" hidden="1">#REF!</definedName>
    <definedName name="_xlnm.Recorder" hidden="1">#REF!</definedName>
    <definedName name="STKMV" localSheetId="2" hidden="1">#REF!</definedName>
    <definedName name="STKMV" localSheetId="1" hidden="1">#REF!</definedName>
    <definedName name="tony" localSheetId="2">#REF!</definedName>
    <definedName name="tony" localSheetId="1">#REF!</definedName>
    <definedName name="twort000">'[1]1.Global Setting'!$AB$66</definedName>
    <definedName name="ZIPPERB">#N/A</definedName>
    <definedName name="暗暗">[8]负债表!$G$1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2" l="1"/>
  <c r="D35" i="12"/>
  <c r="F35" i="12"/>
  <c r="G35" i="12"/>
  <c r="J35" i="12"/>
  <c r="N33" i="10" s="1"/>
  <c r="C36" i="12"/>
  <c r="D36" i="12"/>
  <c r="F36" i="12"/>
  <c r="G36" i="12"/>
  <c r="J36" i="12" s="1"/>
  <c r="N34" i="10" s="1"/>
  <c r="M33" i="10"/>
  <c r="M34" i="10"/>
  <c r="B5" i="12" l="1"/>
  <c r="C32" i="12"/>
  <c r="D32" i="12"/>
  <c r="F32" i="12"/>
  <c r="G32" i="12" s="1"/>
  <c r="J32" i="12" s="1"/>
  <c r="N30" i="10" s="1"/>
  <c r="C33" i="12"/>
  <c r="D33" i="12"/>
  <c r="F33" i="12"/>
  <c r="G33" i="12" s="1"/>
  <c r="J33" i="12" s="1"/>
  <c r="N31" i="10" s="1"/>
  <c r="C34" i="12"/>
  <c r="D34" i="12"/>
  <c r="F34" i="12"/>
  <c r="G34" i="12" s="1"/>
  <c r="J34" i="12" s="1"/>
  <c r="N32" i="10" s="1"/>
  <c r="XFA36" i="12" l="1"/>
  <c r="XFA32" i="12"/>
  <c r="XFA34" i="12"/>
  <c r="XFA37" i="12"/>
  <c r="XFA35" i="12"/>
  <c r="XFA33" i="12"/>
  <c r="M31" i="10"/>
  <c r="M32" i="10"/>
  <c r="M29" i="10"/>
  <c r="M30" i="10"/>
  <c r="H4" i="12" l="1"/>
  <c r="M52" i="10" l="1"/>
  <c r="F31" i="12" l="1"/>
  <c r="G31" i="12" s="1"/>
  <c r="D31" i="12"/>
  <c r="C31" i="12"/>
  <c r="C24" i="12"/>
  <c r="B23" i="12"/>
  <c r="B21" i="12"/>
  <c r="I17" i="12"/>
  <c r="I18" i="12"/>
  <c r="I16" i="12"/>
  <c r="H11" i="12"/>
  <c r="H12" i="12"/>
  <c r="H10" i="12"/>
  <c r="H6" i="12"/>
  <c r="H22" i="12"/>
  <c r="H23" i="12"/>
  <c r="H21" i="12"/>
  <c r="B16" i="12"/>
  <c r="B17" i="12"/>
  <c r="B15" i="12"/>
  <c r="B11" i="12"/>
  <c r="B12" i="12"/>
  <c r="B10" i="12"/>
  <c r="J4" i="12"/>
  <c r="B6" i="12"/>
  <c r="B7" i="12"/>
  <c r="B4" i="12" l="1"/>
  <c r="F52" i="12" l="1"/>
  <c r="XFA21" i="12"/>
  <c r="G52" i="12" l="1"/>
  <c r="J31" i="12"/>
  <c r="N29" i="10" s="1"/>
  <c r="J52" i="12" l="1"/>
  <c r="G28" i="12" s="1"/>
  <c r="N52" i="10"/>
  <c r="XFA31" i="12"/>
  <c r="J52" i="10"/>
  <c r="XFA52" i="12" l="1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14" i="8"/>
  <c r="B29" i="7"/>
  <c r="C29" i="7"/>
  <c r="D29" i="7"/>
  <c r="B30" i="7"/>
  <c r="C30" i="7"/>
  <c r="D30" i="7"/>
  <c r="B31" i="7"/>
  <c r="C31" i="7"/>
  <c r="D31" i="7"/>
  <c r="B32" i="7"/>
  <c r="C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B43" i="7"/>
  <c r="C43" i="7"/>
  <c r="D43" i="7"/>
  <c r="A39" i="7" l="1"/>
  <c r="A35" i="7"/>
  <c r="A31" i="7"/>
  <c r="A43" i="7"/>
  <c r="A41" i="7"/>
  <c r="A37" i="7"/>
  <c r="A33" i="7"/>
  <c r="A29" i="7"/>
  <c r="A42" i="7"/>
  <c r="A40" i="7"/>
  <c r="A38" i="7"/>
  <c r="A36" i="7"/>
  <c r="A34" i="7"/>
  <c r="A32" i="7"/>
  <c r="A30" i="7"/>
  <c r="A28" i="7" l="1"/>
  <c r="F14" i="8" l="1"/>
  <c r="B14" i="8"/>
  <c r="B10" i="8"/>
  <c r="B6" i="8"/>
  <c r="D28" i="7"/>
  <c r="C28" i="7"/>
  <c r="B28" i="7"/>
  <c r="B21" i="7"/>
  <c r="E9" i="7"/>
  <c r="F33" i="8" l="1"/>
  <c r="D45" i="7" l="1"/>
  <c r="A13" i="3" l="1"/>
  <c r="E13" i="3" l="1"/>
  <c r="D13" i="3"/>
  <c r="C13" i="3"/>
  <c r="E9" i="3"/>
  <c r="H13" i="3" l="1"/>
  <c r="G29" i="8" l="1"/>
  <c r="H29" i="8" s="1"/>
  <c r="G27" i="8"/>
  <c r="H27" i="8" s="1"/>
  <c r="G24" i="8"/>
  <c r="H24" i="8" s="1"/>
  <c r="G14" i="8"/>
  <c r="H14" i="8" s="1"/>
  <c r="G18" i="8"/>
  <c r="H18" i="8" s="1"/>
  <c r="G26" i="8"/>
  <c r="H26" i="8" s="1"/>
  <c r="G17" i="8"/>
  <c r="H17" i="8" s="1"/>
  <c r="G19" i="8"/>
  <c r="H19" i="8" s="1"/>
  <c r="G21" i="8"/>
  <c r="H21" i="8" s="1"/>
  <c r="F36" i="7"/>
  <c r="F34" i="7"/>
  <c r="G31" i="7"/>
  <c r="F39" i="7"/>
  <c r="F29" i="7"/>
  <c r="F37" i="7"/>
  <c r="G16" i="8"/>
  <c r="H16" i="8" s="1"/>
  <c r="F42" i="7"/>
  <c r="G35" i="7"/>
  <c r="F28" i="7"/>
  <c r="G32" i="7"/>
  <c r="F32" i="7"/>
  <c r="G36" i="7"/>
  <c r="G22" i="8"/>
  <c r="H22" i="8" s="1"/>
  <c r="F40" i="7"/>
  <c r="G34" i="7"/>
  <c r="G20" i="8"/>
  <c r="H20" i="8" s="1"/>
  <c r="F31" i="7"/>
  <c r="G25" i="8"/>
  <c r="H25" i="8" s="1"/>
  <c r="G43" i="7"/>
  <c r="F43" i="7"/>
  <c r="G29" i="7"/>
  <c r="G15" i="8"/>
  <c r="H15" i="8" s="1"/>
  <c r="F33" i="7"/>
  <c r="G37" i="7"/>
  <c r="G23" i="8"/>
  <c r="H23" i="8" s="1"/>
  <c r="G41" i="7"/>
  <c r="F41" i="7"/>
  <c r="F30" i="7"/>
  <c r="F38" i="7"/>
  <c r="G28" i="8"/>
  <c r="H28" i="8" s="1"/>
  <c r="F35" i="7"/>
  <c r="G39" i="7"/>
  <c r="G28" i="7"/>
  <c r="G42" i="7"/>
  <c r="G33" i="7"/>
  <c r="G40" i="7"/>
  <c r="G38" i="7"/>
  <c r="G30" i="7"/>
  <c r="G45" i="7" l="1"/>
  <c r="H33" i="8"/>
</calcChain>
</file>

<file path=xl/sharedStrings.xml><?xml version="1.0" encoding="utf-8"?>
<sst xmlns="http://schemas.openxmlformats.org/spreadsheetml/2006/main" count="295" uniqueCount="215">
  <si>
    <t>L/C No. and Date</t>
  </si>
  <si>
    <t>T/T PAYMENT</t>
  </si>
  <si>
    <t>Buyer (if other than consignee)</t>
  </si>
  <si>
    <t>Other  Reference</t>
  </si>
  <si>
    <t>*COUNTRY OF ORIGIN : INDONESIA</t>
  </si>
  <si>
    <t>PO#</t>
  </si>
  <si>
    <t>Terms  of  delivery  and  payment</t>
  </si>
  <si>
    <t xml:space="preserve"> </t>
  </si>
  <si>
    <t>JAKARTA, INDONESIA</t>
  </si>
  <si>
    <t>No. &amp; Kind of Pkgs; Goods Description</t>
  </si>
  <si>
    <t>Quantity</t>
    <phoneticPr fontId="0" type="noConversion"/>
  </si>
  <si>
    <t>Unit  Price</t>
  </si>
  <si>
    <t>Amount</t>
  </si>
  <si>
    <t>DESCRIPTION</t>
  </si>
  <si>
    <t>TOTAL :</t>
  </si>
  <si>
    <t>PACKING LIST</t>
  </si>
  <si>
    <t>KGS</t>
  </si>
  <si>
    <t>CONTAINER MANIFEST</t>
  </si>
  <si>
    <t>PAGE.1</t>
  </si>
  <si>
    <t>SHIPPER:  PT. Zinus Global Indonesia</t>
  </si>
  <si>
    <t>CONSIGNEE: ZINUS,INC (USA)</t>
    <phoneticPr fontId="0" type="noConversion"/>
  </si>
  <si>
    <t>CONTAINER NO.</t>
    <phoneticPr fontId="0" type="noConversion"/>
  </si>
  <si>
    <t>CONTAINER SIZE:</t>
  </si>
  <si>
    <t>SEAL NO.</t>
  </si>
  <si>
    <t>SHIPPING LINE</t>
  </si>
  <si>
    <t>VESSEL / VOY.</t>
  </si>
  <si>
    <t>LOADING PORT</t>
  </si>
  <si>
    <t>DISCHARGE PORT / DESTINATION</t>
  </si>
  <si>
    <t>SAILING DATE</t>
  </si>
  <si>
    <t>ARRIVAL DATE</t>
  </si>
  <si>
    <t>PURCHASE ORDER NO.</t>
  </si>
  <si>
    <t>STYLE NO</t>
  </si>
  <si>
    <t>UPC NO</t>
    <phoneticPr fontId="0" type="noConversion"/>
  </si>
  <si>
    <t>BRIEF DESCRIPTION</t>
  </si>
  <si>
    <t>NO. OF</t>
  </si>
  <si>
    <t>MEASUREMENT</t>
  </si>
  <si>
    <t>GROSS WEIGHT</t>
  </si>
  <si>
    <t>SAMPLE</t>
  </si>
  <si>
    <t>B/L NO.</t>
  </si>
  <si>
    <t>CARTONS</t>
  </si>
  <si>
    <t>CBM</t>
  </si>
  <si>
    <t>PCS</t>
    <phoneticPr fontId="0" type="noConversion"/>
  </si>
  <si>
    <t>CTN. NO.</t>
  </si>
  <si>
    <t>TOTAL:</t>
  </si>
  <si>
    <t>SHIPPER'S CO. CHOP &amp;</t>
  </si>
  <si>
    <t xml:space="preserve">AUTHORIZED SIGNATURE: </t>
  </si>
  <si>
    <t>20' 40'S 40RH  40'H  45'</t>
  </si>
  <si>
    <t>=SHIPPING MARK ATTACHMENT=</t>
  </si>
  <si>
    <t xml:space="preserve">Supplier Stock# : </t>
  </si>
  <si>
    <t>Shipping Case Qty. :</t>
  </si>
  <si>
    <t>Made In Indonesia</t>
    <phoneticPr fontId="11" type="noConversion"/>
  </si>
  <si>
    <t xml:space="preserve">Shipping Case# :     of    </t>
  </si>
  <si>
    <t>HTS CODE</t>
  </si>
  <si>
    <t>PT ZINUS GLOBAL INDONESIA</t>
    <phoneticPr fontId="0" type="noConversion"/>
  </si>
  <si>
    <t>Jl Raya Parung No. 68</t>
    <phoneticPr fontId="0" type="noConversion"/>
  </si>
  <si>
    <t>Kel. Curug, Kec. Gunung Sindur, Kab. Bogor</t>
    <phoneticPr fontId="0" type="noConversion"/>
  </si>
  <si>
    <t>Prop. Jawa Barat, Indonesia</t>
    <phoneticPr fontId="0" type="noConversion"/>
  </si>
  <si>
    <t xml:space="preserve">       Messrs.</t>
  </si>
  <si>
    <t>ZINUS INC.</t>
    <phoneticPr fontId="0" type="noConversion"/>
  </si>
  <si>
    <t xml:space="preserve">8F, 10 (AMIGO-TOWER) YATAP-RO,
GYUNGGI-DO, KOREA
</t>
    <phoneticPr fontId="0" type="noConversion"/>
  </si>
  <si>
    <t>81 BEON-GIL, BUNDANG-GU, SEONGNAM-SI,</t>
    <phoneticPr fontId="0" type="noConversion"/>
  </si>
  <si>
    <t>GYUNGGI-DO, KOREA</t>
    <phoneticPr fontId="0" type="noConversion"/>
  </si>
  <si>
    <t xml:space="preserve">      Seller : PT ZINUS GLOBAL INDONEISA  as Selle hereby confirm having sold to you the following goods by contract of sale made on the above date and on the terms and</t>
    <phoneticPr fontId="0" type="noConversion"/>
  </si>
  <si>
    <t xml:space="preserve">                       conditions hereinafter set forth. The buyer is hereby requested to sign and return the original attached hereto, and if any discrepancy </t>
    <phoneticPr fontId="0" type="noConversion"/>
  </si>
  <si>
    <t xml:space="preserve">                       by found by the Buyer the Seller should be informed immediately by cable or telex as well as supplying complete evidences in full detail fro</t>
    <phoneticPr fontId="0" type="noConversion"/>
  </si>
  <si>
    <t xml:space="preserve">                       the status of merchandise in deffective status by writing.</t>
    <phoneticPr fontId="0" type="noConversion"/>
  </si>
  <si>
    <t xml:space="preserve"> Time of Delivery</t>
    <phoneticPr fontId="0" type="noConversion"/>
  </si>
  <si>
    <t xml:space="preserve"> Terms of Payment</t>
    <phoneticPr fontId="0" type="noConversion"/>
  </si>
  <si>
    <t xml:space="preserve"> Port of Shipment </t>
    <phoneticPr fontId="0" type="noConversion"/>
  </si>
  <si>
    <t>INDONESIA</t>
    <phoneticPr fontId="0" type="noConversion"/>
  </si>
  <si>
    <t xml:space="preserve"> Place of Delivery</t>
    <phoneticPr fontId="0" type="noConversion"/>
  </si>
  <si>
    <t xml:space="preserve"> Destination</t>
    <phoneticPr fontId="0" type="noConversion"/>
  </si>
  <si>
    <t>USA Port</t>
    <phoneticPr fontId="0" type="noConversion"/>
  </si>
  <si>
    <t xml:space="preserve"> Country of Origin</t>
    <phoneticPr fontId="0" type="noConversion"/>
  </si>
  <si>
    <t>P.R. of INDONESIA</t>
    <phoneticPr fontId="0" type="noConversion"/>
  </si>
  <si>
    <t xml:space="preserve"> Remarks       </t>
    <phoneticPr fontId="0" type="noConversion"/>
  </si>
  <si>
    <t>LC shall be opened by Banker's Usance terms.</t>
    <phoneticPr fontId="0" type="noConversion"/>
  </si>
  <si>
    <t>Item No. &amp; Description</t>
  </si>
  <si>
    <t>Quantity</t>
  </si>
  <si>
    <t>Unit price</t>
  </si>
  <si>
    <t>Total</t>
    <phoneticPr fontId="0" type="noConversion"/>
  </si>
  <si>
    <t>* Advising Bank :</t>
    <phoneticPr fontId="0" type="noConversion"/>
  </si>
  <si>
    <t>PT. BANK KEB HANA INDONESIA</t>
  </si>
  <si>
    <t>1225-509-8721</t>
  </si>
  <si>
    <t>*Beneficiary :</t>
  </si>
  <si>
    <t>PT ZINUS GLOBAL INDONEISA</t>
    <phoneticPr fontId="0" type="noConversion"/>
  </si>
  <si>
    <t>JI Raya Parung No.68, Kel. Curug, Kec. Gunug Sindur, Kab. Bogor, Prop. Jawa Barat,Indonesia</t>
  </si>
  <si>
    <t>* SWIFT Code :</t>
    <phoneticPr fontId="0" type="noConversion"/>
  </si>
  <si>
    <t>HNBNIDJAXXX</t>
  </si>
  <si>
    <t>Accepted by :</t>
  </si>
  <si>
    <t xml:space="preserve">                  </t>
  </si>
  <si>
    <t xml:space="preserve">                            ZINUS INC.</t>
  </si>
  <si>
    <t>PT ZINUS GLOBAL INDONESIA</t>
  </si>
  <si>
    <t xml:space="preserve">   SUCH GOODS UNDER THE UNEFORM COMMERCIAL CODE(UCC)AND BUYER GRANTS SELLER A LICENSE TO</t>
  </si>
  <si>
    <t xml:space="preserve">   ALL TRADEMARKS, SERVICE MARKS, OR PATENTS IN SUCH SALES."</t>
  </si>
  <si>
    <t xml:space="preserve">Purchase Order </t>
    <phoneticPr fontId="4" type="noConversion"/>
  </si>
  <si>
    <t>* Date  :</t>
  </si>
  <si>
    <t>* Name of Supplier :</t>
  </si>
  <si>
    <t>Zinus Global Indonesia</t>
    <phoneticPr fontId="4" type="noConversion"/>
  </si>
  <si>
    <t>* Buyer  :</t>
  </si>
  <si>
    <t>ZINUS,INC.</t>
    <phoneticPr fontId="4" type="noConversion"/>
  </si>
  <si>
    <t>* Name of LC Beneficiary :</t>
  </si>
  <si>
    <t>*Address of T/T Beneficiary :</t>
  </si>
  <si>
    <t xml:space="preserve">* Payment Terms with buyer : </t>
  </si>
  <si>
    <t xml:space="preserve">* Name of Advising Bank : </t>
  </si>
  <si>
    <t>JI Raya Parung No.68, Kel. Curug, Kec. Gunug Sindur, Kab. Bogor, Prop. Jawa Barat,Indonesia</t>
    <phoneticPr fontId="4" type="noConversion"/>
  </si>
  <si>
    <t>* Contact NO.</t>
  </si>
  <si>
    <t xml:space="preserve">* Account No. : </t>
  </si>
  <si>
    <t>* Delivery Terms :</t>
  </si>
  <si>
    <t>* Payment Term</t>
  </si>
  <si>
    <t xml:space="preserve">* Shipment From : </t>
  </si>
  <si>
    <t>Indonesia</t>
    <phoneticPr fontId="4" type="noConversion"/>
  </si>
  <si>
    <t>* Contact Person :</t>
  </si>
  <si>
    <t>Joe Song</t>
    <phoneticPr fontId="4" type="noConversion"/>
  </si>
  <si>
    <t>* Ship to  :</t>
  </si>
  <si>
    <t>* TEL</t>
  </si>
  <si>
    <t>* FAX</t>
  </si>
  <si>
    <t>Buyer PO #</t>
  </si>
  <si>
    <t>Goods Descriptions</t>
  </si>
  <si>
    <t>Latest Shipdate</t>
  </si>
  <si>
    <t>Quantity (pieces)</t>
  </si>
  <si>
    <t>Price</t>
  </si>
  <si>
    <t>Total Amount</t>
  </si>
  <si>
    <t>Remarks</t>
  </si>
  <si>
    <t xml:space="preserve">Total </t>
  </si>
  <si>
    <t>Zinus Inc. Korea</t>
  </si>
  <si>
    <t>8F, 10 (AMIGO-TOWER) YATAP-RO,</t>
  </si>
  <si>
    <t>81 BEON-GIL, BUNDANG-GU, SEONGNAM-SI,</t>
  </si>
  <si>
    <t xml:space="preserve">GYUNGGI-DO, KOREA </t>
  </si>
  <si>
    <t>Signature</t>
  </si>
  <si>
    <t>PT ZINUS GLOBAL INDONEISA</t>
    <phoneticPr fontId="4" type="noConversion"/>
  </si>
  <si>
    <t>JULY. XX, 2019</t>
  </si>
  <si>
    <t>AUGT. XX, 2019</t>
  </si>
  <si>
    <t xml:space="preserve">Desc: FOAM MATTRESS </t>
  </si>
  <si>
    <t>XX</t>
  </si>
  <si>
    <t>PO DATE : MAY. XX,2019</t>
  </si>
  <si>
    <t>ETD           : JULY. XX,2019</t>
  </si>
  <si>
    <t xml:space="preserve"> [     ] [  X   ] [     ]   [    ]  [    ]</t>
  </si>
  <si>
    <t>ITEM#</t>
  </si>
  <si>
    <t>*FOB INDONESIA</t>
  </si>
  <si>
    <t>*AT 90 DAYS AFTER B/L DATE</t>
  </si>
  <si>
    <t>FOB INDONESIA</t>
  </si>
  <si>
    <t>PCS</t>
  </si>
  <si>
    <t>FOB Indonesia</t>
  </si>
  <si>
    <t>AT 90 DAYS AFTER B/L DATE</t>
  </si>
  <si>
    <t xml:space="preserve">PO No.:  </t>
  </si>
  <si>
    <t>-</t>
  </si>
  <si>
    <t>HS CODE</t>
  </si>
  <si>
    <t>Invoice No. and Date</t>
  </si>
  <si>
    <t>ZINUS  INC,</t>
  </si>
  <si>
    <t>=Shipping Mark=</t>
  </si>
  <si>
    <t>**REMARK**</t>
    <phoneticPr fontId="47" type="noConversion"/>
  </si>
  <si>
    <t>WE DECLARE THAT THE SHIPMENT CONTAINS NO</t>
    <phoneticPr fontId="47" type="noConversion"/>
  </si>
  <si>
    <t>SOLID WOOD PACKING MATERIALS.</t>
    <phoneticPr fontId="47" type="noConversion"/>
  </si>
  <si>
    <t>81 BEON-GIL BUNDANG-GU, SEONGNAM-SI, GYUNGGI-DO, 13497, SOUTH KOREA</t>
  </si>
  <si>
    <t>COMMERCIAL INVOICE</t>
  </si>
  <si>
    <t>Seller :</t>
  </si>
  <si>
    <t>Consignee :</t>
  </si>
  <si>
    <t>Notify :</t>
  </si>
  <si>
    <t xml:space="preserve">DO# </t>
  </si>
  <si>
    <t>Departure Date :</t>
  </si>
  <si>
    <t>Vessel / Flight / Voyage :</t>
  </si>
  <si>
    <t xml:space="preserve">From / Port Of Loading :      </t>
  </si>
  <si>
    <t>Jakarta, INDONESIA</t>
  </si>
  <si>
    <t>*FOAM MATTRESS, HYBRID MATTRESS, SPRING MATTRESS</t>
  </si>
  <si>
    <t>F CODE</t>
  </si>
  <si>
    <t xml:space="preserve">Signed by, </t>
  </si>
  <si>
    <t>To :</t>
  </si>
  <si>
    <t>ZINUS, INC.</t>
  </si>
  <si>
    <t>5731 PROMONTORY PARKWAY,</t>
  </si>
  <si>
    <t>TRACY, CA 95377, USA</t>
  </si>
  <si>
    <t>Total NW</t>
  </si>
  <si>
    <t xml:space="preserve">To : </t>
  </si>
  <si>
    <t>= Shipping MARK</t>
  </si>
  <si>
    <t xml:space="preserve">Net  Weight </t>
  </si>
  <si>
    <t xml:space="preserve"> Gross  Weight</t>
  </si>
  <si>
    <t xml:space="preserve">  Measurement</t>
  </si>
  <si>
    <t>QTY</t>
  </si>
  <si>
    <t>NW/PCS</t>
  </si>
  <si>
    <t>Signed by,</t>
  </si>
  <si>
    <t>WE DECLARE THAT THE SHIPMENT CONTAINS NO SOLID WOOD PACKING MATERIALS.</t>
  </si>
  <si>
    <t xml:space="preserve">BL# </t>
  </si>
  <si>
    <t>Shipper</t>
  </si>
  <si>
    <t>PT.ZINUS DREAM INDONESIA</t>
  </si>
  <si>
    <t>JL. RAYA SERANG KM. 12 RT. 01 RW. 05, KP. GEBANG</t>
  </si>
  <si>
    <t>DESA/KEL. SUKADAMAI, KEC. CIKUPA,</t>
  </si>
  <si>
    <t>KAB. TANGERANG BANTEN</t>
  </si>
  <si>
    <t>ZU-MFGN5OZI-12Q</t>
  </si>
  <si>
    <t>MF-TGTNM1ZI-03K</t>
  </si>
  <si>
    <t>F.MFG.12Q.012.ZU</t>
  </si>
  <si>
    <t>F.TGT.03K.001.ZU</t>
  </si>
  <si>
    <t>ZINUS 12IN COOLING GREEN TEA MEMORY FOAM MATTRESS QUEEN</t>
  </si>
  <si>
    <t>3IN Sleepy's Gel Memory Foam Topper King</t>
  </si>
  <si>
    <t>9404.21.20</t>
  </si>
  <si>
    <t>9404.90.00</t>
  </si>
  <si>
    <t>ID2608-9295</t>
  </si>
  <si>
    <t>August 28 2026</t>
  </si>
  <si>
    <t>TIN60185</t>
  </si>
  <si>
    <t>080600452114</t>
  </si>
  <si>
    <t>EGLV080600452114</t>
  </si>
  <si>
    <t>EVER BOOMY 1206-093A</t>
  </si>
  <si>
    <t>OAKLAND,CA</t>
  </si>
  <si>
    <t>ZU-MFGN5PZI-12K</t>
  </si>
  <si>
    <t>ZU-MFGN5PZI-12Q</t>
  </si>
  <si>
    <t>ZU-MSHPHMZI-14Q</t>
  </si>
  <si>
    <t>ZU-MSHQ5OZI-12Q</t>
  </si>
  <si>
    <t>F.MFG.12K.013.ZU</t>
  </si>
  <si>
    <t>F.MFG.12Q.013.ZU</t>
  </si>
  <si>
    <t>F.MSH.14Q.000.ZU</t>
  </si>
  <si>
    <t>F.MSH.12Q.024.ZU</t>
  </si>
  <si>
    <t>ZINUS 12IN ULTRA COOLING GREEN TEA MEMORY FOAM MATTRESS KING</t>
  </si>
  <si>
    <t>ZINUS 12IN ULTRA COOLING GREEN TEA MEMORY FOAM MATTRESS QUEEN</t>
  </si>
  <si>
    <t>14in Plush Hybrid Mattress</t>
  </si>
  <si>
    <t>Zinus 12in Cooling Green Tea Hybrid Queen</t>
  </si>
  <si>
    <t>9404.29.10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</si>
</sst>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US$&quot;#,##0.00_);[Red]\(&quot;US$&quot;#,##0.00\)"/>
    <numFmt numFmtId="167" formatCode="0.00&quot;KGS&quot;"/>
    <numFmt numFmtId="168" formatCode="#,##0.000"/>
    <numFmt numFmtId="169" formatCode="000000"/>
    <numFmt numFmtId="170" formatCode="&quot;*&quot;0&quot;*&quot;\ "/>
    <numFmt numFmtId="171" formatCode="[$-409]dd/mmm/yy;@"/>
    <numFmt numFmtId="172" formatCode="mm&quot;월&quot;\ dd&quot;일&quot;"/>
    <numFmt numFmtId="173" formatCode="0.000_);[Red]\(0.000\)"/>
    <numFmt numFmtId="174" formatCode="0_);[Red]\(0\)"/>
    <numFmt numFmtId="175" formatCode="_ * #,##0.00_ ;_ * \-#,##0.00_ ;_ * &quot;-&quot;??_ ;_ @_ "/>
    <numFmt numFmtId="176" formatCode="dd&quot;-&quot;mmm&quot;-&quot;yy"/>
    <numFmt numFmtId="177" formatCode="#,##0_ "/>
    <numFmt numFmtId="178" formatCode="\$#,##0.00_);[Red]\(\$#,##0.00\)"/>
    <numFmt numFmtId="179" formatCode="\$#,##0.00_);\(\$#,##0.00\)"/>
    <numFmt numFmtId="180" formatCode="m&quot;/&quot;d&quot;/&quot;yy;@"/>
    <numFmt numFmtId="181" formatCode="[$-409]d&quot;-&quot;mmm&quot;-&quot;yy;@"/>
    <numFmt numFmtId="182" formatCode="&quot;US$&quot;#,##0.00_);\(&quot;US$&quot;#,##0.00\)"/>
    <numFmt numFmtId="183" formatCode="\$#,##0.00"/>
    <numFmt numFmtId="184" formatCode="0&quot;PCS&quot;"/>
    <numFmt numFmtId="185" formatCode="0&quot;CTNS&quot;"/>
    <numFmt numFmtId="186" formatCode="0.000&quot;M3&quot;"/>
    <numFmt numFmtId="187" formatCode="#,##0.00_ "/>
    <numFmt numFmtId="188" formatCode="[$-23809]m/d/yyyy;@"/>
    <numFmt numFmtId="189" formatCode="_-[$$-409]* #,##0.00_ ;_-[$$-409]* \-#,##0.00\ ;_-[$$-409]* &quot;-&quot;??_ ;_-@_ "/>
    <numFmt numFmtId="190" formatCode="0.00_);[Red]\(0.00\)"/>
    <numFmt numFmtId="191" formatCode="_ * #,##0_ ;_ * \-#,##0_ ;_ * &quot;-&quot;??_ ;_ @_ "/>
    <numFmt numFmtId="192" formatCode="[$-13809]dd\ mmmm\ yyyy;@"/>
  </numFmts>
  <fonts count="63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2"/>
      <name val="바탕체"/>
      <family val="3"/>
      <charset val="134"/>
    </font>
    <font>
      <sz val="12"/>
      <name val="바탕체"/>
      <family val="3"/>
    </font>
    <font>
      <sz val="10"/>
      <name val="Arial"/>
      <family val="2"/>
    </font>
    <font>
      <sz val="11"/>
      <name val="돋움"/>
      <family val="2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9"/>
      <color rgb="FFFF0000"/>
      <name val="Arial"/>
      <family val="2"/>
    </font>
    <font>
      <sz val="9"/>
      <color indexed="8"/>
      <name val="3 of 9 Barcode"/>
      <family val="5"/>
    </font>
    <font>
      <b/>
      <sz val="9"/>
      <color indexed="8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  <charset val="134"/>
    </font>
    <font>
      <sz val="9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b/>
      <sz val="14"/>
      <color indexed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name val="돋움"/>
      <family val="2"/>
      <charset val="129"/>
    </font>
    <font>
      <b/>
      <sz val="22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10.5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0.5"/>
      <name val="Calibri"/>
      <family val="2"/>
    </font>
    <font>
      <b/>
      <u/>
      <sz val="11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2"/>
      <name val="新細明體"/>
      <family val="1"/>
    </font>
    <font>
      <b/>
      <i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2"/>
      <color indexed="19"/>
      <name val="Arial"/>
      <family val="2"/>
    </font>
    <font>
      <sz val="11"/>
      <name val="Arial"/>
      <family val="2"/>
    </font>
    <font>
      <sz val="12"/>
      <color indexed="10"/>
      <name val="Arial"/>
      <family val="2"/>
    </font>
    <font>
      <b/>
      <sz val="11"/>
      <name val="Arial"/>
      <family val="2"/>
    </font>
    <font>
      <b/>
      <sz val="12"/>
      <name val="宋体"/>
      <family val="3"/>
      <charset val="134"/>
    </font>
    <font>
      <sz val="8"/>
      <color indexed="8"/>
      <name val="Arial"/>
      <family val="2"/>
    </font>
    <font>
      <sz val="10"/>
      <name val="Segoe UI Semilight"/>
      <family val="2"/>
    </font>
    <font>
      <sz val="12"/>
      <name val="宋体"/>
      <charset val="134"/>
    </font>
    <font>
      <sz val="11"/>
      <color indexed="8"/>
      <name val="宋体"/>
      <family val="3"/>
      <charset val="134"/>
    </font>
    <font>
      <sz val="15"/>
      <name val="Calibri"/>
      <family val="2"/>
      <scheme val="minor"/>
    </font>
    <font>
      <b/>
      <sz val="15"/>
      <name val="Calibri"/>
      <family val="2"/>
      <scheme val="minor"/>
    </font>
    <font>
      <b/>
      <u/>
      <sz val="15"/>
      <name val="Calibri"/>
      <family val="2"/>
      <scheme val="minor"/>
    </font>
    <font>
      <b/>
      <sz val="35"/>
      <name val="Calibri"/>
      <family val="2"/>
      <scheme val="minor"/>
    </font>
    <font>
      <b/>
      <sz val="9"/>
      <name val="Calibri"/>
      <family val="2"/>
    </font>
    <font>
      <b/>
      <sz val="9"/>
      <name val="Cambria"/>
      <family val="1"/>
    </font>
    <font>
      <sz val="15"/>
      <color rgb="FF0070C0"/>
      <name val="Calibri"/>
      <family val="2"/>
      <scheme val="minor"/>
    </font>
    <font>
      <sz val="11"/>
      <color rgb="FF0070C0"/>
      <name val="Arial"/>
      <family val="2"/>
    </font>
    <font>
      <sz val="11"/>
      <color rgb="FF0070C0"/>
      <name val="Times New Roman"/>
      <family val="1"/>
    </font>
    <font>
      <sz val="9"/>
      <color rgb="FF00B0F0"/>
      <name val="Calibri"/>
      <family val="2"/>
    </font>
    <font>
      <sz val="10"/>
      <color rgb="FF00B0F0"/>
      <name val="Arial"/>
      <family val="2"/>
    </font>
    <font>
      <sz val="9"/>
      <color rgb="FF00B0F0"/>
      <name val="Arial"/>
      <family val="2"/>
    </font>
    <font>
      <sz val="15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3" fillId="0" borderId="0"/>
    <xf numFmtId="0" fontId="5" fillId="0" borderId="0"/>
    <xf numFmtId="0" fontId="7" fillId="0" borderId="0">
      <alignment vertical="center"/>
    </xf>
    <xf numFmtId="0" fontId="6" fillId="0" borderId="0"/>
    <xf numFmtId="0" fontId="4" fillId="0" borderId="0"/>
    <xf numFmtId="0" fontId="6" fillId="0" borderId="0"/>
    <xf numFmtId="175" fontId="7" fillId="0" borderId="0" applyFont="0" applyFill="0" applyBorder="0" applyAlignment="0" applyProtection="0"/>
    <xf numFmtId="0" fontId="4" fillId="0" borderId="0"/>
    <xf numFmtId="0" fontId="7" fillId="0" borderId="0"/>
    <xf numFmtId="165" fontId="4" fillId="0" borderId="0" applyFont="0" applyFill="0" applyBorder="0" applyAlignment="0" applyProtection="0"/>
    <xf numFmtId="0" fontId="1" fillId="0" borderId="0">
      <alignment vertical="center"/>
    </xf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>
      <alignment vertical="center"/>
    </xf>
    <xf numFmtId="0" fontId="5" fillId="0" borderId="0"/>
    <xf numFmtId="41" fontId="23" fillId="0" borderId="0" applyFont="0" applyFill="0" applyBorder="0" applyAlignment="0" applyProtection="0">
      <alignment vertical="center"/>
    </xf>
    <xf numFmtId="0" fontId="36" fillId="0" borderId="0"/>
    <xf numFmtId="0" fontId="22" fillId="0" borderId="0"/>
    <xf numFmtId="0" fontId="7" fillId="0" borderId="0"/>
    <xf numFmtId="0" fontId="3" fillId="0" borderId="0"/>
    <xf numFmtId="0" fontId="48" fillId="0" borderId="0">
      <alignment vertical="center"/>
    </xf>
    <xf numFmtId="0" fontId="7" fillId="0" borderId="0"/>
    <xf numFmtId="41" fontId="48" fillId="0" borderId="0" applyFont="0" applyFill="0" applyBorder="0" applyAlignment="0" applyProtection="0"/>
    <xf numFmtId="0" fontId="48" fillId="0" borderId="0"/>
    <xf numFmtId="0" fontId="49" fillId="0" borderId="0">
      <alignment vertical="center"/>
    </xf>
    <xf numFmtId="164" fontId="6" fillId="0" borderId="0" applyFont="0" applyFill="0" applyBorder="0" applyAlignment="0" applyProtection="0"/>
  </cellStyleXfs>
  <cellXfs count="502">
    <xf numFmtId="0" fontId="0" fillId="0" borderId="0" xfId="0"/>
    <xf numFmtId="0" fontId="8" fillId="0" borderId="0" xfId="13" applyFont="1" applyAlignment="1">
      <alignment horizontal="centerContinuous"/>
    </xf>
    <xf numFmtId="169" fontId="8" fillId="0" borderId="0" xfId="13" applyNumberFormat="1" applyFont="1" applyAlignment="1">
      <alignment horizontal="centerContinuous"/>
    </xf>
    <xf numFmtId="168" fontId="8" fillId="0" borderId="0" xfId="13" applyNumberFormat="1" applyFont="1" applyAlignment="1">
      <alignment horizontal="centerContinuous"/>
    </xf>
    <xf numFmtId="0" fontId="8" fillId="0" borderId="0" xfId="13" applyFont="1" applyAlignment="1">
      <alignment horizontal="center"/>
    </xf>
    <xf numFmtId="0" fontId="8" fillId="0" borderId="0" xfId="13" applyFont="1"/>
    <xf numFmtId="0" fontId="9" fillId="0" borderId="0" xfId="13" applyFont="1"/>
    <xf numFmtId="169" fontId="9" fillId="0" borderId="0" xfId="13" applyNumberFormat="1" applyFont="1"/>
    <xf numFmtId="168" fontId="9" fillId="0" borderId="0" xfId="13" applyNumberFormat="1" applyFont="1"/>
    <xf numFmtId="0" fontId="10" fillId="0" borderId="23" xfId="13" applyFont="1" applyBorder="1" applyAlignment="1">
      <alignment horizontal="center" vertical="center"/>
    </xf>
    <xf numFmtId="0" fontId="10" fillId="0" borderId="24" xfId="13" applyFont="1" applyBorder="1" applyAlignment="1">
      <alignment horizontal="center" vertical="center"/>
    </xf>
    <xf numFmtId="0" fontId="9" fillId="0" borderId="0" xfId="13" applyFont="1" applyAlignment="1">
      <alignment horizontal="center"/>
    </xf>
    <xf numFmtId="169" fontId="9" fillId="0" borderId="0" xfId="13" applyNumberFormat="1" applyFont="1" applyAlignment="1">
      <alignment horizontal="center"/>
    </xf>
    <xf numFmtId="0" fontId="8" fillId="0" borderId="9" xfId="13" applyFont="1" applyBorder="1"/>
    <xf numFmtId="170" fontId="8" fillId="0" borderId="8" xfId="13" applyNumberFormat="1" applyFont="1" applyBorder="1"/>
    <xf numFmtId="169" fontId="8" fillId="0" borderId="21" xfId="13" applyNumberFormat="1" applyFont="1" applyBorder="1"/>
    <xf numFmtId="0" fontId="8" fillId="0" borderId="22" xfId="13" applyFont="1" applyBorder="1"/>
    <xf numFmtId="0" fontId="8" fillId="0" borderId="21" xfId="13" applyFont="1" applyBorder="1"/>
    <xf numFmtId="168" fontId="8" fillId="0" borderId="9" xfId="13" applyNumberFormat="1" applyFont="1" applyBorder="1"/>
    <xf numFmtId="0" fontId="8" fillId="0" borderId="8" xfId="13" applyFont="1" applyBorder="1"/>
    <xf numFmtId="0" fontId="8" fillId="0" borderId="22" xfId="13" applyFont="1" applyBorder="1" applyAlignment="1">
      <alignment horizontal="center"/>
    </xf>
    <xf numFmtId="169" fontId="8" fillId="0" borderId="22" xfId="13" applyNumberFormat="1" applyFont="1" applyBorder="1" applyAlignment="1">
      <alignment horizontal="center"/>
    </xf>
    <xf numFmtId="168" fontId="8" fillId="0" borderId="22" xfId="13" applyNumberFormat="1" applyFont="1" applyBorder="1" applyAlignment="1">
      <alignment horizontal="center"/>
    </xf>
    <xf numFmtId="0" fontId="8" fillId="0" borderId="24" xfId="13" applyFont="1" applyBorder="1" applyAlignment="1">
      <alignment horizontal="center"/>
    </xf>
    <xf numFmtId="169" fontId="8" fillId="0" borderId="24" xfId="13" applyNumberFormat="1" applyFont="1" applyBorder="1" applyAlignment="1">
      <alignment horizontal="center"/>
    </xf>
    <xf numFmtId="0" fontId="15" fillId="0" borderId="24" xfId="13" applyFont="1" applyBorder="1" applyAlignment="1">
      <alignment horizontal="center"/>
    </xf>
    <xf numFmtId="168" fontId="8" fillId="0" borderId="24" xfId="13" applyNumberFormat="1" applyFont="1" applyBorder="1" applyAlignment="1">
      <alignment horizontal="center"/>
    </xf>
    <xf numFmtId="0" fontId="8" fillId="0" borderId="25" xfId="13" applyFont="1" applyBorder="1" applyAlignment="1">
      <alignment horizontal="center" vertical="center" wrapText="1"/>
    </xf>
    <xf numFmtId="0" fontId="9" fillId="0" borderId="24" xfId="13" applyFont="1" applyBorder="1" applyAlignment="1">
      <alignment horizontal="center" vertical="center"/>
    </xf>
    <xf numFmtId="173" fontId="9" fillId="0" borderId="24" xfId="13" applyNumberFormat="1" applyFont="1" applyBorder="1" applyAlignment="1">
      <alignment horizontal="center" vertical="center"/>
    </xf>
    <xf numFmtId="168" fontId="9" fillId="0" borderId="24" xfId="13" applyNumberFormat="1" applyFont="1" applyBorder="1" applyAlignment="1">
      <alignment horizontal="center" vertical="center"/>
    </xf>
    <xf numFmtId="0" fontId="9" fillId="0" borderId="25" xfId="13" applyFont="1" applyBorder="1" applyAlignment="1">
      <alignment horizontal="center" vertical="center"/>
    </xf>
    <xf numFmtId="173" fontId="9" fillId="0" borderId="25" xfId="13" applyNumberFormat="1" applyFont="1" applyBorder="1" applyAlignment="1">
      <alignment horizontal="center" vertical="center"/>
    </xf>
    <xf numFmtId="168" fontId="9" fillId="0" borderId="25" xfId="13" applyNumberFormat="1" applyFont="1" applyBorder="1" applyAlignment="1">
      <alignment horizontal="center" vertical="center"/>
    </xf>
    <xf numFmtId="0" fontId="8" fillId="0" borderId="25" xfId="13" applyFont="1" applyBorder="1" applyAlignment="1">
      <alignment horizontal="center"/>
    </xf>
    <xf numFmtId="0" fontId="8" fillId="0" borderId="25" xfId="13" applyFont="1" applyBorder="1" applyAlignment="1">
      <alignment horizontal="center" vertical="center"/>
    </xf>
    <xf numFmtId="0" fontId="8" fillId="0" borderId="0" xfId="13" applyFont="1" applyAlignment="1">
      <alignment horizontal="right" vertical="center"/>
    </xf>
    <xf numFmtId="174" fontId="8" fillId="0" borderId="24" xfId="13" applyNumberFormat="1" applyFont="1" applyBorder="1" applyAlignment="1">
      <alignment horizontal="center" vertical="center"/>
    </xf>
    <xf numFmtId="173" fontId="8" fillId="0" borderId="24" xfId="13" applyNumberFormat="1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5" borderId="0" xfId="13" applyFont="1" applyFill="1"/>
    <xf numFmtId="0" fontId="10" fillId="0" borderId="0" xfId="3" applyFont="1" applyAlignment="1">
      <alignment vertical="center"/>
    </xf>
    <xf numFmtId="0" fontId="18" fillId="3" borderId="0" xfId="16" applyFont="1" applyFill="1"/>
    <xf numFmtId="0" fontId="4" fillId="3" borderId="0" xfId="16" applyFill="1"/>
    <xf numFmtId="0" fontId="20" fillId="3" borderId="0" xfId="16" applyFont="1" applyFill="1"/>
    <xf numFmtId="0" fontId="20" fillId="3" borderId="0" xfId="7" applyFont="1" applyFill="1"/>
    <xf numFmtId="0" fontId="18" fillId="0" borderId="0" xfId="0" applyFont="1"/>
    <xf numFmtId="0" fontId="18" fillId="3" borderId="14" xfId="16" applyFont="1" applyFill="1" applyBorder="1"/>
    <xf numFmtId="0" fontId="18" fillId="3" borderId="15" xfId="7" applyFont="1" applyFill="1" applyBorder="1"/>
    <xf numFmtId="0" fontId="18" fillId="3" borderId="15" xfId="16" applyFont="1" applyFill="1" applyBorder="1"/>
    <xf numFmtId="0" fontId="18" fillId="3" borderId="19" xfId="16" applyFont="1" applyFill="1" applyBorder="1"/>
    <xf numFmtId="0" fontId="4" fillId="3" borderId="0" xfId="16" applyFill="1" applyAlignment="1">
      <alignment horizontal="left"/>
    </xf>
    <xf numFmtId="0" fontId="18" fillId="3" borderId="1" xfId="16" applyFont="1" applyFill="1" applyBorder="1"/>
    <xf numFmtId="0" fontId="18" fillId="3" borderId="0" xfId="7" applyFont="1" applyFill="1"/>
    <xf numFmtId="0" fontId="18" fillId="3" borderId="3" xfId="16" applyFont="1" applyFill="1" applyBorder="1"/>
    <xf numFmtId="0" fontId="18" fillId="3" borderId="0" xfId="17" applyFont="1" applyFill="1" applyAlignment="1">
      <alignment vertical="center"/>
    </xf>
    <xf numFmtId="0" fontId="18" fillId="3" borderId="16" xfId="16" applyFont="1" applyFill="1" applyBorder="1"/>
    <xf numFmtId="0" fontId="18" fillId="3" borderId="17" xfId="17" applyFont="1" applyFill="1" applyBorder="1" applyAlignment="1">
      <alignment vertical="center"/>
    </xf>
    <xf numFmtId="0" fontId="18" fillId="3" borderId="17" xfId="16" applyFont="1" applyFill="1" applyBorder="1"/>
    <xf numFmtId="0" fontId="18" fillId="3" borderId="13" xfId="16" applyFont="1" applyFill="1" applyBorder="1"/>
    <xf numFmtId="0" fontId="25" fillId="0" borderId="0" xfId="23" applyFont="1">
      <alignment vertical="center"/>
    </xf>
    <xf numFmtId="0" fontId="26" fillId="0" borderId="0" xfId="23" applyFont="1" applyAlignment="1">
      <alignment horizontal="right" vertical="center"/>
    </xf>
    <xf numFmtId="0" fontId="27" fillId="0" borderId="0" xfId="23" applyFont="1">
      <alignment vertical="center"/>
    </xf>
    <xf numFmtId="0" fontId="26" fillId="0" borderId="0" xfId="24" applyFont="1" applyAlignment="1">
      <alignment horizontal="right"/>
    </xf>
    <xf numFmtId="0" fontId="28" fillId="0" borderId="5" xfId="23" applyFont="1" applyBorder="1">
      <alignment vertical="center"/>
    </xf>
    <xf numFmtId="0" fontId="25" fillId="0" borderId="5" xfId="23" applyFont="1" applyBorder="1">
      <alignment vertical="center"/>
    </xf>
    <xf numFmtId="0" fontId="29" fillId="0" borderId="0" xfId="23" applyFont="1">
      <alignment vertical="center"/>
    </xf>
    <xf numFmtId="0" fontId="31" fillId="0" borderId="5" xfId="23" applyFont="1" applyBorder="1">
      <alignment vertical="center"/>
    </xf>
    <xf numFmtId="0" fontId="26" fillId="0" borderId="34" xfId="23" applyFont="1" applyBorder="1" applyAlignment="1">
      <alignment horizontal="left" vertical="center"/>
    </xf>
    <xf numFmtId="176" fontId="29" fillId="2" borderId="26" xfId="23" applyNumberFormat="1" applyFont="1" applyFill="1" applyBorder="1" applyAlignment="1">
      <alignment horizontal="left" vertical="center"/>
    </xf>
    <xf numFmtId="176" fontId="29" fillId="0" borderId="26" xfId="23" applyNumberFormat="1" applyFont="1" applyBorder="1" applyAlignment="1">
      <alignment horizontal="left" vertical="center"/>
    </xf>
    <xf numFmtId="0" fontId="29" fillId="0" borderId="26" xfId="23" applyFont="1" applyBorder="1">
      <alignment vertical="center"/>
    </xf>
    <xf numFmtId="0" fontId="29" fillId="0" borderId="27" xfId="23" applyFont="1" applyBorder="1">
      <alignment vertical="center"/>
    </xf>
    <xf numFmtId="0" fontId="26" fillId="0" borderId="0" xfId="23" applyFont="1">
      <alignment vertical="center"/>
    </xf>
    <xf numFmtId="0" fontId="26" fillId="0" borderId="35" xfId="23" applyFont="1" applyBorder="1" applyAlignment="1">
      <alignment horizontal="left" vertical="center"/>
    </xf>
    <xf numFmtId="0" fontId="29" fillId="0" borderId="5" xfId="23" applyFont="1" applyBorder="1">
      <alignment vertical="center"/>
    </xf>
    <xf numFmtId="0" fontId="29" fillId="0" borderId="20" xfId="23" applyFont="1" applyBorder="1">
      <alignment vertical="center"/>
    </xf>
    <xf numFmtId="0" fontId="29" fillId="0" borderId="6" xfId="23" applyFont="1" applyBorder="1">
      <alignment vertical="center"/>
    </xf>
    <xf numFmtId="0" fontId="26" fillId="0" borderId="36" xfId="23" applyFont="1" applyBorder="1" applyAlignment="1">
      <alignment horizontal="left" vertical="center"/>
    </xf>
    <xf numFmtId="0" fontId="29" fillId="0" borderId="3" xfId="23" applyFont="1" applyBorder="1">
      <alignment vertical="center"/>
    </xf>
    <xf numFmtId="0" fontId="29" fillId="0" borderId="37" xfId="23" applyFont="1" applyBorder="1" applyAlignment="1">
      <alignment horizontal="center" vertical="center"/>
    </xf>
    <xf numFmtId="0" fontId="29" fillId="0" borderId="38" xfId="23" applyFont="1" applyBorder="1" applyAlignment="1">
      <alignment horizontal="center" vertical="center"/>
    </xf>
    <xf numFmtId="0" fontId="29" fillId="0" borderId="33" xfId="23" applyFont="1" applyBorder="1" applyAlignment="1">
      <alignment horizontal="center" vertical="center"/>
    </xf>
    <xf numFmtId="0" fontId="29" fillId="0" borderId="27" xfId="23" applyFont="1" applyBorder="1" applyAlignment="1">
      <alignment horizontal="center" vertical="center"/>
    </xf>
    <xf numFmtId="0" fontId="29" fillId="0" borderId="1" xfId="23" applyFont="1" applyBorder="1" applyAlignment="1">
      <alignment horizontal="left" vertical="center"/>
    </xf>
    <xf numFmtId="0" fontId="32" fillId="0" borderId="0" xfId="23" applyFont="1" applyAlignment="1">
      <alignment horizontal="left" vertical="center"/>
    </xf>
    <xf numFmtId="177" fontId="29" fillId="0" borderId="0" xfId="25" applyNumberFormat="1" applyFont="1">
      <alignment vertical="center"/>
    </xf>
    <xf numFmtId="0" fontId="29" fillId="0" borderId="0" xfId="23" applyFont="1" applyAlignment="1">
      <alignment horizontal="left" vertical="center"/>
    </xf>
    <xf numFmtId="178" fontId="29" fillId="0" borderId="0" xfId="23" applyNumberFormat="1" applyFont="1" applyAlignment="1">
      <alignment horizontal="right" vertical="center"/>
    </xf>
    <xf numFmtId="166" fontId="29" fillId="0" borderId="3" xfId="23" applyNumberFormat="1" applyFont="1" applyBorder="1">
      <alignment vertical="center"/>
    </xf>
    <xf numFmtId="0" fontId="32" fillId="0" borderId="0" xfId="23" applyFont="1">
      <alignment vertical="center"/>
    </xf>
    <xf numFmtId="0" fontId="33" fillId="0" borderId="1" xfId="23" applyFont="1" applyBorder="1" applyAlignment="1">
      <alignment horizontal="left" vertical="center"/>
    </xf>
    <xf numFmtId="0" fontId="33" fillId="0" borderId="0" xfId="23" applyFont="1" applyAlignment="1">
      <alignment horizontal="left" vertical="center"/>
    </xf>
    <xf numFmtId="178" fontId="33" fillId="0" borderId="0" xfId="23" applyNumberFormat="1" applyFont="1">
      <alignment vertical="center"/>
    </xf>
    <xf numFmtId="0" fontId="33" fillId="0" borderId="0" xfId="23" applyFont="1">
      <alignment vertical="center"/>
    </xf>
    <xf numFmtId="0" fontId="26" fillId="0" borderId="1" xfId="23" applyFont="1" applyBorder="1" applyAlignment="1">
      <alignment horizontal="right" vertical="center"/>
    </xf>
    <xf numFmtId="178" fontId="26" fillId="0" borderId="0" xfId="23" quotePrefix="1" applyNumberFormat="1" applyFont="1" applyAlignment="1">
      <alignment horizontal="center" vertical="center"/>
    </xf>
    <xf numFmtId="0" fontId="34" fillId="0" borderId="0" xfId="23" applyFont="1">
      <alignment vertical="center"/>
    </xf>
    <xf numFmtId="179" fontId="26" fillId="0" borderId="3" xfId="23" applyNumberFormat="1" applyFont="1" applyBorder="1">
      <alignment vertical="center"/>
    </xf>
    <xf numFmtId="0" fontId="26" fillId="0" borderId="16" xfId="23" applyFont="1" applyBorder="1">
      <alignment vertical="center"/>
    </xf>
    <xf numFmtId="0" fontId="26" fillId="0" borderId="17" xfId="23" applyFont="1" applyBorder="1">
      <alignment vertical="center"/>
    </xf>
    <xf numFmtId="0" fontId="26" fillId="0" borderId="13" xfId="23" applyFont="1" applyBorder="1">
      <alignment vertical="center"/>
    </xf>
    <xf numFmtId="0" fontId="35" fillId="0" borderId="0" xfId="23" applyFont="1">
      <alignment vertical="center"/>
    </xf>
    <xf numFmtId="0" fontId="35" fillId="0" borderId="0" xfId="23" applyFont="1" applyAlignment="1">
      <alignment horizontal="center" vertical="center"/>
    </xf>
    <xf numFmtId="0" fontId="31" fillId="0" borderId="0" xfId="23" applyFont="1">
      <alignment vertical="center"/>
    </xf>
    <xf numFmtId="0" fontId="35" fillId="0" borderId="0" xfId="23" applyFont="1" applyAlignment="1">
      <alignment horizontal="left" vertical="center"/>
    </xf>
    <xf numFmtId="0" fontId="38" fillId="0" borderId="0" xfId="26" applyFont="1"/>
    <xf numFmtId="0" fontId="38" fillId="8" borderId="0" xfId="26" applyFont="1" applyFill="1"/>
    <xf numFmtId="0" fontId="38" fillId="8" borderId="0" xfId="26" applyFont="1" applyFill="1" applyAlignment="1">
      <alignment vertical="center"/>
    </xf>
    <xf numFmtId="180" fontId="39" fillId="8" borderId="0" xfId="26" applyNumberFormat="1" applyFont="1" applyFill="1" applyAlignment="1">
      <alignment horizontal="right" vertical="center"/>
    </xf>
    <xf numFmtId="0" fontId="38" fillId="8" borderId="0" xfId="26" applyFont="1" applyFill="1" applyAlignment="1">
      <alignment vertical="center" wrapText="1"/>
    </xf>
    <xf numFmtId="0" fontId="39" fillId="8" borderId="0" xfId="26" applyFont="1" applyFill="1" applyAlignment="1">
      <alignment vertical="center"/>
    </xf>
    <xf numFmtId="0" fontId="39" fillId="8" borderId="0" xfId="26" applyFont="1" applyFill="1" applyAlignment="1">
      <alignment horizontal="right" vertical="center"/>
    </xf>
    <xf numFmtId="0" fontId="38" fillId="8" borderId="0" xfId="26" applyFont="1" applyFill="1" applyAlignment="1">
      <alignment horizontal="center"/>
    </xf>
    <xf numFmtId="0" fontId="40" fillId="8" borderId="0" xfId="26" quotePrefix="1" applyFont="1" applyFill="1" applyAlignment="1">
      <alignment horizontal="right" vertical="center"/>
    </xf>
    <xf numFmtId="14" fontId="39" fillId="8" borderId="0" xfId="26" applyNumberFormat="1" applyFont="1" applyFill="1" applyAlignment="1">
      <alignment horizontal="right" vertical="center"/>
    </xf>
    <xf numFmtId="0" fontId="39" fillId="8" borderId="0" xfId="26" applyFont="1" applyFill="1"/>
    <xf numFmtId="0" fontId="38" fillId="5" borderId="0" xfId="26" applyFont="1" applyFill="1" applyAlignment="1">
      <alignment vertical="center" wrapText="1"/>
    </xf>
    <xf numFmtId="0" fontId="39" fillId="5" borderId="0" xfId="26" applyFont="1" applyFill="1" applyAlignment="1">
      <alignment vertical="center"/>
    </xf>
    <xf numFmtId="0" fontId="21" fillId="0" borderId="0" xfId="26" applyFont="1" applyAlignment="1">
      <alignment horizontal="center" vertical="center"/>
    </xf>
    <xf numFmtId="0" fontId="39" fillId="8" borderId="0" xfId="26" applyFont="1" applyFill="1" applyAlignment="1">
      <alignment horizontal="center" vertical="center"/>
    </xf>
    <xf numFmtId="183" fontId="39" fillId="8" borderId="0" xfId="26" applyNumberFormat="1" applyFont="1" applyFill="1" applyAlignment="1">
      <alignment horizontal="center" vertical="center"/>
    </xf>
    <xf numFmtId="0" fontId="43" fillId="8" borderId="0" xfId="26" applyFont="1" applyFill="1"/>
    <xf numFmtId="0" fontId="11" fillId="0" borderId="0" xfId="29" applyFont="1" applyAlignment="1">
      <alignment vertical="center"/>
    </xf>
    <xf numFmtId="0" fontId="39" fillId="8" borderId="0" xfId="26" applyFont="1" applyFill="1" applyAlignment="1">
      <alignment horizontal="left"/>
    </xf>
    <xf numFmtId="0" fontId="18" fillId="8" borderId="0" xfId="26" applyFont="1" applyFill="1"/>
    <xf numFmtId="0" fontId="38" fillId="8" borderId="17" xfId="26" applyFont="1" applyFill="1" applyBorder="1"/>
    <xf numFmtId="0" fontId="44" fillId="0" borderId="0" xfId="28" applyFont="1" applyAlignment="1">
      <alignment wrapText="1"/>
    </xf>
    <xf numFmtId="0" fontId="45" fillId="0" borderId="0" xfId="28" applyFont="1" applyAlignment="1">
      <alignment wrapText="1"/>
    </xf>
    <xf numFmtId="0" fontId="16" fillId="4" borderId="25" xfId="11" applyFont="1" applyFill="1" applyBorder="1" applyAlignment="1">
      <alignment horizontal="center" vertical="center" wrapText="1"/>
    </xf>
    <xf numFmtId="0" fontId="17" fillId="4" borderId="25" xfId="14" quotePrefix="1" applyFont="1" applyFill="1" applyBorder="1" applyAlignment="1">
      <alignment horizontal="center" vertical="center"/>
    </xf>
    <xf numFmtId="0" fontId="46" fillId="4" borderId="25" xfId="3" applyFont="1" applyFill="1" applyBorder="1" applyAlignment="1">
      <alignment horizontal="left" vertical="center"/>
    </xf>
    <xf numFmtId="177" fontId="33" fillId="0" borderId="0" xfId="25" applyNumberFormat="1" applyFont="1" applyAlignment="1">
      <alignment horizontal="center" vertical="center"/>
    </xf>
    <xf numFmtId="177" fontId="34" fillId="0" borderId="0" xfId="23" applyNumberFormat="1" applyFont="1" applyAlignment="1">
      <alignment horizontal="center" vertical="center"/>
    </xf>
    <xf numFmtId="3" fontId="8" fillId="0" borderId="24" xfId="13" applyNumberFormat="1" applyFont="1" applyBorder="1" applyAlignment="1">
      <alignment horizontal="center" vertical="center"/>
    </xf>
    <xf numFmtId="178" fontId="33" fillId="0" borderId="0" xfId="23" applyNumberFormat="1" applyFont="1" applyAlignment="1">
      <alignment horizontal="center" vertical="center"/>
    </xf>
    <xf numFmtId="0" fontId="33" fillId="0" borderId="0" xfId="23" applyFont="1" applyAlignment="1">
      <alignment horizontal="center" vertical="center"/>
    </xf>
    <xf numFmtId="178" fontId="33" fillId="0" borderId="0" xfId="23" applyNumberFormat="1" applyFont="1" applyAlignment="1">
      <alignment horizontal="left" vertical="center"/>
    </xf>
    <xf numFmtId="178" fontId="33" fillId="0" borderId="3" xfId="23" applyNumberFormat="1" applyFont="1" applyBorder="1" applyAlignment="1">
      <alignment horizontal="left" vertical="center"/>
    </xf>
    <xf numFmtId="187" fontId="34" fillId="0" borderId="0" xfId="23" applyNumberFormat="1" applyFont="1" applyAlignment="1">
      <alignment horizontal="center" vertical="center"/>
    </xf>
    <xf numFmtId="181" fontId="4" fillId="0" borderId="25" xfId="26" applyNumberFormat="1" applyFont="1" applyBorder="1" applyAlignment="1">
      <alignment horizontal="center" vertical="center"/>
    </xf>
    <xf numFmtId="182" fontId="11" fillId="3" borderId="25" xfId="29" applyNumberFormat="1" applyFont="1" applyFill="1" applyBorder="1" applyAlignment="1">
      <alignment horizontal="center" vertical="center"/>
    </xf>
    <xf numFmtId="178" fontId="4" fillId="3" borderId="25" xfId="26" applyNumberFormat="1" applyFont="1" applyFill="1" applyBorder="1" applyAlignment="1">
      <alignment horizontal="center" vertical="center"/>
    </xf>
    <xf numFmtId="0" fontId="38" fillId="8" borderId="0" xfId="26" applyFont="1" applyFill="1" applyAlignment="1">
      <alignment horizontal="left"/>
    </xf>
    <xf numFmtId="0" fontId="50" fillId="0" borderId="0" xfId="2" applyFont="1" applyAlignment="1">
      <alignment vertical="center"/>
    </xf>
    <xf numFmtId="0" fontId="51" fillId="0" borderId="2" xfId="2" applyFont="1" applyBorder="1" applyAlignment="1">
      <alignment vertical="center"/>
    </xf>
    <xf numFmtId="0" fontId="51" fillId="0" borderId="0" xfId="2" applyFont="1" applyAlignment="1">
      <alignment vertical="center"/>
    </xf>
    <xf numFmtId="0" fontId="50" fillId="0" borderId="18" xfId="2" applyFont="1" applyBorder="1" applyAlignment="1">
      <alignment vertical="center"/>
    </xf>
    <xf numFmtId="49" fontId="50" fillId="0" borderId="0" xfId="2" applyNumberFormat="1" applyFont="1" applyAlignment="1">
      <alignment horizontal="right" vertical="center"/>
    </xf>
    <xf numFmtId="188" fontId="50" fillId="0" borderId="0" xfId="3" applyNumberFormat="1" applyFont="1" applyAlignment="1">
      <alignment vertical="center"/>
    </xf>
    <xf numFmtId="0" fontId="50" fillId="0" borderId="4" xfId="2" quotePrefix="1" applyFont="1" applyBorder="1" applyAlignment="1">
      <alignment horizontal="left" vertical="center"/>
    </xf>
    <xf numFmtId="0" fontId="50" fillId="0" borderId="5" xfId="33" quotePrefix="1" applyFont="1" applyBorder="1" applyAlignment="1">
      <alignment horizontal="left" vertical="center"/>
    </xf>
    <xf numFmtId="0" fontId="50" fillId="0" borderId="5" xfId="2" applyFont="1" applyBorder="1" applyAlignment="1">
      <alignment vertical="center"/>
    </xf>
    <xf numFmtId="49" fontId="50" fillId="0" borderId="5" xfId="2" applyNumberFormat="1" applyFont="1" applyBorder="1" applyAlignment="1">
      <alignment horizontal="right" vertical="center"/>
    </xf>
    <xf numFmtId="188" fontId="50" fillId="0" borderId="5" xfId="3" applyNumberFormat="1" applyFont="1" applyBorder="1" applyAlignment="1">
      <alignment vertical="center"/>
    </xf>
    <xf numFmtId="0" fontId="50" fillId="3" borderId="0" xfId="33" applyFont="1" applyFill="1" applyAlignment="1" applyProtection="1">
      <alignment vertical="center"/>
      <protection locked="0"/>
    </xf>
    <xf numFmtId="0" fontId="50" fillId="0" borderId="0" xfId="33" applyFont="1" applyAlignment="1">
      <alignment vertical="center"/>
    </xf>
    <xf numFmtId="0" fontId="51" fillId="0" borderId="9" xfId="2" applyFont="1" applyBorder="1" applyAlignment="1">
      <alignment vertical="center"/>
    </xf>
    <xf numFmtId="0" fontId="50" fillId="0" borderId="8" xfId="2" applyFont="1" applyBorder="1" applyAlignment="1">
      <alignment vertical="center"/>
    </xf>
    <xf numFmtId="49" fontId="50" fillId="0" borderId="8" xfId="2" applyNumberFormat="1" applyFont="1" applyBorder="1" applyAlignment="1">
      <alignment horizontal="right" vertical="center"/>
    </xf>
    <xf numFmtId="0" fontId="50" fillId="0" borderId="2" xfId="2" applyFont="1" applyBorder="1" applyAlignment="1">
      <alignment vertical="center"/>
    </xf>
    <xf numFmtId="0" fontId="50" fillId="0" borderId="4" xfId="2" applyFont="1" applyBorder="1" applyAlignment="1">
      <alignment vertical="center"/>
    </xf>
    <xf numFmtId="0" fontId="50" fillId="0" borderId="20" xfId="2" applyFont="1" applyBorder="1" applyAlignment="1">
      <alignment vertical="center"/>
    </xf>
    <xf numFmtId="0" fontId="51" fillId="0" borderId="8" xfId="2" applyFont="1" applyBorder="1" applyAlignment="1">
      <alignment vertical="center"/>
    </xf>
    <xf numFmtId="0" fontId="50" fillId="0" borderId="21" xfId="2" applyFont="1" applyBorder="1" applyAlignment="1">
      <alignment vertical="center"/>
    </xf>
    <xf numFmtId="0" fontId="50" fillId="0" borderId="0" xfId="3" applyFont="1" applyAlignment="1">
      <alignment vertical="center"/>
    </xf>
    <xf numFmtId="0" fontId="51" fillId="0" borderId="0" xfId="5" applyFont="1"/>
    <xf numFmtId="0" fontId="50" fillId="0" borderId="18" xfId="3" applyFont="1" applyBorder="1" applyAlignment="1">
      <alignment vertical="center"/>
    </xf>
    <xf numFmtId="0" fontId="51" fillId="0" borderId="0" xfId="3" applyFont="1" applyAlignment="1">
      <alignment vertical="center"/>
    </xf>
    <xf numFmtId="0" fontId="51" fillId="0" borderId="0" xfId="33" applyFont="1" applyAlignment="1">
      <alignment vertical="center"/>
    </xf>
    <xf numFmtId="0" fontId="50" fillId="0" borderId="0" xfId="5" applyFont="1"/>
    <xf numFmtId="0" fontId="50" fillId="0" borderId="0" xfId="3" applyFont="1" applyAlignment="1">
      <alignment horizontal="center" vertical="center"/>
    </xf>
    <xf numFmtId="0" fontId="50" fillId="3" borderId="5" xfId="33" applyFont="1" applyFill="1" applyBorder="1" applyAlignment="1" applyProtection="1">
      <alignment vertical="center"/>
      <protection locked="0"/>
    </xf>
    <xf numFmtId="0" fontId="50" fillId="0" borderId="5" xfId="3" applyFont="1" applyBorder="1" applyAlignment="1">
      <alignment vertical="center"/>
    </xf>
    <xf numFmtId="0" fontId="50" fillId="0" borderId="5" xfId="5" applyFont="1" applyBorder="1"/>
    <xf numFmtId="0" fontId="50" fillId="0" borderId="20" xfId="3" applyFont="1" applyBorder="1" applyAlignment="1">
      <alignment vertical="center"/>
    </xf>
    <xf numFmtId="0" fontId="51" fillId="0" borderId="0" xfId="6" applyFont="1"/>
    <xf numFmtId="0" fontId="50" fillId="0" borderId="0" xfId="6" applyFont="1"/>
    <xf numFmtId="0" fontId="51" fillId="0" borderId="2" xfId="2" applyFont="1" applyBorder="1" applyAlignment="1">
      <alignment horizontal="left" vertical="center"/>
    </xf>
    <xf numFmtId="1" fontId="50" fillId="0" borderId="0" xfId="2" applyNumberFormat="1" applyFont="1" applyAlignment="1">
      <alignment vertical="center"/>
    </xf>
    <xf numFmtId="0" fontId="51" fillId="2" borderId="2" xfId="2" applyFont="1" applyFill="1" applyBorder="1" applyAlignment="1">
      <alignment horizontal="left" vertical="center"/>
    </xf>
    <xf numFmtId="0" fontId="50" fillId="0" borderId="0" xfId="33" applyFont="1" applyAlignment="1" applyProtection="1">
      <alignment vertical="center"/>
      <protection locked="0"/>
    </xf>
    <xf numFmtId="0" fontId="50" fillId="2" borderId="4" xfId="2" applyFont="1" applyFill="1" applyBorder="1" applyAlignment="1">
      <alignment vertical="center"/>
    </xf>
    <xf numFmtId="0" fontId="51" fillId="0" borderId="5" xfId="2" applyFont="1" applyBorder="1" applyAlignment="1">
      <alignment vertical="center"/>
    </xf>
    <xf numFmtId="0" fontId="51" fillId="0" borderId="8" xfId="3" applyFont="1" applyBorder="1" applyAlignment="1">
      <alignment vertical="center"/>
    </xf>
    <xf numFmtId="188" fontId="50" fillId="0" borderId="8" xfId="3" applyNumberFormat="1" applyFont="1" applyBorder="1" applyAlignment="1">
      <alignment horizontal="right" vertical="center"/>
    </xf>
    <xf numFmtId="49" fontId="50" fillId="0" borderId="8" xfId="3" applyNumberFormat="1" applyFont="1" applyBorder="1" applyAlignment="1">
      <alignment vertical="center"/>
    </xf>
    <xf numFmtId="0" fontId="51" fillId="0" borderId="5" xfId="3" applyFont="1" applyBorder="1" applyAlignment="1">
      <alignment vertical="center"/>
    </xf>
    <xf numFmtId="188" fontId="50" fillId="0" borderId="5" xfId="3" applyNumberFormat="1" applyFont="1" applyBorder="1" applyAlignment="1">
      <alignment horizontal="right" vertical="center"/>
    </xf>
    <xf numFmtId="49" fontId="50" fillId="0" borderId="5" xfId="3" applyNumberFormat="1" applyFont="1" applyBorder="1" applyAlignment="1">
      <alignment vertical="center"/>
    </xf>
    <xf numFmtId="0" fontId="50" fillId="2" borderId="0" xfId="2" applyFont="1" applyFill="1" applyAlignment="1">
      <alignment vertical="center"/>
    </xf>
    <xf numFmtId="0" fontId="50" fillId="0" borderId="5" xfId="34" applyFont="1" applyBorder="1" applyAlignment="1">
      <alignment vertical="center" wrapText="1"/>
    </xf>
    <xf numFmtId="0" fontId="50" fillId="2" borderId="5" xfId="3" applyFont="1" applyFill="1" applyBorder="1" applyAlignment="1">
      <alignment vertical="center"/>
    </xf>
    <xf numFmtId="0" fontId="50" fillId="2" borderId="18" xfId="2" applyFont="1" applyFill="1" applyBorder="1" applyAlignment="1">
      <alignment vertical="center"/>
    </xf>
    <xf numFmtId="0" fontId="50" fillId="2" borderId="2" xfId="2" applyFont="1" applyFill="1" applyBorder="1" applyAlignment="1">
      <alignment vertical="center"/>
    </xf>
    <xf numFmtId="0" fontId="50" fillId="2" borderId="0" xfId="3" applyFont="1" applyFill="1" applyAlignment="1">
      <alignment vertical="center"/>
    </xf>
    <xf numFmtId="0" fontId="51" fillId="0" borderId="30" xfId="3" applyFont="1" applyBorder="1" applyAlignment="1">
      <alignment vertical="center"/>
    </xf>
    <xf numFmtId="0" fontId="50" fillId="0" borderId="29" xfId="2" applyFont="1" applyBorder="1" applyAlignment="1">
      <alignment vertical="center"/>
    </xf>
    <xf numFmtId="0" fontId="50" fillId="0" borderId="0" xfId="2" applyFont="1" applyAlignment="1">
      <alignment horizontal="center" vertical="center"/>
    </xf>
    <xf numFmtId="0" fontId="50" fillId="0" borderId="0" xfId="2" applyFont="1" applyAlignment="1">
      <alignment horizontal="left" vertical="center"/>
    </xf>
    <xf numFmtId="164" fontId="50" fillId="0" borderId="0" xfId="35" applyFont="1" applyBorder="1" applyAlignment="1">
      <alignment horizontal="center" vertical="center"/>
    </xf>
    <xf numFmtId="190" fontId="50" fillId="0" borderId="0" xfId="15" applyNumberFormat="1" applyFont="1" applyBorder="1" applyAlignment="1">
      <alignment horizontal="center" vertical="center"/>
    </xf>
    <xf numFmtId="0" fontId="50" fillId="0" borderId="12" xfId="2" applyFont="1" applyBorder="1" applyAlignment="1">
      <alignment horizontal="center" vertical="center"/>
    </xf>
    <xf numFmtId="1" fontId="50" fillId="0" borderId="12" xfId="2" applyNumberFormat="1" applyFont="1" applyBorder="1" applyAlignment="1">
      <alignment vertical="center"/>
    </xf>
    <xf numFmtId="0" fontId="50" fillId="0" borderId="12" xfId="31" applyFont="1" applyBorder="1" applyAlignment="1">
      <alignment horizontal="left" vertical="center"/>
    </xf>
    <xf numFmtId="0" fontId="50" fillId="0" borderId="12" xfId="34" applyFont="1" applyBorder="1">
      <alignment vertical="center"/>
    </xf>
    <xf numFmtId="0" fontId="50" fillId="0" borderId="12" xfId="2" applyFont="1" applyBorder="1" applyAlignment="1">
      <alignment vertical="center"/>
    </xf>
    <xf numFmtId="0" fontId="50" fillId="0" borderId="12" xfId="3" applyFont="1" applyBorder="1" applyAlignment="1">
      <alignment vertical="center"/>
    </xf>
    <xf numFmtId="166" fontId="50" fillId="0" borderId="12" xfId="3" applyNumberFormat="1" applyFont="1" applyBorder="1" applyAlignment="1">
      <alignment vertical="center"/>
    </xf>
    <xf numFmtId="189" fontId="50" fillId="0" borderId="12" xfId="3" applyNumberFormat="1" applyFont="1" applyBorder="1" applyAlignment="1">
      <alignment horizontal="center" vertical="center"/>
    </xf>
    <xf numFmtId="0" fontId="51" fillId="0" borderId="39" xfId="7" applyFont="1" applyBorder="1"/>
    <xf numFmtId="0" fontId="50" fillId="0" borderId="39" xfId="2" applyFont="1" applyBorder="1" applyAlignment="1">
      <alignment vertical="center"/>
    </xf>
    <xf numFmtId="0" fontId="50" fillId="0" borderId="39" xfId="2" applyFont="1" applyBorder="1" applyAlignment="1">
      <alignment horizontal="right" vertical="center"/>
    </xf>
    <xf numFmtId="0" fontId="51" fillId="0" borderId="39" xfId="2" applyFont="1" applyBorder="1" applyAlignment="1">
      <alignment vertical="center"/>
    </xf>
    <xf numFmtId="191" fontId="51" fillId="0" borderId="39" xfId="2" applyNumberFormat="1" applyFont="1" applyBorder="1" applyAlignment="1">
      <alignment horizontal="left" vertical="center"/>
    </xf>
    <xf numFmtId="0" fontId="51" fillId="0" borderId="39" xfId="2" applyFont="1" applyBorder="1" applyAlignment="1">
      <alignment horizontal="center" vertical="center"/>
    </xf>
    <xf numFmtId="189" fontId="51" fillId="0" borderId="39" xfId="2" applyNumberFormat="1" applyFont="1" applyBorder="1" applyAlignment="1">
      <alignment horizontal="left" vertical="center"/>
    </xf>
    <xf numFmtId="0" fontId="50" fillId="0" borderId="0" xfId="2" applyFont="1" applyAlignment="1">
      <alignment horizontal="right" vertical="center"/>
    </xf>
    <xf numFmtId="0" fontId="50" fillId="0" borderId="0" xfId="31" applyFont="1" applyAlignment="1">
      <alignment horizontal="left" vertical="center"/>
    </xf>
    <xf numFmtId="0" fontId="50" fillId="0" borderId="0" xfId="34" applyFont="1">
      <alignment vertical="center"/>
    </xf>
    <xf numFmtId="189" fontId="50" fillId="0" borderId="0" xfId="3" applyNumberFormat="1" applyFont="1" applyAlignment="1">
      <alignment horizontal="center" vertical="center"/>
    </xf>
    <xf numFmtId="0" fontId="51" fillId="0" borderId="14" xfId="2" applyFont="1" applyBorder="1" applyAlignment="1">
      <alignment vertical="center"/>
    </xf>
    <xf numFmtId="49" fontId="50" fillId="0" borderId="15" xfId="2" applyNumberFormat="1" applyFont="1" applyBorder="1" applyAlignment="1">
      <alignment horizontal="right" vertical="center"/>
    </xf>
    <xf numFmtId="0" fontId="50" fillId="0" borderId="15" xfId="2" applyFont="1" applyBorder="1" applyAlignment="1">
      <alignment vertical="center"/>
    </xf>
    <xf numFmtId="0" fontId="51" fillId="0" borderId="1" xfId="2" applyFont="1" applyBorder="1" applyAlignment="1">
      <alignment vertical="center"/>
    </xf>
    <xf numFmtId="0" fontId="50" fillId="0" borderId="1" xfId="2" applyFont="1" applyBorder="1" applyAlignment="1">
      <alignment vertical="center"/>
    </xf>
    <xf numFmtId="49" fontId="50" fillId="0" borderId="0" xfId="2" applyNumberFormat="1" applyFont="1" applyAlignment="1">
      <alignment vertical="center"/>
    </xf>
    <xf numFmtId="0" fontId="50" fillId="0" borderId="30" xfId="2" applyFont="1" applyBorder="1" applyAlignment="1">
      <alignment vertical="center"/>
    </xf>
    <xf numFmtId="184" fontId="50" fillId="0" borderId="0" xfId="3" applyNumberFormat="1" applyFont="1" applyAlignment="1">
      <alignment horizontal="center" vertical="center"/>
    </xf>
    <xf numFmtId="185" fontId="50" fillId="0" borderId="0" xfId="3" applyNumberFormat="1" applyFont="1" applyAlignment="1">
      <alignment horizontal="center" vertical="center"/>
    </xf>
    <xf numFmtId="186" fontId="50" fillId="0" borderId="0" xfId="3" applyNumberFormat="1" applyFont="1" applyAlignment="1">
      <alignment horizontal="center" vertical="center"/>
    </xf>
    <xf numFmtId="167" fontId="50" fillId="0" borderId="0" xfId="3" applyNumberFormat="1" applyFont="1" applyAlignment="1">
      <alignment horizontal="center" vertical="center"/>
    </xf>
    <xf numFmtId="0" fontId="51" fillId="0" borderId="39" xfId="2" applyFont="1" applyBorder="1" applyAlignment="1">
      <alignment horizontal="right" vertical="center"/>
    </xf>
    <xf numFmtId="184" fontId="51" fillId="0" borderId="39" xfId="2" applyNumberFormat="1" applyFont="1" applyBorder="1" applyAlignment="1">
      <alignment horizontal="center" vertical="center"/>
    </xf>
    <xf numFmtId="185" fontId="51" fillId="0" borderId="39" xfId="2" applyNumberFormat="1" applyFont="1" applyBorder="1" applyAlignment="1">
      <alignment horizontal="center" vertical="center"/>
    </xf>
    <xf numFmtId="186" fontId="51" fillId="0" borderId="39" xfId="3" applyNumberFormat="1" applyFont="1" applyBorder="1" applyAlignment="1">
      <alignment horizontal="center" vertical="center"/>
    </xf>
    <xf numFmtId="178" fontId="54" fillId="0" borderId="0" xfId="23" applyNumberFormat="1" applyFont="1" applyAlignment="1">
      <alignment horizontal="center" vertical="center"/>
    </xf>
    <xf numFmtId="177" fontId="55" fillId="0" borderId="0" xfId="25" applyNumberFormat="1" applyFont="1" applyAlignment="1">
      <alignment horizontal="center" vertical="center"/>
    </xf>
    <xf numFmtId="0" fontId="34" fillId="0" borderId="0" xfId="23" applyFont="1" applyAlignment="1">
      <alignment horizontal="center" vertical="center"/>
    </xf>
    <xf numFmtId="0" fontId="11" fillId="3" borderId="40" xfId="29" applyFont="1" applyFill="1" applyBorder="1" applyAlignment="1">
      <alignment horizontal="center" vertical="center"/>
    </xf>
    <xf numFmtId="0" fontId="41" fillId="8" borderId="0" xfId="26" applyFont="1" applyFill="1" applyAlignment="1">
      <alignment vertical="center"/>
    </xf>
    <xf numFmtId="0" fontId="41" fillId="8" borderId="0" xfId="26" applyFont="1" applyFill="1"/>
    <xf numFmtId="0" fontId="39" fillId="7" borderId="40" xfId="26" applyFont="1" applyFill="1" applyBorder="1" applyAlignment="1">
      <alignment horizontal="center" vertical="center" wrapText="1"/>
    </xf>
    <xf numFmtId="0" fontId="39" fillId="7" borderId="42" xfId="26" applyFont="1" applyFill="1" applyBorder="1" applyAlignment="1">
      <alignment horizontal="center" vertical="center" wrapText="1"/>
    </xf>
    <xf numFmtId="0" fontId="39" fillId="7" borderId="46" xfId="26" applyFont="1" applyFill="1" applyBorder="1" applyAlignment="1">
      <alignment horizontal="center" vertical="center"/>
    </xf>
    <xf numFmtId="0" fontId="39" fillId="7" borderId="46" xfId="26" applyFont="1" applyFill="1" applyBorder="1" applyAlignment="1">
      <alignment vertical="center"/>
    </xf>
    <xf numFmtId="177" fontId="39" fillId="7" borderId="20" xfId="26" applyNumberFormat="1" applyFont="1" applyFill="1" applyBorder="1" applyAlignment="1">
      <alignment horizontal="center" vertical="center"/>
    </xf>
    <xf numFmtId="183" fontId="39" fillId="7" borderId="46" xfId="26" applyNumberFormat="1" applyFont="1" applyFill="1" applyBorder="1" applyAlignment="1">
      <alignment horizontal="center" vertical="center"/>
    </xf>
    <xf numFmtId="0" fontId="50" fillId="0" borderId="11" xfId="2" applyFont="1" applyBorder="1" applyAlignment="1">
      <alignment vertical="center"/>
    </xf>
    <xf numFmtId="0" fontId="52" fillId="0" borderId="12" xfId="3" applyFont="1" applyBorder="1" applyAlignment="1">
      <alignment vertical="center"/>
    </xf>
    <xf numFmtId="0" fontId="52" fillId="0" borderId="12" xfId="2" applyFont="1" applyBorder="1" applyAlignment="1">
      <alignment vertical="center"/>
    </xf>
    <xf numFmtId="0" fontId="52" fillId="0" borderId="43" xfId="3" applyFont="1" applyBorder="1" applyAlignment="1">
      <alignment vertical="center"/>
    </xf>
    <xf numFmtId="0" fontId="51" fillId="0" borderId="10" xfId="3" applyFont="1" applyBorder="1" applyAlignment="1">
      <alignment vertical="center"/>
    </xf>
    <xf numFmtId="0" fontId="50" fillId="0" borderId="10" xfId="2" applyFont="1" applyBorder="1" applyAlignment="1">
      <alignment vertical="center"/>
    </xf>
    <xf numFmtId="0" fontId="50" fillId="0" borderId="42" xfId="2" applyFont="1" applyBorder="1" applyAlignment="1">
      <alignment vertical="center"/>
    </xf>
    <xf numFmtId="0" fontId="38" fillId="8" borderId="0" xfId="26" applyFont="1" applyFill="1" applyAlignment="1">
      <alignment wrapText="1"/>
    </xf>
    <xf numFmtId="164" fontId="56" fillId="0" borderId="0" xfId="35" applyFont="1" applyBorder="1" applyAlignment="1">
      <alignment horizontal="center" vertical="center"/>
    </xf>
    <xf numFmtId="190" fontId="56" fillId="0" borderId="0" xfId="15" applyNumberFormat="1" applyFont="1" applyBorder="1" applyAlignment="1">
      <alignment horizontal="center" vertical="center"/>
    </xf>
    <xf numFmtId="178" fontId="57" fillId="0" borderId="28" xfId="26" applyNumberFormat="1" applyFont="1" applyBorder="1" applyAlignment="1">
      <alignment horizontal="center" vertical="center"/>
    </xf>
    <xf numFmtId="178" fontId="57" fillId="0" borderId="29" xfId="26" applyNumberFormat="1" applyFont="1" applyBorder="1" applyAlignment="1">
      <alignment horizontal="center" vertical="center"/>
    </xf>
    <xf numFmtId="0" fontId="58" fillId="0" borderId="0" xfId="26" applyFont="1" applyAlignment="1">
      <alignment horizontal="center" vertical="center"/>
    </xf>
    <xf numFmtId="182" fontId="4" fillId="3" borderId="25" xfId="29" applyNumberFormat="1" applyFont="1" applyFill="1" applyBorder="1" applyAlignment="1">
      <alignment horizontal="center" vertical="center"/>
    </xf>
    <xf numFmtId="1" fontId="50" fillId="0" borderId="0" xfId="2" applyNumberFormat="1" applyFont="1" applyAlignment="1">
      <alignment horizontal="center" vertical="center"/>
    </xf>
    <xf numFmtId="0" fontId="51" fillId="0" borderId="0" xfId="2" applyFont="1" applyAlignment="1">
      <alignment horizontal="center" vertical="center"/>
    </xf>
    <xf numFmtId="0" fontId="51" fillId="0" borderId="0" xfId="2" applyFont="1" applyAlignment="1">
      <alignment horizontal="left" vertical="center"/>
    </xf>
    <xf numFmtId="178" fontId="42" fillId="0" borderId="9" xfId="26" applyNumberFormat="1" applyFont="1" applyBorder="1" applyAlignment="1">
      <alignment horizontal="center" vertical="center"/>
    </xf>
    <xf numFmtId="178" fontId="42" fillId="0" borderId="21" xfId="26" applyNumberFormat="1" applyFont="1" applyBorder="1" applyAlignment="1">
      <alignment horizontal="center" vertical="center"/>
    </xf>
    <xf numFmtId="46" fontId="33" fillId="0" borderId="1" xfId="23" applyNumberFormat="1" applyFont="1" applyBorder="1" applyAlignment="1">
      <alignment horizontal="left" vertical="center"/>
    </xf>
    <xf numFmtId="1" fontId="4" fillId="0" borderId="24" xfId="27" applyNumberFormat="1" applyFont="1" applyBorder="1" applyAlignment="1">
      <alignment horizontal="center" vertical="center" wrapText="1"/>
    </xf>
    <xf numFmtId="181" fontId="4" fillId="0" borderId="24" xfId="26" applyNumberFormat="1" applyFont="1" applyBorder="1" applyAlignment="1">
      <alignment horizontal="center" vertical="center"/>
    </xf>
    <xf numFmtId="0" fontId="4" fillId="3" borderId="24" xfId="29" applyFont="1" applyFill="1" applyBorder="1" applyAlignment="1">
      <alignment horizontal="center" vertical="center"/>
    </xf>
    <xf numFmtId="182" fontId="4" fillId="3" borderId="24" xfId="29" applyNumberFormat="1" applyFont="1" applyFill="1" applyBorder="1" applyAlignment="1">
      <alignment horizontal="center" vertical="center"/>
    </xf>
    <xf numFmtId="178" fontId="4" fillId="3" borderId="24" xfId="26" applyNumberFormat="1" applyFont="1" applyFill="1" applyBorder="1" applyAlignment="1">
      <alignment horizontal="center" vertical="center"/>
    </xf>
    <xf numFmtId="178" fontId="57" fillId="0" borderId="9" xfId="26" applyNumberFormat="1" applyFont="1" applyBorder="1" applyAlignment="1">
      <alignment horizontal="center" vertical="center"/>
    </xf>
    <xf numFmtId="178" fontId="57" fillId="0" borderId="21" xfId="26" applyNumberFormat="1" applyFont="1" applyBorder="1" applyAlignment="1">
      <alignment horizontal="center" vertical="center"/>
    </xf>
    <xf numFmtId="46" fontId="59" fillId="0" borderId="1" xfId="23" applyNumberFormat="1" applyFont="1" applyBorder="1" applyAlignment="1">
      <alignment horizontal="left" vertical="center"/>
    </xf>
    <xf numFmtId="0" fontId="59" fillId="0" borderId="0" xfId="23" applyFont="1" applyAlignment="1">
      <alignment horizontal="left" vertical="center"/>
    </xf>
    <xf numFmtId="178" fontId="59" fillId="0" borderId="0" xfId="23" applyNumberFormat="1" applyFont="1" applyAlignment="1">
      <alignment horizontal="center" vertical="center"/>
    </xf>
    <xf numFmtId="177" fontId="59" fillId="0" borderId="0" xfId="25" applyNumberFormat="1" applyFont="1" applyAlignment="1">
      <alignment horizontal="center" vertical="center"/>
    </xf>
    <xf numFmtId="0" fontId="59" fillId="0" borderId="0" xfId="23" applyFont="1" applyAlignment="1">
      <alignment horizontal="center" vertical="center"/>
    </xf>
    <xf numFmtId="178" fontId="59" fillId="0" borderId="0" xfId="23" applyNumberFormat="1" applyFont="1" applyAlignment="1">
      <alignment horizontal="left" vertical="center"/>
    </xf>
    <xf numFmtId="178" fontId="59" fillId="0" borderId="3" xfId="23" applyNumberFormat="1" applyFont="1" applyBorder="1" applyAlignment="1">
      <alignment horizontal="left" vertical="center"/>
    </xf>
    <xf numFmtId="1" fontId="60" fillId="0" borderId="24" xfId="27" applyNumberFormat="1" applyFont="1" applyBorder="1" applyAlignment="1">
      <alignment horizontal="center" vertical="center" wrapText="1"/>
    </xf>
    <xf numFmtId="181" fontId="60" fillId="0" borderId="25" xfId="26" applyNumberFormat="1" applyFont="1" applyBorder="1" applyAlignment="1">
      <alignment horizontal="center" vertical="center"/>
    </xf>
    <xf numFmtId="0" fontId="60" fillId="3" borderId="24" xfId="29" applyFont="1" applyFill="1" applyBorder="1" applyAlignment="1">
      <alignment horizontal="center" vertical="center"/>
    </xf>
    <xf numFmtId="182" fontId="60" fillId="3" borderId="24" xfId="29" applyNumberFormat="1" applyFont="1" applyFill="1" applyBorder="1" applyAlignment="1">
      <alignment horizontal="center" vertical="center"/>
    </xf>
    <xf numFmtId="178" fontId="60" fillId="3" borderId="24" xfId="26" applyNumberFormat="1" applyFont="1" applyFill="1" applyBorder="1" applyAlignment="1">
      <alignment horizontal="center" vertical="center"/>
    </xf>
    <xf numFmtId="0" fontId="62" fillId="0" borderId="0" xfId="2" applyFont="1" applyAlignment="1">
      <alignment vertical="center"/>
    </xf>
    <xf numFmtId="0" fontId="51" fillId="0" borderId="0" xfId="9" applyFont="1" applyAlignment="1">
      <alignment horizontal="center" vertical="center"/>
    </xf>
    <xf numFmtId="40" fontId="51" fillId="0" borderId="0" xfId="9" applyNumberFormat="1" applyFont="1" applyAlignment="1">
      <alignment horizontal="center" vertical="center"/>
    </xf>
    <xf numFmtId="168" fontId="51" fillId="0" borderId="0" xfId="9" applyNumberFormat="1" applyFont="1" applyAlignment="1">
      <alignment horizontal="center" vertical="center"/>
    </xf>
    <xf numFmtId="164" fontId="50" fillId="0" borderId="0" xfId="35" applyFont="1" applyBorder="1" applyAlignment="1">
      <alignment horizontal="right" vertical="center"/>
    </xf>
    <xf numFmtId="167" fontId="50" fillId="0" borderId="3" xfId="3" applyNumberFormat="1" applyFont="1" applyBorder="1" applyAlignment="1">
      <alignment horizontal="right" vertical="center"/>
    </xf>
    <xf numFmtId="167" fontId="51" fillId="0" borderId="48" xfId="2" applyNumberFormat="1" applyFont="1" applyBorder="1" applyAlignment="1">
      <alignment horizontal="right" vertical="center"/>
    </xf>
    <xf numFmtId="188" fontId="50" fillId="0" borderId="3" xfId="3" applyNumberFormat="1" applyFont="1" applyBorder="1" applyAlignment="1">
      <alignment vertical="center"/>
    </xf>
    <xf numFmtId="188" fontId="50" fillId="0" borderId="6" xfId="3" applyNumberFormat="1" applyFont="1" applyBorder="1" applyAlignment="1">
      <alignment vertical="center"/>
    </xf>
    <xf numFmtId="49" fontId="50" fillId="0" borderId="52" xfId="2" applyNumberFormat="1" applyFont="1" applyBorder="1" applyAlignment="1">
      <alignment vertical="center"/>
    </xf>
    <xf numFmtId="0" fontId="50" fillId="0" borderId="3" xfId="2" applyFont="1" applyBorder="1" applyAlignment="1">
      <alignment vertical="center"/>
    </xf>
    <xf numFmtId="0" fontId="50" fillId="3" borderId="1" xfId="33" applyFont="1" applyFill="1" applyBorder="1" applyAlignment="1" applyProtection="1">
      <alignment vertical="center"/>
      <protection locked="0"/>
    </xf>
    <xf numFmtId="0" fontId="50" fillId="0" borderId="6" xfId="2" applyFont="1" applyBorder="1" applyAlignment="1">
      <alignment vertical="center"/>
    </xf>
    <xf numFmtId="0" fontId="51" fillId="0" borderId="53" xfId="2" applyFont="1" applyBorder="1" applyAlignment="1">
      <alignment vertical="center"/>
    </xf>
    <xf numFmtId="49" fontId="50" fillId="0" borderId="3" xfId="2" applyNumberFormat="1" applyFont="1" applyBorder="1" applyAlignment="1">
      <alignment vertical="center"/>
    </xf>
    <xf numFmtId="0" fontId="51" fillId="0" borderId="1" xfId="33" applyFont="1" applyBorder="1" applyAlignment="1" applyProtection="1">
      <alignment vertical="center"/>
      <protection locked="0"/>
    </xf>
    <xf numFmtId="0" fontId="51" fillId="0" borderId="3" xfId="3" applyFont="1" applyBorder="1" applyAlignment="1">
      <alignment vertical="center"/>
    </xf>
    <xf numFmtId="0" fontId="50" fillId="0" borderId="3" xfId="33" applyFont="1" applyBorder="1" applyAlignment="1">
      <alignment vertical="center"/>
    </xf>
    <xf numFmtId="0" fontId="50" fillId="0" borderId="3" xfId="3" applyFont="1" applyBorder="1" applyAlignment="1">
      <alignment vertical="center"/>
    </xf>
    <xf numFmtId="0" fontId="50" fillId="0" borderId="7" xfId="3" applyFont="1" applyBorder="1" applyAlignment="1">
      <alignment vertical="center"/>
    </xf>
    <xf numFmtId="0" fontId="50" fillId="0" borderId="1" xfId="33" applyFont="1" applyBorder="1" applyAlignment="1" applyProtection="1">
      <alignment vertical="center"/>
      <protection locked="0"/>
    </xf>
    <xf numFmtId="49" fontId="50" fillId="0" borderId="6" xfId="2" applyNumberFormat="1" applyFont="1" applyBorder="1" applyAlignment="1">
      <alignment vertical="center"/>
    </xf>
    <xf numFmtId="0" fontId="51" fillId="0" borderId="53" xfId="3" applyFont="1" applyBorder="1" applyAlignment="1">
      <alignment vertical="center"/>
    </xf>
    <xf numFmtId="192" fontId="50" fillId="0" borderId="7" xfId="3" applyNumberFormat="1" applyFont="1" applyBorder="1" applyAlignment="1">
      <alignment vertical="center"/>
    </xf>
    <xf numFmtId="192" fontId="50" fillId="0" borderId="5" xfId="3" applyNumberFormat="1" applyFont="1" applyBorder="1" applyAlignment="1">
      <alignment vertical="center"/>
    </xf>
    <xf numFmtId="192" fontId="50" fillId="0" borderId="0" xfId="2" applyNumberFormat="1" applyFont="1" applyAlignment="1">
      <alignment vertical="center"/>
    </xf>
    <xf numFmtId="0" fontId="51" fillId="0" borderId="1" xfId="3" applyFont="1" applyBorder="1" applyAlignment="1">
      <alignment vertical="center"/>
    </xf>
    <xf numFmtId="0" fontId="51" fillId="2" borderId="7" xfId="4" applyFont="1" applyFill="1" applyBorder="1" applyAlignment="1">
      <alignment horizontal="left"/>
    </xf>
    <xf numFmtId="49" fontId="50" fillId="2" borderId="3" xfId="2" applyNumberFormat="1" applyFont="1" applyFill="1" applyBorder="1" applyAlignment="1">
      <alignment vertical="center"/>
    </xf>
    <xf numFmtId="0" fontId="51" fillId="0" borderId="54" xfId="2" applyFont="1" applyBorder="1" applyAlignment="1">
      <alignment vertical="center"/>
    </xf>
    <xf numFmtId="49" fontId="50" fillId="0" borderId="55" xfId="2" applyNumberFormat="1" applyFont="1" applyBorder="1" applyAlignment="1">
      <alignment vertical="center"/>
    </xf>
    <xf numFmtId="0" fontId="50" fillId="0" borderId="56" xfId="2" applyFont="1" applyBorder="1" applyAlignment="1">
      <alignment vertical="center"/>
    </xf>
    <xf numFmtId="0" fontId="51" fillId="0" borderId="1" xfId="2" quotePrefix="1" applyFont="1" applyBorder="1" applyAlignment="1">
      <alignment vertical="center"/>
    </xf>
    <xf numFmtId="0" fontId="51" fillId="0" borderId="3" xfId="3" applyFont="1" applyBorder="1" applyAlignment="1">
      <alignment horizontal="center" vertical="center" wrapText="1"/>
    </xf>
    <xf numFmtId="167" fontId="51" fillId="0" borderId="0" xfId="3" applyNumberFormat="1" applyFont="1" applyAlignment="1">
      <alignment horizontal="center" vertical="center"/>
    </xf>
    <xf numFmtId="186" fontId="51" fillId="0" borderId="0" xfId="3" applyNumberFormat="1" applyFont="1" applyAlignment="1">
      <alignment horizontal="center" vertical="center"/>
    </xf>
    <xf numFmtId="0" fontId="51" fillId="0" borderId="3" xfId="3" applyFont="1" applyBorder="1" applyAlignment="1">
      <alignment horizontal="left" vertical="center" wrapText="1"/>
    </xf>
    <xf numFmtId="2" fontId="51" fillId="0" borderId="0" xfId="9" applyNumberFormat="1" applyFont="1" applyAlignment="1">
      <alignment horizontal="center" vertical="center"/>
    </xf>
    <xf numFmtId="2" fontId="51" fillId="0" borderId="0" xfId="9" applyNumberFormat="1" applyFont="1" applyAlignment="1">
      <alignment horizontal="center" vertical="center" wrapText="1"/>
    </xf>
    <xf numFmtId="0" fontId="52" fillId="0" borderId="0" xfId="2" applyFont="1" applyAlignment="1">
      <alignment horizontal="center" vertical="center"/>
    </xf>
    <xf numFmtId="0" fontId="52" fillId="0" borderId="0" xfId="2" applyFont="1" applyAlignment="1">
      <alignment horizontal="left" vertical="center"/>
    </xf>
    <xf numFmtId="168" fontId="52" fillId="0" borderId="0" xfId="9" applyNumberFormat="1" applyFont="1" applyAlignment="1">
      <alignment horizontal="center" vertical="center"/>
    </xf>
    <xf numFmtId="2" fontId="50" fillId="0" borderId="0" xfId="3" applyNumberFormat="1" applyFont="1" applyAlignment="1">
      <alignment horizontal="center" vertical="center"/>
    </xf>
    <xf numFmtId="167" fontId="50" fillId="0" borderId="3" xfId="3" applyNumberFormat="1" applyFont="1" applyBorder="1" applyAlignment="1">
      <alignment horizontal="center" vertical="center"/>
    </xf>
    <xf numFmtId="0" fontId="51" fillId="0" borderId="58" xfId="7" applyFont="1" applyBorder="1" applyAlignment="1">
      <alignment horizontal="right" vertical="center"/>
    </xf>
    <xf numFmtId="167" fontId="51" fillId="0" borderId="39" xfId="2" applyNumberFormat="1" applyFont="1" applyBorder="1" applyAlignment="1">
      <alignment horizontal="center" vertical="center"/>
    </xf>
    <xf numFmtId="167" fontId="51" fillId="0" borderId="48" xfId="3" applyNumberFormat="1" applyFont="1" applyBorder="1" applyAlignment="1">
      <alignment horizontal="center" vertical="center"/>
    </xf>
    <xf numFmtId="0" fontId="51" fillId="0" borderId="1" xfId="7" applyFont="1" applyBorder="1" applyAlignment="1">
      <alignment horizontal="right" vertical="center"/>
    </xf>
    <xf numFmtId="0" fontId="51" fillId="0" borderId="0" xfId="7" applyFont="1"/>
    <xf numFmtId="0" fontId="51" fillId="0" borderId="0" xfId="2" applyFont="1" applyAlignment="1">
      <alignment horizontal="right" vertical="center"/>
    </xf>
    <xf numFmtId="184" fontId="51" fillId="0" borderId="0" xfId="2" applyNumberFormat="1" applyFont="1" applyAlignment="1">
      <alignment horizontal="center" vertical="center"/>
    </xf>
    <xf numFmtId="185" fontId="51" fillId="0" borderId="0" xfId="2" applyNumberFormat="1" applyFont="1" applyAlignment="1">
      <alignment horizontal="center" vertical="center"/>
    </xf>
    <xf numFmtId="189" fontId="51" fillId="0" borderId="0" xfId="2" applyNumberFormat="1" applyFont="1" applyAlignment="1">
      <alignment horizontal="center" vertical="center"/>
    </xf>
    <xf numFmtId="167" fontId="51" fillId="0" borderId="3" xfId="3" applyNumberFormat="1" applyFont="1" applyBorder="1" applyAlignment="1">
      <alignment horizontal="center" vertical="center"/>
    </xf>
    <xf numFmtId="0" fontId="50" fillId="0" borderId="1" xfId="7" applyFont="1" applyBorder="1" applyAlignment="1">
      <alignment horizontal="right" vertical="center"/>
    </xf>
    <xf numFmtId="167" fontId="50" fillId="0" borderId="3" xfId="2" applyNumberFormat="1" applyFont="1" applyBorder="1" applyAlignment="1">
      <alignment horizontal="right" vertical="center"/>
    </xf>
    <xf numFmtId="0" fontId="51" fillId="0" borderId="14" xfId="3" applyFont="1" applyBorder="1" applyAlignment="1">
      <alignment vertical="center"/>
    </xf>
    <xf numFmtId="189" fontId="50" fillId="0" borderId="15" xfId="3" applyNumberFormat="1" applyFont="1" applyBorder="1" applyAlignment="1">
      <alignment horizontal="center" vertical="center"/>
    </xf>
    <xf numFmtId="167" fontId="50" fillId="0" borderId="19" xfId="2" applyNumberFormat="1" applyFont="1" applyBorder="1" applyAlignment="1">
      <alignment horizontal="right" vertical="center"/>
    </xf>
    <xf numFmtId="0" fontId="50" fillId="0" borderId="1" xfId="3" applyFont="1" applyBorder="1" applyAlignment="1">
      <alignment vertical="center"/>
    </xf>
    <xf numFmtId="0" fontId="50" fillId="0" borderId="16" xfId="7" applyFont="1" applyBorder="1" applyAlignment="1">
      <alignment horizontal="right" vertical="center"/>
    </xf>
    <xf numFmtId="1" fontId="50" fillId="0" borderId="17" xfId="2" applyNumberFormat="1" applyFont="1" applyBorder="1" applyAlignment="1">
      <alignment vertical="center"/>
    </xf>
    <xf numFmtId="0" fontId="50" fillId="0" borderId="17" xfId="31" applyFont="1" applyBorder="1" applyAlignment="1">
      <alignment horizontal="left" vertical="center"/>
    </xf>
    <xf numFmtId="0" fontId="50" fillId="0" borderId="17" xfId="34" applyFont="1" applyBorder="1">
      <alignment vertical="center"/>
    </xf>
    <xf numFmtId="0" fontId="50" fillId="0" borderId="17" xfId="2" applyFont="1" applyBorder="1" applyAlignment="1">
      <alignment vertical="center"/>
    </xf>
    <xf numFmtId="49" fontId="50" fillId="0" borderId="17" xfId="2" applyNumberFormat="1" applyFont="1" applyBorder="1" applyAlignment="1">
      <alignment horizontal="right" vertical="center"/>
    </xf>
    <xf numFmtId="0" fontId="50" fillId="0" borderId="16" xfId="2" applyFont="1" applyBorder="1" applyAlignment="1">
      <alignment vertical="center"/>
    </xf>
    <xf numFmtId="49" fontId="50" fillId="0" borderId="13" xfId="2" applyNumberFormat="1" applyFont="1" applyBorder="1" applyAlignment="1">
      <alignment vertical="center"/>
    </xf>
    <xf numFmtId="0" fontId="51" fillId="0" borderId="12" xfId="2" applyFont="1" applyBorder="1" applyAlignment="1">
      <alignment vertical="center"/>
    </xf>
    <xf numFmtId="1" fontId="50" fillId="0" borderId="0" xfId="2" applyNumberFormat="1" applyFont="1" applyAlignment="1">
      <alignment horizontal="left" vertical="center"/>
    </xf>
    <xf numFmtId="190" fontId="62" fillId="0" borderId="0" xfId="15" applyNumberFormat="1" applyFont="1" applyBorder="1" applyAlignment="1">
      <alignment horizontal="center" vertical="center"/>
    </xf>
    <xf numFmtId="1" fontId="50" fillId="0" borderId="3" xfId="2" applyNumberFormat="1" applyFont="1" applyBorder="1" applyAlignment="1">
      <alignment vertical="center"/>
    </xf>
    <xf numFmtId="0" fontId="50" fillId="0" borderId="0" xfId="2" quotePrefix="1" applyFont="1" applyAlignment="1">
      <alignment horizontal="left" vertical="center"/>
    </xf>
    <xf numFmtId="49" fontId="50" fillId="2" borderId="0" xfId="2" applyNumberFormat="1" applyFont="1" applyFill="1" applyAlignment="1">
      <alignment horizontal="right" vertical="center"/>
    </xf>
    <xf numFmtId="0" fontId="51" fillId="0" borderId="59" xfId="2" applyFont="1" applyBorder="1" applyAlignment="1">
      <alignment vertical="center"/>
    </xf>
    <xf numFmtId="0" fontId="51" fillId="0" borderId="0" xfId="2" quotePrefix="1" applyFont="1" applyAlignment="1">
      <alignment vertical="center"/>
    </xf>
    <xf numFmtId="49" fontId="51" fillId="0" borderId="0" xfId="2" applyNumberFormat="1" applyFont="1" applyAlignment="1">
      <alignment horizontal="center" vertical="center"/>
    </xf>
    <xf numFmtId="49" fontId="51" fillId="0" borderId="3" xfId="2" applyNumberFormat="1" applyFont="1" applyBorder="1" applyAlignment="1">
      <alignment horizontal="center" vertical="center"/>
    </xf>
    <xf numFmtId="0" fontId="52" fillId="0" borderId="1" xfId="3" applyFont="1" applyBorder="1" applyAlignment="1">
      <alignment horizontal="center" vertical="center"/>
    </xf>
    <xf numFmtId="0" fontId="52" fillId="0" borderId="0" xfId="3" applyFont="1" applyAlignment="1">
      <alignment horizontal="center" vertical="center"/>
    </xf>
    <xf numFmtId="0" fontId="52" fillId="0" borderId="0" xfId="2" applyFont="1" applyAlignment="1">
      <alignment vertical="center"/>
    </xf>
    <xf numFmtId="49" fontId="52" fillId="0" borderId="0" xfId="2" applyNumberFormat="1" applyFont="1" applyAlignment="1">
      <alignment horizontal="center" vertical="center"/>
    </xf>
    <xf numFmtId="49" fontId="52" fillId="0" borderId="3" xfId="2" applyNumberFormat="1" applyFont="1" applyBorder="1" applyAlignment="1">
      <alignment horizontal="center" vertical="center"/>
    </xf>
    <xf numFmtId="49" fontId="50" fillId="0" borderId="3" xfId="2" applyNumberFormat="1" applyFont="1" applyBorder="1" applyAlignment="1">
      <alignment horizontal="right" vertical="center"/>
    </xf>
    <xf numFmtId="0" fontId="50" fillId="0" borderId="1" xfId="2" applyFont="1" applyBorder="1" applyAlignment="1">
      <alignment horizontal="center" vertical="center"/>
    </xf>
    <xf numFmtId="49" fontId="50" fillId="0" borderId="0" xfId="2" applyNumberFormat="1" applyFont="1" applyAlignment="1">
      <alignment horizontal="left" vertical="center"/>
    </xf>
    <xf numFmtId="1" fontId="62" fillId="0" borderId="0" xfId="2" applyNumberFormat="1" applyFont="1" applyAlignment="1">
      <alignment horizontal="center" vertical="center"/>
    </xf>
    <xf numFmtId="46" fontId="56" fillId="0" borderId="1" xfId="2" applyNumberFormat="1" applyFont="1" applyBorder="1" applyAlignment="1">
      <alignment horizontal="center" vertical="center"/>
    </xf>
    <xf numFmtId="1" fontId="56" fillId="0" borderId="0" xfId="2" applyNumberFormat="1" applyFont="1" applyAlignment="1">
      <alignment horizontal="center" vertical="center"/>
    </xf>
    <xf numFmtId="0" fontId="56" fillId="0" borderId="0" xfId="2" applyFont="1" applyAlignment="1">
      <alignment horizontal="left" vertical="center"/>
    </xf>
    <xf numFmtId="0" fontId="56" fillId="0" borderId="0" xfId="2" applyFont="1" applyAlignment="1">
      <alignment vertical="center"/>
    </xf>
    <xf numFmtId="0" fontId="56" fillId="0" borderId="0" xfId="3" applyFont="1" applyAlignment="1">
      <alignment horizontal="center" vertical="center"/>
    </xf>
    <xf numFmtId="49" fontId="56" fillId="0" borderId="0" xfId="2" applyNumberFormat="1" applyFont="1" applyAlignment="1">
      <alignment horizontal="left" vertical="center"/>
    </xf>
    <xf numFmtId="164" fontId="56" fillId="0" borderId="3" xfId="35" applyFont="1" applyBorder="1" applyAlignment="1">
      <alignment horizontal="right" vertical="center"/>
    </xf>
    <xf numFmtId="0" fontId="56" fillId="0" borderId="1" xfId="2" applyFont="1" applyBorder="1" applyAlignment="1">
      <alignment horizontal="center" vertical="center"/>
    </xf>
    <xf numFmtId="0" fontId="56" fillId="0" borderId="0" xfId="2" applyFont="1" applyAlignment="1">
      <alignment horizontal="center" vertical="center"/>
    </xf>
    <xf numFmtId="1" fontId="56" fillId="0" borderId="0" xfId="2" applyNumberFormat="1" applyFont="1" applyAlignment="1">
      <alignment vertical="center"/>
    </xf>
    <xf numFmtId="0" fontId="56" fillId="0" borderId="0" xfId="31" applyFont="1" applyAlignment="1">
      <alignment horizontal="left" vertical="center"/>
    </xf>
    <xf numFmtId="0" fontId="56" fillId="0" borderId="0" xfId="34" applyFont="1">
      <alignment vertical="center"/>
    </xf>
    <xf numFmtId="0" fontId="56" fillId="0" borderId="0" xfId="3" applyFont="1" applyAlignment="1">
      <alignment vertical="center"/>
    </xf>
    <xf numFmtId="189" fontId="56" fillId="0" borderId="0" xfId="3" applyNumberFormat="1" applyFont="1" applyAlignment="1">
      <alignment horizontal="center" vertical="center"/>
    </xf>
    <xf numFmtId="167" fontId="56" fillId="0" borderId="3" xfId="2" applyNumberFormat="1" applyFont="1" applyBorder="1" applyAlignment="1">
      <alignment horizontal="right" vertical="center"/>
    </xf>
    <xf numFmtId="0" fontId="50" fillId="0" borderId="56" xfId="7" applyFont="1" applyBorder="1" applyAlignment="1">
      <alignment horizontal="right" vertical="center"/>
    </xf>
    <xf numFmtId="167" fontId="50" fillId="0" borderId="55" xfId="2" applyNumberFormat="1" applyFont="1" applyBorder="1" applyAlignment="1">
      <alignment horizontal="right" vertical="center"/>
    </xf>
    <xf numFmtId="0" fontId="50" fillId="0" borderId="58" xfId="7" applyFont="1" applyBorder="1" applyAlignment="1">
      <alignment horizontal="right" vertical="center"/>
    </xf>
    <xf numFmtId="166" fontId="50" fillId="0" borderId="0" xfId="3" applyNumberFormat="1" applyFont="1" applyAlignment="1">
      <alignment vertical="center"/>
    </xf>
    <xf numFmtId="0" fontId="51" fillId="0" borderId="0" xfId="8" applyFont="1"/>
    <xf numFmtId="49" fontId="50" fillId="0" borderId="19" xfId="2" applyNumberFormat="1" applyFont="1" applyBorder="1" applyAlignment="1">
      <alignment vertical="center"/>
    </xf>
    <xf numFmtId="0" fontId="50" fillId="0" borderId="17" xfId="2" applyFont="1" applyBorder="1" applyAlignment="1">
      <alignment horizontal="center" vertical="center"/>
    </xf>
    <xf numFmtId="0" fontId="50" fillId="0" borderId="17" xfId="3" applyFont="1" applyBorder="1" applyAlignment="1">
      <alignment vertical="center"/>
    </xf>
    <xf numFmtId="0" fontId="50" fillId="3" borderId="2" xfId="33" applyFont="1" applyFill="1" applyBorder="1" applyAlignment="1" applyProtection="1">
      <alignment vertical="center"/>
      <protection locked="0"/>
    </xf>
    <xf numFmtId="0" fontId="62" fillId="0" borderId="1" xfId="2" applyFont="1" applyBorder="1" applyAlignment="1">
      <alignment vertical="center"/>
    </xf>
    <xf numFmtId="167" fontId="62" fillId="0" borderId="3" xfId="3" applyNumberFormat="1" applyFont="1" applyBorder="1" applyAlignment="1">
      <alignment horizontal="center" vertical="center"/>
    </xf>
    <xf numFmtId="15" fontId="50" fillId="0" borderId="5" xfId="3" applyNumberFormat="1" applyFont="1" applyBorder="1" applyAlignment="1">
      <alignment vertical="center"/>
    </xf>
    <xf numFmtId="0" fontId="53" fillId="0" borderId="49" xfId="2" applyFont="1" applyBorder="1" applyAlignment="1">
      <alignment horizontal="center" vertical="center"/>
    </xf>
    <xf numFmtId="0" fontId="53" fillId="0" borderId="50" xfId="2" applyFont="1" applyBorder="1" applyAlignment="1">
      <alignment horizontal="center" vertical="center"/>
    </xf>
    <xf numFmtId="0" fontId="53" fillId="0" borderId="51" xfId="2" applyFont="1" applyBorder="1" applyAlignment="1">
      <alignment horizontal="center" vertical="center"/>
    </xf>
    <xf numFmtId="0" fontId="8" fillId="0" borderId="22" xfId="13" applyFont="1" applyBorder="1" applyAlignment="1">
      <alignment horizontal="center" vertical="top"/>
    </xf>
    <xf numFmtId="0" fontId="8" fillId="0" borderId="24" xfId="13" applyFont="1" applyBorder="1" applyAlignment="1">
      <alignment horizontal="center" vertical="top"/>
    </xf>
    <xf numFmtId="0" fontId="19" fillId="0" borderId="0" xfId="13" applyFont="1" applyAlignment="1">
      <alignment horizontal="center" vertical="center"/>
    </xf>
    <xf numFmtId="170" fontId="13" fillId="0" borderId="2" xfId="13" applyNumberFormat="1" applyFont="1" applyBorder="1" applyAlignment="1">
      <alignment horizontal="center" vertical="center" wrapText="1"/>
    </xf>
    <xf numFmtId="170" fontId="13" fillId="0" borderId="0" xfId="13" applyNumberFormat="1" applyFont="1" applyAlignment="1">
      <alignment horizontal="center" vertical="center" wrapText="1"/>
    </xf>
    <xf numFmtId="170" fontId="13" fillId="0" borderId="18" xfId="13" applyNumberFormat="1" applyFont="1" applyBorder="1" applyAlignment="1">
      <alignment horizontal="center" vertical="center" wrapText="1"/>
    </xf>
    <xf numFmtId="170" fontId="13" fillId="0" borderId="4" xfId="13" applyNumberFormat="1" applyFont="1" applyBorder="1" applyAlignment="1">
      <alignment horizontal="center" vertical="center" wrapText="1"/>
    </xf>
    <xf numFmtId="170" fontId="13" fillId="0" borderId="5" xfId="13" applyNumberFormat="1" applyFont="1" applyBorder="1" applyAlignment="1">
      <alignment horizontal="center" vertical="center" wrapText="1"/>
    </xf>
    <xf numFmtId="170" fontId="13" fillId="0" borderId="20" xfId="13" applyNumberFormat="1" applyFont="1" applyBorder="1" applyAlignment="1">
      <alignment horizontal="center" vertical="center" wrapText="1"/>
    </xf>
    <xf numFmtId="0" fontId="14" fillId="0" borderId="2" xfId="13" applyFont="1" applyBorder="1" applyAlignment="1">
      <alignment horizontal="center" vertical="center" wrapText="1"/>
    </xf>
    <xf numFmtId="0" fontId="14" fillId="0" borderId="18" xfId="13" applyFont="1" applyBorder="1" applyAlignment="1">
      <alignment horizontal="center" vertical="center" wrapText="1"/>
    </xf>
    <xf numFmtId="0" fontId="14" fillId="0" borderId="4" xfId="13" applyFont="1" applyBorder="1" applyAlignment="1">
      <alignment horizontal="center" vertical="center" wrapText="1"/>
    </xf>
    <xf numFmtId="0" fontId="14" fillId="0" borderId="20" xfId="13" applyFont="1" applyBorder="1" applyAlignment="1">
      <alignment horizontal="center" vertical="center" wrapText="1"/>
    </xf>
    <xf numFmtId="0" fontId="9" fillId="0" borderId="2" xfId="10" applyFont="1" applyBorder="1" applyAlignment="1">
      <alignment horizontal="center" vertical="center"/>
    </xf>
    <xf numFmtId="0" fontId="9" fillId="0" borderId="0" xfId="10" applyFont="1" applyAlignment="1">
      <alignment horizontal="center" vertical="center"/>
    </xf>
    <xf numFmtId="0" fontId="9" fillId="0" borderId="18" xfId="10" applyFont="1" applyBorder="1" applyAlignment="1">
      <alignment horizontal="center" vertical="center"/>
    </xf>
    <xf numFmtId="0" fontId="9" fillId="0" borderId="4" xfId="10" applyFont="1" applyBorder="1" applyAlignment="1">
      <alignment horizontal="center" vertical="center"/>
    </xf>
    <xf numFmtId="0" fontId="9" fillId="0" borderId="5" xfId="10" applyFont="1" applyBorder="1" applyAlignment="1">
      <alignment horizontal="center" vertical="center"/>
    </xf>
    <xf numFmtId="0" fontId="9" fillId="0" borderId="20" xfId="10" applyFont="1" applyBorder="1" applyAlignment="1">
      <alignment horizontal="center" vertical="center"/>
    </xf>
    <xf numFmtId="0" fontId="8" fillId="0" borderId="8" xfId="13" applyFont="1" applyBorder="1" applyAlignment="1">
      <alignment horizontal="center"/>
    </xf>
    <xf numFmtId="0" fontId="8" fillId="0" borderId="21" xfId="13" applyFont="1" applyBorder="1" applyAlignment="1">
      <alignment horizontal="center"/>
    </xf>
    <xf numFmtId="0" fontId="12" fillId="0" borderId="2" xfId="13" applyFont="1" applyBorder="1" applyAlignment="1">
      <alignment horizontal="center" vertical="center"/>
    </xf>
    <xf numFmtId="0" fontId="12" fillId="0" borderId="0" xfId="13" applyFont="1" applyAlignment="1">
      <alignment horizontal="center" vertical="center"/>
    </xf>
    <xf numFmtId="0" fontId="12" fillId="0" borderId="18" xfId="13" applyFont="1" applyBorder="1" applyAlignment="1">
      <alignment horizontal="center" vertical="center"/>
    </xf>
    <xf numFmtId="0" fontId="12" fillId="0" borderId="4" xfId="13" applyFont="1" applyBorder="1" applyAlignment="1">
      <alignment horizontal="center" vertical="center"/>
    </xf>
    <xf numFmtId="0" fontId="12" fillId="0" borderId="5" xfId="13" applyFont="1" applyBorder="1" applyAlignment="1">
      <alignment horizontal="center" vertical="center"/>
    </xf>
    <xf numFmtId="0" fontId="12" fillId="0" borderId="20" xfId="13" applyFont="1" applyBorder="1" applyAlignment="1">
      <alignment horizontal="center" vertical="center"/>
    </xf>
    <xf numFmtId="0" fontId="9" fillId="0" borderId="23" xfId="13" applyFont="1" applyBorder="1" applyAlignment="1">
      <alignment horizontal="center" vertical="center"/>
    </xf>
    <xf numFmtId="0" fontId="9" fillId="0" borderId="24" xfId="13" applyFont="1" applyBorder="1" applyAlignment="1">
      <alignment horizontal="center" vertical="center"/>
    </xf>
    <xf numFmtId="0" fontId="9" fillId="0" borderId="2" xfId="13" applyFont="1" applyBorder="1" applyAlignment="1">
      <alignment horizontal="center" vertical="center"/>
    </xf>
    <xf numFmtId="0" fontId="9" fillId="0" borderId="18" xfId="13" applyFont="1" applyBorder="1" applyAlignment="1">
      <alignment horizontal="center" vertical="center"/>
    </xf>
    <xf numFmtId="0" fontId="9" fillId="0" borderId="4" xfId="13" applyFont="1" applyBorder="1" applyAlignment="1">
      <alignment horizontal="center" vertical="center"/>
    </xf>
    <xf numFmtId="0" fontId="9" fillId="0" borderId="20" xfId="13" applyFont="1" applyBorder="1" applyAlignment="1">
      <alignment horizontal="center" vertical="center"/>
    </xf>
    <xf numFmtId="171" fontId="9" fillId="0" borderId="2" xfId="13" applyNumberFormat="1" applyFont="1" applyBorder="1" applyAlignment="1">
      <alignment horizontal="center" vertical="center"/>
    </xf>
    <xf numFmtId="171" fontId="9" fillId="0" borderId="0" xfId="13" applyNumberFormat="1" applyFont="1" applyAlignment="1">
      <alignment horizontal="center" vertical="center"/>
    </xf>
    <xf numFmtId="171" fontId="9" fillId="0" borderId="18" xfId="13" applyNumberFormat="1" applyFont="1" applyBorder="1" applyAlignment="1">
      <alignment horizontal="center" vertical="center"/>
    </xf>
    <xf numFmtId="171" fontId="9" fillId="0" borderId="4" xfId="13" applyNumberFormat="1" applyFont="1" applyBorder="1" applyAlignment="1">
      <alignment horizontal="center" vertical="center"/>
    </xf>
    <xf numFmtId="171" fontId="9" fillId="0" borderId="5" xfId="13" applyNumberFormat="1" applyFont="1" applyBorder="1" applyAlignment="1">
      <alignment horizontal="center" vertical="center"/>
    </xf>
    <xf numFmtId="171" fontId="9" fillId="0" borderId="20" xfId="13" applyNumberFormat="1" applyFont="1" applyBorder="1" applyAlignment="1">
      <alignment horizontal="center" vertical="center"/>
    </xf>
    <xf numFmtId="172" fontId="9" fillId="0" borderId="23" xfId="13" applyNumberFormat="1" applyFont="1" applyBorder="1" applyAlignment="1">
      <alignment horizontal="center" vertical="center"/>
    </xf>
    <xf numFmtId="172" fontId="9" fillId="0" borderId="24" xfId="13" applyNumberFormat="1" applyFont="1" applyBorder="1" applyAlignment="1">
      <alignment horizontal="center" vertical="center"/>
    </xf>
    <xf numFmtId="40" fontId="52" fillId="0" borderId="0" xfId="9" applyNumberFormat="1" applyFont="1" applyAlignment="1">
      <alignment horizontal="center" vertical="center"/>
    </xf>
    <xf numFmtId="1" fontId="51" fillId="0" borderId="0" xfId="2" applyNumberFormat="1" applyFont="1" applyAlignment="1">
      <alignment horizontal="left" vertical="center" wrapText="1"/>
    </xf>
    <xf numFmtId="0" fontId="51" fillId="0" borderId="11" xfId="9" applyFont="1" applyBorder="1" applyAlignment="1">
      <alignment horizontal="center" vertical="center"/>
    </xf>
    <xf numFmtId="0" fontId="51" fillId="0" borderId="43" xfId="9" applyFont="1" applyBorder="1" applyAlignment="1">
      <alignment horizontal="center" vertical="center"/>
    </xf>
    <xf numFmtId="0" fontId="51" fillId="0" borderId="12" xfId="9" applyFont="1" applyBorder="1" applyAlignment="1">
      <alignment horizontal="center" vertical="center"/>
    </xf>
    <xf numFmtId="0" fontId="51" fillId="0" borderId="55" xfId="9" applyFont="1" applyBorder="1" applyAlignment="1">
      <alignment horizontal="center" vertical="center"/>
    </xf>
    <xf numFmtId="40" fontId="51" fillId="0" borderId="0" xfId="9" applyNumberFormat="1" applyFont="1" applyAlignment="1">
      <alignment horizontal="center" vertical="center"/>
    </xf>
    <xf numFmtId="0" fontId="51" fillId="0" borderId="0" xfId="9" applyFont="1" applyAlignment="1">
      <alignment horizontal="center" vertical="center"/>
    </xf>
    <xf numFmtId="0" fontId="51" fillId="0" borderId="47" xfId="9" applyFont="1" applyBorder="1" applyAlignment="1">
      <alignment horizontal="center" vertical="center" wrapText="1"/>
    </xf>
    <xf numFmtId="0" fontId="51" fillId="0" borderId="0" xfId="9" applyFont="1" applyAlignment="1">
      <alignment horizontal="center" vertical="center" wrapText="1"/>
    </xf>
    <xf numFmtId="168" fontId="51" fillId="0" borderId="47" xfId="9" applyNumberFormat="1" applyFont="1" applyBorder="1" applyAlignment="1">
      <alignment horizontal="center" vertical="center"/>
    </xf>
    <xf numFmtId="168" fontId="51" fillId="0" borderId="0" xfId="9" applyNumberFormat="1" applyFont="1" applyAlignment="1">
      <alignment horizontal="center" vertical="center"/>
    </xf>
    <xf numFmtId="0" fontId="51" fillId="0" borderId="57" xfId="3" applyFont="1" applyBorder="1" applyAlignment="1">
      <alignment horizontal="center" vertical="center" wrapText="1"/>
    </xf>
    <xf numFmtId="0" fontId="51" fillId="0" borderId="3" xfId="3" applyFont="1" applyBorder="1" applyAlignment="1">
      <alignment horizontal="center" vertical="center" wrapText="1"/>
    </xf>
    <xf numFmtId="0" fontId="19" fillId="0" borderId="0" xfId="0" applyFont="1"/>
    <xf numFmtId="0" fontId="24" fillId="0" borderId="0" xfId="23" applyFont="1" applyAlignment="1">
      <alignment horizontal="center" vertical="center"/>
    </xf>
    <xf numFmtId="0" fontId="25" fillId="0" borderId="0" xfId="23" applyFont="1" applyAlignment="1">
      <alignment horizontal="center" vertical="center"/>
    </xf>
    <xf numFmtId="0" fontId="30" fillId="0" borderId="9" xfId="23" applyFont="1" applyBorder="1" applyAlignment="1">
      <alignment horizontal="center" vertical="center"/>
    </xf>
    <xf numFmtId="0" fontId="30" fillId="0" borderId="21" xfId="23" applyFont="1" applyBorder="1" applyAlignment="1">
      <alignment horizontal="center" vertical="center"/>
    </xf>
    <xf numFmtId="176" fontId="31" fillId="0" borderId="30" xfId="23" applyNumberFormat="1" applyFont="1" applyBorder="1" applyAlignment="1">
      <alignment horizontal="center" vertical="center"/>
    </xf>
    <xf numFmtId="0" fontId="29" fillId="0" borderId="32" xfId="23" applyFont="1" applyBorder="1" applyAlignment="1">
      <alignment horizontal="center" vertical="center"/>
    </xf>
    <xf numFmtId="0" fontId="29" fillId="0" borderId="26" xfId="23" applyFont="1" applyBorder="1" applyAlignment="1">
      <alignment horizontal="center" vertical="center"/>
    </xf>
    <xf numFmtId="0" fontId="29" fillId="0" borderId="33" xfId="23" applyFont="1" applyBorder="1" applyAlignment="1">
      <alignment horizontal="center" vertical="center"/>
    </xf>
    <xf numFmtId="0" fontId="25" fillId="0" borderId="2" xfId="23" applyFont="1" applyBorder="1" applyAlignment="1">
      <alignment horizontal="center" vertical="center" wrapText="1"/>
    </xf>
    <xf numFmtId="0" fontId="25" fillId="0" borderId="18" xfId="23" applyFont="1" applyBorder="1" applyAlignment="1">
      <alignment horizontal="center" vertical="center"/>
    </xf>
    <xf numFmtId="0" fontId="25" fillId="0" borderId="2" xfId="23" applyFont="1" applyBorder="1" applyAlignment="1">
      <alignment horizontal="center" vertical="center"/>
    </xf>
    <xf numFmtId="0" fontId="25" fillId="0" borderId="4" xfId="23" applyFont="1" applyBorder="1" applyAlignment="1">
      <alignment horizontal="center" vertical="center"/>
    </xf>
    <xf numFmtId="0" fontId="25" fillId="0" borderId="20" xfId="23" applyFont="1" applyBorder="1" applyAlignment="1">
      <alignment horizontal="center" vertical="center"/>
    </xf>
    <xf numFmtId="0" fontId="26" fillId="0" borderId="28" xfId="23" applyFont="1" applyBorder="1">
      <alignment vertical="center"/>
    </xf>
    <xf numFmtId="0" fontId="26" fillId="0" borderId="29" xfId="23" applyFont="1" applyBorder="1">
      <alignment vertical="center"/>
    </xf>
    <xf numFmtId="0" fontId="29" fillId="0" borderId="28" xfId="23" applyFont="1" applyBorder="1">
      <alignment vertical="center"/>
    </xf>
    <xf numFmtId="0" fontId="29" fillId="0" borderId="30" xfId="23" applyFont="1" applyBorder="1">
      <alignment vertical="center"/>
    </xf>
    <xf numFmtId="0" fontId="29" fillId="0" borderId="31" xfId="23" applyFont="1" applyBorder="1">
      <alignment vertical="center"/>
    </xf>
    <xf numFmtId="0" fontId="29" fillId="0" borderId="28" xfId="23" applyFont="1" applyBorder="1" applyAlignment="1">
      <alignment horizontal="left" vertical="center"/>
    </xf>
    <xf numFmtId="0" fontId="29" fillId="0" borderId="29" xfId="23" applyFont="1" applyBorder="1" applyAlignment="1">
      <alignment horizontal="left" vertical="center"/>
    </xf>
    <xf numFmtId="178" fontId="57" fillId="0" borderId="28" xfId="26" applyNumberFormat="1" applyFont="1" applyBorder="1" applyAlignment="1">
      <alignment horizontal="center" vertical="center"/>
    </xf>
    <xf numFmtId="178" fontId="57" fillId="0" borderId="29" xfId="26" applyNumberFormat="1" applyFont="1" applyBorder="1" applyAlignment="1">
      <alignment horizontal="center" vertical="center"/>
    </xf>
    <xf numFmtId="0" fontId="61" fillId="0" borderId="24" xfId="28" applyFont="1" applyBorder="1" applyAlignment="1">
      <alignment horizontal="left" vertical="center"/>
    </xf>
    <xf numFmtId="0" fontId="9" fillId="0" borderId="24" xfId="28" applyFont="1" applyBorder="1" applyAlignment="1">
      <alignment horizontal="left" vertical="center"/>
    </xf>
    <xf numFmtId="0" fontId="39" fillId="7" borderId="44" xfId="26" applyFont="1" applyFill="1" applyBorder="1" applyAlignment="1">
      <alignment horizontal="center" vertical="center"/>
    </xf>
    <xf numFmtId="0" fontId="39" fillId="7" borderId="45" xfId="26" applyFont="1" applyFill="1" applyBorder="1" applyAlignment="1">
      <alignment horizontal="center" vertical="center"/>
    </xf>
    <xf numFmtId="0" fontId="39" fillId="7" borderId="46" xfId="26" applyFont="1" applyFill="1" applyBorder="1" applyAlignment="1">
      <alignment horizontal="center" vertical="center"/>
    </xf>
    <xf numFmtId="0" fontId="39" fillId="7" borderId="4" xfId="26" applyFont="1" applyFill="1" applyBorder="1" applyAlignment="1">
      <alignment horizontal="center" vertical="center"/>
    </xf>
    <xf numFmtId="0" fontId="39" fillId="7" borderId="20" xfId="26" applyFont="1" applyFill="1" applyBorder="1" applyAlignment="1">
      <alignment horizontal="center" vertical="center"/>
    </xf>
    <xf numFmtId="178" fontId="42" fillId="0" borderId="41" xfId="26" applyNumberFormat="1" applyFont="1" applyBorder="1" applyAlignment="1">
      <alignment horizontal="center" vertical="center"/>
    </xf>
    <xf numFmtId="178" fontId="42" fillId="0" borderId="42" xfId="26" applyNumberFormat="1" applyFont="1" applyBorder="1" applyAlignment="1">
      <alignment horizontal="center" vertical="center"/>
    </xf>
    <xf numFmtId="0" fontId="9" fillId="0" borderId="25" xfId="28" applyFont="1" applyBorder="1" applyAlignment="1">
      <alignment horizontal="left" vertical="center"/>
    </xf>
    <xf numFmtId="0" fontId="37" fillId="6" borderId="0" xfId="26" applyFont="1" applyFill="1" applyAlignment="1">
      <alignment horizontal="center"/>
    </xf>
    <xf numFmtId="0" fontId="38" fillId="8" borderId="0" xfId="26" applyFont="1" applyFill="1" applyAlignment="1">
      <alignment horizontal="left"/>
    </xf>
    <xf numFmtId="0" fontId="39" fillId="7" borderId="10" xfId="26" applyFont="1" applyFill="1" applyBorder="1" applyAlignment="1">
      <alignment horizontal="center" vertical="center" wrapText="1"/>
    </xf>
    <xf numFmtId="0" fontId="39" fillId="7" borderId="42" xfId="26" applyFont="1" applyFill="1" applyBorder="1" applyAlignment="1">
      <alignment horizontal="center" vertical="center" wrapText="1"/>
    </xf>
    <xf numFmtId="0" fontId="39" fillId="7" borderId="41" xfId="26" applyFont="1" applyFill="1" applyBorder="1" applyAlignment="1">
      <alignment horizontal="center" vertical="center"/>
    </xf>
    <xf numFmtId="0" fontId="39" fillId="7" borderId="42" xfId="26" applyFont="1" applyFill="1" applyBorder="1" applyAlignment="1">
      <alignment horizontal="center" vertical="center"/>
    </xf>
    <xf numFmtId="178" fontId="42" fillId="0" borderId="44" xfId="26" applyNumberFormat="1" applyFont="1" applyBorder="1" applyAlignment="1">
      <alignment horizontal="center" vertical="center"/>
    </xf>
    <xf numFmtId="178" fontId="42" fillId="0" borderId="46" xfId="26" applyNumberFormat="1" applyFont="1" applyBorder="1" applyAlignment="1">
      <alignment horizontal="center" vertical="center"/>
    </xf>
    <xf numFmtId="178" fontId="42" fillId="0" borderId="28" xfId="26" applyNumberFormat="1" applyFont="1" applyBorder="1" applyAlignment="1">
      <alignment horizontal="center" vertical="center"/>
    </xf>
    <xf numFmtId="178" fontId="42" fillId="0" borderId="29" xfId="26" applyNumberFormat="1" applyFont="1" applyBorder="1" applyAlignment="1">
      <alignment horizontal="center" vertical="center"/>
    </xf>
  </cellXfs>
  <cellStyles count="36">
    <cellStyle name="Comma [0] 2" xfId="32" xr:uid="{00000000-0005-0000-0000-000000000000}"/>
    <cellStyle name="Comma 2 2" xfId="20" xr:uid="{00000000-0005-0000-0000-000001000000}"/>
    <cellStyle name="Comma 2 3" xfId="18" xr:uid="{00000000-0005-0000-0000-000002000000}"/>
    <cellStyle name="Currency" xfId="35" builtinId="4"/>
    <cellStyle name="Normal" xfId="0" builtinId="0"/>
    <cellStyle name="Normal 2" xfId="33" xr:uid="{00000000-0005-0000-0000-000005000000}"/>
    <cellStyle name="Normal 4" xfId="12" xr:uid="{00000000-0005-0000-0000-000006000000}"/>
    <cellStyle name="Normal 4 2" xfId="14" xr:uid="{00000000-0005-0000-0000-000007000000}"/>
    <cellStyle name="Normal 40" xfId="22" xr:uid="{00000000-0005-0000-0000-000008000000}"/>
    <cellStyle name="Normal 6" xfId="19" xr:uid="{00000000-0005-0000-0000-000009000000}"/>
    <cellStyle name="Normal 7" xfId="21" xr:uid="{00000000-0005-0000-0000-00000A000000}"/>
    <cellStyle name="Normal 8" xfId="1" xr:uid="{00000000-0005-0000-0000-00000B000000}"/>
    <cellStyle name="쉼표 [0] 3 2" xfId="25" xr:uid="{00000000-0005-0000-0000-00000C000000}"/>
    <cellStyle name="표준 2_Kevin's accounts Order List" xfId="24" xr:uid="{00000000-0005-0000-0000-00000D000000}"/>
    <cellStyle name="표준 3 3" xfId="23" xr:uid="{00000000-0005-0000-0000-00000E000000}"/>
    <cellStyle name="표준_CON(STA)_NCT03-0055(NP03-0186)-SUF-WMT2080B,G_ZI05-0567(SAVANNAH2301462027)" xfId="10" xr:uid="{00000000-0005-0000-0000-00000F000000}"/>
    <cellStyle name="표준_GP-SDR (1)" xfId="13" xr:uid="{00000000-0005-0000-0000-000010000000}"/>
    <cellStyle name="표준_marking" xfId="7" xr:uid="{00000000-0005-0000-0000-000011000000}"/>
    <cellStyle name="千位分隔_Obusforme order confirmation-08863" xfId="15" xr:uid="{00000000-0005-0000-0000-000012000000}"/>
    <cellStyle name="常规 3" xfId="30" xr:uid="{00000000-0005-0000-0000-000013000000}"/>
    <cellStyle name="常规 3 2" xfId="34" xr:uid="{00000000-0005-0000-0000-000014000000}"/>
    <cellStyle name="常规 3 3 2" xfId="11" xr:uid="{00000000-0005-0000-0000-000015000000}"/>
    <cellStyle name="常规 4" xfId="31" xr:uid="{00000000-0005-0000-0000-000016000000}"/>
    <cellStyle name="常规_320198766032019881613201988162" xfId="26" xr:uid="{00000000-0005-0000-0000-000017000000}"/>
    <cellStyle name="常规_ETD 090515(AB2684) Savannah 融资xls." xfId="28" xr:uid="{00000000-0005-0000-0000-000018000000}"/>
    <cellStyle name="常规_in,pk(SOU)-CC_NCP03-0031,NP03-1074" xfId="9" xr:uid="{00000000-0005-0000-0000-000019000000}"/>
    <cellStyle name="常规_Jct99-0009" xfId="3" xr:uid="{00000000-0005-0000-0000-00001A000000}"/>
    <cellStyle name="常规_Jct99-0009 2" xfId="29" xr:uid="{00000000-0005-0000-0000-00001B000000}"/>
    <cellStyle name="常规_Jct99-0009_ETD 06 09(PO#ZIN12099)-METRO" xfId="2" xr:uid="{00000000-0005-0000-0000-00001C000000}"/>
    <cellStyle name="常规_JCT99-0352(CF390) 2" xfId="4" xr:uid="{00000000-0005-0000-0000-00001D000000}"/>
    <cellStyle name="常规_JCT99-0352(CF390)_ETD 06 09(PO#ZIN12099)-METRO" xfId="6" xr:uid="{00000000-0005-0000-0000-00001E000000}"/>
    <cellStyle name="常规_JCT99-0352(CF390)_ETD 09.30 (PO#ZIN12181 12186 12166 1221652206 12182   12192)-MATRO" xfId="5" xr:uid="{00000000-0005-0000-0000-00001F000000}"/>
    <cellStyle name="常规_JCT99-0725(LOS1109)_ETD 06 09(PO#ZIN12099)-METRO" xfId="8" xr:uid="{00000000-0005-0000-0000-000020000000}"/>
    <cellStyle name="常规_Sam's com 12in Foam Mattress 090518C" xfId="16" xr:uid="{00000000-0005-0000-0000-000021000000}"/>
    <cellStyle name="常规_WMT DOMESTIC SPRING MATTRESS SHIPPING MARK-080107 (2)" xfId="17" xr:uid="{00000000-0005-0000-0000-000022000000}"/>
    <cellStyle name="样式 1" xfId="27" xr:uid="{00000000-0005-0000-0000-000023000000}"/>
  </cellStyles>
  <dxfs count="6"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95251</xdr:colOff>
      <xdr:row>1</xdr:row>
      <xdr:rowOff>52918</xdr:rowOff>
    </xdr:from>
    <xdr:to>
      <xdr:col>1</xdr:col>
      <xdr:colOff>1039237</xdr:colOff>
      <xdr:row>1</xdr:row>
      <xdr:rowOff>719666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F9166-9334-4E2E-B427-0215C4520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168" y="296335"/>
          <a:ext cx="943986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95251</xdr:colOff>
      <xdr:row>1</xdr:row>
      <xdr:rowOff>52918</xdr:rowOff>
    </xdr:from>
    <xdr:to>
      <xdr:col>1</xdr:col>
      <xdr:colOff>1039237</xdr:colOff>
      <xdr:row>1</xdr:row>
      <xdr:rowOff>719666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70874-0146-451C-A8C6-396860B0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1" y="310093"/>
          <a:ext cx="943986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1200150</xdr:colOff>
      <xdr:row>5</xdr:row>
      <xdr:rowOff>0</xdr:rowOff>
    </xdr:from>
    <xdr:to>
      <xdr:col>4</xdr:col>
      <xdr:colOff>38100</xdr:colOff>
      <xdr:row>7</xdr:row>
      <xdr:rowOff>38100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2219325" y="1114425"/>
          <a:ext cx="3162300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en-US" altLang="ko-KR" sz="1700" b="1" i="0" strike="noStrike">
              <a:solidFill>
                <a:srgbClr val="000000"/>
              </a:solidFill>
              <a:latin typeface="Arial"/>
              <a:cs typeface="Arial"/>
            </a:rPr>
            <a:t>SALES NOTE</a:t>
          </a:r>
        </a:p>
      </xdr:txBody>
    </xdr:sp>
    <xdr:clientData/>
  </xdr:twoCellAnchor>
  <xdr:twoCellAnchor>
    <xdr:from>
      <xdr:col>0</xdr:col>
      <xdr:colOff>0</xdr:colOff>
      <xdr:row>60</xdr:row>
      <xdr:rowOff>0</xdr:rowOff>
    </xdr:from>
    <xdr:to>
      <xdr:col>1</xdr:col>
      <xdr:colOff>1304925</xdr:colOff>
      <xdr:row>60</xdr:row>
      <xdr:rowOff>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>
          <a:off x="0" y="10972800"/>
          <a:ext cx="248602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514350</xdr:colOff>
      <xdr:row>54</xdr:row>
      <xdr:rowOff>57150</xdr:rowOff>
    </xdr:from>
    <xdr:ext cx="1428750" cy="885825"/>
    <xdr:pic>
      <xdr:nvPicPr>
        <xdr:cNvPr id="4" name="Picture 63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9829800"/>
          <a:ext cx="14287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209550</xdr:colOff>
      <xdr:row>59</xdr:row>
      <xdr:rowOff>152400</xdr:rowOff>
    </xdr:from>
    <xdr:to>
      <xdr:col>6</xdr:col>
      <xdr:colOff>962025</xdr:colOff>
      <xdr:row>59</xdr:row>
      <xdr:rowOff>152400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ShapeType="1"/>
        </xdr:cNvSpPr>
      </xdr:nvSpPr>
      <xdr:spPr bwMode="auto">
        <a:xfrm>
          <a:off x="5781675" y="10925175"/>
          <a:ext cx="27813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35</xdr:row>
      <xdr:rowOff>134471</xdr:rowOff>
    </xdr:from>
    <xdr:to>
      <xdr:col>0</xdr:col>
      <xdr:colOff>1624853</xdr:colOff>
      <xdr:row>37</xdr:row>
      <xdr:rowOff>251266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7859246"/>
          <a:ext cx="1567703" cy="6311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4592;&#50756;\NORTHPOLE\&#50629;&#47924;&#51312;&#49324;\&#50629;&#47924;&#54028;&#50501;-CO-Northpo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r\northpole\&#54532;&#47196;&#51229;&#53944;\@PJT&#51652;&#54665;&#44288;&#47532;\PJT&#51652;&#54665;&#44288;&#4753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ew%20Market%20Team\Buyers\Pezcalandia\IGUL%20TENT.xl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terials%20Li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da\shareddocs\WINDOWS\TEMP\Materials%20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inus-my.sharepoint.com/WINDOWS/TEMP/Materials%20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inus-my.sharepoint.com/&#24037;&#20316;&#25991;&#20214;/BOM/costing%20recap/&#22797;&#20214;%20TYPE/topper%20recap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\&#20844;&#29992;\Documents%20and%20Settings\zz\My%20Documents\&#23004;\&#25253;&#21578;&#36164;&#26009;\&#45824;&#52264;%20&#45824;&#51312;&#543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jt진행절차"/>
      <sheetName val="1.Global Setting"/>
      <sheetName val="1.Master Data"/>
      <sheetName val="1-1.Cost Center"/>
      <sheetName val="1-2.Profit Center"/>
      <sheetName val="1-3.Work Center"/>
      <sheetName val="1-4.Routing"/>
      <sheetName val="1-5.Material Master"/>
      <sheetName val="1-6.제품-공정현황"/>
      <sheetName val="1-8.Issule 대응방안"/>
      <sheetName val="1-7.재가공원가계산"/>
      <sheetName val="-"/>
      <sheetName val="별첨2-1.Field Status-GL"/>
      <sheetName val="Income"/>
      <sheetName val="Gross Profit"/>
      <sheetName val="R FCST"/>
      <sheetName val="Manucaturing Cost"/>
      <sheetName val="Cash "/>
      <sheetName val="BS"/>
      <sheetName val="Reserve"/>
      <sheetName val="Inter Rec"/>
      <sheetName val="Inter Payable"/>
      <sheetName val="GIT"/>
      <sheetName val="Cost Center"/>
      <sheetName val="Expense"/>
      <sheetName val="Cost"/>
      <sheetName val="analysis-Exp"/>
      <sheetName val="Allocation"/>
      <sheetName val="Materials List"/>
      <sheetName val="负债表"/>
      <sheetName val="1_Global_Setting"/>
      <sheetName val="1_Master_Data"/>
      <sheetName val="1-1_Cost_Center"/>
      <sheetName val="1-2_Profit_Center"/>
      <sheetName val="1-3_Work_Center"/>
      <sheetName val="1-4_Routing"/>
      <sheetName val="1-5_Material_Master"/>
      <sheetName val="1-6_제품-공정현황"/>
      <sheetName val="1-8_Issule_대응방안"/>
      <sheetName val="1-7_재가공원가계산"/>
      <sheetName val="별첨2-1_Field_Status-GL"/>
      <sheetName val="Gross_Profit"/>
      <sheetName val="R_FCST"/>
      <sheetName val="Manucaturing_Cost"/>
      <sheetName val="Cash_"/>
      <sheetName val="Inter_Rec"/>
      <sheetName val="Inter_Payable"/>
      <sheetName val="Cost_Center"/>
      <sheetName val="Materials_List"/>
      <sheetName val="Sheet1"/>
      <sheetName val="WMT-150Q"/>
      <sheetName val="00'미수"/>
      <sheetName val="purchase"/>
      <sheetName val="Recap ZFI (Q4)"/>
      <sheetName val="1_Global_Setting1"/>
      <sheetName val="1_Master_Data1"/>
      <sheetName val="1-1_Cost_Center1"/>
      <sheetName val="1-2_Profit_Center1"/>
      <sheetName val="1-3_Work_Center1"/>
      <sheetName val="1-4_Routing1"/>
      <sheetName val="1-5_Material_Master1"/>
      <sheetName val="1-6_제품-공정현황1"/>
      <sheetName val="1-8_Issule_대응방안1"/>
      <sheetName val="1-7_재가공원가계산1"/>
      <sheetName val="별첨2-1_Field_Status-GL1"/>
      <sheetName val="Gross_Profit1"/>
      <sheetName val="R_FCST1"/>
      <sheetName val="Manucaturing_Cost1"/>
      <sheetName val="Cash_1"/>
      <sheetName val="Inter_Rec1"/>
      <sheetName val="Inter_Payable1"/>
      <sheetName val="Cost_Center1"/>
      <sheetName val="Materials_List1"/>
      <sheetName val="Recap_ZFI_(Q4)"/>
      <sheetName val="1_Global_Setting2"/>
      <sheetName val="1_Master_Data2"/>
      <sheetName val="1-1_Cost_Center2"/>
      <sheetName val="1-2_Profit_Center2"/>
      <sheetName val="1-3_Work_Center2"/>
      <sheetName val="1-4_Routing2"/>
      <sheetName val="1-5_Material_Master2"/>
      <sheetName val="1-6_제품-공정현황2"/>
      <sheetName val="1-8_Issule_대응방안2"/>
      <sheetName val="1-7_재가공원가계산2"/>
      <sheetName val="별첨2-1_Field_Status-GL2"/>
      <sheetName val="Gross_Profit2"/>
      <sheetName val="R_FCST2"/>
      <sheetName val="Manucaturing_Cost2"/>
      <sheetName val="Cash_2"/>
      <sheetName val="Inter_Rec2"/>
      <sheetName val="Inter_Payable2"/>
      <sheetName val="Cost_Center2"/>
      <sheetName val="Materials_List2"/>
      <sheetName val="Recap_ZFI_(Q4)1"/>
      <sheetName val="1_Global_Setting3"/>
      <sheetName val="1_Master_Data3"/>
      <sheetName val="1-1_Cost_Center3"/>
      <sheetName val="1-2_Profit_Center3"/>
      <sheetName val="1-3_Work_Center3"/>
      <sheetName val="1-4_Routing3"/>
      <sheetName val="1-5_Material_Master3"/>
      <sheetName val="1-6_제품-공정현황3"/>
      <sheetName val="1-8_Issule_대응방안3"/>
      <sheetName val="1-7_재가공원가계산3"/>
      <sheetName val="별첨2-1_Field_Status-GL3"/>
      <sheetName val="Gross_Profit3"/>
      <sheetName val="R_FCST3"/>
      <sheetName val="Manucaturing_Cost3"/>
      <sheetName val="Cash_3"/>
      <sheetName val="Inter_Rec3"/>
      <sheetName val="Inter_Payable3"/>
      <sheetName val="Cost_Center3"/>
      <sheetName val="Materials_List3"/>
      <sheetName val="Recap_ZFI_(Q4)2"/>
      <sheetName val="1_Global_Setting4"/>
      <sheetName val="1_Master_Data4"/>
      <sheetName val="1-1_Cost_Center4"/>
      <sheetName val="1-2_Profit_Center4"/>
      <sheetName val="1-3_Work_Center4"/>
      <sheetName val="1-4_Routing4"/>
      <sheetName val="1-5_Material_Master4"/>
      <sheetName val="1-6_제품-공정현황4"/>
      <sheetName val="1-8_Issule_대응방안4"/>
      <sheetName val="1-7_재가공원가계산4"/>
      <sheetName val="별첨2-1_Field_Status-GL4"/>
      <sheetName val="Gross_Profit4"/>
      <sheetName val="R_FCST4"/>
      <sheetName val="Manucaturing_Cost4"/>
      <sheetName val="Cash_4"/>
      <sheetName val="Inter_Rec4"/>
      <sheetName val="Inter_Payable4"/>
      <sheetName val="Cost_Center4"/>
      <sheetName val="Materials_List4"/>
      <sheetName val="1_Global_Setting6"/>
      <sheetName val="1_Master_Data6"/>
      <sheetName val="1-1_Cost_Center6"/>
      <sheetName val="1-2_Profit_Center6"/>
      <sheetName val="1-3_Work_Center6"/>
      <sheetName val="1-4_Routing6"/>
      <sheetName val="1-5_Material_Master6"/>
      <sheetName val="1-6_제품-공정현황6"/>
      <sheetName val="1-8_Issule_대응방안6"/>
      <sheetName val="1-7_재가공원가계산6"/>
      <sheetName val="별첨2-1_Field_Status-GL6"/>
      <sheetName val="Gross_Profit6"/>
      <sheetName val="R_FCST6"/>
      <sheetName val="Manucaturing_Cost6"/>
      <sheetName val="Cash_6"/>
      <sheetName val="Inter_Rec6"/>
      <sheetName val="Inter_Payable6"/>
      <sheetName val="Cost_Center6"/>
      <sheetName val="Materials_List6"/>
      <sheetName val="Recap_ZFI_(Q4)4"/>
      <sheetName val="1_Global_Setting5"/>
      <sheetName val="1_Master_Data5"/>
      <sheetName val="1-1_Cost_Center5"/>
      <sheetName val="1-2_Profit_Center5"/>
      <sheetName val="1-3_Work_Center5"/>
      <sheetName val="1-4_Routing5"/>
      <sheetName val="1-5_Material_Master5"/>
      <sheetName val="1-6_제품-공정현황5"/>
      <sheetName val="1-8_Issule_대응방안5"/>
      <sheetName val="1-7_재가공원가계산5"/>
      <sheetName val="별첨2-1_Field_Status-GL5"/>
      <sheetName val="Gross_Profit5"/>
      <sheetName val="R_FCST5"/>
      <sheetName val="Manucaturing_Cost5"/>
      <sheetName val="Cash_5"/>
      <sheetName val="Inter_Rec5"/>
      <sheetName val="Inter_Payable5"/>
      <sheetName val="Cost_Center5"/>
      <sheetName val="Materials_List5"/>
      <sheetName val="Recap_ZFI_(Q4)3"/>
      <sheetName val="AZ-SB13-14"/>
      <sheetName val="SC-SBBK-14"/>
      <sheetName val="1_Global_Setting7"/>
      <sheetName val="1_Master_Data7"/>
      <sheetName val="1-1_Cost_Center7"/>
      <sheetName val="1-2_Profit_Center7"/>
      <sheetName val="1-3_Work_Center7"/>
      <sheetName val="1-4_Routing7"/>
      <sheetName val="1-5_Material_Master7"/>
      <sheetName val="1-6_제품-공정현황7"/>
      <sheetName val="1-8_Issule_대응방안7"/>
      <sheetName val="1-7_재가공원가계산7"/>
      <sheetName val="별첨2-1_Field_Status-GL7"/>
      <sheetName val="Gross_Profit7"/>
      <sheetName val="R_FCST7"/>
      <sheetName val="Manucaturing_Cost7"/>
      <sheetName val="Cash_7"/>
      <sheetName val="Inter_Rec7"/>
      <sheetName val="Inter_Payable7"/>
      <sheetName val="Cost_Center7"/>
      <sheetName val="Materials_List7"/>
      <sheetName val="Recap_ZFI_(Q4)5"/>
      <sheetName val="Jacquard Detail Y23"/>
      <sheetName val="시산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 주간업무"/>
      <sheetName val="Pjt진행절차"/>
      <sheetName val="1.Global Setting"/>
      <sheetName val="별첨1.Chart of Accounts"/>
      <sheetName val="별첨2.Field Status"/>
      <sheetName val="별첨3.Cost Center"/>
      <sheetName val="SAP기능"/>
      <sheetName val="Tables"/>
      <sheetName val="1_Global Setting"/>
      <sheetName val="负债表"/>
      <sheetName val="FI_주간업무"/>
      <sheetName val="1_Global_Setting"/>
      <sheetName val="별첨1_Chart_of_Accounts"/>
      <sheetName val="별첨2_Field_Status"/>
      <sheetName val="별첨3_Cost_Center"/>
      <sheetName val="1_Global_Setting1"/>
      <sheetName val="Sheet1"/>
      <sheetName val="Materials List"/>
      <sheetName val="WMT-150Q"/>
      <sheetName val="申請差異-II"/>
      <sheetName val="進口餘量"/>
      <sheetName val="申請量"/>
      <sheetName val="前期使用"/>
      <sheetName val="核銷餘量"/>
      <sheetName val="FI_주간업무1"/>
      <sheetName val="1_Global_Setting2"/>
      <sheetName val="별첨1_Chart_of_Accounts1"/>
      <sheetName val="별첨2_Field_Status1"/>
      <sheetName val="별첨3_Cost_Center1"/>
      <sheetName val="1_Global_Setting3"/>
      <sheetName val="Materials_List"/>
      <sheetName val="FI_주간업무2"/>
      <sheetName val="1_Global_Setting4"/>
      <sheetName val="별첨1_Chart_of_Accounts2"/>
      <sheetName val="별첨2_Field_Status2"/>
      <sheetName val="별첨3_Cost_Center2"/>
      <sheetName val="1_Global_Setting5"/>
      <sheetName val="Materials_List1"/>
      <sheetName val="FI_주간업무3"/>
      <sheetName val="1_Global_Setting6"/>
      <sheetName val="별첨1_Chart_of_Accounts3"/>
      <sheetName val="별첨2_Field_Status3"/>
      <sheetName val="별첨3_Cost_Center3"/>
      <sheetName val="1_Global_Setting7"/>
      <sheetName val="Materials_List2"/>
      <sheetName val="FI_주간업무4"/>
      <sheetName val="1_Global_Setting8"/>
      <sheetName val="별첨1_Chart_of_Accounts4"/>
      <sheetName val="별첨2_Field_Status4"/>
      <sheetName val="별첨3_Cost_Center4"/>
      <sheetName val="1_Global_Setting9"/>
      <sheetName val="FI_주간업무6"/>
      <sheetName val="1_Global_Setting12"/>
      <sheetName val="별첨1_Chart_of_Accounts6"/>
      <sheetName val="별첨2_Field_Status6"/>
      <sheetName val="별첨3_Cost_Center6"/>
      <sheetName val="1_Global_Setting13"/>
      <sheetName val="Materials_List4"/>
      <sheetName val="FI_주간업무5"/>
      <sheetName val="1_Global_Setting10"/>
      <sheetName val="별첨1_Chart_of_Accounts5"/>
      <sheetName val="별첨2_Field_Status5"/>
      <sheetName val="별첨3_Cost_Center5"/>
      <sheetName val="1_Global_Setting11"/>
      <sheetName val="Materials_List3"/>
      <sheetName val="Pricing Overvi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aterials List"/>
      <sheetName val="Materials List"/>
      <sheetName val="Sheet1"/>
      <sheetName val="负债表"/>
      <sheetName val="WMT-150Q"/>
      <sheetName val="1.Global Sett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aterials List"/>
      <sheetName val="Materials List"/>
      <sheetName val="ISO Dome"/>
      <sheetName val="Dong"/>
      <sheetName val="WMT-150Q"/>
      <sheetName val="1.Global Setting"/>
      <sheetName val="MSC Table"/>
      <sheetName val="MSC Set"/>
      <sheetName val="New_Materials_List"/>
      <sheetName val="Materials_List"/>
      <sheetName val="ISO_Dome"/>
      <sheetName val="1_Global_Setting"/>
      <sheetName val="MSC_Table"/>
      <sheetName val="MSC_Set"/>
      <sheetName val="5사남"/>
      <sheetName val="整理汇总0903"/>
      <sheetName val="00'미수"/>
      <sheetName val="標準INJ (新)"/>
      <sheetName val="New_Materials_List4"/>
      <sheetName val="Materials_List4"/>
      <sheetName val="ISO_Dome4"/>
      <sheetName val="1_Global_Setting4"/>
      <sheetName val="MSC_Table4"/>
      <sheetName val="MSC_Set4"/>
      <sheetName val="標準INJ_(新)3"/>
      <sheetName val="New_Materials_List1"/>
      <sheetName val="Materials_List1"/>
      <sheetName val="ISO_Dome1"/>
      <sheetName val="1_Global_Setting1"/>
      <sheetName val="MSC_Table1"/>
      <sheetName val="MSC_Set1"/>
      <sheetName val="標準INJ_(新)"/>
      <sheetName val="New_Materials_List2"/>
      <sheetName val="Materials_List2"/>
      <sheetName val="ISO_Dome2"/>
      <sheetName val="1_Global_Setting2"/>
      <sheetName val="MSC_Table2"/>
      <sheetName val="MSC_Set2"/>
      <sheetName val="標準INJ_(新)1"/>
      <sheetName val="New_Materials_List3"/>
      <sheetName val="Materials_List3"/>
      <sheetName val="ISO_Dome3"/>
      <sheetName val="1_Global_Setting3"/>
      <sheetName val="MSC_Table3"/>
      <sheetName val="MSC_Set3"/>
      <sheetName val="標準INJ_(新)2"/>
      <sheetName val="New_Materials_List5"/>
      <sheetName val="Materials_List5"/>
      <sheetName val="ISO_Dome5"/>
      <sheetName val="1_Global_Setting5"/>
      <sheetName val="MSC_Table5"/>
      <sheetName val="MSC_Set5"/>
      <sheetName val="標準INJ_(新)4"/>
      <sheetName val="New_Materials_List6"/>
      <sheetName val="Materials_List6"/>
      <sheetName val="ISO_Dome6"/>
      <sheetName val="1_Global_Setting6"/>
      <sheetName val="MSC_Table6"/>
      <sheetName val="MSC_Set6"/>
      <sheetName val="New_Materials_List8"/>
      <sheetName val="Materials_List8"/>
      <sheetName val="ISO_Dome8"/>
      <sheetName val="1_Global_Setting8"/>
      <sheetName val="MSC_Table8"/>
      <sheetName val="MSC_Set8"/>
      <sheetName val="標準INJ_(新)6"/>
      <sheetName val="New_Materials_List7"/>
      <sheetName val="Materials_List7"/>
      <sheetName val="ISO_Dome7"/>
      <sheetName val="1_Global_Setting7"/>
      <sheetName val="MSC_Table7"/>
      <sheetName val="MSC_Set7"/>
      <sheetName val="標準INJ_(新)5"/>
      <sheetName val="Configure"/>
      <sheetName val="匯總"/>
      <sheetName val="主料"/>
      <sheetName val="New_Materials_List9"/>
      <sheetName val="Materials_List9"/>
      <sheetName val="ISO_Dome9"/>
      <sheetName val="1_Global_Setting9"/>
      <sheetName val="MSC_Table9"/>
      <sheetName val="MSC_Set9"/>
      <sheetName val="標準INJ_(新)7"/>
      <sheetName val="New_Materials_List10"/>
      <sheetName val="Materials_List10"/>
      <sheetName val="ISO_Dome10"/>
      <sheetName val="1_Global_Setting10"/>
      <sheetName val="MSC_Table10"/>
      <sheetName val="MSC_Set10"/>
      <sheetName val="標準INJ_(新)8"/>
      <sheetName val="New_Materials_List11"/>
      <sheetName val="Materials_List11"/>
      <sheetName val="ISO_Dome11"/>
      <sheetName val="1_Global_Setting11"/>
      <sheetName val="MSC_Table11"/>
      <sheetName val="MSC_Set11"/>
      <sheetName val="標準INJ_(新)9"/>
      <sheetName val="New_Materials_List12"/>
      <sheetName val="Materials_List12"/>
      <sheetName val="ISO_Dome12"/>
      <sheetName val="1_Global_Setting12"/>
      <sheetName val="MSC_Table12"/>
      <sheetName val="MSC_Set12"/>
      <sheetName val="標準INJ_(新)10"/>
      <sheetName val="New_Materials_List13"/>
      <sheetName val="Materials_List13"/>
      <sheetName val="ISO_Dome13"/>
      <sheetName val="1_Global_Setting13"/>
      <sheetName val="MSC_Table13"/>
      <sheetName val="MSC_Set13"/>
      <sheetName val="標準INJ_(新)11"/>
      <sheetName val="New_Materials_List14"/>
      <sheetName val="Materials_List14"/>
      <sheetName val="ISO_Dome14"/>
      <sheetName val="1_Global_Setting14"/>
      <sheetName val="MSC_Table14"/>
      <sheetName val="MSC_Set14"/>
      <sheetName val="標準INJ_(新)12"/>
      <sheetName val="New_Materials_List16"/>
      <sheetName val="Materials_List16"/>
      <sheetName val="ISO_Dome16"/>
      <sheetName val="1_Global_Setting16"/>
      <sheetName val="MSC_Table16"/>
      <sheetName val="MSC_Set16"/>
      <sheetName val="標準INJ_(新)14"/>
      <sheetName val="New_Materials_List15"/>
      <sheetName val="Materials_List15"/>
      <sheetName val="ISO_Dome15"/>
      <sheetName val="1_Global_Setting15"/>
      <sheetName val="MSC_Table15"/>
      <sheetName val="MSC_Set15"/>
      <sheetName val="標準INJ_(新)13"/>
      <sheetName val="New_Materials_List17"/>
      <sheetName val="Materials_List17"/>
      <sheetName val="ISO_Dome17"/>
      <sheetName val="1_Global_Setting17"/>
      <sheetName val="MSC_Table17"/>
      <sheetName val="MSC_Set17"/>
      <sheetName val="標準INJ_(新)15"/>
      <sheetName val="New_Materials_List18"/>
      <sheetName val="Materials_List18"/>
      <sheetName val="ISO_Dome18"/>
      <sheetName val="1_Global_Setting18"/>
      <sheetName val="MSC_Table18"/>
      <sheetName val="MSC_Set18"/>
      <sheetName val="標準INJ_(新)16"/>
      <sheetName val="Dropdowns"/>
      <sheetName val="DropDownInfo"/>
      <sheetName val="Freight"/>
      <sheetName val="New_Materials_List20"/>
      <sheetName val="Materials_List20"/>
      <sheetName val="ISO_Dome20"/>
      <sheetName val="1_Global_Setting20"/>
      <sheetName val="MSC_Table20"/>
      <sheetName val="MSC_Set20"/>
      <sheetName val="標準INJ_(新)18"/>
      <sheetName val="New_Materials_List19"/>
      <sheetName val="Materials_List19"/>
      <sheetName val="ISO_Dome19"/>
      <sheetName val="1_Global_Setting19"/>
      <sheetName val="MSC_Table19"/>
      <sheetName val="MSC_Set19"/>
      <sheetName val="標準INJ_(新)17"/>
      <sheetName val="New_Materials_List22"/>
      <sheetName val="Materials_List22"/>
      <sheetName val="ISO_Dome22"/>
      <sheetName val="1_Global_Setting22"/>
      <sheetName val="MSC_Table22"/>
      <sheetName val="MSC_Set22"/>
      <sheetName val="標準INJ_(新)20"/>
      <sheetName val="New_Materials_List21"/>
      <sheetName val="Materials_List21"/>
      <sheetName val="ISO_Dome21"/>
      <sheetName val="1_Global_Setting21"/>
      <sheetName val="MSC_Table21"/>
      <sheetName val="MSC_Set21"/>
      <sheetName val="標準INJ_(新)19"/>
      <sheetName val="New_Materials_List23"/>
      <sheetName val="Materials_List23"/>
      <sheetName val="ISO_Dome23"/>
      <sheetName val="1_Global_Setting23"/>
      <sheetName val="MSC_Table23"/>
      <sheetName val="MSC_Set23"/>
      <sheetName val="標準INJ_(新)21"/>
      <sheetName val="New_Materials_List24"/>
      <sheetName val="Materials_List24"/>
      <sheetName val="ISO_Dome24"/>
      <sheetName val="1_Global_Setting24"/>
      <sheetName val="MSC_Table24"/>
      <sheetName val="MSC_Set24"/>
      <sheetName val="標準INJ_(新)2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aterials List"/>
      <sheetName val="Materials List"/>
      <sheetName val="WMT-150Q"/>
      <sheetName val="ISO Dome"/>
      <sheetName val="Dong"/>
      <sheetName val="匯總"/>
      <sheetName val="標準INJ (新)"/>
      <sheetName val="New_Materials_List"/>
      <sheetName val="Materials_List"/>
      <sheetName val="ISO_Dome"/>
      <sheetName val="標準INJ_(新)"/>
      <sheetName val="Sheet1"/>
      <sheetName val="New_Materials_List1"/>
      <sheetName val="Materials_List1"/>
      <sheetName val="ISO_Dome1"/>
      <sheetName val="標準INJ_(新)1"/>
      <sheetName val="New_Materials_List2"/>
      <sheetName val="Materials_List2"/>
      <sheetName val="ISO_Dome2"/>
      <sheetName val="標準INJ_(新)2"/>
      <sheetName val="New_Materials_List3"/>
      <sheetName val="Materials_List3"/>
      <sheetName val="ISO_Dome3"/>
      <sheetName val="標準INJ_(新)3"/>
      <sheetName val="New_Materials_List4"/>
      <sheetName val="Materials_List4"/>
      <sheetName val="ISO_Dome4"/>
      <sheetName val="標準INJ_(新)4"/>
      <sheetName val="AB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aterials List"/>
      <sheetName val="Materials List"/>
    </sheetNames>
    <sheetDataSet>
      <sheetData sheetId="0" refreshError="1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T-400T"/>
      <sheetName val="WMT-400F"/>
      <sheetName val="WMT-400Q"/>
      <sheetName val="WMT-400K"/>
      <sheetName val="WMT-MF3MT"/>
      <sheetName val="WMT-200Q"/>
      <sheetName val="WMT-150T"/>
      <sheetName val="WMT-150F"/>
      <sheetName val="WMT-150Q"/>
      <sheetName val="WMT-150K"/>
      <sheetName val="WMT-125F"/>
      <sheetName val="WMT-125Q"/>
      <sheetName val="WMT-125K"/>
      <sheetName val="BJ'S MFT-200Q"/>
      <sheetName val="BJ'S MFT-200K"/>
      <sheetName val="BJ'S RMFT-200F"/>
      <sheetName val="BJ'S RMFT-200Q"/>
      <sheetName val="costing"/>
      <sheetName val="SEIYU-SINGLE"/>
      <sheetName val="VTR-1.5S"/>
      <sheetName val="VTR-1.5D"/>
      <sheetName val="VTR-1.5K"/>
      <sheetName val="VTR-2.75S"/>
      <sheetName val="VTR-2.75D"/>
      <sheetName val="VTR-2.75K"/>
      <sheetName val="TSI-T"/>
      <sheetName val="TSI-F"/>
      <sheetName val="TSI-Q"/>
      <sheetName val="TSI-K"/>
      <sheetName val="WTK-S"/>
      <sheetName val="WTK-D"/>
      <sheetName val="WTK-Q"/>
      <sheetName val="WTK-K"/>
      <sheetName val="WTK-KS"/>
      <sheetName val="INM-150TXL"/>
      <sheetName val="INM-150F"/>
      <sheetName val="INM-150WK"/>
      <sheetName val="INM-300TXL"/>
      <sheetName val="INM-300Q"/>
      <sheetName val="CTC--F"/>
      <sheetName val="CTC-Q"/>
      <sheetName val="CTC-300T"/>
      <sheetName val="CTC-300F"/>
      <sheetName val="CTC-300Q"/>
      <sheetName val="CTC-300K"/>
      <sheetName val="CTC-400T"/>
      <sheetName val="CTC-400F"/>
      <sheetName val="CTC-400Q"/>
      <sheetName val="CTC-400K"/>
      <sheetName val="CCN-200Q"/>
      <sheetName val="CCN-200K"/>
      <sheetName val="CCN-100F"/>
      <sheetName val="CCN-100Q"/>
      <sheetName val="CCN-100K"/>
      <sheetName val="HMD-TRX-T"/>
      <sheetName val="HMD-TRX-F"/>
      <sheetName val="HMD-TRX-Q"/>
      <sheetName val="HMD-TRX-K"/>
      <sheetName val="HMD-TRX-CK"/>
      <sheetName val="200TC C.M-T"/>
      <sheetName val="200TC C.M-F"/>
      <sheetName val="200TC C.M-Q"/>
      <sheetName val="200TC C.M-K"/>
      <sheetName val="260TC-T"/>
      <sheetName val="260TC-F"/>
      <sheetName val="260TC-Q"/>
      <sheetName val="260TC-K"/>
      <sheetName val="Goose DW-T "/>
      <sheetName val="Goose DW-F"/>
      <sheetName val="Goose DW-Q"/>
      <sheetName val="Goose DW-K"/>
      <sheetName val="M.Fiber-T"/>
      <sheetName val="M.Fiber-F"/>
      <sheetName val="M.Fiber-Q"/>
      <sheetName val="M.Fiber-K"/>
      <sheetName val="WMT_150Q"/>
      <sheetName val="Sheet1"/>
      <sheetName val="Materials List"/>
      <sheetName val="topper recap "/>
      <sheetName val="1.global setting"/>
      <sheetName val="Configure"/>
      <sheetName val="BJ'S_MFT-200Q"/>
      <sheetName val="BJ'S_MFT-200K"/>
      <sheetName val="BJ'S_RMFT-200F"/>
      <sheetName val="BJ'S_RMFT-200Q"/>
      <sheetName val="VTR-1_5S"/>
      <sheetName val="VTR-1_5D"/>
      <sheetName val="VTR-1_5K"/>
      <sheetName val="VTR-2_75S"/>
      <sheetName val="VTR-2_75D"/>
      <sheetName val="VTR-2_75K"/>
      <sheetName val="200TC_C_M-T"/>
      <sheetName val="200TC_C_M-F"/>
      <sheetName val="200TC_C_M-Q"/>
      <sheetName val="200TC_C_M-K"/>
      <sheetName val="Goose_DW-T_"/>
      <sheetName val="Goose_DW-F"/>
      <sheetName val="Goose_DW-Q"/>
      <sheetName val="Goose_DW-K"/>
      <sheetName val="M_Fiber-T"/>
      <sheetName val="M_Fiber-F"/>
      <sheetName val="M_Fiber-Q"/>
      <sheetName val="M_Fiber-K"/>
      <sheetName val="Materials_List"/>
      <sheetName val="topper_recap_"/>
      <sheetName val="1_global_setting"/>
      <sheetName val="1000"/>
      <sheetName val="BJ'S_MFT-200Q4"/>
      <sheetName val="BJ'S_MFT-200K4"/>
      <sheetName val="BJ'S_RMFT-200F4"/>
      <sheetName val="BJ'S_RMFT-200Q4"/>
      <sheetName val="VTR-1_5S4"/>
      <sheetName val="VTR-1_5D4"/>
      <sheetName val="VTR-1_5K4"/>
      <sheetName val="VTR-2_75S4"/>
      <sheetName val="VTR-2_75D4"/>
      <sheetName val="VTR-2_75K4"/>
      <sheetName val="200TC_C_M-T4"/>
      <sheetName val="200TC_C_M-F4"/>
      <sheetName val="200TC_C_M-Q4"/>
      <sheetName val="200TC_C_M-K4"/>
      <sheetName val="Goose_DW-T_4"/>
      <sheetName val="Goose_DW-F4"/>
      <sheetName val="Goose_DW-Q4"/>
      <sheetName val="Goose_DW-K4"/>
      <sheetName val="M_Fiber-T4"/>
      <sheetName val="M_Fiber-F4"/>
      <sheetName val="M_Fiber-Q4"/>
      <sheetName val="M_Fiber-K4"/>
      <sheetName val="Materials_List4"/>
      <sheetName val="topper_recap_4"/>
      <sheetName val="1_global_setting4"/>
      <sheetName val="BJ'S_MFT-200Q1"/>
      <sheetName val="BJ'S_MFT-200K1"/>
      <sheetName val="BJ'S_RMFT-200F1"/>
      <sheetName val="BJ'S_RMFT-200Q1"/>
      <sheetName val="VTR-1_5S1"/>
      <sheetName val="VTR-1_5D1"/>
      <sheetName val="VTR-1_5K1"/>
      <sheetName val="VTR-2_75S1"/>
      <sheetName val="VTR-2_75D1"/>
      <sheetName val="VTR-2_75K1"/>
      <sheetName val="200TC_C_M-T1"/>
      <sheetName val="200TC_C_M-F1"/>
      <sheetName val="200TC_C_M-Q1"/>
      <sheetName val="200TC_C_M-K1"/>
      <sheetName val="Goose_DW-T_1"/>
      <sheetName val="Goose_DW-F1"/>
      <sheetName val="Goose_DW-Q1"/>
      <sheetName val="Goose_DW-K1"/>
      <sheetName val="M_Fiber-T1"/>
      <sheetName val="M_Fiber-F1"/>
      <sheetName val="M_Fiber-Q1"/>
      <sheetName val="M_Fiber-K1"/>
      <sheetName val="Materials_List1"/>
      <sheetName val="topper_recap_1"/>
      <sheetName val="1_global_setting1"/>
      <sheetName val="BJ'S_MFT-200Q2"/>
      <sheetName val="BJ'S_MFT-200K2"/>
      <sheetName val="BJ'S_RMFT-200F2"/>
      <sheetName val="BJ'S_RMFT-200Q2"/>
      <sheetName val="VTR-1_5S2"/>
      <sheetName val="VTR-1_5D2"/>
      <sheetName val="VTR-1_5K2"/>
      <sheetName val="VTR-2_75S2"/>
      <sheetName val="VTR-2_75D2"/>
      <sheetName val="VTR-2_75K2"/>
      <sheetName val="200TC_C_M-T2"/>
      <sheetName val="200TC_C_M-F2"/>
      <sheetName val="200TC_C_M-Q2"/>
      <sheetName val="200TC_C_M-K2"/>
      <sheetName val="Goose_DW-T_2"/>
      <sheetName val="Goose_DW-F2"/>
      <sheetName val="Goose_DW-Q2"/>
      <sheetName val="Goose_DW-K2"/>
      <sheetName val="M_Fiber-T2"/>
      <sheetName val="M_Fiber-F2"/>
      <sheetName val="M_Fiber-Q2"/>
      <sheetName val="M_Fiber-K2"/>
      <sheetName val="Materials_List2"/>
      <sheetName val="topper_recap_2"/>
      <sheetName val="1_global_setting2"/>
      <sheetName val="BJ'S_MFT-200Q3"/>
      <sheetName val="BJ'S_MFT-200K3"/>
      <sheetName val="BJ'S_RMFT-200F3"/>
      <sheetName val="BJ'S_RMFT-200Q3"/>
      <sheetName val="VTR-1_5S3"/>
      <sheetName val="VTR-1_5D3"/>
      <sheetName val="VTR-1_5K3"/>
      <sheetName val="VTR-2_75S3"/>
      <sheetName val="VTR-2_75D3"/>
      <sheetName val="VTR-2_75K3"/>
      <sheetName val="200TC_C_M-T3"/>
      <sheetName val="200TC_C_M-F3"/>
      <sheetName val="200TC_C_M-Q3"/>
      <sheetName val="200TC_C_M-K3"/>
      <sheetName val="Goose_DW-T_3"/>
      <sheetName val="Goose_DW-F3"/>
      <sheetName val="Goose_DW-Q3"/>
      <sheetName val="Goose_DW-K3"/>
      <sheetName val="M_Fiber-T3"/>
      <sheetName val="M_Fiber-F3"/>
      <sheetName val="M_Fiber-Q3"/>
      <sheetName val="M_Fiber-K3"/>
      <sheetName val="Materials_List3"/>
      <sheetName val="topper_recap_3"/>
      <sheetName val="1_global_setting3"/>
      <sheetName val="BJ'S_MFT-200Q5"/>
      <sheetName val="BJ'S_MFT-200K5"/>
      <sheetName val="BJ'S_RMFT-200F5"/>
      <sheetName val="BJ'S_RMFT-200Q5"/>
      <sheetName val="VTR-1_5S5"/>
      <sheetName val="VTR-1_5D5"/>
      <sheetName val="VTR-1_5K5"/>
      <sheetName val="VTR-2_75S5"/>
      <sheetName val="VTR-2_75D5"/>
      <sheetName val="VTR-2_75K5"/>
      <sheetName val="200TC_C_M-T5"/>
      <sheetName val="200TC_C_M-F5"/>
      <sheetName val="200TC_C_M-Q5"/>
      <sheetName val="200TC_C_M-K5"/>
      <sheetName val="Goose_DW-T_5"/>
      <sheetName val="Goose_DW-F5"/>
      <sheetName val="Goose_DW-Q5"/>
      <sheetName val="Goose_DW-K5"/>
      <sheetName val="M_Fiber-T5"/>
      <sheetName val="M_Fiber-F5"/>
      <sheetName val="M_Fiber-Q5"/>
      <sheetName val="M_Fiber-K5"/>
      <sheetName val="Materials_List5"/>
      <sheetName val="topper_recap_5"/>
      <sheetName val="1_global_setting5"/>
      <sheetName val="MSC Table"/>
      <sheetName val="MSC Set"/>
      <sheetName val="2000"/>
      <sheetName val="BJ'S_MFT-200Q6"/>
      <sheetName val="BJ'S_MFT-200K6"/>
      <sheetName val="BJ'S_RMFT-200F6"/>
      <sheetName val="BJ'S_RMFT-200Q6"/>
      <sheetName val="VTR-1_5S6"/>
      <sheetName val="VTR-1_5D6"/>
      <sheetName val="VTR-1_5K6"/>
      <sheetName val="VTR-2_75S6"/>
      <sheetName val="VTR-2_75D6"/>
      <sheetName val="VTR-2_75K6"/>
      <sheetName val="200TC_C_M-T6"/>
      <sheetName val="200TC_C_M-F6"/>
      <sheetName val="200TC_C_M-Q6"/>
      <sheetName val="200TC_C_M-K6"/>
      <sheetName val="Goose_DW-T_6"/>
      <sheetName val="Goose_DW-F6"/>
      <sheetName val="Goose_DW-Q6"/>
      <sheetName val="Goose_DW-K6"/>
      <sheetName val="M_Fiber-T6"/>
      <sheetName val="M_Fiber-F6"/>
      <sheetName val="M_Fiber-Q6"/>
      <sheetName val="M_Fiber-K6"/>
      <sheetName val="Materials_List6"/>
      <sheetName val="topper_recap_6"/>
      <sheetName val="1_global_setting6"/>
      <sheetName val="MSC_Table"/>
      <sheetName val="MSC_Set"/>
      <sheetName val="负债表"/>
      <sheetName val="BJ'S_MFT-200Q7"/>
      <sheetName val="BJ'S_MFT-200K7"/>
      <sheetName val="BJ'S_RMFT-200F7"/>
      <sheetName val="BJ'S_RMFT-200Q7"/>
      <sheetName val="VTR-1_5S7"/>
      <sheetName val="VTR-1_5D7"/>
      <sheetName val="VTR-1_5K7"/>
      <sheetName val="VTR-2_75S7"/>
      <sheetName val="VTR-2_75D7"/>
      <sheetName val="VTR-2_75K7"/>
      <sheetName val="200TC_C_M-T7"/>
      <sheetName val="200TC_C_M-F7"/>
      <sheetName val="200TC_C_M-Q7"/>
      <sheetName val="200TC_C_M-K7"/>
      <sheetName val="Goose_DW-T_7"/>
      <sheetName val="Goose_DW-F7"/>
      <sheetName val="Goose_DW-Q7"/>
      <sheetName val="Goose_DW-K7"/>
      <sheetName val="M_Fiber-T7"/>
      <sheetName val="M_Fiber-F7"/>
      <sheetName val="M_Fiber-Q7"/>
      <sheetName val="M_Fiber-K7"/>
      <sheetName val="Materials_List7"/>
      <sheetName val="topper_recap_7"/>
      <sheetName val="1_global_setting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F13">
            <v>8.07</v>
          </cell>
        </row>
      </sheetData>
      <sheetData sheetId="9">
        <row r="13">
          <cell r="F13">
            <v>8.07</v>
          </cell>
        </row>
      </sheetData>
      <sheetData sheetId="10">
        <row r="13">
          <cell r="F13">
            <v>8.07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负债表 (2)"/>
      <sheetName val="资产负债表（USD） (2)"/>
      <sheetName val="负债表"/>
      <sheetName val="资产负债表（USD）"/>
      <sheetName val="Sheet1"/>
      <sheetName val="Materials List"/>
      <sheetName val="1.global setting"/>
      <sheetName val="5사남"/>
      <sheetName val="WMT-150Q"/>
      <sheetName val="24.보증금(전신전화가입권)"/>
    </sheetNames>
    <sheetDataSet>
      <sheetData sheetId="0"/>
      <sheetData sheetId="1"/>
      <sheetData sheetId="2" refreshError="1">
        <row r="1">
          <cell r="G1">
            <v>8.2766999999999999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view="pageBreakPreview" zoomScaleNormal="100" zoomScaleSheetLayoutView="100" workbookViewId="0">
      <selection activeCell="D29" sqref="D29"/>
    </sheetView>
  </sheetViews>
  <sheetFormatPr defaultRowHeight="15.95" customHeight="1"/>
  <cols>
    <col min="1" max="1" width="19.7109375" style="6" customWidth="1"/>
    <col min="2" max="2" width="9" style="6" bestFit="1" customWidth="1"/>
    <col min="3" max="3" width="17.140625" style="7" customWidth="1"/>
    <col min="4" max="4" width="49.5703125" style="6" customWidth="1"/>
    <col min="5" max="5" width="11.7109375" style="6" customWidth="1"/>
    <col min="6" max="6" width="14.7109375" style="6" customWidth="1"/>
    <col min="7" max="7" width="13.7109375" style="8" customWidth="1"/>
    <col min="8" max="8" width="7.7109375" style="6" bestFit="1" customWidth="1"/>
    <col min="9" max="9" width="8.85546875" style="6" customWidth="1"/>
    <col min="10" max="10" width="13.42578125" style="6" bestFit="1" customWidth="1"/>
    <col min="11" max="12" width="9.140625" style="6"/>
    <col min="13" max="13" width="12.5703125" style="6" bestFit="1" customWidth="1"/>
    <col min="14" max="14" width="15.85546875" style="6" bestFit="1" customWidth="1"/>
    <col min="15" max="16384" width="9.140625" style="6"/>
  </cols>
  <sheetData>
    <row r="1" spans="1:10" ht="20.25">
      <c r="A1" s="406" t="s">
        <v>17</v>
      </c>
      <c r="B1" s="406"/>
      <c r="C1" s="406"/>
      <c r="D1" s="406"/>
      <c r="E1" s="406"/>
      <c r="F1" s="406"/>
      <c r="G1" s="406"/>
      <c r="H1" s="406"/>
      <c r="I1" s="406"/>
      <c r="J1" s="406"/>
    </row>
    <row r="2" spans="1:10" ht="15.95" customHeight="1">
      <c r="A2" s="1" t="s">
        <v>7</v>
      </c>
      <c r="B2" s="1"/>
      <c r="C2" s="2"/>
      <c r="D2" s="1"/>
      <c r="E2" s="1"/>
      <c r="F2" s="1"/>
      <c r="G2" s="3"/>
      <c r="H2" s="1"/>
      <c r="I2" s="1"/>
      <c r="J2" s="4" t="s">
        <v>18</v>
      </c>
    </row>
    <row r="3" spans="1:10" ht="15.95" customHeight="1">
      <c r="A3" s="5" t="s">
        <v>19</v>
      </c>
    </row>
    <row r="4" spans="1:10" ht="15.95" customHeight="1">
      <c r="A4" s="5" t="s">
        <v>20</v>
      </c>
    </row>
    <row r="5" spans="1:10" ht="15.95" customHeight="1">
      <c r="A5" s="13" t="s">
        <v>21</v>
      </c>
      <c r="B5" s="14"/>
      <c r="C5" s="15"/>
      <c r="D5" s="16" t="s">
        <v>22</v>
      </c>
      <c r="E5" s="13" t="s">
        <v>23</v>
      </c>
      <c r="F5" s="17"/>
      <c r="G5" s="18" t="s">
        <v>24</v>
      </c>
      <c r="H5" s="19"/>
      <c r="I5" s="19"/>
      <c r="J5" s="17"/>
    </row>
    <row r="6" spans="1:10" ht="15.95" customHeight="1">
      <c r="A6" s="407"/>
      <c r="B6" s="408"/>
      <c r="C6" s="409"/>
      <c r="D6" s="9" t="s">
        <v>46</v>
      </c>
      <c r="E6" s="413"/>
      <c r="F6" s="414"/>
      <c r="G6" s="417"/>
      <c r="H6" s="418"/>
      <c r="I6" s="418"/>
      <c r="J6" s="419"/>
    </row>
    <row r="7" spans="1:10" ht="15.95" customHeight="1">
      <c r="A7" s="410"/>
      <c r="B7" s="411"/>
      <c r="C7" s="412"/>
      <c r="D7" s="10" t="s">
        <v>137</v>
      </c>
      <c r="E7" s="415"/>
      <c r="F7" s="416"/>
      <c r="G7" s="420"/>
      <c r="H7" s="421"/>
      <c r="I7" s="421"/>
      <c r="J7" s="422"/>
    </row>
    <row r="8" spans="1:10" ht="15.95" customHeight="1">
      <c r="A8" s="13" t="s">
        <v>25</v>
      </c>
      <c r="B8" s="423"/>
      <c r="C8" s="424"/>
      <c r="D8" s="16" t="s">
        <v>26</v>
      </c>
      <c r="E8" s="13" t="s">
        <v>27</v>
      </c>
      <c r="F8" s="17"/>
      <c r="G8" s="18" t="s">
        <v>28</v>
      </c>
      <c r="H8" s="19"/>
      <c r="I8" s="17"/>
      <c r="J8" s="16" t="s">
        <v>29</v>
      </c>
    </row>
    <row r="9" spans="1:10" ht="15.95" customHeight="1">
      <c r="A9" s="425"/>
      <c r="B9" s="426"/>
      <c r="C9" s="427"/>
      <c r="D9" s="431" t="s">
        <v>8</v>
      </c>
      <c r="E9" s="433" t="e">
        <f>#REF!</f>
        <v>#REF!</v>
      </c>
      <c r="F9" s="434"/>
      <c r="G9" s="437" t="s">
        <v>131</v>
      </c>
      <c r="H9" s="438"/>
      <c r="I9" s="439"/>
      <c r="J9" s="443" t="s">
        <v>132</v>
      </c>
    </row>
    <row r="10" spans="1:10" ht="15.95" customHeight="1">
      <c r="A10" s="428"/>
      <c r="B10" s="429"/>
      <c r="C10" s="430"/>
      <c r="D10" s="432"/>
      <c r="E10" s="435"/>
      <c r="F10" s="436"/>
      <c r="G10" s="440"/>
      <c r="H10" s="441"/>
      <c r="I10" s="442"/>
      <c r="J10" s="444"/>
    </row>
    <row r="11" spans="1:10" ht="15.95" customHeight="1">
      <c r="A11" s="404" t="s">
        <v>30</v>
      </c>
      <c r="B11" s="20" t="s">
        <v>31</v>
      </c>
      <c r="C11" s="21" t="s">
        <v>32</v>
      </c>
      <c r="D11" s="20" t="s">
        <v>33</v>
      </c>
      <c r="E11" s="20" t="s">
        <v>34</v>
      </c>
      <c r="F11" s="20" t="s">
        <v>35</v>
      </c>
      <c r="G11" s="22" t="s">
        <v>36</v>
      </c>
      <c r="H11" s="20" t="s">
        <v>10</v>
      </c>
      <c r="I11" s="20" t="s">
        <v>37</v>
      </c>
      <c r="J11" s="20" t="s">
        <v>38</v>
      </c>
    </row>
    <row r="12" spans="1:10" ht="15.95" customHeight="1">
      <c r="A12" s="405"/>
      <c r="B12" s="23"/>
      <c r="C12" s="24"/>
      <c r="D12" s="25"/>
      <c r="E12" s="23" t="s">
        <v>39</v>
      </c>
      <c r="F12" s="23" t="s">
        <v>40</v>
      </c>
      <c r="G12" s="26" t="s">
        <v>16</v>
      </c>
      <c r="H12" s="23" t="s">
        <v>41</v>
      </c>
      <c r="I12" s="23" t="s">
        <v>42</v>
      </c>
      <c r="J12" s="23"/>
    </row>
    <row r="13" spans="1:10" ht="15.95" customHeight="1">
      <c r="A13" s="27" t="e">
        <f>#REF!</f>
        <v>#REF!</v>
      </c>
      <c r="B13" s="129" t="s">
        <v>134</v>
      </c>
      <c r="C13" s="130" t="e">
        <f>#REF!</f>
        <v>#REF!</v>
      </c>
      <c r="D13" s="131" t="e">
        <f>#REF!</f>
        <v>#REF!</v>
      </c>
      <c r="E13" s="28" t="e">
        <f>#REF!</f>
        <v>#REF!</v>
      </c>
      <c r="F13" s="29">
        <v>58.344000000000001</v>
      </c>
      <c r="G13" s="30">
        <v>6342.7</v>
      </c>
      <c r="H13" s="31" t="e">
        <f>E13</f>
        <v>#REF!</v>
      </c>
      <c r="I13" s="23"/>
      <c r="J13" s="23"/>
    </row>
    <row r="14" spans="1:10" ht="15.95" customHeight="1">
      <c r="A14" s="27"/>
      <c r="B14" s="129"/>
      <c r="C14" s="130"/>
      <c r="D14" s="131"/>
      <c r="E14" s="28"/>
      <c r="F14" s="32"/>
      <c r="G14" s="33"/>
      <c r="H14" s="31"/>
      <c r="I14" s="34"/>
      <c r="J14" s="35"/>
    </row>
    <row r="15" spans="1:10" ht="15.95" customHeight="1">
      <c r="B15" s="11"/>
      <c r="C15" s="12"/>
      <c r="D15" s="36" t="s">
        <v>43</v>
      </c>
      <c r="E15" s="37"/>
      <c r="F15" s="38"/>
      <c r="G15" s="134"/>
      <c r="H15" s="37"/>
      <c r="I15" s="11"/>
    </row>
    <row r="16" spans="1:10" ht="15.95" customHeight="1">
      <c r="A16" s="5" t="s">
        <v>44</v>
      </c>
      <c r="B16" s="11"/>
      <c r="C16" s="12"/>
      <c r="D16" s="39"/>
    </row>
    <row r="17" spans="1:4" ht="15.95" customHeight="1">
      <c r="A17" s="6" t="s">
        <v>45</v>
      </c>
      <c r="B17" s="11"/>
      <c r="C17" s="12"/>
      <c r="D17" s="39"/>
    </row>
    <row r="18" spans="1:4" ht="15.95" customHeight="1">
      <c r="A18" s="40"/>
      <c r="D18" s="41"/>
    </row>
    <row r="19" spans="1:4" ht="15.95" customHeight="1">
      <c r="A19" s="6" t="s">
        <v>135</v>
      </c>
    </row>
    <row r="20" spans="1:4" ht="15.95" customHeight="1">
      <c r="A20" s="6" t="s">
        <v>136</v>
      </c>
    </row>
  </sheetData>
  <mergeCells count="11">
    <mergeCell ref="A11:A12"/>
    <mergeCell ref="A1:J1"/>
    <mergeCell ref="A6:C7"/>
    <mergeCell ref="E6:F7"/>
    <mergeCell ref="G6:J7"/>
    <mergeCell ref="B8:C8"/>
    <mergeCell ref="A9:C10"/>
    <mergeCell ref="D9:D10"/>
    <mergeCell ref="E9:F10"/>
    <mergeCell ref="G9:I10"/>
    <mergeCell ref="J9:J10"/>
  </mergeCells>
  <pageMargins left="0.7" right="0.7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B1:O84"/>
  <sheetViews>
    <sheetView showGridLines="0" view="pageBreakPreview" zoomScale="85" zoomScaleNormal="85" zoomScaleSheetLayoutView="85" workbookViewId="0">
      <selection activeCell="G17" sqref="G17"/>
    </sheetView>
  </sheetViews>
  <sheetFormatPr defaultColWidth="10.28515625" defaultRowHeight="19.5"/>
  <cols>
    <col min="1" max="1" width="10.28515625" style="144"/>
    <col min="2" max="3" width="15.7109375" style="144" customWidth="1"/>
    <col min="4" max="4" width="5.7109375" style="144" customWidth="1"/>
    <col min="5" max="5" width="24.85546875" style="144" customWidth="1"/>
    <col min="6" max="6" width="28" style="144" customWidth="1"/>
    <col min="7" max="7" width="47.5703125" style="144" bestFit="1" customWidth="1"/>
    <col min="8" max="8" width="35.7109375" style="144" customWidth="1"/>
    <col min="9" max="9" width="15.7109375" style="144" customWidth="1"/>
    <col min="10" max="10" width="27.42578125" style="144" customWidth="1"/>
    <col min="11" max="11" width="15.7109375" style="144" customWidth="1"/>
    <col min="12" max="12" width="15.7109375" style="148" customWidth="1"/>
    <col min="13" max="13" width="22.28515625" style="144" bestFit="1" customWidth="1"/>
    <col min="14" max="14" width="20.7109375" style="226" customWidth="1"/>
    <col min="15" max="15" width="12.140625" style="144" customWidth="1"/>
    <col min="16" max="16384" width="10.28515625" style="144"/>
  </cols>
  <sheetData>
    <row r="1" spans="2:14" ht="20.25" thickBot="1"/>
    <row r="2" spans="2:14" ht="60" customHeight="1" thickBot="1">
      <c r="B2" s="401" t="s">
        <v>155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3"/>
    </row>
    <row r="3" spans="2:14" ht="15.95" customHeight="1" thickTop="1">
      <c r="B3" s="224" t="s">
        <v>156</v>
      </c>
      <c r="C3" s="146"/>
      <c r="D3" s="146"/>
      <c r="F3" s="146"/>
      <c r="G3" s="146"/>
      <c r="H3" s="147"/>
      <c r="I3" s="145" t="s">
        <v>148</v>
      </c>
      <c r="M3" s="149"/>
      <c r="N3" s="294"/>
    </row>
    <row r="4" spans="2:14" ht="15.95" customHeight="1">
      <c r="B4" s="145" t="s">
        <v>183</v>
      </c>
      <c r="E4" s="146"/>
      <c r="F4" s="146"/>
      <c r="G4" s="146"/>
      <c r="I4" s="150" t="s">
        <v>195</v>
      </c>
      <c r="J4" s="151"/>
      <c r="K4" s="152"/>
      <c r="L4" s="153"/>
      <c r="M4" s="154" t="s">
        <v>196</v>
      </c>
      <c r="N4" s="295"/>
    </row>
    <row r="5" spans="2:14" ht="15.95" customHeight="1">
      <c r="B5" s="397" t="s">
        <v>184</v>
      </c>
      <c r="D5" s="155"/>
      <c r="E5" s="155"/>
      <c r="F5" s="156"/>
      <c r="G5" s="156"/>
      <c r="I5" s="157" t="s">
        <v>0</v>
      </c>
      <c r="J5" s="158"/>
      <c r="K5" s="158"/>
      <c r="L5" s="159"/>
      <c r="M5" s="158"/>
      <c r="N5" s="296"/>
    </row>
    <row r="6" spans="2:14" ht="15.95" customHeight="1">
      <c r="B6" s="397" t="s">
        <v>185</v>
      </c>
      <c r="D6" s="155"/>
      <c r="E6" s="155"/>
      <c r="F6" s="156"/>
      <c r="G6" s="156"/>
      <c r="I6" s="160" t="s">
        <v>1</v>
      </c>
      <c r="L6" s="144"/>
      <c r="N6" s="297"/>
    </row>
    <row r="7" spans="2:14" ht="15.95" customHeight="1">
      <c r="B7" s="397" t="s">
        <v>186</v>
      </c>
      <c r="D7" s="155"/>
      <c r="E7" s="155"/>
      <c r="I7" s="160"/>
      <c r="L7" s="144"/>
      <c r="N7" s="297"/>
    </row>
    <row r="8" spans="2:14" ht="15.95" customHeight="1">
      <c r="B8" s="298"/>
      <c r="D8" s="155"/>
      <c r="E8" s="155"/>
      <c r="I8" s="161"/>
      <c r="J8" s="152"/>
      <c r="K8" s="152"/>
      <c r="L8" s="152"/>
      <c r="M8" s="152"/>
      <c r="N8" s="299"/>
    </row>
    <row r="9" spans="2:14" ht="15.95" customHeight="1">
      <c r="B9" s="300" t="s">
        <v>157</v>
      </c>
      <c r="C9" s="163"/>
      <c r="D9" s="158"/>
      <c r="E9" s="158"/>
      <c r="F9" s="158"/>
      <c r="G9" s="158"/>
      <c r="H9" s="164"/>
      <c r="I9" s="146" t="s">
        <v>2</v>
      </c>
      <c r="N9" s="301"/>
    </row>
    <row r="10" spans="2:14" s="165" customFormat="1" ht="15.95" customHeight="1">
      <c r="B10" s="302" t="s">
        <v>168</v>
      </c>
      <c r="E10" s="166"/>
      <c r="H10" s="167"/>
      <c r="I10" s="168" t="s">
        <v>149</v>
      </c>
      <c r="J10" s="169"/>
      <c r="N10" s="303"/>
    </row>
    <row r="11" spans="2:14" s="165" customFormat="1" ht="15.95" customHeight="1">
      <c r="B11" s="298" t="s">
        <v>169</v>
      </c>
      <c r="E11" s="170"/>
      <c r="H11" s="167"/>
      <c r="I11" s="165" t="s">
        <v>126</v>
      </c>
      <c r="J11" s="156"/>
      <c r="N11" s="304"/>
    </row>
    <row r="12" spans="2:14" s="165" customFormat="1" ht="15.95" customHeight="1">
      <c r="B12" s="298" t="s">
        <v>170</v>
      </c>
      <c r="E12" s="170"/>
      <c r="H12" s="167"/>
      <c r="I12" s="165" t="s">
        <v>154</v>
      </c>
      <c r="J12" s="156"/>
      <c r="M12" s="171"/>
      <c r="N12" s="305"/>
    </row>
    <row r="13" spans="2:14" s="165" customFormat="1" ht="15.95" customHeight="1">
      <c r="B13" s="306"/>
      <c r="C13" s="172"/>
      <c r="D13" s="173"/>
      <c r="E13" s="174"/>
      <c r="F13" s="173"/>
      <c r="G13" s="173"/>
      <c r="H13" s="175"/>
      <c r="J13" s="156"/>
      <c r="M13" s="171"/>
      <c r="N13" s="305"/>
    </row>
    <row r="14" spans="2:14" ht="15.95" customHeight="1">
      <c r="B14" s="224" t="s">
        <v>158</v>
      </c>
      <c r="C14" s="146"/>
      <c r="H14" s="147"/>
      <c r="I14" s="157" t="s">
        <v>3</v>
      </c>
      <c r="J14" s="158"/>
      <c r="K14" s="158"/>
      <c r="L14" s="159"/>
      <c r="M14" s="158"/>
      <c r="N14" s="296"/>
    </row>
    <row r="15" spans="2:14" ht="15.95" customHeight="1">
      <c r="B15" s="302" t="s">
        <v>168</v>
      </c>
      <c r="E15" s="176"/>
      <c r="H15" s="147"/>
      <c r="I15" s="145" t="s">
        <v>4</v>
      </c>
      <c r="L15" s="144"/>
      <c r="N15" s="301"/>
    </row>
    <row r="16" spans="2:14">
      <c r="B16" s="298" t="s">
        <v>169</v>
      </c>
      <c r="E16" s="177"/>
      <c r="H16" s="147"/>
      <c r="I16" s="178" t="s">
        <v>5</v>
      </c>
      <c r="J16" s="179" t="s">
        <v>197</v>
      </c>
      <c r="K16" s="179"/>
      <c r="L16" s="179"/>
      <c r="M16" s="179"/>
      <c r="N16" s="358"/>
    </row>
    <row r="17" spans="2:15" ht="22.5" customHeight="1">
      <c r="B17" s="298" t="s">
        <v>170</v>
      </c>
      <c r="E17" s="177"/>
      <c r="H17" s="147"/>
      <c r="I17" s="180" t="s">
        <v>159</v>
      </c>
      <c r="J17" s="359" t="s">
        <v>198</v>
      </c>
      <c r="K17" s="146" t="s">
        <v>7</v>
      </c>
      <c r="L17" s="146" t="s">
        <v>7</v>
      </c>
      <c r="N17" s="301"/>
    </row>
    <row r="18" spans="2:15" ht="25.5" customHeight="1">
      <c r="B18" s="307"/>
      <c r="D18" s="181"/>
      <c r="E18" s="177"/>
      <c r="H18" s="147"/>
      <c r="I18" s="180" t="s">
        <v>181</v>
      </c>
      <c r="J18" s="144" t="s">
        <v>199</v>
      </c>
      <c r="K18" s="146"/>
      <c r="L18" s="146"/>
      <c r="N18" s="301"/>
    </row>
    <row r="19" spans="2:15" ht="8.25" customHeight="1">
      <c r="B19" s="225"/>
      <c r="D19" s="177"/>
      <c r="E19" s="177"/>
      <c r="H19" s="147"/>
      <c r="I19" s="182"/>
      <c r="J19" s="183"/>
      <c r="K19" s="183"/>
      <c r="L19" s="183"/>
      <c r="M19" s="152"/>
      <c r="N19" s="308"/>
    </row>
    <row r="20" spans="2:15" ht="15.95" customHeight="1">
      <c r="B20" s="309" t="s">
        <v>160</v>
      </c>
      <c r="C20" s="184"/>
      <c r="D20" s="185"/>
      <c r="E20" s="186"/>
      <c r="F20" s="158"/>
      <c r="G20" s="158"/>
      <c r="H20" s="164"/>
      <c r="I20" s="146" t="s">
        <v>6</v>
      </c>
      <c r="N20" s="301"/>
    </row>
    <row r="21" spans="2:15" ht="15.95" customHeight="1">
      <c r="B21" s="400">
        <v>46271</v>
      </c>
      <c r="C21" s="187"/>
      <c r="D21" s="188"/>
      <c r="E21" s="189"/>
      <c r="F21" s="152"/>
      <c r="G21" s="152"/>
      <c r="H21" s="162"/>
      <c r="I21" s="144" t="s">
        <v>139</v>
      </c>
      <c r="N21" s="301"/>
    </row>
    <row r="22" spans="2:15" ht="15.95" customHeight="1">
      <c r="B22" s="313" t="s">
        <v>161</v>
      </c>
      <c r="C22" s="168"/>
      <c r="D22" s="168"/>
      <c r="E22" s="165"/>
      <c r="F22" s="146" t="s">
        <v>162</v>
      </c>
      <c r="G22" s="146"/>
      <c r="H22" s="147"/>
      <c r="I22" s="160" t="s">
        <v>140</v>
      </c>
      <c r="N22" s="301"/>
    </row>
    <row r="23" spans="2:15" s="190" customFormat="1" ht="15.95" customHeight="1">
      <c r="B23" s="314" t="s">
        <v>200</v>
      </c>
      <c r="C23" s="191"/>
      <c r="D23" s="191"/>
      <c r="E23" s="191"/>
      <c r="F23" s="192" t="s">
        <v>163</v>
      </c>
      <c r="G23" s="192"/>
      <c r="H23" s="193"/>
      <c r="I23" s="194" t="s">
        <v>164</v>
      </c>
      <c r="J23" s="195"/>
      <c r="L23" s="360"/>
      <c r="N23" s="315"/>
    </row>
    <row r="24" spans="2:15" ht="15.95" customHeight="1">
      <c r="B24" s="361" t="s">
        <v>167</v>
      </c>
      <c r="C24" s="196" t="s">
        <v>201</v>
      </c>
      <c r="D24" s="227"/>
      <c r="E24" s="196"/>
      <c r="F24" s="158"/>
      <c r="G24" s="158"/>
      <c r="H24" s="197"/>
      <c r="I24" s="161"/>
      <c r="J24" s="173"/>
      <c r="K24" s="152"/>
      <c r="L24" s="153"/>
      <c r="M24" s="152"/>
      <c r="N24" s="308"/>
    </row>
    <row r="25" spans="2:15" ht="15.95" customHeight="1">
      <c r="B25" s="319" t="s">
        <v>150</v>
      </c>
      <c r="C25" s="362"/>
      <c r="D25" s="362"/>
      <c r="E25" s="146"/>
      <c r="F25" s="163"/>
      <c r="G25" s="163"/>
      <c r="H25" s="163"/>
      <c r="I25" s="146"/>
      <c r="J25" s="163"/>
      <c r="K25" s="163"/>
      <c r="L25" s="363"/>
      <c r="N25" s="301"/>
    </row>
    <row r="26" spans="2:15" ht="15.95" customHeight="1">
      <c r="B26" s="319"/>
      <c r="C26" s="362"/>
      <c r="D26" s="362"/>
      <c r="E26" s="146"/>
      <c r="F26" s="146"/>
      <c r="G26" s="146"/>
      <c r="H26" s="146"/>
      <c r="I26" s="146"/>
      <c r="J26" s="263"/>
      <c r="K26" s="263"/>
      <c r="L26" s="363"/>
      <c r="M26" s="363"/>
      <c r="N26" s="364"/>
    </row>
    <row r="27" spans="2:15" ht="15.75" customHeight="1">
      <c r="B27" s="365" t="s">
        <v>147</v>
      </c>
      <c r="C27" s="366" t="s">
        <v>5</v>
      </c>
      <c r="D27" s="366"/>
      <c r="E27" s="366" t="s">
        <v>138</v>
      </c>
      <c r="F27" s="366" t="s">
        <v>165</v>
      </c>
      <c r="G27" s="367" t="s">
        <v>13</v>
      </c>
      <c r="H27" s="367"/>
      <c r="J27" s="367" t="s">
        <v>78</v>
      </c>
      <c r="K27" s="367"/>
      <c r="L27" s="368" t="s">
        <v>11</v>
      </c>
      <c r="M27" s="368" t="s">
        <v>12</v>
      </c>
      <c r="N27" s="369" t="s">
        <v>171</v>
      </c>
    </row>
    <row r="28" spans="2:15" ht="15.95" customHeight="1">
      <c r="B28" s="365"/>
      <c r="C28" s="198"/>
      <c r="D28" s="367"/>
      <c r="E28" s="367"/>
      <c r="G28" s="264"/>
      <c r="H28" s="264"/>
      <c r="K28" s="148"/>
      <c r="L28" s="144"/>
      <c r="M28" s="148"/>
      <c r="N28" s="370"/>
    </row>
    <row r="29" spans="2:15" s="287" customFormat="1" ht="15.95" customHeight="1">
      <c r="B29" s="371" t="s">
        <v>193</v>
      </c>
      <c r="C29" s="262" t="s">
        <v>197</v>
      </c>
      <c r="D29" s="199"/>
      <c r="E29" s="199" t="s">
        <v>187</v>
      </c>
      <c r="F29" s="199" t="s">
        <v>189</v>
      </c>
      <c r="G29" s="199" t="s">
        <v>191</v>
      </c>
      <c r="H29" s="199"/>
      <c r="I29" s="144"/>
      <c r="J29" s="171">
        <v>20</v>
      </c>
      <c r="K29" s="372" t="s">
        <v>142</v>
      </c>
      <c r="L29" s="200">
        <v>105.81</v>
      </c>
      <c r="M29" s="291">
        <f>L29*J29</f>
        <v>2116.1999999999998</v>
      </c>
      <c r="N29" s="292">
        <f>' PL'!J31</f>
        <v>751.2</v>
      </c>
      <c r="O29" s="357"/>
    </row>
    <row r="30" spans="2:15" s="287" customFormat="1" ht="15.95" customHeight="1">
      <c r="B30" s="371" t="s">
        <v>193</v>
      </c>
      <c r="C30" s="262" t="s">
        <v>197</v>
      </c>
      <c r="D30" s="199"/>
      <c r="E30" s="199" t="s">
        <v>202</v>
      </c>
      <c r="F30" s="199" t="s">
        <v>206</v>
      </c>
      <c r="G30" s="199" t="s">
        <v>210</v>
      </c>
      <c r="H30" s="199"/>
      <c r="I30" s="144"/>
      <c r="J30" s="171">
        <v>113</v>
      </c>
      <c r="K30" s="372" t="s">
        <v>142</v>
      </c>
      <c r="L30" s="200">
        <v>164.94</v>
      </c>
      <c r="M30" s="291">
        <f t="shared" ref="M30:M34" si="0">L30*J30</f>
        <v>18638.22</v>
      </c>
      <c r="N30" s="292">
        <f>' PL'!J32</f>
        <v>5619.49</v>
      </c>
      <c r="O30" s="357"/>
    </row>
    <row r="31" spans="2:15" s="287" customFormat="1" ht="15.95" customHeight="1">
      <c r="B31" s="371" t="s">
        <v>193</v>
      </c>
      <c r="C31" s="262" t="s">
        <v>197</v>
      </c>
      <c r="D31" s="199"/>
      <c r="E31" s="199" t="s">
        <v>203</v>
      </c>
      <c r="F31" s="199" t="s">
        <v>207</v>
      </c>
      <c r="G31" s="199" t="s">
        <v>211</v>
      </c>
      <c r="H31" s="199"/>
      <c r="I31" s="144"/>
      <c r="J31" s="171">
        <v>20</v>
      </c>
      <c r="K31" s="372" t="s">
        <v>142</v>
      </c>
      <c r="L31" s="200">
        <v>136.81</v>
      </c>
      <c r="M31" s="291">
        <f t="shared" si="0"/>
        <v>2736.2</v>
      </c>
      <c r="N31" s="292">
        <f>' PL'!J33</f>
        <v>789.2</v>
      </c>
      <c r="O31" s="357"/>
    </row>
    <row r="32" spans="2:15" ht="15.95" customHeight="1">
      <c r="B32" s="371" t="s">
        <v>194</v>
      </c>
      <c r="C32" s="262" t="s">
        <v>197</v>
      </c>
      <c r="D32" s="199"/>
      <c r="E32" s="199" t="s">
        <v>188</v>
      </c>
      <c r="F32" s="199" t="s">
        <v>190</v>
      </c>
      <c r="G32" s="199" t="s">
        <v>192</v>
      </c>
      <c r="H32" s="199"/>
      <c r="J32" s="171">
        <v>60</v>
      </c>
      <c r="K32" s="372" t="s">
        <v>142</v>
      </c>
      <c r="L32" s="200">
        <v>46.52</v>
      </c>
      <c r="M32" s="291">
        <f t="shared" si="0"/>
        <v>2791.2000000000003</v>
      </c>
      <c r="N32" s="292">
        <f>' PL'!J34</f>
        <v>586.79999999999995</v>
      </c>
      <c r="O32" s="201"/>
    </row>
    <row r="33" spans="2:15" ht="15.95" customHeight="1">
      <c r="B33" s="371" t="s">
        <v>214</v>
      </c>
      <c r="C33" s="262" t="s">
        <v>197</v>
      </c>
      <c r="D33" s="199"/>
      <c r="E33" s="199" t="s">
        <v>204</v>
      </c>
      <c r="F33" s="199" t="s">
        <v>208</v>
      </c>
      <c r="G33" s="199" t="s">
        <v>212</v>
      </c>
      <c r="H33" s="199"/>
      <c r="J33" s="171">
        <v>20</v>
      </c>
      <c r="K33" s="372" t="s">
        <v>142</v>
      </c>
      <c r="L33" s="200">
        <v>93.06</v>
      </c>
      <c r="M33" s="291">
        <f t="shared" si="0"/>
        <v>1861.2</v>
      </c>
      <c r="N33" s="292">
        <f>' PL'!J35</f>
        <v>924.81999999999994</v>
      </c>
      <c r="O33" s="201"/>
    </row>
    <row r="34" spans="2:15" ht="15.95" customHeight="1">
      <c r="B34" s="371" t="s">
        <v>214</v>
      </c>
      <c r="C34" s="262" t="s">
        <v>197</v>
      </c>
      <c r="D34" s="199"/>
      <c r="E34" s="199" t="s">
        <v>205</v>
      </c>
      <c r="F34" s="199" t="s">
        <v>209</v>
      </c>
      <c r="G34" s="199" t="s">
        <v>213</v>
      </c>
      <c r="H34" s="199"/>
      <c r="J34" s="171">
        <v>38</v>
      </c>
      <c r="K34" s="372" t="s">
        <v>142</v>
      </c>
      <c r="L34" s="200">
        <v>123.82</v>
      </c>
      <c r="M34" s="291">
        <f t="shared" si="0"/>
        <v>4705.16</v>
      </c>
      <c r="N34" s="292">
        <f>' PL'!J36</f>
        <v>1761.3</v>
      </c>
      <c r="O34" s="201"/>
    </row>
    <row r="35" spans="2:15" s="287" customFormat="1" ht="15.95" hidden="1" customHeight="1">
      <c r="B35" s="371"/>
      <c r="C35" s="262"/>
      <c r="D35" s="199"/>
      <c r="E35" s="199"/>
      <c r="F35" s="199"/>
      <c r="G35" s="199"/>
      <c r="H35" s="199"/>
      <c r="I35" s="144"/>
      <c r="J35" s="171"/>
      <c r="K35" s="372"/>
      <c r="L35" s="200"/>
      <c r="M35" s="291"/>
      <c r="N35" s="292"/>
      <c r="O35" s="357"/>
    </row>
    <row r="36" spans="2:15" s="287" customFormat="1" ht="15.95" hidden="1" customHeight="1">
      <c r="B36" s="371"/>
      <c r="C36" s="262"/>
      <c r="D36" s="199"/>
      <c r="E36" s="199"/>
      <c r="F36" s="199"/>
      <c r="G36" s="199"/>
      <c r="H36" s="199"/>
      <c r="I36" s="144"/>
      <c r="J36" s="171"/>
      <c r="K36" s="372"/>
      <c r="L36" s="200"/>
      <c r="M36" s="291"/>
      <c r="N36" s="292"/>
      <c r="O36" s="357"/>
    </row>
    <row r="37" spans="2:15" s="287" customFormat="1" ht="15.95" hidden="1" customHeight="1">
      <c r="B37" s="371"/>
      <c r="C37" s="262"/>
      <c r="D37" s="199"/>
      <c r="E37" s="199"/>
      <c r="F37" s="199"/>
      <c r="G37" s="199"/>
      <c r="H37" s="199"/>
      <c r="I37" s="144"/>
      <c r="J37" s="171"/>
      <c r="K37" s="372"/>
      <c r="L37" s="200"/>
      <c r="M37" s="291"/>
      <c r="N37" s="292"/>
      <c r="O37" s="357"/>
    </row>
    <row r="38" spans="2:15" ht="15.95" hidden="1" customHeight="1">
      <c r="B38" s="371"/>
      <c r="C38" s="262"/>
      <c r="D38" s="199"/>
      <c r="E38" s="199"/>
      <c r="F38" s="199"/>
      <c r="G38" s="199"/>
      <c r="H38" s="199"/>
      <c r="J38" s="171"/>
      <c r="K38" s="372"/>
      <c r="L38" s="200"/>
      <c r="M38" s="291"/>
      <c r="N38" s="292"/>
      <c r="O38" s="201"/>
    </row>
    <row r="39" spans="2:15" ht="15.95" hidden="1" customHeight="1">
      <c r="B39" s="371"/>
      <c r="C39" s="262"/>
      <c r="D39" s="199"/>
      <c r="E39" s="199"/>
      <c r="F39" s="199"/>
      <c r="G39" s="199"/>
      <c r="H39" s="199"/>
      <c r="J39" s="171"/>
      <c r="K39" s="372"/>
      <c r="L39" s="200"/>
      <c r="M39" s="291"/>
      <c r="N39" s="292"/>
      <c r="O39" s="201"/>
    </row>
    <row r="40" spans="2:15" ht="15.95" hidden="1" customHeight="1">
      <c r="B40" s="371"/>
      <c r="C40" s="262"/>
      <c r="D40" s="199"/>
      <c r="E40" s="199"/>
      <c r="F40" s="199"/>
      <c r="G40" s="199"/>
      <c r="H40" s="199"/>
      <c r="J40" s="171"/>
      <c r="K40" s="372"/>
      <c r="L40" s="200"/>
      <c r="M40" s="291"/>
      <c r="N40" s="292"/>
      <c r="O40" s="201"/>
    </row>
    <row r="41" spans="2:15" ht="15.95" hidden="1" customHeight="1">
      <c r="B41" s="371"/>
      <c r="C41" s="262"/>
      <c r="D41" s="199"/>
      <c r="E41" s="199"/>
      <c r="F41" s="199"/>
      <c r="G41" s="199"/>
      <c r="H41" s="199"/>
      <c r="J41" s="171"/>
      <c r="K41" s="372"/>
      <c r="L41" s="200"/>
      <c r="M41" s="291"/>
      <c r="N41" s="292"/>
      <c r="O41" s="201"/>
    </row>
    <row r="42" spans="2:15" ht="15.95" hidden="1" customHeight="1">
      <c r="B42" s="371"/>
      <c r="C42" s="262"/>
      <c r="D42" s="199"/>
      <c r="E42" s="199"/>
      <c r="F42" s="199"/>
      <c r="G42" s="199"/>
      <c r="H42" s="199"/>
      <c r="J42" s="171"/>
      <c r="K42" s="372"/>
      <c r="L42" s="200"/>
      <c r="M42" s="291"/>
      <c r="N42" s="292"/>
      <c r="O42" s="201"/>
    </row>
    <row r="43" spans="2:15" ht="15.95" hidden="1" customHeight="1">
      <c r="B43" s="371"/>
      <c r="C43" s="262"/>
      <c r="D43" s="199"/>
      <c r="E43" s="199"/>
      <c r="F43" s="199"/>
      <c r="G43" s="199"/>
      <c r="H43" s="199"/>
      <c r="J43" s="171"/>
      <c r="K43" s="372"/>
      <c r="L43" s="200"/>
      <c r="M43" s="291"/>
      <c r="N43" s="292"/>
      <c r="O43" s="201"/>
    </row>
    <row r="44" spans="2:15" ht="15.95" hidden="1" customHeight="1">
      <c r="B44" s="371"/>
      <c r="C44" s="262"/>
      <c r="D44" s="199"/>
      <c r="E44" s="199"/>
      <c r="F44" s="199"/>
      <c r="G44" s="199"/>
      <c r="H44" s="199"/>
      <c r="J44" s="171"/>
      <c r="K44" s="372"/>
      <c r="L44" s="200"/>
      <c r="M44" s="291"/>
      <c r="N44" s="292"/>
      <c r="O44" s="201"/>
    </row>
    <row r="45" spans="2:15" ht="15.95" hidden="1" customHeight="1">
      <c r="B45" s="371"/>
      <c r="C45" s="262"/>
      <c r="D45" s="199"/>
      <c r="E45" s="199"/>
      <c r="F45" s="199"/>
      <c r="G45" s="199"/>
      <c r="H45" s="199"/>
      <c r="J45" s="171"/>
      <c r="K45" s="372"/>
      <c r="L45" s="200"/>
      <c r="M45" s="291"/>
      <c r="N45" s="292"/>
      <c r="O45" s="201"/>
    </row>
    <row r="46" spans="2:15" ht="15.95" hidden="1" customHeight="1">
      <c r="B46" s="371"/>
      <c r="C46" s="262"/>
      <c r="D46" s="199"/>
      <c r="E46" s="199"/>
      <c r="F46" s="199"/>
      <c r="G46" s="199"/>
      <c r="H46" s="199"/>
      <c r="J46" s="171"/>
      <c r="K46" s="372"/>
      <c r="L46" s="200"/>
      <c r="M46" s="291"/>
      <c r="N46" s="292"/>
      <c r="O46" s="201"/>
    </row>
    <row r="47" spans="2:15" ht="15.95" hidden="1" customHeight="1">
      <c r="B47" s="371"/>
      <c r="C47" s="262"/>
      <c r="D47" s="199"/>
      <c r="E47" s="199"/>
      <c r="F47" s="199"/>
      <c r="G47" s="199"/>
      <c r="H47" s="199"/>
      <c r="J47" s="171"/>
      <c r="K47" s="372"/>
      <c r="L47" s="200"/>
      <c r="M47" s="291"/>
      <c r="N47" s="292"/>
      <c r="O47" s="201"/>
    </row>
    <row r="48" spans="2:15" ht="15.95" hidden="1" customHeight="1">
      <c r="B48" s="371"/>
      <c r="C48" s="373"/>
      <c r="D48" s="199"/>
      <c r="E48" s="199"/>
      <c r="F48" s="199"/>
      <c r="G48" s="199"/>
      <c r="H48" s="199"/>
      <c r="J48" s="171"/>
      <c r="K48" s="372"/>
      <c r="L48" s="200"/>
      <c r="M48" s="291"/>
      <c r="N48" s="292"/>
      <c r="O48" s="201"/>
    </row>
    <row r="49" spans="2:15" ht="15.95" hidden="1" customHeight="1">
      <c r="B49" s="374"/>
      <c r="C49" s="375"/>
      <c r="D49" s="376"/>
      <c r="E49" s="376"/>
      <c r="F49" s="376"/>
      <c r="G49" s="376"/>
      <c r="H49" s="376"/>
      <c r="I49" s="377"/>
      <c r="J49" s="377"/>
      <c r="K49" s="378"/>
      <c r="L49" s="379"/>
      <c r="M49" s="256"/>
      <c r="N49" s="380"/>
      <c r="O49" s="257"/>
    </row>
    <row r="50" spans="2:15" ht="15.95" hidden="1" customHeight="1">
      <c r="B50" s="381"/>
      <c r="C50" s="382"/>
      <c r="D50" s="383"/>
      <c r="E50" s="384"/>
      <c r="F50" s="385"/>
      <c r="G50" s="385"/>
      <c r="H50" s="377"/>
      <c r="I50" s="382"/>
      <c r="J50" s="386"/>
      <c r="K50" s="378"/>
      <c r="L50" s="379"/>
      <c r="M50" s="387"/>
      <c r="N50" s="388"/>
      <c r="O50" s="257"/>
    </row>
    <row r="51" spans="2:15" ht="15.95" customHeight="1" thickBot="1">
      <c r="B51" s="389"/>
      <c r="C51" s="202"/>
      <c r="D51" s="203"/>
      <c r="E51" s="204"/>
      <c r="F51" s="205"/>
      <c r="G51" s="205"/>
      <c r="H51" s="206"/>
      <c r="I51" s="202"/>
      <c r="J51" s="207"/>
      <c r="K51" s="208"/>
      <c r="L51" s="209"/>
      <c r="M51" s="209"/>
      <c r="N51" s="390"/>
      <c r="O51" s="201"/>
    </row>
    <row r="52" spans="2:15" ht="15.95" customHeight="1" thickTop="1" thickBot="1">
      <c r="B52" s="391"/>
      <c r="C52" s="210"/>
      <c r="D52" s="210"/>
      <c r="E52" s="211"/>
      <c r="F52" s="212"/>
      <c r="G52" s="212"/>
      <c r="H52" s="213"/>
      <c r="I52" s="214" t="s">
        <v>14</v>
      </c>
      <c r="J52" s="215">
        <f>SUM(J29:J51)</f>
        <v>271</v>
      </c>
      <c r="K52" s="216" t="s">
        <v>142</v>
      </c>
      <c r="L52" s="216"/>
      <c r="M52" s="216">
        <f>SUM(M29:M51)</f>
        <v>32848.180000000008</v>
      </c>
      <c r="N52" s="293">
        <f>SUM(N29:N51)</f>
        <v>10432.81</v>
      </c>
      <c r="O52" s="217"/>
    </row>
    <row r="53" spans="2:15" ht="15.95" customHeight="1" thickTop="1">
      <c r="B53" s="341"/>
      <c r="C53" s="198"/>
      <c r="D53" s="179"/>
      <c r="E53" s="218"/>
      <c r="F53" s="219"/>
      <c r="G53" s="219"/>
      <c r="I53" s="198"/>
      <c r="J53" s="165"/>
      <c r="K53" s="392"/>
      <c r="L53" s="220"/>
      <c r="M53" s="220"/>
      <c r="N53" s="342"/>
      <c r="O53" s="201"/>
    </row>
    <row r="54" spans="2:15" ht="15.95" customHeight="1">
      <c r="B54" s="341"/>
      <c r="C54" s="146" t="s">
        <v>151</v>
      </c>
      <c r="D54" s="179"/>
      <c r="E54" s="218"/>
      <c r="F54" s="219"/>
      <c r="G54" s="219"/>
      <c r="I54" s="198"/>
      <c r="J54" s="165"/>
      <c r="K54" s="392"/>
      <c r="L54" s="220"/>
      <c r="M54" s="220"/>
      <c r="N54" s="342"/>
      <c r="O54" s="201"/>
    </row>
    <row r="55" spans="2:15" ht="15.95" customHeight="1">
      <c r="B55" s="341"/>
      <c r="C55" s="393" t="s">
        <v>152</v>
      </c>
      <c r="D55" s="179"/>
      <c r="E55" s="218"/>
      <c r="F55" s="219"/>
      <c r="G55" s="219"/>
      <c r="I55" s="198"/>
      <c r="J55" s="165"/>
      <c r="K55" s="392"/>
      <c r="L55" s="220"/>
      <c r="M55" s="220"/>
      <c r="N55" s="342"/>
      <c r="O55" s="201"/>
    </row>
    <row r="56" spans="2:15" ht="15.95" customHeight="1">
      <c r="B56" s="341"/>
      <c r="C56" s="146" t="s">
        <v>153</v>
      </c>
      <c r="D56" s="179"/>
      <c r="E56" s="218"/>
      <c r="F56" s="219"/>
      <c r="G56" s="219"/>
      <c r="I56" s="198"/>
      <c r="J56" s="165"/>
      <c r="K56" s="392"/>
      <c r="L56" s="220"/>
      <c r="M56" s="220"/>
      <c r="N56" s="342"/>
      <c r="O56" s="201"/>
    </row>
    <row r="57" spans="2:15" ht="15.95" customHeight="1">
      <c r="B57" s="341"/>
      <c r="C57" s="146"/>
      <c r="D57" s="179"/>
      <c r="E57" s="218"/>
      <c r="F57" s="219"/>
      <c r="G57" s="219"/>
      <c r="I57" s="198"/>
      <c r="J57" s="165"/>
      <c r="K57" s="392"/>
      <c r="L57" s="220"/>
      <c r="M57" s="220"/>
      <c r="N57" s="342"/>
      <c r="O57" s="201"/>
    </row>
    <row r="58" spans="2:15" ht="15.95" customHeight="1">
      <c r="B58" s="341"/>
      <c r="C58" s="146"/>
      <c r="D58" s="179"/>
      <c r="E58" s="218"/>
      <c r="F58" s="219"/>
      <c r="G58" s="219"/>
      <c r="I58" s="198"/>
      <c r="J58" s="165"/>
      <c r="K58" s="392"/>
      <c r="L58" s="220"/>
      <c r="M58" s="220"/>
      <c r="N58" s="342"/>
      <c r="O58" s="201"/>
    </row>
    <row r="59" spans="2:15" ht="15.95" customHeight="1">
      <c r="B59" s="341"/>
      <c r="C59" s="146"/>
      <c r="D59" s="179"/>
      <c r="E59" s="218"/>
      <c r="F59" s="219"/>
      <c r="G59" s="219"/>
      <c r="I59" s="198"/>
      <c r="J59" s="165"/>
      <c r="K59" s="392"/>
      <c r="L59" s="220"/>
      <c r="M59" s="220"/>
      <c r="N59" s="342"/>
      <c r="O59" s="201"/>
    </row>
    <row r="60" spans="2:15" ht="15.95" customHeight="1">
      <c r="B60" s="341"/>
      <c r="C60" s="146"/>
      <c r="D60" s="179"/>
      <c r="E60" s="218"/>
      <c r="F60" s="219"/>
      <c r="G60" s="219"/>
      <c r="I60" s="198"/>
      <c r="J60" s="165"/>
      <c r="K60" s="392"/>
      <c r="L60" s="220"/>
      <c r="M60" s="220"/>
      <c r="N60" s="342"/>
      <c r="O60" s="201"/>
    </row>
    <row r="61" spans="2:15" ht="15.95" customHeight="1">
      <c r="B61" s="341"/>
      <c r="C61" s="146"/>
      <c r="D61" s="179"/>
      <c r="E61" s="218"/>
      <c r="F61" s="219"/>
      <c r="G61" s="219"/>
      <c r="I61" s="198"/>
      <c r="J61" s="165"/>
      <c r="K61" s="392"/>
      <c r="L61" s="220"/>
      <c r="M61" s="220"/>
      <c r="N61" s="342"/>
      <c r="O61" s="201"/>
    </row>
    <row r="62" spans="2:15" ht="15.95" customHeight="1">
      <c r="B62" s="341"/>
      <c r="C62" s="146"/>
      <c r="D62" s="179"/>
      <c r="E62" s="218"/>
      <c r="F62" s="219"/>
      <c r="G62" s="219"/>
      <c r="I62" s="198"/>
      <c r="J62" s="165"/>
      <c r="K62" s="392"/>
      <c r="L62" s="220"/>
      <c r="M62" s="220"/>
      <c r="N62" s="342"/>
      <c r="O62" s="201"/>
    </row>
    <row r="63" spans="2:15" ht="15.95" customHeight="1">
      <c r="B63" s="341"/>
      <c r="C63" s="146"/>
      <c r="D63" s="179"/>
      <c r="E63" s="218"/>
      <c r="F63" s="219"/>
      <c r="G63" s="219"/>
      <c r="I63" s="198"/>
      <c r="J63" s="165"/>
      <c r="K63" s="392"/>
      <c r="L63" s="220"/>
      <c r="M63" s="220"/>
      <c r="N63" s="342"/>
      <c r="O63" s="201"/>
    </row>
    <row r="64" spans="2:15" ht="15.95" customHeight="1">
      <c r="B64" s="341"/>
      <c r="C64" s="146"/>
      <c r="D64" s="179"/>
      <c r="E64" s="218"/>
      <c r="F64" s="219"/>
      <c r="G64" s="219"/>
      <c r="I64" s="198"/>
      <c r="J64" s="165"/>
      <c r="K64" s="392"/>
      <c r="L64" s="220"/>
      <c r="M64" s="220"/>
      <c r="N64" s="342"/>
      <c r="O64" s="201"/>
    </row>
    <row r="65" spans="2:15" ht="15.95" customHeight="1">
      <c r="B65" s="341"/>
      <c r="C65" s="146"/>
      <c r="D65" s="179"/>
      <c r="E65" s="218"/>
      <c r="F65" s="219"/>
      <c r="G65" s="219"/>
      <c r="I65" s="198"/>
      <c r="J65" s="165"/>
      <c r="K65" s="392"/>
      <c r="L65" s="220"/>
      <c r="M65" s="220"/>
      <c r="N65" s="342"/>
      <c r="O65" s="201"/>
    </row>
    <row r="66" spans="2:15" ht="15.95" customHeight="1">
      <c r="B66" s="341"/>
      <c r="C66" s="146"/>
      <c r="D66" s="179"/>
      <c r="E66" s="218"/>
      <c r="F66" s="219"/>
      <c r="G66" s="219"/>
      <c r="I66" s="198"/>
      <c r="J66" s="165"/>
      <c r="K66" s="392"/>
      <c r="L66" s="220"/>
      <c r="M66" s="220"/>
      <c r="N66" s="342"/>
      <c r="O66" s="201"/>
    </row>
    <row r="67" spans="2:15" ht="15.95" customHeight="1">
      <c r="B67" s="341"/>
      <c r="C67" s="146"/>
      <c r="D67" s="179"/>
      <c r="E67" s="218"/>
      <c r="F67" s="219"/>
      <c r="G67" s="219"/>
      <c r="I67" s="198"/>
      <c r="J67" s="165"/>
      <c r="K67" s="392"/>
      <c r="L67" s="220"/>
      <c r="M67" s="220"/>
      <c r="N67" s="342"/>
      <c r="O67" s="201"/>
    </row>
    <row r="68" spans="2:15" ht="15.95" customHeight="1">
      <c r="B68" s="341"/>
      <c r="C68" s="146"/>
      <c r="D68" s="179"/>
      <c r="E68" s="218"/>
      <c r="F68" s="219"/>
      <c r="G68" s="219"/>
      <c r="I68" s="198"/>
      <c r="J68" s="165"/>
      <c r="K68" s="392"/>
      <c r="L68" s="220"/>
      <c r="M68" s="220"/>
      <c r="N68" s="342"/>
      <c r="O68" s="201"/>
    </row>
    <row r="69" spans="2:15" ht="15.95" customHeight="1">
      <c r="B69" s="341"/>
      <c r="C69" s="146"/>
      <c r="D69" s="179"/>
      <c r="E69" s="218"/>
      <c r="F69" s="219"/>
      <c r="G69" s="219"/>
      <c r="I69" s="198"/>
      <c r="J69" s="165"/>
      <c r="K69" s="392"/>
      <c r="L69" s="220"/>
      <c r="M69" s="220"/>
      <c r="N69" s="342"/>
      <c r="O69" s="201"/>
    </row>
    <row r="70" spans="2:15" ht="15.95" customHeight="1">
      <c r="B70" s="341"/>
      <c r="C70" s="146"/>
      <c r="D70" s="179"/>
      <c r="E70" s="218"/>
      <c r="F70" s="219"/>
      <c r="G70" s="219"/>
      <c r="I70" s="198"/>
      <c r="J70" s="165"/>
      <c r="K70" s="392"/>
      <c r="L70" s="220"/>
      <c r="M70" s="220"/>
      <c r="N70" s="342"/>
      <c r="O70" s="201"/>
    </row>
    <row r="71" spans="2:15" ht="15.95" customHeight="1">
      <c r="B71" s="341"/>
      <c r="C71" s="198"/>
      <c r="D71" s="179"/>
      <c r="E71" s="218"/>
      <c r="F71" s="219"/>
      <c r="G71" s="219"/>
      <c r="I71" s="198"/>
      <c r="J71" s="165"/>
      <c r="K71" s="392"/>
      <c r="L71" s="220"/>
      <c r="M71" s="220"/>
      <c r="N71" s="342"/>
      <c r="O71" s="201"/>
    </row>
    <row r="72" spans="2:15" ht="15.95" customHeight="1">
      <c r="B72" s="341"/>
      <c r="C72" s="198"/>
      <c r="D72" s="179"/>
      <c r="E72" s="218"/>
      <c r="F72" s="219"/>
      <c r="G72" s="219"/>
      <c r="I72" s="198"/>
      <c r="J72" s="165"/>
      <c r="K72" s="392"/>
      <c r="L72" s="220"/>
      <c r="M72" s="220"/>
      <c r="N72" s="342"/>
      <c r="O72" s="201"/>
    </row>
    <row r="73" spans="2:15" ht="15.95" customHeight="1">
      <c r="B73" s="341"/>
      <c r="C73" s="198"/>
      <c r="D73" s="179"/>
      <c r="E73" s="218"/>
      <c r="F73" s="219"/>
      <c r="G73" s="219"/>
      <c r="I73" s="198"/>
      <c r="J73" s="165"/>
      <c r="K73" s="392"/>
      <c r="L73" s="220"/>
      <c r="M73" s="220"/>
      <c r="N73" s="342"/>
      <c r="O73" s="201"/>
    </row>
    <row r="74" spans="2:15" ht="15.95" customHeight="1" thickBot="1">
      <c r="B74" s="341"/>
      <c r="C74" s="198"/>
      <c r="D74" s="179"/>
      <c r="E74" s="218"/>
      <c r="F74" s="219"/>
      <c r="G74" s="219"/>
      <c r="I74" s="198"/>
      <c r="J74" s="165"/>
      <c r="K74" s="392"/>
      <c r="L74" s="220"/>
      <c r="M74" s="220"/>
      <c r="N74" s="342"/>
      <c r="O74" s="201"/>
    </row>
    <row r="75" spans="2:15" ht="15.95" customHeight="1">
      <c r="B75" s="341"/>
      <c r="C75" s="198"/>
      <c r="D75" s="179"/>
      <c r="E75" s="218"/>
      <c r="F75" s="219"/>
      <c r="G75" s="219"/>
      <c r="I75" s="198"/>
      <c r="J75" s="165"/>
      <c r="K75" s="221" t="s">
        <v>166</v>
      </c>
      <c r="L75" s="222"/>
      <c r="M75" s="223"/>
      <c r="N75" s="394"/>
    </row>
    <row r="76" spans="2:15" ht="15.95" customHeight="1">
      <c r="B76" s="341"/>
      <c r="C76" s="198"/>
      <c r="D76" s="179"/>
      <c r="E76" s="218"/>
      <c r="F76" s="219"/>
      <c r="G76" s="219"/>
      <c r="I76" s="198"/>
      <c r="J76" s="165"/>
      <c r="K76" s="224"/>
      <c r="N76" s="301"/>
    </row>
    <row r="77" spans="2:15" ht="15.95" customHeight="1">
      <c r="B77" s="341"/>
      <c r="C77" s="198"/>
      <c r="D77" s="179"/>
      <c r="E77" s="218"/>
      <c r="F77" s="219"/>
      <c r="G77" s="219"/>
      <c r="I77" s="198"/>
      <c r="J77" s="165"/>
      <c r="K77" s="224"/>
      <c r="N77" s="301"/>
    </row>
    <row r="78" spans="2:15" ht="15.95" customHeight="1">
      <c r="B78" s="341"/>
      <c r="C78" s="198"/>
      <c r="D78" s="179"/>
      <c r="E78" s="218"/>
      <c r="F78" s="219"/>
      <c r="G78" s="219"/>
      <c r="I78" s="198"/>
      <c r="J78" s="165"/>
      <c r="K78" s="225"/>
      <c r="N78" s="301"/>
    </row>
    <row r="79" spans="2:15" ht="15.95" customHeight="1">
      <c r="B79" s="341"/>
      <c r="C79" s="198"/>
      <c r="D79" s="179"/>
      <c r="E79" s="218"/>
      <c r="F79" s="219"/>
      <c r="G79" s="219"/>
      <c r="I79" s="198"/>
      <c r="J79" s="165"/>
      <c r="K79" s="225"/>
      <c r="N79" s="301"/>
    </row>
    <row r="80" spans="2:15" ht="15.95" customHeight="1" thickBot="1">
      <c r="B80" s="347"/>
      <c r="C80" s="395"/>
      <c r="D80" s="348"/>
      <c r="E80" s="349"/>
      <c r="F80" s="350"/>
      <c r="G80" s="350"/>
      <c r="H80" s="351"/>
      <c r="I80" s="395"/>
      <c r="J80" s="396"/>
      <c r="K80" s="353"/>
      <c r="L80" s="352"/>
      <c r="M80" s="351"/>
      <c r="N80" s="354"/>
    </row>
    <row r="81" ht="15" customHeight="1"/>
    <row r="82" ht="15" customHeight="1"/>
    <row r="83" ht="15" customHeight="1"/>
    <row r="84" ht="15" customHeight="1"/>
  </sheetData>
  <mergeCells count="1">
    <mergeCell ref="B2:N2"/>
  </mergeCells>
  <conditionalFormatting sqref="D49:G49 E53:E80">
    <cfRule type="cellIs" dxfId="5" priority="5" operator="lessThan">
      <formula>0</formula>
    </cfRule>
    <cfRule type="cellIs" dxfId="4" priority="6" operator="lessThan">
      <formula>0</formula>
    </cfRule>
  </conditionalFormatting>
  <conditionalFormatting sqref="E50:E51">
    <cfRule type="cellIs" dxfId="3" priority="69" operator="lessThan">
      <formula>0</formula>
    </cfRule>
    <cfRule type="cellIs" dxfId="2" priority="70" operator="lessThan">
      <formula>0</formula>
    </cfRule>
  </conditionalFormatting>
  <printOptions horizontalCentered="1"/>
  <pageMargins left="0.12" right="0.12" top="0.12" bottom="0.12" header="0.12" footer="0.12"/>
  <pageSetup paperSize="9" scale="35" orientation="portrait" r:id="rId1"/>
  <headerFooter alignWithMargins="0"/>
  <customProperties>
    <customPr name="IbpWorksheetKeyString_GU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2FDE-4E6C-42B5-BA57-CD5AAB3C19F9}">
  <sheetPr>
    <tabColor rgb="FFFFC000"/>
    <pageSetUpPr fitToPage="1"/>
  </sheetPr>
  <dimension ref="B1:XFA85"/>
  <sheetViews>
    <sheetView showGridLines="0" tabSelected="1" view="pageBreakPreview" zoomScale="85" zoomScaleNormal="85" zoomScaleSheetLayoutView="85" workbookViewId="0">
      <selection activeCell="F67" sqref="F67:G67"/>
    </sheetView>
  </sheetViews>
  <sheetFormatPr defaultColWidth="10.28515625" defaultRowHeight="19.5"/>
  <cols>
    <col min="1" max="1" width="10.28515625" style="144"/>
    <col min="2" max="2" width="20" style="144" customWidth="1"/>
    <col min="3" max="3" width="15.7109375" style="144" customWidth="1"/>
    <col min="4" max="4" width="19.5703125" style="144" customWidth="1"/>
    <col min="5" max="5" width="43.28515625" style="144" customWidth="1"/>
    <col min="6" max="6" width="16.7109375" style="144" customWidth="1"/>
    <col min="7" max="7" width="19.140625" style="144" customWidth="1"/>
    <col min="8" max="8" width="7.7109375" style="144" customWidth="1"/>
    <col min="9" max="9" width="21" style="144" customWidth="1"/>
    <col min="10" max="10" width="21.42578125" style="144" customWidth="1"/>
    <col min="11" max="11" width="45.7109375" style="226" customWidth="1"/>
    <col min="12" max="16384" width="10.28515625" style="144"/>
  </cols>
  <sheetData>
    <row r="1" spans="2:11" ht="20.25" thickBot="1"/>
    <row r="2" spans="2:11" ht="60.75" customHeight="1" thickBot="1">
      <c r="B2" s="401" t="s">
        <v>15</v>
      </c>
      <c r="C2" s="402"/>
      <c r="D2" s="402"/>
      <c r="E2" s="402"/>
      <c r="F2" s="402"/>
      <c r="G2" s="402"/>
      <c r="H2" s="402"/>
      <c r="I2" s="402"/>
      <c r="J2" s="402"/>
      <c r="K2" s="403"/>
    </row>
    <row r="3" spans="2:11" ht="15.95" customHeight="1" thickTop="1">
      <c r="B3" s="224" t="s">
        <v>182</v>
      </c>
      <c r="C3" s="146"/>
      <c r="E3" s="146"/>
      <c r="F3" s="146"/>
      <c r="G3" s="147"/>
      <c r="H3" s="145" t="s">
        <v>148</v>
      </c>
      <c r="J3" s="149"/>
      <c r="K3" s="294"/>
    </row>
    <row r="4" spans="2:11" ht="15.95" customHeight="1">
      <c r="B4" s="224" t="str">
        <f>CI!B4</f>
        <v>PT.ZINUS DREAM INDONESIA</v>
      </c>
      <c r="D4" s="146"/>
      <c r="E4" s="146"/>
      <c r="F4" s="146"/>
      <c r="H4" s="150" t="str">
        <f>CI!I4</f>
        <v>ID2608-9295</v>
      </c>
      <c r="I4" s="151"/>
      <c r="J4" s="154" t="str">
        <f>CI!M4</f>
        <v>August 28 2026</v>
      </c>
      <c r="K4" s="295"/>
    </row>
    <row r="5" spans="2:11" ht="15.95" customHeight="1">
      <c r="B5" s="225" t="str">
        <f>CI!B5</f>
        <v>JL. RAYA SERANG KM. 12 RT. 01 RW. 05, KP. GEBANG</v>
      </c>
      <c r="C5" s="155"/>
      <c r="D5" s="155"/>
      <c r="E5" s="156"/>
      <c r="F5" s="156"/>
      <c r="H5" s="157" t="s">
        <v>0</v>
      </c>
      <c r="I5" s="158"/>
      <c r="J5" s="158"/>
      <c r="K5" s="296"/>
    </row>
    <row r="6" spans="2:11" ht="15.95" customHeight="1">
      <c r="B6" s="225" t="str">
        <f>CI!B6</f>
        <v>DESA/KEL. SUKADAMAI, KEC. CIKUPA,</v>
      </c>
      <c r="C6" s="155"/>
      <c r="D6" s="155"/>
      <c r="E6" s="156"/>
      <c r="F6" s="156"/>
      <c r="H6" s="160" t="str">
        <f>CI!I6</f>
        <v>T/T PAYMENT</v>
      </c>
      <c r="K6" s="297"/>
    </row>
    <row r="7" spans="2:11" ht="15.95" customHeight="1">
      <c r="B7" s="225" t="str">
        <f>CI!B7</f>
        <v>KAB. TANGERANG BANTEN</v>
      </c>
      <c r="C7" s="155"/>
      <c r="D7" s="155"/>
      <c r="H7" s="160"/>
      <c r="K7" s="297"/>
    </row>
    <row r="8" spans="2:11" ht="15.95" customHeight="1">
      <c r="B8" s="298"/>
      <c r="C8" s="155"/>
      <c r="D8" s="155"/>
      <c r="H8" s="161"/>
      <c r="I8" s="152"/>
      <c r="J8" s="152"/>
      <c r="K8" s="299"/>
    </row>
    <row r="9" spans="2:11" ht="15.95" customHeight="1">
      <c r="B9" s="300" t="s">
        <v>157</v>
      </c>
      <c r="C9" s="158"/>
      <c r="D9" s="158"/>
      <c r="E9" s="158"/>
      <c r="F9" s="158"/>
      <c r="G9" s="164"/>
      <c r="H9" s="146" t="s">
        <v>2</v>
      </c>
      <c r="K9" s="301"/>
    </row>
    <row r="10" spans="2:11" s="165" customFormat="1" ht="15.95" customHeight="1">
      <c r="B10" s="302" t="str">
        <f>CI!B10</f>
        <v>ZINUS, INC.</v>
      </c>
      <c r="D10" s="166"/>
      <c r="G10" s="167"/>
      <c r="H10" s="168" t="str">
        <f>CI!I10</f>
        <v>ZINUS  INC,</v>
      </c>
      <c r="I10" s="169"/>
      <c r="K10" s="303"/>
    </row>
    <row r="11" spans="2:11" s="165" customFormat="1" ht="15.95" customHeight="1">
      <c r="B11" s="307" t="str">
        <f>CI!B11</f>
        <v>5731 PROMONTORY PARKWAY,</v>
      </c>
      <c r="D11" s="170"/>
      <c r="G11" s="167"/>
      <c r="H11" s="165" t="str">
        <f>CI!I11</f>
        <v>8F, 10 (AMIGO-TOWER) YATAP-RO,</v>
      </c>
      <c r="I11" s="156"/>
      <c r="K11" s="304"/>
    </row>
    <row r="12" spans="2:11" s="165" customFormat="1" ht="15.95" customHeight="1">
      <c r="B12" s="307" t="str">
        <f>CI!B12</f>
        <v>TRACY, CA 95377, USA</v>
      </c>
      <c r="D12" s="170"/>
      <c r="G12" s="167"/>
      <c r="H12" s="165" t="str">
        <f>CI!I12</f>
        <v>81 BEON-GIL BUNDANG-GU, SEONGNAM-SI, GYUNGGI-DO, 13497, SOUTH KOREA</v>
      </c>
      <c r="I12" s="156"/>
      <c r="J12" s="171"/>
      <c r="K12" s="305"/>
    </row>
    <row r="13" spans="2:11" s="165" customFormat="1" ht="15.95" customHeight="1">
      <c r="B13" s="306"/>
      <c r="C13" s="173"/>
      <c r="D13" s="174"/>
      <c r="E13" s="173"/>
      <c r="F13" s="173"/>
      <c r="G13" s="175"/>
      <c r="H13" s="168"/>
      <c r="I13" s="156"/>
      <c r="J13" s="171"/>
      <c r="K13" s="305"/>
    </row>
    <row r="14" spans="2:11" ht="15.95" customHeight="1">
      <c r="B14" s="224" t="s">
        <v>158</v>
      </c>
      <c r="G14" s="147"/>
      <c r="H14" s="157" t="s">
        <v>3</v>
      </c>
      <c r="I14" s="158"/>
      <c r="J14" s="158"/>
      <c r="K14" s="296"/>
    </row>
    <row r="15" spans="2:11" ht="15.95" customHeight="1">
      <c r="B15" s="302" t="str">
        <f>CI!B15</f>
        <v>ZINUS, INC.</v>
      </c>
      <c r="D15" s="176"/>
      <c r="G15" s="147"/>
      <c r="H15" s="145" t="s">
        <v>4</v>
      </c>
      <c r="K15" s="301"/>
    </row>
    <row r="16" spans="2:11" ht="15.95" customHeight="1">
      <c r="B16" s="307" t="str">
        <f>CI!B16</f>
        <v>5731 PROMONTORY PARKWAY,</v>
      </c>
      <c r="D16" s="177"/>
      <c r="G16" s="147"/>
      <c r="H16" s="178" t="s">
        <v>5</v>
      </c>
      <c r="I16" s="179" t="str">
        <f>CI!J16</f>
        <v>TIN60185</v>
      </c>
      <c r="K16" s="301"/>
    </row>
    <row r="17" spans="2:11 16381:16381" ht="15.95" customHeight="1">
      <c r="B17" s="307" t="str">
        <f>CI!B17</f>
        <v>TRACY, CA 95377, USA</v>
      </c>
      <c r="D17" s="177"/>
      <c r="G17" s="147"/>
      <c r="H17" s="180" t="s">
        <v>159</v>
      </c>
      <c r="I17" s="356" t="str">
        <f>CI!J17</f>
        <v>080600452114</v>
      </c>
      <c r="K17" s="301"/>
    </row>
    <row r="18" spans="2:11 16381:16381" ht="15.95" customHeight="1">
      <c r="B18" s="302"/>
      <c r="C18" s="181"/>
      <c r="D18" s="177"/>
      <c r="G18" s="147"/>
      <c r="H18" s="180" t="s">
        <v>181</v>
      </c>
      <c r="I18" s="179" t="str">
        <f>CI!J18</f>
        <v>EGLV080600452114</v>
      </c>
      <c r="K18" s="301"/>
    </row>
    <row r="19" spans="2:11 16381:16381" ht="15.95" customHeight="1">
      <c r="B19" s="225"/>
      <c r="C19" s="177"/>
      <c r="D19" s="177"/>
      <c r="G19" s="147"/>
      <c r="H19" s="182"/>
      <c r="I19" s="183"/>
      <c r="J19" s="152"/>
      <c r="K19" s="308"/>
    </row>
    <row r="20" spans="2:11 16381:16381" ht="15.95" customHeight="1">
      <c r="B20" s="309" t="s">
        <v>160</v>
      </c>
      <c r="C20" s="185"/>
      <c r="D20" s="186"/>
      <c r="E20" s="158"/>
      <c r="F20" s="158"/>
      <c r="G20" s="164"/>
      <c r="H20" s="146" t="s">
        <v>6</v>
      </c>
      <c r="K20" s="301"/>
    </row>
    <row r="21" spans="2:11 16381:16381" ht="15.95" customHeight="1">
      <c r="B21" s="310">
        <f>CI!B21</f>
        <v>46271</v>
      </c>
      <c r="C21" s="311"/>
      <c r="D21" s="311"/>
      <c r="E21" s="152"/>
      <c r="F21" s="152"/>
      <c r="G21" s="162"/>
      <c r="H21" s="144" t="str">
        <f>CI!I21</f>
        <v>*FOB INDONESIA</v>
      </c>
      <c r="K21" s="301"/>
      <c r="XFA21" s="312">
        <f>SUM(B21:XEZ21)</f>
        <v>46271</v>
      </c>
    </row>
    <row r="22" spans="2:11 16381:16381" ht="15.95" customHeight="1">
      <c r="B22" s="313" t="s">
        <v>161</v>
      </c>
      <c r="C22" s="168"/>
      <c r="D22" s="165"/>
      <c r="E22" s="146" t="s">
        <v>162</v>
      </c>
      <c r="F22" s="146"/>
      <c r="G22" s="147"/>
      <c r="H22" s="144" t="str">
        <f>CI!I22</f>
        <v>*AT 90 DAYS AFTER B/L DATE</v>
      </c>
      <c r="K22" s="301"/>
    </row>
    <row r="23" spans="2:11 16381:16381" s="190" customFormat="1" ht="15.95" customHeight="1">
      <c r="B23" s="314" t="str">
        <f>CI!B23</f>
        <v>EVER BOOMY 1206-093A</v>
      </c>
      <c r="C23" s="191"/>
      <c r="D23" s="191"/>
      <c r="E23" s="192" t="s">
        <v>163</v>
      </c>
      <c r="F23" s="192"/>
      <c r="G23" s="193"/>
      <c r="H23" s="144" t="str">
        <f>CI!I23</f>
        <v>*FOAM MATTRESS, HYBRID MATTRESS, SPRING MATTRESS</v>
      </c>
      <c r="I23" s="195"/>
      <c r="K23" s="315"/>
    </row>
    <row r="24" spans="2:11 16381:16381" ht="15.95" customHeight="1" thickBot="1">
      <c r="B24" s="316" t="s">
        <v>172</v>
      </c>
      <c r="C24" s="355" t="str">
        <f>CI!C24</f>
        <v>OAKLAND,CA</v>
      </c>
      <c r="D24" s="252"/>
      <c r="E24" s="253"/>
      <c r="F24" s="253"/>
      <c r="G24" s="254"/>
      <c r="H24" s="248"/>
      <c r="I24" s="207"/>
      <c r="J24" s="206"/>
      <c r="K24" s="317"/>
    </row>
    <row r="25" spans="2:11 16381:16381" ht="15.95" customHeight="1" thickTop="1" thickBot="1">
      <c r="B25" s="318"/>
      <c r="C25" s="249" t="s">
        <v>7</v>
      </c>
      <c r="D25" s="250" t="s">
        <v>7</v>
      </c>
      <c r="E25" s="251"/>
      <c r="F25" s="447"/>
      <c r="G25" s="448"/>
      <c r="H25" s="447"/>
      <c r="I25" s="449"/>
      <c r="J25" s="447"/>
      <c r="K25" s="450"/>
    </row>
    <row r="26" spans="2:11 16381:16381" ht="15.95" customHeight="1" thickTop="1">
      <c r="B26" s="319" t="s">
        <v>173</v>
      </c>
      <c r="C26" s="198"/>
      <c r="D26" s="264" t="s">
        <v>9</v>
      </c>
      <c r="E26" s="199"/>
      <c r="F26" s="451" t="s">
        <v>7</v>
      </c>
      <c r="G26" s="452" t="s">
        <v>174</v>
      </c>
      <c r="H26" s="452" t="s">
        <v>7</v>
      </c>
      <c r="I26" s="453" t="s">
        <v>175</v>
      </c>
      <c r="J26" s="455" t="s">
        <v>176</v>
      </c>
      <c r="K26" s="457"/>
    </row>
    <row r="27" spans="2:11 16381:16381" ht="15.95" customHeight="1">
      <c r="B27" s="225"/>
      <c r="C27" s="198"/>
      <c r="D27" s="199"/>
      <c r="E27" s="199"/>
      <c r="F27" s="451"/>
      <c r="G27" s="452"/>
      <c r="H27" s="452"/>
      <c r="I27" s="454"/>
      <c r="J27" s="456"/>
      <c r="K27" s="458"/>
    </row>
    <row r="28" spans="2:11 16381:16381" ht="15.75" customHeight="1">
      <c r="B28" s="225"/>
      <c r="C28" s="198"/>
      <c r="D28" s="199"/>
      <c r="E28" s="199"/>
      <c r="F28" s="289"/>
      <c r="G28" s="321">
        <f>J52</f>
        <v>10432.81</v>
      </c>
      <c r="H28" s="288"/>
      <c r="I28" s="321">
        <v>11392.530000000002</v>
      </c>
      <c r="J28" s="322">
        <v>52.315000000000005</v>
      </c>
      <c r="K28" s="323" t="s">
        <v>7</v>
      </c>
    </row>
    <row r="29" spans="2:11 16381:16381" ht="15.75" customHeight="1">
      <c r="B29" s="225"/>
      <c r="C29" s="198"/>
      <c r="D29" s="199"/>
      <c r="E29" s="199"/>
      <c r="F29" s="289"/>
      <c r="G29" s="324"/>
      <c r="H29" s="288"/>
      <c r="I29" s="325"/>
      <c r="J29" s="290"/>
      <c r="K29" s="320"/>
    </row>
    <row r="30" spans="2:11 16381:16381" ht="36.75" customHeight="1">
      <c r="B30" s="225"/>
      <c r="C30" s="326" t="s">
        <v>5</v>
      </c>
      <c r="D30" s="327" t="s">
        <v>13</v>
      </c>
      <c r="E30" s="199"/>
      <c r="F30" s="445" t="s">
        <v>177</v>
      </c>
      <c r="G30" s="445"/>
      <c r="H30" s="288"/>
      <c r="I30" s="328" t="s">
        <v>178</v>
      </c>
      <c r="J30" s="328" t="s">
        <v>171</v>
      </c>
      <c r="K30" s="320"/>
    </row>
    <row r="31" spans="2:11 16381:16381" s="287" customFormat="1" ht="20.25" customHeight="1">
      <c r="B31" s="398"/>
      <c r="C31" s="262" t="str">
        <f>CI!C29</f>
        <v>TIN60185</v>
      </c>
      <c r="D31" s="199" t="str">
        <f>CI!G29</f>
        <v>ZINUS 12IN COOLING GREEN TEA MEMORY FOAM MATTRESS QUEEN</v>
      </c>
      <c r="E31" s="229"/>
      <c r="F31" s="228">
        <f>CI!J29</f>
        <v>20</v>
      </c>
      <c r="G31" s="229">
        <f>F31</f>
        <v>20</v>
      </c>
      <c r="H31" s="230"/>
      <c r="I31" s="329">
        <v>37.56</v>
      </c>
      <c r="J31" s="231">
        <f>I31*G31</f>
        <v>751.2</v>
      </c>
      <c r="K31" s="399"/>
      <c r="XFA31" s="287">
        <f>SUM(B31:XEZ31)</f>
        <v>828.76</v>
      </c>
    </row>
    <row r="32" spans="2:11 16381:16381" s="287" customFormat="1" ht="20.25" customHeight="1">
      <c r="B32" s="398"/>
      <c r="C32" s="262" t="str">
        <f>CI!C30</f>
        <v>TIN60185</v>
      </c>
      <c r="D32" s="199" t="str">
        <f>CI!G30</f>
        <v>ZINUS 12IN ULTRA COOLING GREEN TEA MEMORY FOAM MATTRESS KING</v>
      </c>
      <c r="E32" s="229"/>
      <c r="F32" s="228">
        <f>CI!J30</f>
        <v>113</v>
      </c>
      <c r="G32" s="229">
        <f t="shared" ref="G32:G34" si="0">F32</f>
        <v>113</v>
      </c>
      <c r="H32" s="230"/>
      <c r="I32" s="329">
        <v>49.73</v>
      </c>
      <c r="J32" s="231">
        <f t="shared" ref="J32:J34" si="1">I32*G32</f>
        <v>5619.49</v>
      </c>
      <c r="K32" s="399"/>
      <c r="XFA32" s="287">
        <f t="shared" ref="XFA32:XFA37" si="2">SUM(B32:XEZ32)</f>
        <v>5895.2199999999993</v>
      </c>
    </row>
    <row r="33" spans="2:11 16381:16381" s="287" customFormat="1" ht="20.25" customHeight="1">
      <c r="B33" s="398"/>
      <c r="C33" s="262" t="str">
        <f>CI!C31</f>
        <v>TIN60185</v>
      </c>
      <c r="D33" s="199" t="str">
        <f>CI!G31</f>
        <v>ZINUS 12IN ULTRA COOLING GREEN TEA MEMORY FOAM MATTRESS QUEEN</v>
      </c>
      <c r="E33" s="229"/>
      <c r="F33" s="228">
        <f>CI!J31</f>
        <v>20</v>
      </c>
      <c r="G33" s="229">
        <f t="shared" si="0"/>
        <v>20</v>
      </c>
      <c r="H33" s="230"/>
      <c r="I33" s="329">
        <v>39.46</v>
      </c>
      <c r="J33" s="231">
        <f t="shared" si="1"/>
        <v>789.2</v>
      </c>
      <c r="K33" s="399"/>
      <c r="XFA33" s="287">
        <f t="shared" si="2"/>
        <v>868.66000000000008</v>
      </c>
    </row>
    <row r="34" spans="2:11 16381:16381" ht="20.25" customHeight="1">
      <c r="B34" s="225"/>
      <c r="C34" s="262" t="str">
        <f>CI!C32</f>
        <v>TIN60185</v>
      </c>
      <c r="D34" s="199" t="str">
        <f>CI!G32</f>
        <v>3IN Sleepy's Gel Memory Foam Topper King</v>
      </c>
      <c r="E34" s="229"/>
      <c r="F34" s="228">
        <f>CI!J32</f>
        <v>60</v>
      </c>
      <c r="G34" s="229">
        <f t="shared" si="0"/>
        <v>60</v>
      </c>
      <c r="H34" s="230"/>
      <c r="I34" s="329">
        <v>9.7799999999999994</v>
      </c>
      <c r="J34" s="231">
        <f t="shared" si="1"/>
        <v>586.79999999999995</v>
      </c>
      <c r="K34" s="330"/>
      <c r="XFA34" s="144">
        <f t="shared" si="2"/>
        <v>716.57999999999993</v>
      </c>
    </row>
    <row r="35" spans="2:11 16381:16381" ht="20.25" customHeight="1">
      <c r="B35" s="225"/>
      <c r="C35" s="262" t="str">
        <f>CI!C33</f>
        <v>TIN60185</v>
      </c>
      <c r="D35" s="199" t="str">
        <f>CI!G33</f>
        <v>14in Plush Hybrid Mattress</v>
      </c>
      <c r="E35" s="229"/>
      <c r="F35" s="228">
        <f>CI!J33</f>
        <v>20</v>
      </c>
      <c r="G35" s="229">
        <f t="shared" ref="G35:G36" si="3">F35</f>
        <v>20</v>
      </c>
      <c r="H35" s="230"/>
      <c r="I35" s="329">
        <v>46.241</v>
      </c>
      <c r="J35" s="231">
        <f t="shared" ref="J35:J36" si="4">I35*G35</f>
        <v>924.81999999999994</v>
      </c>
      <c r="K35" s="330"/>
      <c r="XFA35" s="144">
        <f t="shared" si="2"/>
        <v>1011.0609999999999</v>
      </c>
    </row>
    <row r="36" spans="2:11 16381:16381" ht="20.25" customHeight="1">
      <c r="B36" s="225"/>
      <c r="C36" s="262" t="str">
        <f>CI!C34</f>
        <v>TIN60185</v>
      </c>
      <c r="D36" s="199" t="str">
        <f>CI!G34</f>
        <v>Zinus 12in Cooling Green Tea Hybrid Queen</v>
      </c>
      <c r="E36" s="229"/>
      <c r="F36" s="228">
        <f>CI!J34</f>
        <v>38</v>
      </c>
      <c r="G36" s="229">
        <f t="shared" si="3"/>
        <v>38</v>
      </c>
      <c r="H36" s="230"/>
      <c r="I36" s="329">
        <v>46.35</v>
      </c>
      <c r="J36" s="231">
        <f t="shared" si="4"/>
        <v>1761.3</v>
      </c>
      <c r="K36" s="330"/>
      <c r="XFA36" s="144">
        <f t="shared" si="2"/>
        <v>1883.6499999999999</v>
      </c>
    </row>
    <row r="37" spans="2:11 16381:16381" s="287" customFormat="1" ht="20.25" hidden="1" customHeight="1">
      <c r="B37" s="398"/>
      <c r="C37" s="262"/>
      <c r="D37" s="199"/>
      <c r="E37" s="229"/>
      <c r="F37" s="228"/>
      <c r="G37" s="229"/>
      <c r="H37" s="230"/>
      <c r="I37" s="329"/>
      <c r="J37" s="231"/>
      <c r="K37" s="399"/>
      <c r="XFA37" s="287">
        <f t="shared" si="2"/>
        <v>0</v>
      </c>
    </row>
    <row r="38" spans="2:11 16381:16381" s="287" customFormat="1" ht="20.25" hidden="1" customHeight="1">
      <c r="B38" s="398"/>
      <c r="C38" s="262"/>
      <c r="D38" s="199"/>
      <c r="E38" s="229"/>
      <c r="F38" s="228"/>
      <c r="G38" s="229"/>
      <c r="H38" s="230"/>
      <c r="I38" s="329"/>
      <c r="J38" s="231"/>
      <c r="K38" s="399"/>
    </row>
    <row r="39" spans="2:11 16381:16381" s="287" customFormat="1" ht="20.25" hidden="1" customHeight="1">
      <c r="B39" s="398"/>
      <c r="C39" s="262"/>
      <c r="D39" s="199"/>
      <c r="E39" s="229"/>
      <c r="F39" s="228"/>
      <c r="G39" s="229"/>
      <c r="H39" s="230"/>
      <c r="I39" s="329"/>
      <c r="J39" s="231"/>
      <c r="K39" s="399"/>
    </row>
    <row r="40" spans="2:11 16381:16381" s="287" customFormat="1" ht="20.25" hidden="1" customHeight="1">
      <c r="B40" s="398"/>
      <c r="C40" s="262"/>
      <c r="D40" s="199"/>
      <c r="E40" s="229"/>
      <c r="F40" s="228"/>
      <c r="G40" s="229"/>
      <c r="H40" s="230"/>
      <c r="I40" s="329"/>
      <c r="J40" s="231"/>
      <c r="K40" s="399"/>
    </row>
    <row r="41" spans="2:11 16381:16381" s="287" customFormat="1" ht="20.25" hidden="1" customHeight="1">
      <c r="B41" s="398"/>
      <c r="C41" s="262"/>
      <c r="D41" s="199"/>
      <c r="E41" s="229"/>
      <c r="F41" s="228"/>
      <c r="G41" s="229"/>
      <c r="H41" s="230"/>
      <c r="I41" s="329"/>
      <c r="J41" s="231"/>
      <c r="K41" s="399"/>
    </row>
    <row r="42" spans="2:11 16381:16381" s="287" customFormat="1" ht="20.25" hidden="1" customHeight="1">
      <c r="B42" s="398"/>
      <c r="C42" s="262"/>
      <c r="D42" s="199"/>
      <c r="E42" s="229"/>
      <c r="F42" s="228"/>
      <c r="G42" s="229"/>
      <c r="H42" s="230"/>
      <c r="I42" s="329"/>
      <c r="J42" s="231"/>
      <c r="K42" s="399"/>
    </row>
    <row r="43" spans="2:11 16381:16381" s="287" customFormat="1" ht="20.25" hidden="1" customHeight="1">
      <c r="B43" s="398"/>
      <c r="C43" s="262"/>
      <c r="D43" s="199"/>
      <c r="E43" s="229"/>
      <c r="F43" s="228"/>
      <c r="G43" s="229"/>
      <c r="H43" s="230"/>
      <c r="I43" s="329"/>
      <c r="J43" s="231"/>
      <c r="K43" s="399"/>
    </row>
    <row r="44" spans="2:11 16381:16381" s="287" customFormat="1" ht="20.25" hidden="1" customHeight="1">
      <c r="B44" s="398"/>
      <c r="C44" s="262"/>
      <c r="D44" s="199"/>
      <c r="E44" s="229"/>
      <c r="F44" s="228"/>
      <c r="G44" s="229"/>
      <c r="H44" s="230"/>
      <c r="I44" s="329"/>
      <c r="J44" s="231"/>
      <c r="K44" s="399"/>
    </row>
    <row r="45" spans="2:11 16381:16381" s="287" customFormat="1" ht="20.25" hidden="1" customHeight="1">
      <c r="B45" s="398"/>
      <c r="C45" s="262"/>
      <c r="D45" s="199"/>
      <c r="E45" s="229"/>
      <c r="F45" s="228"/>
      <c r="G45" s="229"/>
      <c r="H45" s="230"/>
      <c r="I45" s="329"/>
      <c r="J45" s="231"/>
      <c r="K45" s="399"/>
    </row>
    <row r="46" spans="2:11 16381:16381" s="287" customFormat="1" ht="20.25" hidden="1" customHeight="1">
      <c r="B46" s="398"/>
      <c r="C46" s="262"/>
      <c r="D46" s="199"/>
      <c r="E46" s="229"/>
      <c r="F46" s="228"/>
      <c r="G46" s="229"/>
      <c r="H46" s="230"/>
      <c r="I46" s="329"/>
      <c r="J46" s="231"/>
      <c r="K46" s="399"/>
    </row>
    <row r="47" spans="2:11 16381:16381" s="287" customFormat="1" ht="20.25" hidden="1" customHeight="1">
      <c r="B47" s="398"/>
      <c r="C47" s="262"/>
      <c r="D47" s="199"/>
      <c r="E47" s="229"/>
      <c r="F47" s="228"/>
      <c r="G47" s="229"/>
      <c r="H47" s="230"/>
      <c r="I47" s="329"/>
      <c r="J47" s="231"/>
      <c r="K47" s="399"/>
    </row>
    <row r="48" spans="2:11 16381:16381" s="287" customFormat="1" ht="20.25" hidden="1" customHeight="1">
      <c r="B48" s="398"/>
      <c r="C48" s="262"/>
      <c r="D48" s="199"/>
      <c r="E48" s="229"/>
      <c r="F48" s="228"/>
      <c r="G48" s="229"/>
      <c r="H48" s="230"/>
      <c r="I48" s="329"/>
      <c r="J48" s="231"/>
      <c r="K48" s="399"/>
    </row>
    <row r="49" spans="2:11 16381:16381" s="287" customFormat="1" ht="20.25" hidden="1" customHeight="1">
      <c r="B49" s="398"/>
      <c r="C49" s="262"/>
      <c r="D49" s="199"/>
      <c r="E49" s="229"/>
      <c r="F49" s="228"/>
      <c r="G49" s="229"/>
      <c r="H49" s="230"/>
      <c r="I49" s="329"/>
      <c r="J49" s="231"/>
      <c r="K49" s="399"/>
    </row>
    <row r="50" spans="2:11 16381:16381" s="287" customFormat="1" ht="20.25" hidden="1" customHeight="1">
      <c r="B50" s="398"/>
      <c r="C50" s="262"/>
      <c r="D50" s="199"/>
      <c r="E50" s="229"/>
      <c r="F50" s="228"/>
      <c r="G50" s="229"/>
      <c r="H50" s="230"/>
      <c r="I50" s="329"/>
      <c r="J50" s="231"/>
      <c r="K50" s="399"/>
    </row>
    <row r="51" spans="2:11 16381:16381" ht="20.25" customHeight="1" thickBot="1">
      <c r="B51" s="225"/>
      <c r="C51" s="262"/>
      <c r="D51" s="199"/>
      <c r="E51" s="229"/>
      <c r="F51" s="228"/>
      <c r="G51" s="229"/>
      <c r="H51" s="230"/>
      <c r="I51" s="329"/>
      <c r="J51" s="231"/>
      <c r="K51" s="330"/>
    </row>
    <row r="52" spans="2:11 16381:16381" ht="15.75" customHeight="1" thickTop="1" thickBot="1">
      <c r="B52" s="331"/>
      <c r="C52" s="210"/>
      <c r="D52" s="213"/>
      <c r="E52" s="232" t="s">
        <v>14</v>
      </c>
      <c r="F52" s="233">
        <f>SUM(F31:F51)</f>
        <v>271</v>
      </c>
      <c r="G52" s="234">
        <f>SUM(G31:G51)</f>
        <v>271</v>
      </c>
      <c r="H52" s="215" t="s">
        <v>7</v>
      </c>
      <c r="I52" s="235"/>
      <c r="J52" s="332">
        <f>SUM(J31:J51)</f>
        <v>10432.81</v>
      </c>
      <c r="K52" s="333"/>
      <c r="XFA52" s="144">
        <f>SUM(B52:XEZ52)</f>
        <v>10974.81</v>
      </c>
    </row>
    <row r="53" spans="2:11 16381:16381" ht="15.75" customHeight="1" thickTop="1">
      <c r="B53" s="334"/>
      <c r="C53" s="335"/>
      <c r="D53" s="146"/>
      <c r="E53" s="336"/>
      <c r="F53" s="337"/>
      <c r="G53" s="338"/>
      <c r="H53" s="263"/>
      <c r="I53" s="322" t="s">
        <v>7</v>
      </c>
      <c r="J53" s="339"/>
      <c r="K53" s="340"/>
    </row>
    <row r="54" spans="2:11 16381:16381" ht="15.75" customHeight="1">
      <c r="B54" s="334"/>
      <c r="C54" s="335"/>
      <c r="D54" s="146"/>
      <c r="E54" s="336"/>
      <c r="F54" s="337"/>
      <c r="G54" s="338"/>
      <c r="H54" s="263"/>
      <c r="I54" s="322"/>
      <c r="J54" s="339"/>
      <c r="K54" s="340"/>
    </row>
    <row r="55" spans="2:11 16381:16381" ht="15.75" customHeight="1">
      <c r="B55" s="334"/>
      <c r="C55" s="335"/>
      <c r="D55" s="146"/>
      <c r="E55" s="336"/>
      <c r="F55" s="337"/>
      <c r="G55" s="338"/>
      <c r="H55" s="263"/>
      <c r="I55" s="322"/>
      <c r="J55" s="339"/>
      <c r="K55" s="340"/>
    </row>
    <row r="56" spans="2:11 16381:16381" ht="15.75" customHeight="1">
      <c r="B56" s="334"/>
      <c r="C56" s="335"/>
      <c r="D56" s="146"/>
      <c r="E56" s="336"/>
      <c r="F56" s="337"/>
      <c r="G56" s="338"/>
      <c r="H56" s="263"/>
      <c r="I56" s="322"/>
      <c r="J56" s="339"/>
      <c r="K56" s="340"/>
    </row>
    <row r="57" spans="2:11 16381:16381" ht="15.75" customHeight="1">
      <c r="B57" s="334"/>
      <c r="C57" s="335"/>
      <c r="D57" s="146"/>
      <c r="E57" s="336"/>
      <c r="F57" s="337"/>
      <c r="G57" s="338"/>
      <c r="H57" s="263"/>
      <c r="I57" s="322"/>
      <c r="J57" s="339"/>
      <c r="K57" s="340"/>
    </row>
    <row r="58" spans="2:11 16381:16381" ht="15.75" customHeight="1">
      <c r="B58" s="334"/>
      <c r="C58" s="335"/>
      <c r="D58" s="146"/>
      <c r="E58" s="336"/>
      <c r="F58" s="337"/>
      <c r="G58" s="338"/>
      <c r="H58" s="263"/>
      <c r="I58" s="322"/>
      <c r="J58" s="339"/>
      <c r="K58" s="340"/>
    </row>
    <row r="59" spans="2:11 16381:16381" ht="15.75" customHeight="1">
      <c r="B59" s="334"/>
      <c r="C59" s="335"/>
      <c r="D59" s="146"/>
      <c r="E59" s="336"/>
      <c r="F59" s="337"/>
      <c r="G59" s="338"/>
      <c r="H59" s="263"/>
      <c r="I59" s="322"/>
      <c r="J59" s="339"/>
      <c r="K59" s="340"/>
    </row>
    <row r="60" spans="2:11 16381:16381" ht="15.75" customHeight="1">
      <c r="B60" s="334"/>
      <c r="C60" s="335"/>
      <c r="D60" s="146"/>
      <c r="E60" s="336"/>
      <c r="F60" s="337"/>
      <c r="G60" s="338"/>
      <c r="H60" s="263"/>
      <c r="I60" s="322"/>
      <c r="J60" s="339"/>
      <c r="K60" s="340"/>
    </row>
    <row r="61" spans="2:11 16381:16381" ht="15.75" customHeight="1">
      <c r="B61" s="334"/>
      <c r="C61" s="335"/>
      <c r="D61" s="146"/>
      <c r="E61" s="336"/>
      <c r="F61" s="337"/>
      <c r="G61" s="338"/>
      <c r="H61" s="263"/>
      <c r="I61" s="322"/>
      <c r="J61" s="339"/>
      <c r="K61" s="340"/>
    </row>
    <row r="62" spans="2:11 16381:16381" ht="15.75" customHeight="1">
      <c r="B62" s="334"/>
      <c r="C62" s="335"/>
      <c r="D62" s="146"/>
      <c r="E62" s="336"/>
      <c r="F62" s="337"/>
      <c r="G62" s="338"/>
      <c r="H62" s="263"/>
      <c r="I62" s="322"/>
      <c r="J62" s="339"/>
      <c r="K62" s="340"/>
    </row>
    <row r="63" spans="2:11 16381:16381" ht="15.75" customHeight="1">
      <c r="B63" s="334"/>
      <c r="C63" s="335"/>
      <c r="D63" s="146"/>
      <c r="E63" s="336"/>
      <c r="F63" s="337"/>
      <c r="G63" s="338"/>
      <c r="H63" s="263"/>
      <c r="I63" s="322"/>
      <c r="J63" s="339"/>
      <c r="K63" s="340"/>
    </row>
    <row r="64" spans="2:11 16381:16381" ht="15.75" customHeight="1">
      <c r="B64" s="334"/>
      <c r="C64" s="335"/>
      <c r="D64" s="146"/>
      <c r="E64" s="336"/>
      <c r="F64" s="337"/>
      <c r="G64" s="338"/>
      <c r="H64" s="263"/>
      <c r="I64" s="322"/>
      <c r="J64" s="339"/>
      <c r="K64" s="340"/>
    </row>
    <row r="65" spans="2:11" ht="15.95" customHeight="1">
      <c r="B65" s="341"/>
      <c r="C65" s="179"/>
      <c r="D65" s="218"/>
      <c r="E65" s="219"/>
      <c r="F65" s="219"/>
      <c r="H65" s="198"/>
      <c r="I65" s="165"/>
      <c r="J65" s="220"/>
      <c r="K65" s="342"/>
    </row>
    <row r="66" spans="2:11" ht="15.95" customHeight="1">
      <c r="B66" s="341"/>
      <c r="C66" s="179"/>
      <c r="D66" s="218"/>
      <c r="E66" s="219"/>
      <c r="F66" s="219"/>
      <c r="H66" s="198"/>
      <c r="I66" s="165"/>
      <c r="J66" s="220"/>
      <c r="K66" s="342"/>
    </row>
    <row r="67" spans="2:11" ht="15.95" customHeight="1">
      <c r="B67" s="341"/>
      <c r="C67" s="179"/>
      <c r="D67" s="218"/>
      <c r="E67" s="219"/>
      <c r="F67" s="219"/>
      <c r="H67" s="198"/>
      <c r="I67" s="165"/>
      <c r="J67" s="220"/>
      <c r="K67" s="342"/>
    </row>
    <row r="68" spans="2:11" ht="15.95" customHeight="1">
      <c r="B68" s="341"/>
      <c r="C68" s="179"/>
      <c r="D68" s="218"/>
      <c r="E68" s="219"/>
      <c r="F68" s="219"/>
      <c r="H68" s="198"/>
      <c r="I68" s="165"/>
      <c r="J68" s="220"/>
      <c r="K68" s="342"/>
    </row>
    <row r="69" spans="2:11" ht="15.95" customHeight="1">
      <c r="B69" s="341"/>
      <c r="C69" s="179"/>
      <c r="D69" s="218"/>
      <c r="E69" s="219"/>
      <c r="F69" s="219"/>
      <c r="H69" s="198"/>
      <c r="I69" s="165"/>
      <c r="J69" s="220"/>
      <c r="K69" s="342"/>
    </row>
    <row r="70" spans="2:11" ht="15.95" customHeight="1">
      <c r="B70" s="341"/>
      <c r="C70" s="179"/>
      <c r="D70" s="218"/>
      <c r="E70" s="219"/>
      <c r="F70" s="219"/>
      <c r="H70" s="198"/>
      <c r="I70" s="165"/>
      <c r="J70" s="220"/>
      <c r="K70" s="342"/>
    </row>
    <row r="71" spans="2:11" ht="15.95" customHeight="1">
      <c r="B71" s="341"/>
      <c r="C71" s="179"/>
      <c r="D71" s="218"/>
      <c r="E71" s="219"/>
      <c r="F71" s="219"/>
      <c r="H71" s="198"/>
      <c r="I71" s="165"/>
      <c r="J71" s="220"/>
      <c r="K71" s="342"/>
    </row>
    <row r="72" spans="2:11" ht="15.95" customHeight="1">
      <c r="B72" s="341"/>
      <c r="C72" s="179"/>
      <c r="D72" s="218"/>
      <c r="E72" s="219"/>
      <c r="F72" s="219"/>
      <c r="H72" s="198"/>
      <c r="I72" s="165"/>
      <c r="J72" s="220"/>
      <c r="K72" s="342"/>
    </row>
    <row r="73" spans="2:11" ht="15.95" customHeight="1" thickBot="1">
      <c r="B73" s="341"/>
      <c r="C73" s="179"/>
      <c r="D73" s="218"/>
      <c r="E73" s="219"/>
      <c r="F73" s="219"/>
      <c r="H73" s="198"/>
      <c r="I73" s="165"/>
      <c r="J73" s="220"/>
      <c r="K73" s="342"/>
    </row>
    <row r="74" spans="2:11" ht="15.95" customHeight="1">
      <c r="B74" s="341"/>
      <c r="C74" s="179"/>
      <c r="D74" s="218"/>
      <c r="E74" s="219"/>
      <c r="F74" s="219"/>
      <c r="H74" s="198"/>
      <c r="I74" s="343" t="s">
        <v>179</v>
      </c>
      <c r="J74" s="344"/>
      <c r="K74" s="345"/>
    </row>
    <row r="75" spans="2:11" ht="15.95" customHeight="1">
      <c r="B75" s="341"/>
      <c r="C75" s="179"/>
      <c r="D75" s="218"/>
      <c r="E75" s="219"/>
      <c r="F75" s="219"/>
      <c r="H75" s="198"/>
      <c r="I75" s="346"/>
      <c r="J75" s="220"/>
      <c r="K75" s="342"/>
    </row>
    <row r="76" spans="2:11" ht="15.95" customHeight="1">
      <c r="B76" s="341"/>
      <c r="C76" s="446" t="s">
        <v>180</v>
      </c>
      <c r="D76" s="446"/>
      <c r="E76" s="446"/>
      <c r="F76" s="146" t="s">
        <v>7</v>
      </c>
      <c r="G76" s="146" t="s">
        <v>7</v>
      </c>
      <c r="H76" s="148"/>
      <c r="I76" s="225"/>
      <c r="K76" s="301"/>
    </row>
    <row r="77" spans="2:11" ht="15.95" customHeight="1">
      <c r="B77" s="341"/>
      <c r="C77" s="446"/>
      <c r="D77" s="446"/>
      <c r="E77" s="446"/>
      <c r="F77" s="146"/>
      <c r="G77" s="146"/>
      <c r="H77" s="148"/>
      <c r="I77" s="225"/>
      <c r="K77" s="301"/>
    </row>
    <row r="78" spans="2:11" ht="15.95" customHeight="1">
      <c r="B78" s="341"/>
      <c r="C78" s="446"/>
      <c r="D78" s="446"/>
      <c r="E78" s="446"/>
      <c r="F78" s="146"/>
      <c r="G78" s="146"/>
      <c r="H78" s="148"/>
      <c r="I78" s="225"/>
      <c r="K78" s="301"/>
    </row>
    <row r="79" spans="2:11" ht="15.95" customHeight="1">
      <c r="B79" s="341"/>
      <c r="C79" s="179"/>
      <c r="D79" s="218"/>
      <c r="E79" s="219"/>
      <c r="H79" s="148"/>
      <c r="I79" s="225"/>
      <c r="K79" s="301"/>
    </row>
    <row r="80" spans="2:11" ht="15.95" customHeight="1">
      <c r="B80" s="341"/>
      <c r="C80" s="179"/>
      <c r="D80" s="218"/>
      <c r="E80" s="219"/>
      <c r="H80" s="148"/>
      <c r="I80" s="225"/>
      <c r="K80" s="301"/>
    </row>
    <row r="81" spans="2:11" ht="15.95" customHeight="1" thickBot="1">
      <c r="B81" s="347"/>
      <c r="C81" s="348"/>
      <c r="D81" s="349"/>
      <c r="E81" s="350"/>
      <c r="F81" s="351"/>
      <c r="G81" s="351"/>
      <c r="H81" s="352"/>
      <c r="I81" s="353"/>
      <c r="J81" s="351"/>
      <c r="K81" s="354"/>
    </row>
    <row r="82" spans="2:11" ht="15" customHeight="1"/>
    <row r="83" spans="2:11" ht="15" customHeight="1"/>
    <row r="84" spans="2:11" ht="15" customHeight="1"/>
    <row r="85" spans="2:11" ht="15" customHeight="1"/>
  </sheetData>
  <mergeCells count="12">
    <mergeCell ref="F30:G30"/>
    <mergeCell ref="C76:E78"/>
    <mergeCell ref="B2:K2"/>
    <mergeCell ref="F25:G25"/>
    <mergeCell ref="H25:I25"/>
    <mergeCell ref="J25:K25"/>
    <mergeCell ref="F26:F27"/>
    <mergeCell ref="G26:G27"/>
    <mergeCell ref="H26:H27"/>
    <mergeCell ref="I26:I27"/>
    <mergeCell ref="J26:J27"/>
    <mergeCell ref="K26:K27"/>
  </mergeCells>
  <conditionalFormatting sqref="E27:E30 D65:D75 D79:D81">
    <cfRule type="cellIs" dxfId="1" priority="1" operator="lessThan">
      <formula>0</formula>
    </cfRule>
    <cfRule type="cellIs" dxfId="0" priority="2" operator="lessThan">
      <formula>0</formula>
    </cfRule>
  </conditionalFormatting>
  <printOptions horizontalCentered="1"/>
  <pageMargins left="0.25" right="0.25" top="0.75" bottom="0.75" header="0.3" footer="0.3"/>
  <pageSetup paperSize="9"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I13"/>
  <sheetViews>
    <sheetView workbookViewId="0">
      <selection activeCell="E32" sqref="E32"/>
    </sheetView>
  </sheetViews>
  <sheetFormatPr defaultColWidth="9.140625" defaultRowHeight="12.75"/>
  <cols>
    <col min="1" max="1" width="7.140625" style="43" customWidth="1"/>
    <col min="2" max="2" width="5.7109375" style="43" customWidth="1"/>
    <col min="3" max="3" width="3.28515625" style="43" customWidth="1"/>
    <col min="4" max="4" width="40.85546875" style="43" customWidth="1"/>
    <col min="5" max="5" width="6.140625" style="43" customWidth="1"/>
    <col min="6" max="6" width="10" style="43" customWidth="1"/>
    <col min="7" max="16384" width="9.140625" style="43"/>
  </cols>
  <sheetData>
    <row r="1" spans="3:9" ht="20.25">
      <c r="C1" s="459" t="s">
        <v>47</v>
      </c>
      <c r="D1" s="459"/>
      <c r="E1" s="459"/>
      <c r="F1" s="42"/>
    </row>
    <row r="2" spans="3:9" ht="18">
      <c r="C2" s="44"/>
      <c r="D2" s="45"/>
      <c r="E2" s="42"/>
      <c r="F2" s="42"/>
    </row>
    <row r="3" spans="3:9" ht="18.75" thickBot="1">
      <c r="C3" s="46"/>
      <c r="D3" s="45"/>
      <c r="E3" s="42"/>
      <c r="F3" s="42"/>
    </row>
    <row r="4" spans="3:9" ht="18">
      <c r="C4" s="47"/>
      <c r="D4" s="48"/>
      <c r="E4" s="49"/>
      <c r="F4" s="50"/>
      <c r="I4" s="51"/>
    </row>
    <row r="5" spans="3:9" ht="18">
      <c r="C5" s="52"/>
      <c r="D5" s="53" t="s">
        <v>145</v>
      </c>
      <c r="E5" s="42"/>
      <c r="F5" s="54"/>
      <c r="I5" s="51"/>
    </row>
    <row r="6" spans="3:9" ht="18">
      <c r="C6" s="52"/>
      <c r="D6" s="53" t="s">
        <v>48</v>
      </c>
      <c r="E6" s="42"/>
      <c r="F6" s="54"/>
      <c r="I6" s="51"/>
    </row>
    <row r="7" spans="3:9" ht="18">
      <c r="C7" s="52"/>
      <c r="D7" s="53" t="s">
        <v>133</v>
      </c>
      <c r="E7" s="42"/>
      <c r="F7" s="54"/>
      <c r="I7" s="51"/>
    </row>
    <row r="8" spans="3:9" ht="18">
      <c r="C8" s="52"/>
      <c r="D8" s="53" t="s">
        <v>49</v>
      </c>
      <c r="E8" s="42"/>
      <c r="F8" s="54"/>
      <c r="I8" s="51"/>
    </row>
    <row r="9" spans="3:9" ht="18">
      <c r="C9" s="52"/>
      <c r="D9" s="55" t="s">
        <v>50</v>
      </c>
      <c r="E9" s="42"/>
      <c r="F9" s="54"/>
      <c r="I9" s="51"/>
    </row>
    <row r="10" spans="3:9" ht="18">
      <c r="C10" s="52"/>
      <c r="D10" s="55" t="s">
        <v>51</v>
      </c>
      <c r="E10" s="42"/>
      <c r="F10" s="54"/>
      <c r="I10" s="51"/>
    </row>
    <row r="11" spans="3:9" ht="18.75" thickBot="1">
      <c r="C11" s="56"/>
      <c r="D11" s="57"/>
      <c r="E11" s="58"/>
      <c r="F11" s="59"/>
    </row>
    <row r="12" spans="3:9" ht="18">
      <c r="C12" s="42"/>
      <c r="D12" s="42"/>
      <c r="E12" s="42"/>
      <c r="F12" s="42"/>
    </row>
    <row r="13" spans="3:9" ht="18">
      <c r="C13" s="42"/>
      <c r="D13" s="42"/>
      <c r="E13" s="42"/>
      <c r="F13" s="42"/>
    </row>
  </sheetData>
  <mergeCells count="1">
    <mergeCell ref="C1:E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4"/>
  <sheetViews>
    <sheetView view="pageBreakPreview" topLeftCell="A16" zoomScaleNormal="100" zoomScaleSheetLayoutView="100" workbookViewId="0">
      <selection activeCell="E32" sqref="E32"/>
    </sheetView>
  </sheetViews>
  <sheetFormatPr defaultColWidth="11.42578125" defaultRowHeight="15.95" customHeight="1"/>
  <cols>
    <col min="1" max="1" width="17.7109375" style="60" customWidth="1"/>
    <col min="2" max="2" width="53.140625" style="60" customWidth="1"/>
    <col min="3" max="3" width="12.7109375" style="60" customWidth="1"/>
    <col min="4" max="4" width="14.42578125" style="60" customWidth="1"/>
    <col min="5" max="5" width="5.7109375" style="60" bestFit="1" customWidth="1"/>
    <col min="6" max="6" width="10.28515625" style="60" bestFit="1" customWidth="1"/>
    <col min="7" max="7" width="14.5703125" style="60" customWidth="1"/>
    <col min="8" max="8" width="13.42578125" style="60" customWidth="1"/>
    <col min="9" max="9" width="13.28515625" style="61" bestFit="1" customWidth="1"/>
    <col min="10" max="16384" width="11.42578125" style="60"/>
  </cols>
  <sheetData>
    <row r="1" spans="1:9" ht="15.95" customHeight="1">
      <c r="A1" s="460" t="s">
        <v>53</v>
      </c>
      <c r="B1" s="460"/>
      <c r="C1" s="460"/>
      <c r="D1" s="460"/>
      <c r="E1" s="460"/>
      <c r="F1" s="460"/>
      <c r="G1" s="460"/>
    </row>
    <row r="2" spans="1:9" ht="15.95" customHeight="1">
      <c r="A2" s="461" t="s">
        <v>54</v>
      </c>
      <c r="B2" s="461"/>
      <c r="C2" s="461"/>
      <c r="D2" s="461"/>
      <c r="E2" s="461"/>
      <c r="F2" s="461"/>
      <c r="G2" s="461"/>
    </row>
    <row r="3" spans="1:9" ht="15.95" customHeight="1">
      <c r="A3" s="461" t="s">
        <v>55</v>
      </c>
      <c r="B3" s="461"/>
      <c r="C3" s="461"/>
      <c r="D3" s="461"/>
      <c r="E3" s="461"/>
      <c r="F3" s="461"/>
      <c r="G3" s="461"/>
    </row>
    <row r="4" spans="1:9" ht="15.95" customHeight="1">
      <c r="A4" s="461" t="s">
        <v>56</v>
      </c>
      <c r="B4" s="461"/>
      <c r="C4" s="461"/>
      <c r="D4" s="461"/>
      <c r="E4" s="461"/>
      <c r="F4" s="461"/>
      <c r="G4" s="461"/>
    </row>
    <row r="5" spans="1:9" ht="15.95" customHeight="1">
      <c r="A5" s="62"/>
      <c r="B5" s="62"/>
      <c r="C5" s="62"/>
    </row>
    <row r="6" spans="1:9" ht="15.95" customHeight="1">
      <c r="A6" s="62"/>
      <c r="B6" s="62"/>
      <c r="C6" s="62"/>
      <c r="I6" s="63"/>
    </row>
    <row r="7" spans="1:9" ht="15.95" customHeight="1">
      <c r="A7" s="62"/>
      <c r="B7" s="62"/>
      <c r="C7" s="62"/>
    </row>
    <row r="8" spans="1:9" ht="15.95" customHeight="1">
      <c r="A8" s="62"/>
      <c r="F8" s="60" t="s">
        <v>7</v>
      </c>
    </row>
    <row r="9" spans="1:9" ht="15.95" customHeight="1">
      <c r="A9" s="62"/>
      <c r="E9" s="64" t="str">
        <f>CI!I4</f>
        <v>ID2608-9295</v>
      </c>
      <c r="F9" s="65"/>
      <c r="G9" s="65"/>
    </row>
    <row r="10" spans="1:9" ht="15.95" customHeight="1">
      <c r="A10" s="66" t="s">
        <v>57</v>
      </c>
      <c r="B10" s="462" t="s">
        <v>58</v>
      </c>
      <c r="C10" s="463"/>
      <c r="E10" s="67"/>
      <c r="F10" s="464"/>
      <c r="G10" s="464"/>
    </row>
    <row r="11" spans="1:9" ht="15.95" customHeight="1">
      <c r="B11" s="468" t="s">
        <v>59</v>
      </c>
      <c r="C11" s="469"/>
    </row>
    <row r="12" spans="1:9" ht="15.95" customHeight="1">
      <c r="B12" s="470" t="s">
        <v>60</v>
      </c>
      <c r="C12" s="469"/>
    </row>
    <row r="13" spans="1:9" ht="15.95" customHeight="1">
      <c r="B13" s="471" t="s">
        <v>61</v>
      </c>
      <c r="C13" s="472"/>
    </row>
    <row r="15" spans="1:9" ht="15.95" customHeight="1">
      <c r="A15" s="62" t="s">
        <v>62</v>
      </c>
    </row>
    <row r="16" spans="1:9" ht="15.95" customHeight="1">
      <c r="A16" s="62" t="s">
        <v>63</v>
      </c>
    </row>
    <row r="17" spans="1:12" ht="15.95" customHeight="1">
      <c r="A17" s="62" t="s">
        <v>64</v>
      </c>
    </row>
    <row r="18" spans="1:12" ht="15.95" customHeight="1">
      <c r="A18" s="62" t="s">
        <v>65</v>
      </c>
    </row>
    <row r="19" spans="1:12" ht="15.95" customHeight="1" thickBot="1"/>
    <row r="20" spans="1:12" s="73" customFormat="1" ht="15.95" customHeight="1">
      <c r="A20" s="68" t="s">
        <v>66</v>
      </c>
      <c r="B20" s="69" t="s">
        <v>146</v>
      </c>
      <c r="C20" s="70"/>
      <c r="D20" s="71"/>
      <c r="E20" s="71"/>
      <c r="F20" s="71"/>
      <c r="G20" s="72"/>
      <c r="I20" s="61"/>
    </row>
    <row r="21" spans="1:12" s="73" customFormat="1" ht="15.95" customHeight="1">
      <c r="A21" s="74" t="s">
        <v>67</v>
      </c>
      <c r="B21" s="75" t="str">
        <f>CI!I22</f>
        <v>*AT 90 DAYS AFTER B/L DATE</v>
      </c>
      <c r="C21" s="473" t="s">
        <v>68</v>
      </c>
      <c r="D21" s="474"/>
      <c r="E21" s="475" t="s">
        <v>69</v>
      </c>
      <c r="F21" s="476"/>
      <c r="G21" s="477"/>
      <c r="I21" s="61"/>
    </row>
    <row r="22" spans="1:12" s="73" customFormat="1" ht="15.95" customHeight="1">
      <c r="A22" s="74" t="s">
        <v>70</v>
      </c>
      <c r="B22" s="75" t="s">
        <v>141</v>
      </c>
      <c r="C22" s="478" t="s">
        <v>71</v>
      </c>
      <c r="D22" s="479"/>
      <c r="E22" s="475" t="s">
        <v>72</v>
      </c>
      <c r="F22" s="476"/>
      <c r="G22" s="477"/>
      <c r="I22" s="61"/>
    </row>
    <row r="23" spans="1:12" s="73" customFormat="1" ht="15.95" customHeight="1">
      <c r="A23" s="74" t="s">
        <v>73</v>
      </c>
      <c r="B23" s="76" t="s">
        <v>74</v>
      </c>
      <c r="C23" s="75"/>
      <c r="D23" s="75"/>
      <c r="E23" s="75"/>
      <c r="F23" s="75"/>
      <c r="G23" s="77"/>
      <c r="I23" s="61"/>
    </row>
    <row r="24" spans="1:12" s="73" customFormat="1" ht="15.95" customHeight="1" thickBot="1">
      <c r="A24" s="78" t="s">
        <v>75</v>
      </c>
      <c r="B24" s="66" t="s">
        <v>76</v>
      </c>
      <c r="C24" s="66"/>
      <c r="D24" s="66"/>
      <c r="E24" s="66"/>
      <c r="F24" s="66"/>
      <c r="G24" s="79"/>
      <c r="I24" s="61"/>
    </row>
    <row r="25" spans="1:12" s="73" customFormat="1" ht="15.95" customHeight="1">
      <c r="A25" s="80" t="s">
        <v>52</v>
      </c>
      <c r="B25" s="81" t="s">
        <v>77</v>
      </c>
      <c r="C25" s="465" t="s">
        <v>78</v>
      </c>
      <c r="D25" s="466"/>
      <c r="E25" s="467"/>
      <c r="F25" s="82" t="s">
        <v>79</v>
      </c>
      <c r="G25" s="83" t="s">
        <v>12</v>
      </c>
      <c r="I25" s="61"/>
    </row>
    <row r="26" spans="1:12" ht="15.95" customHeight="1">
      <c r="A26" s="84"/>
      <c r="B26" s="85"/>
      <c r="C26" s="85"/>
      <c r="D26" s="86"/>
      <c r="E26" s="87"/>
      <c r="F26" s="88"/>
      <c r="G26" s="89"/>
    </row>
    <row r="27" spans="1:12" ht="15.95" customHeight="1">
      <c r="A27" s="84"/>
      <c r="B27" s="85"/>
      <c r="C27" s="90"/>
      <c r="D27" s="86"/>
      <c r="E27" s="87"/>
      <c r="F27" s="88"/>
      <c r="G27" s="89"/>
    </row>
    <row r="28" spans="1:12" s="94" customFormat="1" ht="15.95" customHeight="1">
      <c r="A28" s="267" t="str">
        <f>CI!B29</f>
        <v>9404.21.20</v>
      </c>
      <c r="B28" s="92">
        <f>CI!H29</f>
        <v>0</v>
      </c>
      <c r="C28" s="135" t="str">
        <f>CI!C29</f>
        <v>TIN60185</v>
      </c>
      <c r="D28" s="132" t="str">
        <f>CI!K29</f>
        <v>PCS</v>
      </c>
      <c r="E28" s="136" t="s">
        <v>142</v>
      </c>
      <c r="F28" s="137">
        <f>CI!M29</f>
        <v>2116.1999999999998</v>
      </c>
      <c r="G28" s="138">
        <f>CI!N29</f>
        <v>751.2</v>
      </c>
      <c r="L28" s="93"/>
    </row>
    <row r="29" spans="1:12" s="94" customFormat="1" ht="15.95" customHeight="1">
      <c r="A29" s="267" t="str">
        <f>CI!B30</f>
        <v>9404.21.20</v>
      </c>
      <c r="B29" s="92">
        <f>CI!H30</f>
        <v>0</v>
      </c>
      <c r="C29" s="135" t="str">
        <f>CI!C30</f>
        <v>TIN60185</v>
      </c>
      <c r="D29" s="132" t="str">
        <f>CI!K30</f>
        <v>PCS</v>
      </c>
      <c r="E29" s="136" t="s">
        <v>142</v>
      </c>
      <c r="F29" s="137">
        <f>CI!M30</f>
        <v>18638.22</v>
      </c>
      <c r="G29" s="138">
        <f>CI!N30</f>
        <v>5619.49</v>
      </c>
      <c r="L29" s="93"/>
    </row>
    <row r="30" spans="1:12" s="94" customFormat="1" ht="15.95" customHeight="1">
      <c r="A30" s="267" t="str">
        <f>CI!B31</f>
        <v>9404.21.20</v>
      </c>
      <c r="B30" s="92">
        <f>CI!H31</f>
        <v>0</v>
      </c>
      <c r="C30" s="135" t="str">
        <f>CI!C31</f>
        <v>TIN60185</v>
      </c>
      <c r="D30" s="132" t="str">
        <f>CI!K31</f>
        <v>PCS</v>
      </c>
      <c r="E30" s="136" t="s">
        <v>142</v>
      </c>
      <c r="F30" s="137">
        <f>CI!M31</f>
        <v>2736.2</v>
      </c>
      <c r="G30" s="138">
        <f>CI!N31</f>
        <v>789.2</v>
      </c>
      <c r="L30" s="93"/>
    </row>
    <row r="31" spans="1:12" s="94" customFormat="1" ht="15.95" customHeight="1">
      <c r="A31" s="267">
        <f>CI!B37</f>
        <v>0</v>
      </c>
      <c r="B31" s="92">
        <f>CI!H37</f>
        <v>0</v>
      </c>
      <c r="C31" s="135">
        <f>CI!C37</f>
        <v>0</v>
      </c>
      <c r="D31" s="132">
        <f>CI!K37</f>
        <v>0</v>
      </c>
      <c r="E31" s="136" t="s">
        <v>142</v>
      </c>
      <c r="F31" s="137">
        <f>CI!M37</f>
        <v>0</v>
      </c>
      <c r="G31" s="138">
        <f>CI!N37</f>
        <v>0</v>
      </c>
      <c r="L31" s="93"/>
    </row>
    <row r="32" spans="1:12" s="94" customFormat="1" ht="15.95" customHeight="1">
      <c r="A32" s="267" t="e">
        <f>CI!#REF!</f>
        <v>#REF!</v>
      </c>
      <c r="B32" s="92" t="e">
        <f>CI!#REF!</f>
        <v>#REF!</v>
      </c>
      <c r="C32" s="135" t="e">
        <f>CI!#REF!</f>
        <v>#REF!</v>
      </c>
      <c r="D32" s="132" t="e">
        <f>CI!#REF!</f>
        <v>#REF!</v>
      </c>
      <c r="E32" s="136" t="s">
        <v>142</v>
      </c>
      <c r="F32" s="137" t="e">
        <f>CI!#REF!</f>
        <v>#REF!</v>
      </c>
      <c r="G32" s="138" t="e">
        <f>CI!#REF!</f>
        <v>#REF!</v>
      </c>
      <c r="L32" s="93"/>
    </row>
    <row r="33" spans="1:12" s="94" customFormat="1" ht="15.95" customHeight="1">
      <c r="A33" s="267" t="e">
        <f>CI!#REF!</f>
        <v>#REF!</v>
      </c>
      <c r="B33" s="92" t="e">
        <f>CI!#REF!</f>
        <v>#REF!</v>
      </c>
      <c r="C33" s="135" t="e">
        <f>CI!#REF!</f>
        <v>#REF!</v>
      </c>
      <c r="D33" s="132" t="e">
        <f>CI!#REF!</f>
        <v>#REF!</v>
      </c>
      <c r="E33" s="136" t="s">
        <v>142</v>
      </c>
      <c r="F33" s="137" t="e">
        <f>CI!#REF!</f>
        <v>#REF!</v>
      </c>
      <c r="G33" s="138" t="e">
        <f>CI!#REF!</f>
        <v>#REF!</v>
      </c>
      <c r="L33" s="93"/>
    </row>
    <row r="34" spans="1:12" s="94" customFormat="1" ht="15.95" customHeight="1">
      <c r="A34" s="275" t="e">
        <f>CI!#REF!</f>
        <v>#REF!</v>
      </c>
      <c r="B34" s="276" t="e">
        <f>CI!#REF!</f>
        <v>#REF!</v>
      </c>
      <c r="C34" s="277" t="e">
        <f>CI!#REF!</f>
        <v>#REF!</v>
      </c>
      <c r="D34" s="278" t="e">
        <f>CI!#REF!</f>
        <v>#REF!</v>
      </c>
      <c r="E34" s="279" t="s">
        <v>142</v>
      </c>
      <c r="F34" s="280" t="e">
        <f>CI!#REF!</f>
        <v>#REF!</v>
      </c>
      <c r="G34" s="281" t="e">
        <f>CI!#REF!</f>
        <v>#REF!</v>
      </c>
      <c r="L34" s="93"/>
    </row>
    <row r="35" spans="1:12" s="94" customFormat="1" ht="15.95" customHeight="1">
      <c r="A35" s="275" t="e">
        <f>CI!#REF!</f>
        <v>#REF!</v>
      </c>
      <c r="B35" s="276" t="e">
        <f>CI!#REF!</f>
        <v>#REF!</v>
      </c>
      <c r="C35" s="277" t="e">
        <f>CI!#REF!</f>
        <v>#REF!</v>
      </c>
      <c r="D35" s="278" t="e">
        <f>CI!#REF!</f>
        <v>#REF!</v>
      </c>
      <c r="E35" s="279" t="s">
        <v>142</v>
      </c>
      <c r="F35" s="280" t="e">
        <f>CI!#REF!</f>
        <v>#REF!</v>
      </c>
      <c r="G35" s="281" t="e">
        <f>CI!#REF!</f>
        <v>#REF!</v>
      </c>
      <c r="L35" s="93"/>
    </row>
    <row r="36" spans="1:12" s="94" customFormat="1" ht="15.95" customHeight="1">
      <c r="A36" s="275" t="e">
        <f>CI!#REF!</f>
        <v>#REF!</v>
      </c>
      <c r="B36" s="276" t="e">
        <f>CI!#REF!</f>
        <v>#REF!</v>
      </c>
      <c r="C36" s="277" t="e">
        <f>CI!#REF!</f>
        <v>#REF!</v>
      </c>
      <c r="D36" s="278" t="e">
        <f>CI!#REF!</f>
        <v>#REF!</v>
      </c>
      <c r="E36" s="279" t="s">
        <v>142</v>
      </c>
      <c r="F36" s="280" t="e">
        <f>CI!#REF!</f>
        <v>#REF!</v>
      </c>
      <c r="G36" s="281" t="e">
        <f>CI!#REF!</f>
        <v>#REF!</v>
      </c>
      <c r="L36" s="93"/>
    </row>
    <row r="37" spans="1:12" s="94" customFormat="1" ht="15.95" customHeight="1">
      <c r="A37" s="275" t="e">
        <f>CI!#REF!</f>
        <v>#REF!</v>
      </c>
      <c r="B37" s="276" t="e">
        <f>CI!#REF!</f>
        <v>#REF!</v>
      </c>
      <c r="C37" s="277" t="e">
        <f>CI!#REF!</f>
        <v>#REF!</v>
      </c>
      <c r="D37" s="278" t="e">
        <f>CI!#REF!</f>
        <v>#REF!</v>
      </c>
      <c r="E37" s="279" t="s">
        <v>142</v>
      </c>
      <c r="F37" s="280" t="e">
        <f>CI!#REF!</f>
        <v>#REF!</v>
      </c>
      <c r="G37" s="281" t="e">
        <f>CI!#REF!</f>
        <v>#REF!</v>
      </c>
      <c r="L37" s="93"/>
    </row>
    <row r="38" spans="1:12" s="94" customFormat="1" ht="15.95" customHeight="1">
      <c r="A38" s="275" t="e">
        <f>CI!#REF!</f>
        <v>#REF!</v>
      </c>
      <c r="B38" s="276" t="e">
        <f>CI!#REF!</f>
        <v>#REF!</v>
      </c>
      <c r="C38" s="277" t="e">
        <f>CI!#REF!</f>
        <v>#REF!</v>
      </c>
      <c r="D38" s="278" t="e">
        <f>CI!#REF!</f>
        <v>#REF!</v>
      </c>
      <c r="E38" s="279" t="s">
        <v>142</v>
      </c>
      <c r="F38" s="280" t="e">
        <f>CI!#REF!</f>
        <v>#REF!</v>
      </c>
      <c r="G38" s="281" t="e">
        <f>CI!#REF!</f>
        <v>#REF!</v>
      </c>
      <c r="L38" s="93"/>
    </row>
    <row r="39" spans="1:12" s="94" customFormat="1" ht="15.95" customHeight="1">
      <c r="A39" s="275" t="e">
        <f>CI!#REF!</f>
        <v>#REF!</v>
      </c>
      <c r="B39" s="276" t="e">
        <f>CI!#REF!</f>
        <v>#REF!</v>
      </c>
      <c r="C39" s="277" t="e">
        <f>CI!#REF!</f>
        <v>#REF!</v>
      </c>
      <c r="D39" s="278" t="e">
        <f>CI!#REF!</f>
        <v>#REF!</v>
      </c>
      <c r="E39" s="279" t="s">
        <v>142</v>
      </c>
      <c r="F39" s="280" t="e">
        <f>CI!#REF!</f>
        <v>#REF!</v>
      </c>
      <c r="G39" s="281" t="e">
        <f>CI!#REF!</f>
        <v>#REF!</v>
      </c>
      <c r="L39" s="93"/>
    </row>
    <row r="40" spans="1:12" s="94" customFormat="1" ht="15.95" customHeight="1">
      <c r="A40" s="275" t="e">
        <f>CI!#REF!</f>
        <v>#REF!</v>
      </c>
      <c r="B40" s="276" t="e">
        <f>CI!#REF!</f>
        <v>#REF!</v>
      </c>
      <c r="C40" s="277" t="e">
        <f>CI!#REF!</f>
        <v>#REF!</v>
      </c>
      <c r="D40" s="278" t="e">
        <f>CI!#REF!</f>
        <v>#REF!</v>
      </c>
      <c r="E40" s="279" t="s">
        <v>142</v>
      </c>
      <c r="F40" s="280" t="e">
        <f>CI!#REF!</f>
        <v>#REF!</v>
      </c>
      <c r="G40" s="281" t="e">
        <f>CI!#REF!</f>
        <v>#REF!</v>
      </c>
      <c r="L40" s="93"/>
    </row>
    <row r="41" spans="1:12" s="94" customFormat="1" ht="15.95" customHeight="1">
      <c r="A41" s="275" t="e">
        <f>CI!#REF!</f>
        <v>#REF!</v>
      </c>
      <c r="B41" s="276" t="e">
        <f>CI!#REF!</f>
        <v>#REF!</v>
      </c>
      <c r="C41" s="277" t="e">
        <f>CI!#REF!</f>
        <v>#REF!</v>
      </c>
      <c r="D41" s="278" t="e">
        <f>CI!#REF!</f>
        <v>#REF!</v>
      </c>
      <c r="E41" s="279" t="s">
        <v>142</v>
      </c>
      <c r="F41" s="280" t="e">
        <f>CI!#REF!</f>
        <v>#REF!</v>
      </c>
      <c r="G41" s="281" t="e">
        <f>CI!#REF!</f>
        <v>#REF!</v>
      </c>
      <c r="L41" s="93"/>
    </row>
    <row r="42" spans="1:12" s="94" customFormat="1" ht="15.95" customHeight="1">
      <c r="A42" s="275" t="e">
        <f>CI!#REF!</f>
        <v>#REF!</v>
      </c>
      <c r="B42" s="276" t="e">
        <f>CI!#REF!</f>
        <v>#REF!</v>
      </c>
      <c r="C42" s="277" t="e">
        <f>CI!#REF!</f>
        <v>#REF!</v>
      </c>
      <c r="D42" s="278" t="e">
        <f>CI!#REF!</f>
        <v>#REF!</v>
      </c>
      <c r="E42" s="279" t="s">
        <v>142</v>
      </c>
      <c r="F42" s="280" t="e">
        <f>CI!#REF!</f>
        <v>#REF!</v>
      </c>
      <c r="G42" s="281" t="e">
        <f>CI!#REF!</f>
        <v>#REF!</v>
      </c>
      <c r="L42" s="93"/>
    </row>
    <row r="43" spans="1:12" s="94" customFormat="1" ht="15.95" customHeight="1">
      <c r="A43" s="275" t="e">
        <f>CI!#REF!</f>
        <v>#REF!</v>
      </c>
      <c r="B43" s="276" t="e">
        <f>CI!#REF!</f>
        <v>#REF!</v>
      </c>
      <c r="C43" s="277" t="e">
        <f>CI!#REF!</f>
        <v>#REF!</v>
      </c>
      <c r="D43" s="278" t="e">
        <f>CI!#REF!</f>
        <v>#REF!</v>
      </c>
      <c r="E43" s="279" t="s">
        <v>142</v>
      </c>
      <c r="F43" s="280" t="e">
        <f>CI!#REF!</f>
        <v>#REF!</v>
      </c>
      <c r="G43" s="281" t="e">
        <f>CI!#REF!</f>
        <v>#REF!</v>
      </c>
      <c r="L43" s="93"/>
    </row>
    <row r="44" spans="1:12" s="94" customFormat="1" ht="15.95" customHeight="1">
      <c r="A44" s="91"/>
      <c r="B44" s="92"/>
      <c r="C44" s="135"/>
      <c r="D44" s="132"/>
      <c r="E44" s="136"/>
      <c r="F44" s="137"/>
      <c r="G44" s="137"/>
      <c r="L44" s="93"/>
    </row>
    <row r="45" spans="1:12" s="66" customFormat="1" ht="13.5" customHeight="1">
      <c r="A45" s="91"/>
      <c r="B45" s="238" t="s">
        <v>80</v>
      </c>
      <c r="C45" s="236"/>
      <c r="D45" s="237" t="e">
        <f>SUM(D28:D43)</f>
        <v>#REF!</v>
      </c>
      <c r="E45" s="133"/>
      <c r="F45" s="236"/>
      <c r="G45" s="139" t="e">
        <f>SUM(G28:G43)</f>
        <v>#REF!</v>
      </c>
      <c r="I45" s="61"/>
    </row>
    <row r="46" spans="1:12" s="66" customFormat="1" ht="15.95" customHeight="1">
      <c r="A46" s="95" t="s">
        <v>81</v>
      </c>
      <c r="B46" s="97" t="s">
        <v>82</v>
      </c>
      <c r="C46" s="135"/>
      <c r="D46" s="61"/>
      <c r="E46" s="61"/>
      <c r="F46" s="137"/>
      <c r="G46" s="98" t="s">
        <v>7</v>
      </c>
      <c r="I46" s="61"/>
    </row>
    <row r="47" spans="1:12" s="66" customFormat="1" ht="15.95" customHeight="1">
      <c r="A47" s="95"/>
      <c r="B47" s="73" t="s">
        <v>83</v>
      </c>
      <c r="C47" s="135"/>
      <c r="D47" s="61"/>
      <c r="E47" s="61"/>
      <c r="F47" s="137"/>
      <c r="G47" s="98"/>
      <c r="I47" s="61"/>
    </row>
    <row r="48" spans="1:12" s="66" customFormat="1" ht="15.95" customHeight="1">
      <c r="A48" s="95"/>
      <c r="B48" s="73"/>
      <c r="C48" s="73"/>
      <c r="D48" s="61"/>
      <c r="E48" s="61"/>
      <c r="F48" s="96"/>
      <c r="G48" s="98"/>
      <c r="I48" s="61"/>
    </row>
    <row r="49" spans="1:9" s="66" customFormat="1" ht="15.95" customHeight="1">
      <c r="A49" s="95" t="s">
        <v>84</v>
      </c>
      <c r="B49" s="97" t="s">
        <v>85</v>
      </c>
      <c r="C49" s="73"/>
      <c r="D49" s="61" t="s">
        <v>7</v>
      </c>
      <c r="E49" s="61"/>
      <c r="F49" s="96"/>
      <c r="G49" s="98"/>
      <c r="I49" s="61"/>
    </row>
    <row r="50" spans="1:9" ht="15.95" customHeight="1">
      <c r="A50" s="95"/>
      <c r="B50" s="73" t="s">
        <v>86</v>
      </c>
      <c r="C50" s="73"/>
      <c r="D50" s="61"/>
      <c r="E50" s="61"/>
      <c r="F50" s="96"/>
      <c r="G50" s="98"/>
    </row>
    <row r="51" spans="1:9" ht="15.95" customHeight="1">
      <c r="A51" s="95"/>
      <c r="B51" s="73"/>
      <c r="C51" s="73"/>
      <c r="D51" s="61"/>
      <c r="E51" s="61"/>
      <c r="F51" s="96"/>
      <c r="G51" s="98"/>
    </row>
    <row r="52" spans="1:9" ht="15.95" customHeight="1">
      <c r="A52" s="95" t="s">
        <v>87</v>
      </c>
      <c r="B52" s="97" t="s">
        <v>88</v>
      </c>
      <c r="C52" s="73"/>
      <c r="D52" s="61"/>
      <c r="E52" s="61"/>
      <c r="F52" s="96"/>
      <c r="G52" s="98"/>
    </row>
    <row r="53" spans="1:9" ht="15.95" customHeight="1" thickBot="1">
      <c r="A53" s="99"/>
      <c r="B53" s="100"/>
      <c r="C53" s="100"/>
      <c r="D53" s="100"/>
      <c r="E53" s="100"/>
      <c r="F53" s="100"/>
      <c r="G53" s="101"/>
    </row>
    <row r="54" spans="1:9" ht="15.95" customHeight="1">
      <c r="A54" s="60" t="s">
        <v>89</v>
      </c>
      <c r="H54" s="94"/>
    </row>
    <row r="55" spans="1:9" s="104" customFormat="1" ht="15.95" customHeight="1">
      <c r="A55" s="60"/>
      <c r="B55" s="60"/>
      <c r="C55" s="60"/>
      <c r="D55" s="94"/>
      <c r="E55" s="102"/>
      <c r="F55" s="103"/>
      <c r="G55" s="103"/>
      <c r="H55" s="103"/>
      <c r="I55" s="61"/>
    </row>
    <row r="56" spans="1:9" s="94" customFormat="1" ht="15.95" customHeight="1">
      <c r="A56" s="60"/>
      <c r="B56" s="60"/>
      <c r="C56" s="60"/>
      <c r="H56" s="60"/>
      <c r="I56" s="61"/>
    </row>
    <row r="57" spans="1:9" s="94" customFormat="1" ht="15.95" customHeight="1">
      <c r="A57" s="60"/>
      <c r="B57" s="60"/>
      <c r="C57" s="60"/>
      <c r="E57" s="60"/>
      <c r="F57" s="61"/>
      <c r="G57" s="60"/>
      <c r="H57" s="60"/>
    </row>
    <row r="58" spans="1:9" s="94" customFormat="1" ht="15.95" customHeight="1">
      <c r="A58" s="105" t="s">
        <v>90</v>
      </c>
      <c r="B58" s="102"/>
    </row>
    <row r="59" spans="1:9" ht="15.95" customHeight="1">
      <c r="A59" s="94"/>
      <c r="B59" s="94"/>
      <c r="C59" s="94"/>
    </row>
    <row r="60" spans="1:9" ht="15.95" customHeight="1">
      <c r="F60" s="94"/>
    </row>
    <row r="61" spans="1:9" ht="15.95" customHeight="1">
      <c r="A61" s="102" t="s">
        <v>91</v>
      </c>
      <c r="B61" s="103"/>
      <c r="E61" s="102" t="s">
        <v>92</v>
      </c>
      <c r="F61" s="94"/>
      <c r="G61" s="94"/>
    </row>
    <row r="63" spans="1:9" ht="15.95" customHeight="1">
      <c r="A63" s="94" t="s">
        <v>93</v>
      </c>
      <c r="B63" s="94"/>
      <c r="C63" s="94"/>
      <c r="D63" s="94"/>
      <c r="E63" s="94"/>
    </row>
    <row r="64" spans="1:9" ht="15.95" customHeight="1">
      <c r="A64" s="94" t="s">
        <v>94</v>
      </c>
      <c r="B64" s="94"/>
      <c r="C64" s="94"/>
      <c r="D64" s="94"/>
      <c r="E64" s="94"/>
    </row>
  </sheetData>
  <mergeCells count="14">
    <mergeCell ref="C25:E25"/>
    <mergeCell ref="B11:C11"/>
    <mergeCell ref="B12:C12"/>
    <mergeCell ref="B13:C13"/>
    <mergeCell ref="C21:D21"/>
    <mergeCell ref="E21:G21"/>
    <mergeCell ref="C22:D22"/>
    <mergeCell ref="E22:G22"/>
    <mergeCell ref="A1:G1"/>
    <mergeCell ref="A2:G2"/>
    <mergeCell ref="A3:G3"/>
    <mergeCell ref="A4:G4"/>
    <mergeCell ref="B10:C10"/>
    <mergeCell ref="F10:G10"/>
  </mergeCells>
  <pageMargins left="1.1299999999999999" right="0.7" top="1.06" bottom="0.75" header="0.3" footer="0.3"/>
  <pageSetup scale="40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8"/>
  <sheetViews>
    <sheetView view="pageBreakPreview" topLeftCell="A10" zoomScaleNormal="100" zoomScaleSheetLayoutView="100" workbookViewId="0">
      <selection activeCell="E32" sqref="E32"/>
    </sheetView>
  </sheetViews>
  <sheetFormatPr defaultColWidth="10.140625" defaultRowHeight="20.100000000000001" customHeight="1"/>
  <cols>
    <col min="1" max="1" width="31.5703125" style="107" customWidth="1"/>
    <col min="2" max="2" width="61.28515625" style="107" customWidth="1"/>
    <col min="3" max="3" width="10.140625" style="107" customWidth="1"/>
    <col min="4" max="4" width="21.85546875" style="107" customWidth="1"/>
    <col min="5" max="5" width="12.7109375" style="107" customWidth="1"/>
    <col min="6" max="6" width="16.5703125" style="107" customWidth="1"/>
    <col min="7" max="7" width="16.42578125" style="107" customWidth="1"/>
    <col min="8" max="8" width="16" style="107" bestFit="1" customWidth="1"/>
    <col min="9" max="9" width="26.28515625" style="107" customWidth="1"/>
    <col min="10" max="10" width="17.7109375" style="107" customWidth="1"/>
    <col min="11" max="255" width="10.140625" style="107"/>
    <col min="256" max="256" width="29.28515625" style="107" customWidth="1"/>
    <col min="257" max="257" width="28.85546875" style="107" customWidth="1"/>
    <col min="258" max="258" width="10.140625" style="107" customWidth="1"/>
    <col min="259" max="259" width="19.28515625" style="107" customWidth="1"/>
    <col min="260" max="260" width="12.7109375" style="107" customWidth="1"/>
    <col min="261" max="261" width="16.5703125" style="107" customWidth="1"/>
    <col min="262" max="262" width="16.42578125" style="107" customWidth="1"/>
    <col min="263" max="263" width="14.28515625" style="107" customWidth="1"/>
    <col min="264" max="264" width="12" style="107" customWidth="1"/>
    <col min="265" max="265" width="26.28515625" style="107" customWidth="1"/>
    <col min="266" max="511" width="10.140625" style="107"/>
    <col min="512" max="512" width="29.28515625" style="107" customWidth="1"/>
    <col min="513" max="513" width="28.85546875" style="107" customWidth="1"/>
    <col min="514" max="514" width="10.140625" style="107" customWidth="1"/>
    <col min="515" max="515" width="19.28515625" style="107" customWidth="1"/>
    <col min="516" max="516" width="12.7109375" style="107" customWidth="1"/>
    <col min="517" max="517" width="16.5703125" style="107" customWidth="1"/>
    <col min="518" max="518" width="16.42578125" style="107" customWidth="1"/>
    <col min="519" max="519" width="14.28515625" style="107" customWidth="1"/>
    <col min="520" max="520" width="12" style="107" customWidth="1"/>
    <col min="521" max="521" width="26.28515625" style="107" customWidth="1"/>
    <col min="522" max="767" width="10.140625" style="107"/>
    <col min="768" max="768" width="29.28515625" style="107" customWidth="1"/>
    <col min="769" max="769" width="28.85546875" style="107" customWidth="1"/>
    <col min="770" max="770" width="10.140625" style="107" customWidth="1"/>
    <col min="771" max="771" width="19.28515625" style="107" customWidth="1"/>
    <col min="772" max="772" width="12.7109375" style="107" customWidth="1"/>
    <col min="773" max="773" width="16.5703125" style="107" customWidth="1"/>
    <col min="774" max="774" width="16.42578125" style="107" customWidth="1"/>
    <col min="775" max="775" width="14.28515625" style="107" customWidth="1"/>
    <col min="776" max="776" width="12" style="107" customWidth="1"/>
    <col min="777" max="777" width="26.28515625" style="107" customWidth="1"/>
    <col min="778" max="1023" width="10.140625" style="107"/>
    <col min="1024" max="1024" width="29.28515625" style="107" customWidth="1"/>
    <col min="1025" max="1025" width="28.85546875" style="107" customWidth="1"/>
    <col min="1026" max="1026" width="10.140625" style="107" customWidth="1"/>
    <col min="1027" max="1027" width="19.28515625" style="107" customWidth="1"/>
    <col min="1028" max="1028" width="12.7109375" style="107" customWidth="1"/>
    <col min="1029" max="1029" width="16.5703125" style="107" customWidth="1"/>
    <col min="1030" max="1030" width="16.42578125" style="107" customWidth="1"/>
    <col min="1031" max="1031" width="14.28515625" style="107" customWidth="1"/>
    <col min="1032" max="1032" width="12" style="107" customWidth="1"/>
    <col min="1033" max="1033" width="26.28515625" style="107" customWidth="1"/>
    <col min="1034" max="1279" width="10.140625" style="107"/>
    <col min="1280" max="1280" width="29.28515625" style="107" customWidth="1"/>
    <col min="1281" max="1281" width="28.85546875" style="107" customWidth="1"/>
    <col min="1282" max="1282" width="10.140625" style="107" customWidth="1"/>
    <col min="1283" max="1283" width="19.28515625" style="107" customWidth="1"/>
    <col min="1284" max="1284" width="12.7109375" style="107" customWidth="1"/>
    <col min="1285" max="1285" width="16.5703125" style="107" customWidth="1"/>
    <col min="1286" max="1286" width="16.42578125" style="107" customWidth="1"/>
    <col min="1287" max="1287" width="14.28515625" style="107" customWidth="1"/>
    <col min="1288" max="1288" width="12" style="107" customWidth="1"/>
    <col min="1289" max="1289" width="26.28515625" style="107" customWidth="1"/>
    <col min="1290" max="1535" width="10.140625" style="107"/>
    <col min="1536" max="1536" width="29.28515625" style="107" customWidth="1"/>
    <col min="1537" max="1537" width="28.85546875" style="107" customWidth="1"/>
    <col min="1538" max="1538" width="10.140625" style="107" customWidth="1"/>
    <col min="1539" max="1539" width="19.28515625" style="107" customWidth="1"/>
    <col min="1540" max="1540" width="12.7109375" style="107" customWidth="1"/>
    <col min="1541" max="1541" width="16.5703125" style="107" customWidth="1"/>
    <col min="1542" max="1542" width="16.42578125" style="107" customWidth="1"/>
    <col min="1543" max="1543" width="14.28515625" style="107" customWidth="1"/>
    <col min="1544" max="1544" width="12" style="107" customWidth="1"/>
    <col min="1545" max="1545" width="26.28515625" style="107" customWidth="1"/>
    <col min="1546" max="1791" width="10.140625" style="107"/>
    <col min="1792" max="1792" width="29.28515625" style="107" customWidth="1"/>
    <col min="1793" max="1793" width="28.85546875" style="107" customWidth="1"/>
    <col min="1794" max="1794" width="10.140625" style="107" customWidth="1"/>
    <col min="1795" max="1795" width="19.28515625" style="107" customWidth="1"/>
    <col min="1796" max="1796" width="12.7109375" style="107" customWidth="1"/>
    <col min="1797" max="1797" width="16.5703125" style="107" customWidth="1"/>
    <col min="1798" max="1798" width="16.42578125" style="107" customWidth="1"/>
    <col min="1799" max="1799" width="14.28515625" style="107" customWidth="1"/>
    <col min="1800" max="1800" width="12" style="107" customWidth="1"/>
    <col min="1801" max="1801" width="26.28515625" style="107" customWidth="1"/>
    <col min="1802" max="2047" width="10.140625" style="107"/>
    <col min="2048" max="2048" width="29.28515625" style="107" customWidth="1"/>
    <col min="2049" max="2049" width="28.85546875" style="107" customWidth="1"/>
    <col min="2050" max="2050" width="10.140625" style="107" customWidth="1"/>
    <col min="2051" max="2051" width="19.28515625" style="107" customWidth="1"/>
    <col min="2052" max="2052" width="12.7109375" style="107" customWidth="1"/>
    <col min="2053" max="2053" width="16.5703125" style="107" customWidth="1"/>
    <col min="2054" max="2054" width="16.42578125" style="107" customWidth="1"/>
    <col min="2055" max="2055" width="14.28515625" style="107" customWidth="1"/>
    <col min="2056" max="2056" width="12" style="107" customWidth="1"/>
    <col min="2057" max="2057" width="26.28515625" style="107" customWidth="1"/>
    <col min="2058" max="2303" width="10.140625" style="107"/>
    <col min="2304" max="2304" width="29.28515625" style="107" customWidth="1"/>
    <col min="2305" max="2305" width="28.85546875" style="107" customWidth="1"/>
    <col min="2306" max="2306" width="10.140625" style="107" customWidth="1"/>
    <col min="2307" max="2307" width="19.28515625" style="107" customWidth="1"/>
    <col min="2308" max="2308" width="12.7109375" style="107" customWidth="1"/>
    <col min="2309" max="2309" width="16.5703125" style="107" customWidth="1"/>
    <col min="2310" max="2310" width="16.42578125" style="107" customWidth="1"/>
    <col min="2311" max="2311" width="14.28515625" style="107" customWidth="1"/>
    <col min="2312" max="2312" width="12" style="107" customWidth="1"/>
    <col min="2313" max="2313" width="26.28515625" style="107" customWidth="1"/>
    <col min="2314" max="2559" width="10.140625" style="107"/>
    <col min="2560" max="2560" width="29.28515625" style="107" customWidth="1"/>
    <col min="2561" max="2561" width="28.85546875" style="107" customWidth="1"/>
    <col min="2562" max="2562" width="10.140625" style="107" customWidth="1"/>
    <col min="2563" max="2563" width="19.28515625" style="107" customWidth="1"/>
    <col min="2564" max="2564" width="12.7109375" style="107" customWidth="1"/>
    <col min="2565" max="2565" width="16.5703125" style="107" customWidth="1"/>
    <col min="2566" max="2566" width="16.42578125" style="107" customWidth="1"/>
    <col min="2567" max="2567" width="14.28515625" style="107" customWidth="1"/>
    <col min="2568" max="2568" width="12" style="107" customWidth="1"/>
    <col min="2569" max="2569" width="26.28515625" style="107" customWidth="1"/>
    <col min="2570" max="2815" width="10.140625" style="107"/>
    <col min="2816" max="2816" width="29.28515625" style="107" customWidth="1"/>
    <col min="2817" max="2817" width="28.85546875" style="107" customWidth="1"/>
    <col min="2818" max="2818" width="10.140625" style="107" customWidth="1"/>
    <col min="2819" max="2819" width="19.28515625" style="107" customWidth="1"/>
    <col min="2820" max="2820" width="12.7109375" style="107" customWidth="1"/>
    <col min="2821" max="2821" width="16.5703125" style="107" customWidth="1"/>
    <col min="2822" max="2822" width="16.42578125" style="107" customWidth="1"/>
    <col min="2823" max="2823" width="14.28515625" style="107" customWidth="1"/>
    <col min="2824" max="2824" width="12" style="107" customWidth="1"/>
    <col min="2825" max="2825" width="26.28515625" style="107" customWidth="1"/>
    <col min="2826" max="3071" width="10.140625" style="107"/>
    <col min="3072" max="3072" width="29.28515625" style="107" customWidth="1"/>
    <col min="3073" max="3073" width="28.85546875" style="107" customWidth="1"/>
    <col min="3074" max="3074" width="10.140625" style="107" customWidth="1"/>
    <col min="3075" max="3075" width="19.28515625" style="107" customWidth="1"/>
    <col min="3076" max="3076" width="12.7109375" style="107" customWidth="1"/>
    <col min="3077" max="3077" width="16.5703125" style="107" customWidth="1"/>
    <col min="3078" max="3078" width="16.42578125" style="107" customWidth="1"/>
    <col min="3079" max="3079" width="14.28515625" style="107" customWidth="1"/>
    <col min="3080" max="3080" width="12" style="107" customWidth="1"/>
    <col min="3081" max="3081" width="26.28515625" style="107" customWidth="1"/>
    <col min="3082" max="3327" width="10.140625" style="107"/>
    <col min="3328" max="3328" width="29.28515625" style="107" customWidth="1"/>
    <col min="3329" max="3329" width="28.85546875" style="107" customWidth="1"/>
    <col min="3330" max="3330" width="10.140625" style="107" customWidth="1"/>
    <col min="3331" max="3331" width="19.28515625" style="107" customWidth="1"/>
    <col min="3332" max="3332" width="12.7109375" style="107" customWidth="1"/>
    <col min="3333" max="3333" width="16.5703125" style="107" customWidth="1"/>
    <col min="3334" max="3334" width="16.42578125" style="107" customWidth="1"/>
    <col min="3335" max="3335" width="14.28515625" style="107" customWidth="1"/>
    <col min="3336" max="3336" width="12" style="107" customWidth="1"/>
    <col min="3337" max="3337" width="26.28515625" style="107" customWidth="1"/>
    <col min="3338" max="3583" width="10.140625" style="107"/>
    <col min="3584" max="3584" width="29.28515625" style="107" customWidth="1"/>
    <col min="3585" max="3585" width="28.85546875" style="107" customWidth="1"/>
    <col min="3586" max="3586" width="10.140625" style="107" customWidth="1"/>
    <col min="3587" max="3587" width="19.28515625" style="107" customWidth="1"/>
    <col min="3588" max="3588" width="12.7109375" style="107" customWidth="1"/>
    <col min="3589" max="3589" width="16.5703125" style="107" customWidth="1"/>
    <col min="3590" max="3590" width="16.42578125" style="107" customWidth="1"/>
    <col min="3591" max="3591" width="14.28515625" style="107" customWidth="1"/>
    <col min="3592" max="3592" width="12" style="107" customWidth="1"/>
    <col min="3593" max="3593" width="26.28515625" style="107" customWidth="1"/>
    <col min="3594" max="3839" width="10.140625" style="107"/>
    <col min="3840" max="3840" width="29.28515625" style="107" customWidth="1"/>
    <col min="3841" max="3841" width="28.85546875" style="107" customWidth="1"/>
    <col min="3842" max="3842" width="10.140625" style="107" customWidth="1"/>
    <col min="3843" max="3843" width="19.28515625" style="107" customWidth="1"/>
    <col min="3844" max="3844" width="12.7109375" style="107" customWidth="1"/>
    <col min="3845" max="3845" width="16.5703125" style="107" customWidth="1"/>
    <col min="3846" max="3846" width="16.42578125" style="107" customWidth="1"/>
    <col min="3847" max="3847" width="14.28515625" style="107" customWidth="1"/>
    <col min="3848" max="3848" width="12" style="107" customWidth="1"/>
    <col min="3849" max="3849" width="26.28515625" style="107" customWidth="1"/>
    <col min="3850" max="4095" width="10.140625" style="107"/>
    <col min="4096" max="4096" width="29.28515625" style="107" customWidth="1"/>
    <col min="4097" max="4097" width="28.85546875" style="107" customWidth="1"/>
    <col min="4098" max="4098" width="10.140625" style="107" customWidth="1"/>
    <col min="4099" max="4099" width="19.28515625" style="107" customWidth="1"/>
    <col min="4100" max="4100" width="12.7109375" style="107" customWidth="1"/>
    <col min="4101" max="4101" width="16.5703125" style="107" customWidth="1"/>
    <col min="4102" max="4102" width="16.42578125" style="107" customWidth="1"/>
    <col min="4103" max="4103" width="14.28515625" style="107" customWidth="1"/>
    <col min="4104" max="4104" width="12" style="107" customWidth="1"/>
    <col min="4105" max="4105" width="26.28515625" style="107" customWidth="1"/>
    <col min="4106" max="4351" width="10.140625" style="107"/>
    <col min="4352" max="4352" width="29.28515625" style="107" customWidth="1"/>
    <col min="4353" max="4353" width="28.85546875" style="107" customWidth="1"/>
    <col min="4354" max="4354" width="10.140625" style="107" customWidth="1"/>
    <col min="4355" max="4355" width="19.28515625" style="107" customWidth="1"/>
    <col min="4356" max="4356" width="12.7109375" style="107" customWidth="1"/>
    <col min="4357" max="4357" width="16.5703125" style="107" customWidth="1"/>
    <col min="4358" max="4358" width="16.42578125" style="107" customWidth="1"/>
    <col min="4359" max="4359" width="14.28515625" style="107" customWidth="1"/>
    <col min="4360" max="4360" width="12" style="107" customWidth="1"/>
    <col min="4361" max="4361" width="26.28515625" style="107" customWidth="1"/>
    <col min="4362" max="4607" width="10.140625" style="107"/>
    <col min="4608" max="4608" width="29.28515625" style="107" customWidth="1"/>
    <col min="4609" max="4609" width="28.85546875" style="107" customWidth="1"/>
    <col min="4610" max="4610" width="10.140625" style="107" customWidth="1"/>
    <col min="4611" max="4611" width="19.28515625" style="107" customWidth="1"/>
    <col min="4612" max="4612" width="12.7109375" style="107" customWidth="1"/>
    <col min="4613" max="4613" width="16.5703125" style="107" customWidth="1"/>
    <col min="4614" max="4614" width="16.42578125" style="107" customWidth="1"/>
    <col min="4615" max="4615" width="14.28515625" style="107" customWidth="1"/>
    <col min="4616" max="4616" width="12" style="107" customWidth="1"/>
    <col min="4617" max="4617" width="26.28515625" style="107" customWidth="1"/>
    <col min="4618" max="4863" width="10.140625" style="107"/>
    <col min="4864" max="4864" width="29.28515625" style="107" customWidth="1"/>
    <col min="4865" max="4865" width="28.85546875" style="107" customWidth="1"/>
    <col min="4866" max="4866" width="10.140625" style="107" customWidth="1"/>
    <col min="4867" max="4867" width="19.28515625" style="107" customWidth="1"/>
    <col min="4868" max="4868" width="12.7109375" style="107" customWidth="1"/>
    <col min="4869" max="4869" width="16.5703125" style="107" customWidth="1"/>
    <col min="4870" max="4870" width="16.42578125" style="107" customWidth="1"/>
    <col min="4871" max="4871" width="14.28515625" style="107" customWidth="1"/>
    <col min="4872" max="4872" width="12" style="107" customWidth="1"/>
    <col min="4873" max="4873" width="26.28515625" style="107" customWidth="1"/>
    <col min="4874" max="5119" width="10.140625" style="107"/>
    <col min="5120" max="5120" width="29.28515625" style="107" customWidth="1"/>
    <col min="5121" max="5121" width="28.85546875" style="107" customWidth="1"/>
    <col min="5122" max="5122" width="10.140625" style="107" customWidth="1"/>
    <col min="5123" max="5123" width="19.28515625" style="107" customWidth="1"/>
    <col min="5124" max="5124" width="12.7109375" style="107" customWidth="1"/>
    <col min="5125" max="5125" width="16.5703125" style="107" customWidth="1"/>
    <col min="5126" max="5126" width="16.42578125" style="107" customWidth="1"/>
    <col min="5127" max="5127" width="14.28515625" style="107" customWidth="1"/>
    <col min="5128" max="5128" width="12" style="107" customWidth="1"/>
    <col min="5129" max="5129" width="26.28515625" style="107" customWidth="1"/>
    <col min="5130" max="5375" width="10.140625" style="107"/>
    <col min="5376" max="5376" width="29.28515625" style="107" customWidth="1"/>
    <col min="5377" max="5377" width="28.85546875" style="107" customWidth="1"/>
    <col min="5378" max="5378" width="10.140625" style="107" customWidth="1"/>
    <col min="5379" max="5379" width="19.28515625" style="107" customWidth="1"/>
    <col min="5380" max="5380" width="12.7109375" style="107" customWidth="1"/>
    <col min="5381" max="5381" width="16.5703125" style="107" customWidth="1"/>
    <col min="5382" max="5382" width="16.42578125" style="107" customWidth="1"/>
    <col min="5383" max="5383" width="14.28515625" style="107" customWidth="1"/>
    <col min="5384" max="5384" width="12" style="107" customWidth="1"/>
    <col min="5385" max="5385" width="26.28515625" style="107" customWidth="1"/>
    <col min="5386" max="5631" width="10.140625" style="107"/>
    <col min="5632" max="5632" width="29.28515625" style="107" customWidth="1"/>
    <col min="5633" max="5633" width="28.85546875" style="107" customWidth="1"/>
    <col min="5634" max="5634" width="10.140625" style="107" customWidth="1"/>
    <col min="5635" max="5635" width="19.28515625" style="107" customWidth="1"/>
    <col min="5636" max="5636" width="12.7109375" style="107" customWidth="1"/>
    <col min="5637" max="5637" width="16.5703125" style="107" customWidth="1"/>
    <col min="5638" max="5638" width="16.42578125" style="107" customWidth="1"/>
    <col min="5639" max="5639" width="14.28515625" style="107" customWidth="1"/>
    <col min="5640" max="5640" width="12" style="107" customWidth="1"/>
    <col min="5641" max="5641" width="26.28515625" style="107" customWidth="1"/>
    <col min="5642" max="5887" width="10.140625" style="107"/>
    <col min="5888" max="5888" width="29.28515625" style="107" customWidth="1"/>
    <col min="5889" max="5889" width="28.85546875" style="107" customWidth="1"/>
    <col min="5890" max="5890" width="10.140625" style="107" customWidth="1"/>
    <col min="5891" max="5891" width="19.28515625" style="107" customWidth="1"/>
    <col min="5892" max="5892" width="12.7109375" style="107" customWidth="1"/>
    <col min="5893" max="5893" width="16.5703125" style="107" customWidth="1"/>
    <col min="5894" max="5894" width="16.42578125" style="107" customWidth="1"/>
    <col min="5895" max="5895" width="14.28515625" style="107" customWidth="1"/>
    <col min="5896" max="5896" width="12" style="107" customWidth="1"/>
    <col min="5897" max="5897" width="26.28515625" style="107" customWidth="1"/>
    <col min="5898" max="6143" width="10.140625" style="107"/>
    <col min="6144" max="6144" width="29.28515625" style="107" customWidth="1"/>
    <col min="6145" max="6145" width="28.85546875" style="107" customWidth="1"/>
    <col min="6146" max="6146" width="10.140625" style="107" customWidth="1"/>
    <col min="6147" max="6147" width="19.28515625" style="107" customWidth="1"/>
    <col min="6148" max="6148" width="12.7109375" style="107" customWidth="1"/>
    <col min="6149" max="6149" width="16.5703125" style="107" customWidth="1"/>
    <col min="6150" max="6150" width="16.42578125" style="107" customWidth="1"/>
    <col min="6151" max="6151" width="14.28515625" style="107" customWidth="1"/>
    <col min="6152" max="6152" width="12" style="107" customWidth="1"/>
    <col min="6153" max="6153" width="26.28515625" style="107" customWidth="1"/>
    <col min="6154" max="6399" width="10.140625" style="107"/>
    <col min="6400" max="6400" width="29.28515625" style="107" customWidth="1"/>
    <col min="6401" max="6401" width="28.85546875" style="107" customWidth="1"/>
    <col min="6402" max="6402" width="10.140625" style="107" customWidth="1"/>
    <col min="6403" max="6403" width="19.28515625" style="107" customWidth="1"/>
    <col min="6404" max="6404" width="12.7109375" style="107" customWidth="1"/>
    <col min="6405" max="6405" width="16.5703125" style="107" customWidth="1"/>
    <col min="6406" max="6406" width="16.42578125" style="107" customWidth="1"/>
    <col min="6407" max="6407" width="14.28515625" style="107" customWidth="1"/>
    <col min="6408" max="6408" width="12" style="107" customWidth="1"/>
    <col min="6409" max="6409" width="26.28515625" style="107" customWidth="1"/>
    <col min="6410" max="6655" width="10.140625" style="107"/>
    <col min="6656" max="6656" width="29.28515625" style="107" customWidth="1"/>
    <col min="6657" max="6657" width="28.85546875" style="107" customWidth="1"/>
    <col min="6658" max="6658" width="10.140625" style="107" customWidth="1"/>
    <col min="6659" max="6659" width="19.28515625" style="107" customWidth="1"/>
    <col min="6660" max="6660" width="12.7109375" style="107" customWidth="1"/>
    <col min="6661" max="6661" width="16.5703125" style="107" customWidth="1"/>
    <col min="6662" max="6662" width="16.42578125" style="107" customWidth="1"/>
    <col min="6663" max="6663" width="14.28515625" style="107" customWidth="1"/>
    <col min="6664" max="6664" width="12" style="107" customWidth="1"/>
    <col min="6665" max="6665" width="26.28515625" style="107" customWidth="1"/>
    <col min="6666" max="6911" width="10.140625" style="107"/>
    <col min="6912" max="6912" width="29.28515625" style="107" customWidth="1"/>
    <col min="6913" max="6913" width="28.85546875" style="107" customWidth="1"/>
    <col min="6914" max="6914" width="10.140625" style="107" customWidth="1"/>
    <col min="6915" max="6915" width="19.28515625" style="107" customWidth="1"/>
    <col min="6916" max="6916" width="12.7109375" style="107" customWidth="1"/>
    <col min="6917" max="6917" width="16.5703125" style="107" customWidth="1"/>
    <col min="6918" max="6918" width="16.42578125" style="107" customWidth="1"/>
    <col min="6919" max="6919" width="14.28515625" style="107" customWidth="1"/>
    <col min="6920" max="6920" width="12" style="107" customWidth="1"/>
    <col min="6921" max="6921" width="26.28515625" style="107" customWidth="1"/>
    <col min="6922" max="7167" width="10.140625" style="107"/>
    <col min="7168" max="7168" width="29.28515625" style="107" customWidth="1"/>
    <col min="7169" max="7169" width="28.85546875" style="107" customWidth="1"/>
    <col min="7170" max="7170" width="10.140625" style="107" customWidth="1"/>
    <col min="7171" max="7171" width="19.28515625" style="107" customWidth="1"/>
    <col min="7172" max="7172" width="12.7109375" style="107" customWidth="1"/>
    <col min="7173" max="7173" width="16.5703125" style="107" customWidth="1"/>
    <col min="7174" max="7174" width="16.42578125" style="107" customWidth="1"/>
    <col min="7175" max="7175" width="14.28515625" style="107" customWidth="1"/>
    <col min="7176" max="7176" width="12" style="107" customWidth="1"/>
    <col min="7177" max="7177" width="26.28515625" style="107" customWidth="1"/>
    <col min="7178" max="7423" width="10.140625" style="107"/>
    <col min="7424" max="7424" width="29.28515625" style="107" customWidth="1"/>
    <col min="7425" max="7425" width="28.85546875" style="107" customWidth="1"/>
    <col min="7426" max="7426" width="10.140625" style="107" customWidth="1"/>
    <col min="7427" max="7427" width="19.28515625" style="107" customWidth="1"/>
    <col min="7428" max="7428" width="12.7109375" style="107" customWidth="1"/>
    <col min="7429" max="7429" width="16.5703125" style="107" customWidth="1"/>
    <col min="7430" max="7430" width="16.42578125" style="107" customWidth="1"/>
    <col min="7431" max="7431" width="14.28515625" style="107" customWidth="1"/>
    <col min="7432" max="7432" width="12" style="107" customWidth="1"/>
    <col min="7433" max="7433" width="26.28515625" style="107" customWidth="1"/>
    <col min="7434" max="7679" width="10.140625" style="107"/>
    <col min="7680" max="7680" width="29.28515625" style="107" customWidth="1"/>
    <col min="7681" max="7681" width="28.85546875" style="107" customWidth="1"/>
    <col min="7682" max="7682" width="10.140625" style="107" customWidth="1"/>
    <col min="7683" max="7683" width="19.28515625" style="107" customWidth="1"/>
    <col min="7684" max="7684" width="12.7109375" style="107" customWidth="1"/>
    <col min="7685" max="7685" width="16.5703125" style="107" customWidth="1"/>
    <col min="7686" max="7686" width="16.42578125" style="107" customWidth="1"/>
    <col min="7687" max="7687" width="14.28515625" style="107" customWidth="1"/>
    <col min="7688" max="7688" width="12" style="107" customWidth="1"/>
    <col min="7689" max="7689" width="26.28515625" style="107" customWidth="1"/>
    <col min="7690" max="7935" width="10.140625" style="107"/>
    <col min="7936" max="7936" width="29.28515625" style="107" customWidth="1"/>
    <col min="7937" max="7937" width="28.85546875" style="107" customWidth="1"/>
    <col min="7938" max="7938" width="10.140625" style="107" customWidth="1"/>
    <col min="7939" max="7939" width="19.28515625" style="107" customWidth="1"/>
    <col min="7940" max="7940" width="12.7109375" style="107" customWidth="1"/>
    <col min="7941" max="7941" width="16.5703125" style="107" customWidth="1"/>
    <col min="7942" max="7942" width="16.42578125" style="107" customWidth="1"/>
    <col min="7943" max="7943" width="14.28515625" style="107" customWidth="1"/>
    <col min="7944" max="7944" width="12" style="107" customWidth="1"/>
    <col min="7945" max="7945" width="26.28515625" style="107" customWidth="1"/>
    <col min="7946" max="8191" width="10.140625" style="107"/>
    <col min="8192" max="8192" width="29.28515625" style="107" customWidth="1"/>
    <col min="8193" max="8193" width="28.85546875" style="107" customWidth="1"/>
    <col min="8194" max="8194" width="10.140625" style="107" customWidth="1"/>
    <col min="8195" max="8195" width="19.28515625" style="107" customWidth="1"/>
    <col min="8196" max="8196" width="12.7109375" style="107" customWidth="1"/>
    <col min="8197" max="8197" width="16.5703125" style="107" customWidth="1"/>
    <col min="8198" max="8198" width="16.42578125" style="107" customWidth="1"/>
    <col min="8199" max="8199" width="14.28515625" style="107" customWidth="1"/>
    <col min="8200" max="8200" width="12" style="107" customWidth="1"/>
    <col min="8201" max="8201" width="26.28515625" style="107" customWidth="1"/>
    <col min="8202" max="8447" width="10.140625" style="107"/>
    <col min="8448" max="8448" width="29.28515625" style="107" customWidth="1"/>
    <col min="8449" max="8449" width="28.85546875" style="107" customWidth="1"/>
    <col min="8450" max="8450" width="10.140625" style="107" customWidth="1"/>
    <col min="8451" max="8451" width="19.28515625" style="107" customWidth="1"/>
    <col min="8452" max="8452" width="12.7109375" style="107" customWidth="1"/>
    <col min="8453" max="8453" width="16.5703125" style="107" customWidth="1"/>
    <col min="8454" max="8454" width="16.42578125" style="107" customWidth="1"/>
    <col min="8455" max="8455" width="14.28515625" style="107" customWidth="1"/>
    <col min="8456" max="8456" width="12" style="107" customWidth="1"/>
    <col min="8457" max="8457" width="26.28515625" style="107" customWidth="1"/>
    <col min="8458" max="8703" width="10.140625" style="107"/>
    <col min="8704" max="8704" width="29.28515625" style="107" customWidth="1"/>
    <col min="8705" max="8705" width="28.85546875" style="107" customWidth="1"/>
    <col min="8706" max="8706" width="10.140625" style="107" customWidth="1"/>
    <col min="8707" max="8707" width="19.28515625" style="107" customWidth="1"/>
    <col min="8708" max="8708" width="12.7109375" style="107" customWidth="1"/>
    <col min="8709" max="8709" width="16.5703125" style="107" customWidth="1"/>
    <col min="8710" max="8710" width="16.42578125" style="107" customWidth="1"/>
    <col min="8711" max="8711" width="14.28515625" style="107" customWidth="1"/>
    <col min="8712" max="8712" width="12" style="107" customWidth="1"/>
    <col min="8713" max="8713" width="26.28515625" style="107" customWidth="1"/>
    <col min="8714" max="8959" width="10.140625" style="107"/>
    <col min="8960" max="8960" width="29.28515625" style="107" customWidth="1"/>
    <col min="8961" max="8961" width="28.85546875" style="107" customWidth="1"/>
    <col min="8962" max="8962" width="10.140625" style="107" customWidth="1"/>
    <col min="8963" max="8963" width="19.28515625" style="107" customWidth="1"/>
    <col min="8964" max="8964" width="12.7109375" style="107" customWidth="1"/>
    <col min="8965" max="8965" width="16.5703125" style="107" customWidth="1"/>
    <col min="8966" max="8966" width="16.42578125" style="107" customWidth="1"/>
    <col min="8967" max="8967" width="14.28515625" style="107" customWidth="1"/>
    <col min="8968" max="8968" width="12" style="107" customWidth="1"/>
    <col min="8969" max="8969" width="26.28515625" style="107" customWidth="1"/>
    <col min="8970" max="9215" width="10.140625" style="107"/>
    <col min="9216" max="9216" width="29.28515625" style="107" customWidth="1"/>
    <col min="9217" max="9217" width="28.85546875" style="107" customWidth="1"/>
    <col min="9218" max="9218" width="10.140625" style="107" customWidth="1"/>
    <col min="9219" max="9219" width="19.28515625" style="107" customWidth="1"/>
    <col min="9220" max="9220" width="12.7109375" style="107" customWidth="1"/>
    <col min="9221" max="9221" width="16.5703125" style="107" customWidth="1"/>
    <col min="9222" max="9222" width="16.42578125" style="107" customWidth="1"/>
    <col min="9223" max="9223" width="14.28515625" style="107" customWidth="1"/>
    <col min="9224" max="9224" width="12" style="107" customWidth="1"/>
    <col min="9225" max="9225" width="26.28515625" style="107" customWidth="1"/>
    <col min="9226" max="9471" width="10.140625" style="107"/>
    <col min="9472" max="9472" width="29.28515625" style="107" customWidth="1"/>
    <col min="9473" max="9473" width="28.85546875" style="107" customWidth="1"/>
    <col min="9474" max="9474" width="10.140625" style="107" customWidth="1"/>
    <col min="9475" max="9475" width="19.28515625" style="107" customWidth="1"/>
    <col min="9476" max="9476" width="12.7109375" style="107" customWidth="1"/>
    <col min="9477" max="9477" width="16.5703125" style="107" customWidth="1"/>
    <col min="9478" max="9478" width="16.42578125" style="107" customWidth="1"/>
    <col min="9479" max="9479" width="14.28515625" style="107" customWidth="1"/>
    <col min="9480" max="9480" width="12" style="107" customWidth="1"/>
    <col min="9481" max="9481" width="26.28515625" style="107" customWidth="1"/>
    <col min="9482" max="9727" width="10.140625" style="107"/>
    <col min="9728" max="9728" width="29.28515625" style="107" customWidth="1"/>
    <col min="9729" max="9729" width="28.85546875" style="107" customWidth="1"/>
    <col min="9730" max="9730" width="10.140625" style="107" customWidth="1"/>
    <col min="9731" max="9731" width="19.28515625" style="107" customWidth="1"/>
    <col min="9732" max="9732" width="12.7109375" style="107" customWidth="1"/>
    <col min="9733" max="9733" width="16.5703125" style="107" customWidth="1"/>
    <col min="9734" max="9734" width="16.42578125" style="107" customWidth="1"/>
    <col min="9735" max="9735" width="14.28515625" style="107" customWidth="1"/>
    <col min="9736" max="9736" width="12" style="107" customWidth="1"/>
    <col min="9737" max="9737" width="26.28515625" style="107" customWidth="1"/>
    <col min="9738" max="9983" width="10.140625" style="107"/>
    <col min="9984" max="9984" width="29.28515625" style="107" customWidth="1"/>
    <col min="9985" max="9985" width="28.85546875" style="107" customWidth="1"/>
    <col min="9986" max="9986" width="10.140625" style="107" customWidth="1"/>
    <col min="9987" max="9987" width="19.28515625" style="107" customWidth="1"/>
    <col min="9988" max="9988" width="12.7109375" style="107" customWidth="1"/>
    <col min="9989" max="9989" width="16.5703125" style="107" customWidth="1"/>
    <col min="9990" max="9990" width="16.42578125" style="107" customWidth="1"/>
    <col min="9991" max="9991" width="14.28515625" style="107" customWidth="1"/>
    <col min="9992" max="9992" width="12" style="107" customWidth="1"/>
    <col min="9993" max="9993" width="26.28515625" style="107" customWidth="1"/>
    <col min="9994" max="10239" width="10.140625" style="107"/>
    <col min="10240" max="10240" width="29.28515625" style="107" customWidth="1"/>
    <col min="10241" max="10241" width="28.85546875" style="107" customWidth="1"/>
    <col min="10242" max="10242" width="10.140625" style="107" customWidth="1"/>
    <col min="10243" max="10243" width="19.28515625" style="107" customWidth="1"/>
    <col min="10244" max="10244" width="12.7109375" style="107" customWidth="1"/>
    <col min="10245" max="10245" width="16.5703125" style="107" customWidth="1"/>
    <col min="10246" max="10246" width="16.42578125" style="107" customWidth="1"/>
    <col min="10247" max="10247" width="14.28515625" style="107" customWidth="1"/>
    <col min="10248" max="10248" width="12" style="107" customWidth="1"/>
    <col min="10249" max="10249" width="26.28515625" style="107" customWidth="1"/>
    <col min="10250" max="10495" width="10.140625" style="107"/>
    <col min="10496" max="10496" width="29.28515625" style="107" customWidth="1"/>
    <col min="10497" max="10497" width="28.85546875" style="107" customWidth="1"/>
    <col min="10498" max="10498" width="10.140625" style="107" customWidth="1"/>
    <col min="10499" max="10499" width="19.28515625" style="107" customWidth="1"/>
    <col min="10500" max="10500" width="12.7109375" style="107" customWidth="1"/>
    <col min="10501" max="10501" width="16.5703125" style="107" customWidth="1"/>
    <col min="10502" max="10502" width="16.42578125" style="107" customWidth="1"/>
    <col min="10503" max="10503" width="14.28515625" style="107" customWidth="1"/>
    <col min="10504" max="10504" width="12" style="107" customWidth="1"/>
    <col min="10505" max="10505" width="26.28515625" style="107" customWidth="1"/>
    <col min="10506" max="10751" width="10.140625" style="107"/>
    <col min="10752" max="10752" width="29.28515625" style="107" customWidth="1"/>
    <col min="10753" max="10753" width="28.85546875" style="107" customWidth="1"/>
    <col min="10754" max="10754" width="10.140625" style="107" customWidth="1"/>
    <col min="10755" max="10755" width="19.28515625" style="107" customWidth="1"/>
    <col min="10756" max="10756" width="12.7109375" style="107" customWidth="1"/>
    <col min="10757" max="10757" width="16.5703125" style="107" customWidth="1"/>
    <col min="10758" max="10758" width="16.42578125" style="107" customWidth="1"/>
    <col min="10759" max="10759" width="14.28515625" style="107" customWidth="1"/>
    <col min="10760" max="10760" width="12" style="107" customWidth="1"/>
    <col min="10761" max="10761" width="26.28515625" style="107" customWidth="1"/>
    <col min="10762" max="11007" width="10.140625" style="107"/>
    <col min="11008" max="11008" width="29.28515625" style="107" customWidth="1"/>
    <col min="11009" max="11009" width="28.85546875" style="107" customWidth="1"/>
    <col min="11010" max="11010" width="10.140625" style="107" customWidth="1"/>
    <col min="11011" max="11011" width="19.28515625" style="107" customWidth="1"/>
    <col min="11012" max="11012" width="12.7109375" style="107" customWidth="1"/>
    <col min="11013" max="11013" width="16.5703125" style="107" customWidth="1"/>
    <col min="11014" max="11014" width="16.42578125" style="107" customWidth="1"/>
    <col min="11015" max="11015" width="14.28515625" style="107" customWidth="1"/>
    <col min="11016" max="11016" width="12" style="107" customWidth="1"/>
    <col min="11017" max="11017" width="26.28515625" style="107" customWidth="1"/>
    <col min="11018" max="11263" width="10.140625" style="107"/>
    <col min="11264" max="11264" width="29.28515625" style="107" customWidth="1"/>
    <col min="11265" max="11265" width="28.85546875" style="107" customWidth="1"/>
    <col min="11266" max="11266" width="10.140625" style="107" customWidth="1"/>
    <col min="11267" max="11267" width="19.28515625" style="107" customWidth="1"/>
    <col min="11268" max="11268" width="12.7109375" style="107" customWidth="1"/>
    <col min="11269" max="11269" width="16.5703125" style="107" customWidth="1"/>
    <col min="11270" max="11270" width="16.42578125" style="107" customWidth="1"/>
    <col min="11271" max="11271" width="14.28515625" style="107" customWidth="1"/>
    <col min="11272" max="11272" width="12" style="107" customWidth="1"/>
    <col min="11273" max="11273" width="26.28515625" style="107" customWidth="1"/>
    <col min="11274" max="11519" width="10.140625" style="107"/>
    <col min="11520" max="11520" width="29.28515625" style="107" customWidth="1"/>
    <col min="11521" max="11521" width="28.85546875" style="107" customWidth="1"/>
    <col min="11522" max="11522" width="10.140625" style="107" customWidth="1"/>
    <col min="11523" max="11523" width="19.28515625" style="107" customWidth="1"/>
    <col min="11524" max="11524" width="12.7109375" style="107" customWidth="1"/>
    <col min="11525" max="11525" width="16.5703125" style="107" customWidth="1"/>
    <col min="11526" max="11526" width="16.42578125" style="107" customWidth="1"/>
    <col min="11527" max="11527" width="14.28515625" style="107" customWidth="1"/>
    <col min="11528" max="11528" width="12" style="107" customWidth="1"/>
    <col min="11529" max="11529" width="26.28515625" style="107" customWidth="1"/>
    <col min="11530" max="11775" width="10.140625" style="107"/>
    <col min="11776" max="11776" width="29.28515625" style="107" customWidth="1"/>
    <col min="11777" max="11777" width="28.85546875" style="107" customWidth="1"/>
    <col min="11778" max="11778" width="10.140625" style="107" customWidth="1"/>
    <col min="11779" max="11779" width="19.28515625" style="107" customWidth="1"/>
    <col min="11780" max="11780" width="12.7109375" style="107" customWidth="1"/>
    <col min="11781" max="11781" width="16.5703125" style="107" customWidth="1"/>
    <col min="11782" max="11782" width="16.42578125" style="107" customWidth="1"/>
    <col min="11783" max="11783" width="14.28515625" style="107" customWidth="1"/>
    <col min="11784" max="11784" width="12" style="107" customWidth="1"/>
    <col min="11785" max="11785" width="26.28515625" style="107" customWidth="1"/>
    <col min="11786" max="12031" width="10.140625" style="107"/>
    <col min="12032" max="12032" width="29.28515625" style="107" customWidth="1"/>
    <col min="12033" max="12033" width="28.85546875" style="107" customWidth="1"/>
    <col min="12034" max="12034" width="10.140625" style="107" customWidth="1"/>
    <col min="12035" max="12035" width="19.28515625" style="107" customWidth="1"/>
    <col min="12036" max="12036" width="12.7109375" style="107" customWidth="1"/>
    <col min="12037" max="12037" width="16.5703125" style="107" customWidth="1"/>
    <col min="12038" max="12038" width="16.42578125" style="107" customWidth="1"/>
    <col min="12039" max="12039" width="14.28515625" style="107" customWidth="1"/>
    <col min="12040" max="12040" width="12" style="107" customWidth="1"/>
    <col min="12041" max="12041" width="26.28515625" style="107" customWidth="1"/>
    <col min="12042" max="12287" width="10.140625" style="107"/>
    <col min="12288" max="12288" width="29.28515625" style="107" customWidth="1"/>
    <col min="12289" max="12289" width="28.85546875" style="107" customWidth="1"/>
    <col min="12290" max="12290" width="10.140625" style="107" customWidth="1"/>
    <col min="12291" max="12291" width="19.28515625" style="107" customWidth="1"/>
    <col min="12292" max="12292" width="12.7109375" style="107" customWidth="1"/>
    <col min="12293" max="12293" width="16.5703125" style="107" customWidth="1"/>
    <col min="12294" max="12294" width="16.42578125" style="107" customWidth="1"/>
    <col min="12295" max="12295" width="14.28515625" style="107" customWidth="1"/>
    <col min="12296" max="12296" width="12" style="107" customWidth="1"/>
    <col min="12297" max="12297" width="26.28515625" style="107" customWidth="1"/>
    <col min="12298" max="12543" width="10.140625" style="107"/>
    <col min="12544" max="12544" width="29.28515625" style="107" customWidth="1"/>
    <col min="12545" max="12545" width="28.85546875" style="107" customWidth="1"/>
    <col min="12546" max="12546" width="10.140625" style="107" customWidth="1"/>
    <col min="12547" max="12547" width="19.28515625" style="107" customWidth="1"/>
    <col min="12548" max="12548" width="12.7109375" style="107" customWidth="1"/>
    <col min="12549" max="12549" width="16.5703125" style="107" customWidth="1"/>
    <col min="12550" max="12550" width="16.42578125" style="107" customWidth="1"/>
    <col min="12551" max="12551" width="14.28515625" style="107" customWidth="1"/>
    <col min="12552" max="12552" width="12" style="107" customWidth="1"/>
    <col min="12553" max="12553" width="26.28515625" style="107" customWidth="1"/>
    <col min="12554" max="12799" width="10.140625" style="107"/>
    <col min="12800" max="12800" width="29.28515625" style="107" customWidth="1"/>
    <col min="12801" max="12801" width="28.85546875" style="107" customWidth="1"/>
    <col min="12802" max="12802" width="10.140625" style="107" customWidth="1"/>
    <col min="12803" max="12803" width="19.28515625" style="107" customWidth="1"/>
    <col min="12804" max="12804" width="12.7109375" style="107" customWidth="1"/>
    <col min="12805" max="12805" width="16.5703125" style="107" customWidth="1"/>
    <col min="12806" max="12806" width="16.42578125" style="107" customWidth="1"/>
    <col min="12807" max="12807" width="14.28515625" style="107" customWidth="1"/>
    <col min="12808" max="12808" width="12" style="107" customWidth="1"/>
    <col min="12809" max="12809" width="26.28515625" style="107" customWidth="1"/>
    <col min="12810" max="13055" width="10.140625" style="107"/>
    <col min="13056" max="13056" width="29.28515625" style="107" customWidth="1"/>
    <col min="13057" max="13057" width="28.85546875" style="107" customWidth="1"/>
    <col min="13058" max="13058" width="10.140625" style="107" customWidth="1"/>
    <col min="13059" max="13059" width="19.28515625" style="107" customWidth="1"/>
    <col min="13060" max="13060" width="12.7109375" style="107" customWidth="1"/>
    <col min="13061" max="13061" width="16.5703125" style="107" customWidth="1"/>
    <col min="13062" max="13062" width="16.42578125" style="107" customWidth="1"/>
    <col min="13063" max="13063" width="14.28515625" style="107" customWidth="1"/>
    <col min="13064" max="13064" width="12" style="107" customWidth="1"/>
    <col min="13065" max="13065" width="26.28515625" style="107" customWidth="1"/>
    <col min="13066" max="13311" width="10.140625" style="107"/>
    <col min="13312" max="13312" width="29.28515625" style="107" customWidth="1"/>
    <col min="13313" max="13313" width="28.85546875" style="107" customWidth="1"/>
    <col min="13314" max="13314" width="10.140625" style="107" customWidth="1"/>
    <col min="13315" max="13315" width="19.28515625" style="107" customWidth="1"/>
    <col min="13316" max="13316" width="12.7109375" style="107" customWidth="1"/>
    <col min="13317" max="13317" width="16.5703125" style="107" customWidth="1"/>
    <col min="13318" max="13318" width="16.42578125" style="107" customWidth="1"/>
    <col min="13319" max="13319" width="14.28515625" style="107" customWidth="1"/>
    <col min="13320" max="13320" width="12" style="107" customWidth="1"/>
    <col min="13321" max="13321" width="26.28515625" style="107" customWidth="1"/>
    <col min="13322" max="13567" width="10.140625" style="107"/>
    <col min="13568" max="13568" width="29.28515625" style="107" customWidth="1"/>
    <col min="13569" max="13569" width="28.85546875" style="107" customWidth="1"/>
    <col min="13570" max="13570" width="10.140625" style="107" customWidth="1"/>
    <col min="13571" max="13571" width="19.28515625" style="107" customWidth="1"/>
    <col min="13572" max="13572" width="12.7109375" style="107" customWidth="1"/>
    <col min="13573" max="13573" width="16.5703125" style="107" customWidth="1"/>
    <col min="13574" max="13574" width="16.42578125" style="107" customWidth="1"/>
    <col min="13575" max="13575" width="14.28515625" style="107" customWidth="1"/>
    <col min="13576" max="13576" width="12" style="107" customWidth="1"/>
    <col min="13577" max="13577" width="26.28515625" style="107" customWidth="1"/>
    <col min="13578" max="13823" width="10.140625" style="107"/>
    <col min="13824" max="13824" width="29.28515625" style="107" customWidth="1"/>
    <col min="13825" max="13825" width="28.85546875" style="107" customWidth="1"/>
    <col min="13826" max="13826" width="10.140625" style="107" customWidth="1"/>
    <col min="13827" max="13827" width="19.28515625" style="107" customWidth="1"/>
    <col min="13828" max="13828" width="12.7109375" style="107" customWidth="1"/>
    <col min="13829" max="13829" width="16.5703125" style="107" customWidth="1"/>
    <col min="13830" max="13830" width="16.42578125" style="107" customWidth="1"/>
    <col min="13831" max="13831" width="14.28515625" style="107" customWidth="1"/>
    <col min="13832" max="13832" width="12" style="107" customWidth="1"/>
    <col min="13833" max="13833" width="26.28515625" style="107" customWidth="1"/>
    <col min="13834" max="14079" width="10.140625" style="107"/>
    <col min="14080" max="14080" width="29.28515625" style="107" customWidth="1"/>
    <col min="14081" max="14081" width="28.85546875" style="107" customWidth="1"/>
    <col min="14082" max="14082" width="10.140625" style="107" customWidth="1"/>
    <col min="14083" max="14083" width="19.28515625" style="107" customWidth="1"/>
    <col min="14084" max="14084" width="12.7109375" style="107" customWidth="1"/>
    <col min="14085" max="14085" width="16.5703125" style="107" customWidth="1"/>
    <col min="14086" max="14086" width="16.42578125" style="107" customWidth="1"/>
    <col min="14087" max="14087" width="14.28515625" style="107" customWidth="1"/>
    <col min="14088" max="14088" width="12" style="107" customWidth="1"/>
    <col min="14089" max="14089" width="26.28515625" style="107" customWidth="1"/>
    <col min="14090" max="14335" width="10.140625" style="107"/>
    <col min="14336" max="14336" width="29.28515625" style="107" customWidth="1"/>
    <col min="14337" max="14337" width="28.85546875" style="107" customWidth="1"/>
    <col min="14338" max="14338" width="10.140625" style="107" customWidth="1"/>
    <col min="14339" max="14339" width="19.28515625" style="107" customWidth="1"/>
    <col min="14340" max="14340" width="12.7109375" style="107" customWidth="1"/>
    <col min="14341" max="14341" width="16.5703125" style="107" customWidth="1"/>
    <col min="14342" max="14342" width="16.42578125" style="107" customWidth="1"/>
    <col min="14343" max="14343" width="14.28515625" style="107" customWidth="1"/>
    <col min="14344" max="14344" width="12" style="107" customWidth="1"/>
    <col min="14345" max="14345" width="26.28515625" style="107" customWidth="1"/>
    <col min="14346" max="14591" width="10.140625" style="107"/>
    <col min="14592" max="14592" width="29.28515625" style="107" customWidth="1"/>
    <col min="14593" max="14593" width="28.85546875" style="107" customWidth="1"/>
    <col min="14594" max="14594" width="10.140625" style="107" customWidth="1"/>
    <col min="14595" max="14595" width="19.28515625" style="107" customWidth="1"/>
    <col min="14596" max="14596" width="12.7109375" style="107" customWidth="1"/>
    <col min="14597" max="14597" width="16.5703125" style="107" customWidth="1"/>
    <col min="14598" max="14598" width="16.42578125" style="107" customWidth="1"/>
    <col min="14599" max="14599" width="14.28515625" style="107" customWidth="1"/>
    <col min="14600" max="14600" width="12" style="107" customWidth="1"/>
    <col min="14601" max="14601" width="26.28515625" style="107" customWidth="1"/>
    <col min="14602" max="14847" width="10.140625" style="107"/>
    <col min="14848" max="14848" width="29.28515625" style="107" customWidth="1"/>
    <col min="14849" max="14849" width="28.85546875" style="107" customWidth="1"/>
    <col min="14850" max="14850" width="10.140625" style="107" customWidth="1"/>
    <col min="14851" max="14851" width="19.28515625" style="107" customWidth="1"/>
    <col min="14852" max="14852" width="12.7109375" style="107" customWidth="1"/>
    <col min="14853" max="14853" width="16.5703125" style="107" customWidth="1"/>
    <col min="14854" max="14854" width="16.42578125" style="107" customWidth="1"/>
    <col min="14855" max="14855" width="14.28515625" style="107" customWidth="1"/>
    <col min="14856" max="14856" width="12" style="107" customWidth="1"/>
    <col min="14857" max="14857" width="26.28515625" style="107" customWidth="1"/>
    <col min="14858" max="15103" width="10.140625" style="107"/>
    <col min="15104" max="15104" width="29.28515625" style="107" customWidth="1"/>
    <col min="15105" max="15105" width="28.85546875" style="107" customWidth="1"/>
    <col min="15106" max="15106" width="10.140625" style="107" customWidth="1"/>
    <col min="15107" max="15107" width="19.28515625" style="107" customWidth="1"/>
    <col min="15108" max="15108" width="12.7109375" style="107" customWidth="1"/>
    <col min="15109" max="15109" width="16.5703125" style="107" customWidth="1"/>
    <col min="15110" max="15110" width="16.42578125" style="107" customWidth="1"/>
    <col min="15111" max="15111" width="14.28515625" style="107" customWidth="1"/>
    <col min="15112" max="15112" width="12" style="107" customWidth="1"/>
    <col min="15113" max="15113" width="26.28515625" style="107" customWidth="1"/>
    <col min="15114" max="15359" width="10.140625" style="107"/>
    <col min="15360" max="15360" width="29.28515625" style="107" customWidth="1"/>
    <col min="15361" max="15361" width="28.85546875" style="107" customWidth="1"/>
    <col min="15362" max="15362" width="10.140625" style="107" customWidth="1"/>
    <col min="15363" max="15363" width="19.28515625" style="107" customWidth="1"/>
    <col min="15364" max="15364" width="12.7109375" style="107" customWidth="1"/>
    <col min="15365" max="15365" width="16.5703125" style="107" customWidth="1"/>
    <col min="15366" max="15366" width="16.42578125" style="107" customWidth="1"/>
    <col min="15367" max="15367" width="14.28515625" style="107" customWidth="1"/>
    <col min="15368" max="15368" width="12" style="107" customWidth="1"/>
    <col min="15369" max="15369" width="26.28515625" style="107" customWidth="1"/>
    <col min="15370" max="15615" width="10.140625" style="107"/>
    <col min="15616" max="15616" width="29.28515625" style="107" customWidth="1"/>
    <col min="15617" max="15617" width="28.85546875" style="107" customWidth="1"/>
    <col min="15618" max="15618" width="10.140625" style="107" customWidth="1"/>
    <col min="15619" max="15619" width="19.28515625" style="107" customWidth="1"/>
    <col min="15620" max="15620" width="12.7109375" style="107" customWidth="1"/>
    <col min="15621" max="15621" width="16.5703125" style="107" customWidth="1"/>
    <col min="15622" max="15622" width="16.42578125" style="107" customWidth="1"/>
    <col min="15623" max="15623" width="14.28515625" style="107" customWidth="1"/>
    <col min="15624" max="15624" width="12" style="107" customWidth="1"/>
    <col min="15625" max="15625" width="26.28515625" style="107" customWidth="1"/>
    <col min="15626" max="15871" width="10.140625" style="107"/>
    <col min="15872" max="15872" width="29.28515625" style="107" customWidth="1"/>
    <col min="15873" max="15873" width="28.85546875" style="107" customWidth="1"/>
    <col min="15874" max="15874" width="10.140625" style="107" customWidth="1"/>
    <col min="15875" max="15875" width="19.28515625" style="107" customWidth="1"/>
    <col min="15876" max="15876" width="12.7109375" style="107" customWidth="1"/>
    <col min="15877" max="15877" width="16.5703125" style="107" customWidth="1"/>
    <col min="15878" max="15878" width="16.42578125" style="107" customWidth="1"/>
    <col min="15879" max="15879" width="14.28515625" style="107" customWidth="1"/>
    <col min="15880" max="15880" width="12" style="107" customWidth="1"/>
    <col min="15881" max="15881" width="26.28515625" style="107" customWidth="1"/>
    <col min="15882" max="16127" width="10.140625" style="107"/>
    <col min="16128" max="16128" width="29.28515625" style="107" customWidth="1"/>
    <col min="16129" max="16129" width="28.85546875" style="107" customWidth="1"/>
    <col min="16130" max="16130" width="10.140625" style="107" customWidth="1"/>
    <col min="16131" max="16131" width="19.28515625" style="107" customWidth="1"/>
    <col min="16132" max="16132" width="12.7109375" style="107" customWidth="1"/>
    <col min="16133" max="16133" width="16.5703125" style="107" customWidth="1"/>
    <col min="16134" max="16134" width="16.42578125" style="107" customWidth="1"/>
    <col min="16135" max="16135" width="14.28515625" style="107" customWidth="1"/>
    <col min="16136" max="16136" width="12" style="107" customWidth="1"/>
    <col min="16137" max="16137" width="26.28515625" style="107" customWidth="1"/>
    <col min="16138" max="16384" width="10.140625" style="107"/>
  </cols>
  <sheetData>
    <row r="1" spans="1:10" ht="20.100000000000001" customHeight="1">
      <c r="A1" s="492" t="s">
        <v>95</v>
      </c>
      <c r="B1" s="492"/>
      <c r="C1" s="492"/>
      <c r="D1" s="106"/>
    </row>
    <row r="2" spans="1:10" ht="15.75">
      <c r="A2" s="108" t="s">
        <v>96</v>
      </c>
      <c r="B2" s="109"/>
      <c r="D2" s="110" t="s">
        <v>97</v>
      </c>
      <c r="E2" s="111" t="s">
        <v>98</v>
      </c>
      <c r="F2" s="111"/>
    </row>
    <row r="3" spans="1:10" ht="30">
      <c r="A3" s="108" t="s">
        <v>99</v>
      </c>
      <c r="B3" s="112" t="s">
        <v>100</v>
      </c>
      <c r="D3" s="110" t="s">
        <v>101</v>
      </c>
      <c r="E3" s="111"/>
      <c r="F3" s="111"/>
    </row>
    <row r="4" spans="1:10" ht="36.75" customHeight="1">
      <c r="A4" s="108"/>
      <c r="B4" s="112"/>
      <c r="C4" s="113"/>
      <c r="D4" s="110" t="s">
        <v>102</v>
      </c>
      <c r="E4" s="111" t="s">
        <v>98</v>
      </c>
      <c r="F4" s="111"/>
    </row>
    <row r="5" spans="1:10" ht="27.75" customHeight="1">
      <c r="A5" s="110" t="s">
        <v>103</v>
      </c>
      <c r="B5" s="112"/>
      <c r="D5" s="110" t="s">
        <v>104</v>
      </c>
      <c r="E5" s="111" t="s">
        <v>105</v>
      </c>
      <c r="F5" s="111"/>
    </row>
    <row r="6" spans="1:10" ht="32.25" customHeight="1">
      <c r="A6" s="108" t="s">
        <v>106</v>
      </c>
      <c r="B6" s="114" t="str">
        <f>CI!I4</f>
        <v>ID2608-9295</v>
      </c>
      <c r="D6" s="255" t="s">
        <v>104</v>
      </c>
      <c r="E6" s="111" t="s">
        <v>82</v>
      </c>
      <c r="F6" s="116"/>
      <c r="G6" s="116"/>
    </row>
    <row r="7" spans="1:10" ht="15.75">
      <c r="A7" s="110"/>
      <c r="B7" s="115"/>
      <c r="D7" s="107" t="s">
        <v>107</v>
      </c>
      <c r="E7" s="116" t="s">
        <v>83</v>
      </c>
      <c r="F7" s="116"/>
      <c r="G7" s="116"/>
    </row>
    <row r="8" spans="1:10" ht="27.75" customHeight="1">
      <c r="A8" s="110" t="s">
        <v>108</v>
      </c>
      <c r="B8" s="112" t="s">
        <v>143</v>
      </c>
      <c r="D8" s="108" t="s">
        <v>109</v>
      </c>
      <c r="E8" s="111" t="s">
        <v>144</v>
      </c>
      <c r="F8" s="111"/>
      <c r="I8" s="113"/>
    </row>
    <row r="9" spans="1:10" ht="15.75">
      <c r="A9" s="108" t="s">
        <v>110</v>
      </c>
      <c r="B9" s="112" t="s">
        <v>111</v>
      </c>
      <c r="D9" s="110" t="s">
        <v>112</v>
      </c>
      <c r="E9" s="111" t="s">
        <v>113</v>
      </c>
      <c r="F9" s="116"/>
      <c r="I9" s="113"/>
    </row>
    <row r="10" spans="1:10" ht="15.75">
      <c r="A10" s="108" t="s">
        <v>114</v>
      </c>
      <c r="B10" s="112" t="str">
        <f>CI!C24</f>
        <v>OAKLAND,CA</v>
      </c>
      <c r="D10" s="117" t="s">
        <v>115</v>
      </c>
      <c r="E10" s="118"/>
      <c r="F10" s="116"/>
      <c r="I10" s="113"/>
    </row>
    <row r="11" spans="1:10" ht="15.75">
      <c r="A11" s="108"/>
      <c r="B11" s="112"/>
      <c r="D11" s="117" t="s">
        <v>116</v>
      </c>
      <c r="E11" s="118"/>
      <c r="F11" s="116"/>
    </row>
    <row r="12" spans="1:10" ht="20.100000000000001" customHeight="1">
      <c r="A12" s="493"/>
      <c r="B12" s="493"/>
      <c r="D12" s="110"/>
      <c r="E12" s="240"/>
      <c r="F12" s="241"/>
      <c r="I12" s="113"/>
    </row>
    <row r="13" spans="1:10" ht="32.25" thickBot="1">
      <c r="A13" s="242" t="s">
        <v>117</v>
      </c>
      <c r="B13" s="494" t="s">
        <v>118</v>
      </c>
      <c r="C13" s="494"/>
      <c r="D13" s="495"/>
      <c r="E13" s="243" t="s">
        <v>119</v>
      </c>
      <c r="F13" s="243" t="s">
        <v>120</v>
      </c>
      <c r="G13" s="243" t="s">
        <v>121</v>
      </c>
      <c r="H13" s="243" t="s">
        <v>122</v>
      </c>
      <c r="I13" s="496" t="s">
        <v>123</v>
      </c>
      <c r="J13" s="497"/>
    </row>
    <row r="14" spans="1:10" s="119" customFormat="1" ht="20.100000000000001" customHeight="1" thickTop="1">
      <c r="A14" s="268" t="str">
        <f>CI!C29</f>
        <v>TIN60185</v>
      </c>
      <c r="B14" s="483">
        <f>CI!H29</f>
        <v>0</v>
      </c>
      <c r="C14" s="483"/>
      <c r="D14" s="483"/>
      <c r="E14" s="269"/>
      <c r="F14" s="270" t="str">
        <f>CI!K29</f>
        <v>PCS</v>
      </c>
      <c r="G14" s="271">
        <f>CI!M29</f>
        <v>2116.1999999999998</v>
      </c>
      <c r="H14" s="272" t="e">
        <f>G14*F14</f>
        <v>#VALUE!</v>
      </c>
      <c r="I14" s="498"/>
      <c r="J14" s="499"/>
    </row>
    <row r="15" spans="1:10" s="119" customFormat="1" ht="20.100000000000001" customHeight="1">
      <c r="A15" s="268" t="str">
        <f>CI!C30</f>
        <v>TIN60185</v>
      </c>
      <c r="B15" s="483">
        <f>CI!H30</f>
        <v>0</v>
      </c>
      <c r="C15" s="483"/>
      <c r="D15" s="483"/>
      <c r="E15" s="140"/>
      <c r="F15" s="270" t="str">
        <f>CI!K30</f>
        <v>PCS</v>
      </c>
      <c r="G15" s="271">
        <f>CI!M30</f>
        <v>18638.22</v>
      </c>
      <c r="H15" s="272" t="e">
        <f t="shared" ref="H15:H29" si="0">G15*F15</f>
        <v>#VALUE!</v>
      </c>
      <c r="I15" s="500"/>
      <c r="J15" s="501"/>
    </row>
    <row r="16" spans="1:10" s="260" customFormat="1" ht="20.100000000000001" customHeight="1">
      <c r="A16" s="268" t="str">
        <f>CI!C31</f>
        <v>TIN60185</v>
      </c>
      <c r="B16" s="483">
        <f>CI!H31</f>
        <v>0</v>
      </c>
      <c r="C16" s="483"/>
      <c r="D16" s="483"/>
      <c r="E16" s="140"/>
      <c r="F16" s="270" t="str">
        <f>CI!K31</f>
        <v>PCS</v>
      </c>
      <c r="G16" s="271">
        <f>CI!M31</f>
        <v>2736.2</v>
      </c>
      <c r="H16" s="272" t="e">
        <f t="shared" si="0"/>
        <v>#VALUE!</v>
      </c>
      <c r="I16" s="480"/>
      <c r="J16" s="481"/>
    </row>
    <row r="17" spans="1:10" s="260" customFormat="1" ht="20.100000000000001" customHeight="1">
      <c r="A17" s="268">
        <f>CI!C37</f>
        <v>0</v>
      </c>
      <c r="B17" s="483">
        <f>CI!H37</f>
        <v>0</v>
      </c>
      <c r="C17" s="483"/>
      <c r="D17" s="483"/>
      <c r="E17" s="140"/>
      <c r="F17" s="270">
        <f>CI!K37</f>
        <v>0</v>
      </c>
      <c r="G17" s="271">
        <f>CI!M37</f>
        <v>0</v>
      </c>
      <c r="H17" s="272">
        <f t="shared" si="0"/>
        <v>0</v>
      </c>
      <c r="I17" s="480"/>
      <c r="J17" s="481"/>
    </row>
    <row r="18" spans="1:10" s="260" customFormat="1" ht="20.100000000000001" customHeight="1">
      <c r="A18" s="268" t="e">
        <f>CI!#REF!</f>
        <v>#REF!</v>
      </c>
      <c r="B18" s="483" t="e">
        <f>CI!#REF!</f>
        <v>#REF!</v>
      </c>
      <c r="C18" s="483"/>
      <c r="D18" s="483"/>
      <c r="E18" s="140"/>
      <c r="F18" s="270" t="e">
        <f>CI!#REF!</f>
        <v>#REF!</v>
      </c>
      <c r="G18" s="271" t="e">
        <f>CI!#REF!</f>
        <v>#REF!</v>
      </c>
      <c r="H18" s="272" t="e">
        <f t="shared" si="0"/>
        <v>#REF!</v>
      </c>
      <c r="I18" s="258"/>
      <c r="J18" s="259"/>
    </row>
    <row r="19" spans="1:10" s="260" customFormat="1" ht="20.100000000000001" customHeight="1">
      <c r="A19" s="268" t="e">
        <f>CI!#REF!</f>
        <v>#REF!</v>
      </c>
      <c r="B19" s="483" t="e">
        <f>CI!#REF!</f>
        <v>#REF!</v>
      </c>
      <c r="C19" s="483"/>
      <c r="D19" s="483"/>
      <c r="E19" s="140"/>
      <c r="F19" s="270" t="e">
        <f>CI!#REF!</f>
        <v>#REF!</v>
      </c>
      <c r="G19" s="271" t="e">
        <f>CI!#REF!</f>
        <v>#REF!</v>
      </c>
      <c r="H19" s="272" t="e">
        <f t="shared" si="0"/>
        <v>#REF!</v>
      </c>
      <c r="I19" s="258"/>
      <c r="J19" s="259"/>
    </row>
    <row r="20" spans="1:10" s="260" customFormat="1" ht="20.100000000000001" customHeight="1">
      <c r="A20" s="282" t="e">
        <f>CI!#REF!</f>
        <v>#REF!</v>
      </c>
      <c r="B20" s="482" t="e">
        <f>CI!#REF!</f>
        <v>#REF!</v>
      </c>
      <c r="C20" s="482"/>
      <c r="D20" s="482"/>
      <c r="E20" s="283"/>
      <c r="F20" s="284" t="e">
        <f>CI!#REF!</f>
        <v>#REF!</v>
      </c>
      <c r="G20" s="285" t="e">
        <f>CI!#REF!</f>
        <v>#REF!</v>
      </c>
      <c r="H20" s="286" t="e">
        <f t="shared" si="0"/>
        <v>#REF!</v>
      </c>
      <c r="I20" s="258"/>
      <c r="J20" s="259"/>
    </row>
    <row r="21" spans="1:10" s="260" customFormat="1" ht="20.100000000000001" customHeight="1">
      <c r="A21" s="282" t="e">
        <f>CI!#REF!</f>
        <v>#REF!</v>
      </c>
      <c r="B21" s="482" t="e">
        <f>CI!#REF!</f>
        <v>#REF!</v>
      </c>
      <c r="C21" s="482"/>
      <c r="D21" s="482"/>
      <c r="E21" s="283"/>
      <c r="F21" s="284" t="e">
        <f>CI!#REF!</f>
        <v>#REF!</v>
      </c>
      <c r="G21" s="285" t="e">
        <f>CI!#REF!</f>
        <v>#REF!</v>
      </c>
      <c r="H21" s="286" t="e">
        <f t="shared" si="0"/>
        <v>#REF!</v>
      </c>
      <c r="I21" s="258"/>
      <c r="J21" s="259"/>
    </row>
    <row r="22" spans="1:10" s="260" customFormat="1" ht="20.100000000000001" customHeight="1">
      <c r="A22" s="282" t="e">
        <f>CI!#REF!</f>
        <v>#REF!</v>
      </c>
      <c r="B22" s="482" t="e">
        <f>CI!#REF!</f>
        <v>#REF!</v>
      </c>
      <c r="C22" s="482"/>
      <c r="D22" s="482"/>
      <c r="E22" s="283"/>
      <c r="F22" s="284" t="e">
        <f>CI!#REF!</f>
        <v>#REF!</v>
      </c>
      <c r="G22" s="285" t="e">
        <f>CI!#REF!</f>
        <v>#REF!</v>
      </c>
      <c r="H22" s="286" t="e">
        <f t="shared" si="0"/>
        <v>#REF!</v>
      </c>
      <c r="I22" s="258"/>
      <c r="J22" s="259"/>
    </row>
    <row r="23" spans="1:10" s="260" customFormat="1" ht="20.100000000000001" customHeight="1">
      <c r="A23" s="282" t="e">
        <f>CI!#REF!</f>
        <v>#REF!</v>
      </c>
      <c r="B23" s="482" t="e">
        <f>CI!#REF!</f>
        <v>#REF!</v>
      </c>
      <c r="C23" s="482"/>
      <c r="D23" s="482"/>
      <c r="E23" s="283"/>
      <c r="F23" s="284" t="e">
        <f>CI!#REF!</f>
        <v>#REF!</v>
      </c>
      <c r="G23" s="285" t="e">
        <f>CI!#REF!</f>
        <v>#REF!</v>
      </c>
      <c r="H23" s="286" t="e">
        <f t="shared" si="0"/>
        <v>#REF!</v>
      </c>
      <c r="I23" s="258"/>
      <c r="J23" s="259"/>
    </row>
    <row r="24" spans="1:10" s="260" customFormat="1" ht="20.100000000000001" customHeight="1">
      <c r="A24" s="282" t="e">
        <f>CI!#REF!</f>
        <v>#REF!</v>
      </c>
      <c r="B24" s="482" t="e">
        <f>CI!#REF!</f>
        <v>#REF!</v>
      </c>
      <c r="C24" s="482"/>
      <c r="D24" s="482"/>
      <c r="E24" s="283"/>
      <c r="F24" s="284" t="e">
        <f>CI!#REF!</f>
        <v>#REF!</v>
      </c>
      <c r="G24" s="285" t="e">
        <f>CI!#REF!</f>
        <v>#REF!</v>
      </c>
      <c r="H24" s="286" t="e">
        <f t="shared" si="0"/>
        <v>#REF!</v>
      </c>
      <c r="I24" s="258"/>
      <c r="J24" s="259"/>
    </row>
    <row r="25" spans="1:10" s="260" customFormat="1" ht="20.100000000000001" customHeight="1">
      <c r="A25" s="282" t="e">
        <f>CI!#REF!</f>
        <v>#REF!</v>
      </c>
      <c r="B25" s="482" t="e">
        <f>CI!#REF!</f>
        <v>#REF!</v>
      </c>
      <c r="C25" s="482"/>
      <c r="D25" s="482"/>
      <c r="E25" s="283"/>
      <c r="F25" s="284" t="e">
        <f>CI!#REF!</f>
        <v>#REF!</v>
      </c>
      <c r="G25" s="285" t="e">
        <f>CI!#REF!</f>
        <v>#REF!</v>
      </c>
      <c r="H25" s="286" t="e">
        <f t="shared" si="0"/>
        <v>#REF!</v>
      </c>
      <c r="I25" s="258"/>
      <c r="J25" s="259"/>
    </row>
    <row r="26" spans="1:10" s="260" customFormat="1" ht="20.100000000000001" customHeight="1">
      <c r="A26" s="282" t="e">
        <f>CI!#REF!</f>
        <v>#REF!</v>
      </c>
      <c r="B26" s="482" t="e">
        <f>CI!#REF!</f>
        <v>#REF!</v>
      </c>
      <c r="C26" s="482"/>
      <c r="D26" s="482"/>
      <c r="E26" s="283"/>
      <c r="F26" s="284" t="e">
        <f>CI!#REF!</f>
        <v>#REF!</v>
      </c>
      <c r="G26" s="285" t="e">
        <f>CI!#REF!</f>
        <v>#REF!</v>
      </c>
      <c r="H26" s="286" t="e">
        <f t="shared" si="0"/>
        <v>#REF!</v>
      </c>
      <c r="I26" s="258"/>
      <c r="J26" s="259"/>
    </row>
    <row r="27" spans="1:10" s="260" customFormat="1" ht="20.100000000000001" customHeight="1">
      <c r="A27" s="282" t="e">
        <f>CI!#REF!</f>
        <v>#REF!</v>
      </c>
      <c r="B27" s="482" t="e">
        <f>CI!#REF!</f>
        <v>#REF!</v>
      </c>
      <c r="C27" s="482"/>
      <c r="D27" s="482"/>
      <c r="E27" s="283"/>
      <c r="F27" s="284" t="e">
        <f>CI!#REF!</f>
        <v>#REF!</v>
      </c>
      <c r="G27" s="285" t="e">
        <f>CI!#REF!</f>
        <v>#REF!</v>
      </c>
      <c r="H27" s="286" t="e">
        <f t="shared" si="0"/>
        <v>#REF!</v>
      </c>
      <c r="I27" s="258"/>
      <c r="J27" s="259"/>
    </row>
    <row r="28" spans="1:10" s="260" customFormat="1" ht="20.100000000000001" customHeight="1">
      <c r="A28" s="282" t="e">
        <f>CI!#REF!</f>
        <v>#REF!</v>
      </c>
      <c r="B28" s="482" t="e">
        <f>CI!#REF!</f>
        <v>#REF!</v>
      </c>
      <c r="C28" s="482"/>
      <c r="D28" s="482"/>
      <c r="E28" s="283"/>
      <c r="F28" s="284" t="e">
        <f>CI!#REF!</f>
        <v>#REF!</v>
      </c>
      <c r="G28" s="285" t="e">
        <f>CI!#REF!</f>
        <v>#REF!</v>
      </c>
      <c r="H28" s="286" t="e">
        <f t="shared" si="0"/>
        <v>#REF!</v>
      </c>
      <c r="I28" s="258"/>
      <c r="J28" s="259"/>
    </row>
    <row r="29" spans="1:10" s="260" customFormat="1" ht="20.100000000000001" customHeight="1">
      <c r="A29" s="282" t="e">
        <f>CI!#REF!</f>
        <v>#REF!</v>
      </c>
      <c r="B29" s="482" t="e">
        <f>CI!#REF!</f>
        <v>#REF!</v>
      </c>
      <c r="C29" s="482"/>
      <c r="D29" s="482"/>
      <c r="E29" s="283"/>
      <c r="F29" s="284" t="e">
        <f>CI!#REF!</f>
        <v>#REF!</v>
      </c>
      <c r="G29" s="285" t="e">
        <f>CI!#REF!</f>
        <v>#REF!</v>
      </c>
      <c r="H29" s="286" t="e">
        <f t="shared" si="0"/>
        <v>#REF!</v>
      </c>
      <c r="I29" s="258"/>
      <c r="J29" s="259"/>
    </row>
    <row r="30" spans="1:10" s="260" customFormat="1" ht="20.100000000000001" customHeight="1">
      <c r="A30" s="268"/>
      <c r="B30" s="491"/>
      <c r="C30" s="491"/>
      <c r="D30" s="491"/>
      <c r="E30" s="140"/>
      <c r="F30" s="270"/>
      <c r="G30" s="261"/>
      <c r="H30" s="142"/>
      <c r="I30" s="273"/>
      <c r="J30" s="274"/>
    </row>
    <row r="31" spans="1:10" s="119" customFormat="1" ht="20.100000000000001" customHeight="1">
      <c r="A31" s="268"/>
      <c r="B31" s="491"/>
      <c r="C31" s="491"/>
      <c r="D31" s="491"/>
      <c r="E31" s="140"/>
      <c r="F31" s="270"/>
      <c r="G31" s="141"/>
      <c r="H31" s="142"/>
      <c r="I31" s="265"/>
      <c r="J31" s="266"/>
    </row>
    <row r="32" spans="1:10" s="119" customFormat="1" ht="20.100000000000001" customHeight="1" thickBot="1">
      <c r="A32" s="268"/>
      <c r="B32" s="491"/>
      <c r="C32" s="491"/>
      <c r="D32" s="491"/>
      <c r="E32" s="140"/>
      <c r="F32" s="239"/>
      <c r="G32" s="141"/>
      <c r="H32" s="142"/>
      <c r="I32" s="489"/>
      <c r="J32" s="490"/>
    </row>
    <row r="33" spans="1:11" s="120" customFormat="1" ht="20.25" customHeight="1" thickTop="1">
      <c r="A33" s="484" t="s">
        <v>124</v>
      </c>
      <c r="B33" s="485"/>
      <c r="C33" s="485"/>
      <c r="D33" s="486"/>
      <c r="E33" s="245"/>
      <c r="F33" s="246" t="e">
        <f>SUM(F14:F32)</f>
        <v>#REF!</v>
      </c>
      <c r="G33" s="244"/>
      <c r="H33" s="247" t="e">
        <f>SUM(H14:H32)</f>
        <v>#VALUE!</v>
      </c>
      <c r="I33" s="487"/>
      <c r="J33" s="488"/>
      <c r="K33" s="121"/>
    </row>
    <row r="34" spans="1:11" ht="20.25" customHeight="1">
      <c r="H34" s="107" t="s">
        <v>7</v>
      </c>
    </row>
    <row r="35" spans="1:11" ht="20.25" customHeight="1">
      <c r="A35" s="116"/>
      <c r="E35" s="107" t="s">
        <v>7</v>
      </c>
    </row>
    <row r="36" spans="1:11" ht="20.25" customHeight="1">
      <c r="A36" s="116"/>
      <c r="E36" s="107" t="s">
        <v>7</v>
      </c>
    </row>
    <row r="37" spans="1:11" ht="20.25" customHeight="1">
      <c r="A37" s="116"/>
      <c r="E37" s="107" t="s">
        <v>7</v>
      </c>
    </row>
    <row r="38" spans="1:11" ht="20.25" customHeight="1">
      <c r="A38" s="143"/>
      <c r="B38" s="143"/>
      <c r="C38" s="122"/>
      <c r="D38" s="123"/>
      <c r="E38" s="107" t="s">
        <v>7</v>
      </c>
    </row>
    <row r="39" spans="1:11" ht="20.25" customHeight="1">
      <c r="A39" s="124" t="s">
        <v>125</v>
      </c>
      <c r="B39" s="124"/>
      <c r="C39" s="122"/>
    </row>
    <row r="40" spans="1:11" ht="20.100000000000001" customHeight="1">
      <c r="A40" s="116" t="s">
        <v>126</v>
      </c>
      <c r="B40" s="116"/>
      <c r="C40" s="122"/>
    </row>
    <row r="41" spans="1:11" ht="20.100000000000001" customHeight="1">
      <c r="A41" s="116" t="s">
        <v>127</v>
      </c>
      <c r="B41" s="116"/>
      <c r="C41" s="122"/>
    </row>
    <row r="42" spans="1:11" ht="20.100000000000001" customHeight="1" thickBot="1">
      <c r="A42" s="116" t="s">
        <v>128</v>
      </c>
      <c r="B42" s="116"/>
      <c r="C42" s="122"/>
      <c r="F42" s="125" t="s">
        <v>129</v>
      </c>
      <c r="G42" s="126"/>
      <c r="H42" s="126"/>
    </row>
    <row r="43" spans="1:11" ht="20.100000000000001" customHeight="1">
      <c r="A43" s="116"/>
      <c r="B43" s="116"/>
      <c r="C43" s="122"/>
      <c r="G43" s="107" t="s">
        <v>130</v>
      </c>
      <c r="H43" s="116"/>
    </row>
    <row r="46" spans="1:11" ht="20.100000000000001" customHeight="1">
      <c r="A46" s="127"/>
      <c r="B46" s="128"/>
      <c r="C46" s="128"/>
      <c r="D46" s="128"/>
      <c r="E46" s="128"/>
      <c r="F46" s="128"/>
      <c r="G46" s="128"/>
      <c r="H46" s="128"/>
      <c r="I46" s="128"/>
    </row>
    <row r="47" spans="1:11" ht="20.100000000000001" customHeight="1">
      <c r="A47" s="128"/>
      <c r="B47" s="128"/>
      <c r="C47" s="128"/>
      <c r="D47" s="128"/>
      <c r="E47" s="128"/>
      <c r="F47" s="128"/>
      <c r="G47" s="128"/>
      <c r="H47" s="128"/>
      <c r="I47" s="128"/>
    </row>
    <row r="48" spans="1:11" ht="18.75" customHeight="1"/>
  </sheetData>
  <mergeCells count="30">
    <mergeCell ref="A33:D33"/>
    <mergeCell ref="I33:J33"/>
    <mergeCell ref="I32:J32"/>
    <mergeCell ref="B31:D31"/>
    <mergeCell ref="A1:C1"/>
    <mergeCell ref="A12:B12"/>
    <mergeCell ref="B13:D13"/>
    <mergeCell ref="B14:D14"/>
    <mergeCell ref="B32:D32"/>
    <mergeCell ref="B15:D15"/>
    <mergeCell ref="B16:D16"/>
    <mergeCell ref="B17:D17"/>
    <mergeCell ref="I13:J13"/>
    <mergeCell ref="I14:J14"/>
    <mergeCell ref="I15:J15"/>
    <mergeCell ref="B30:D30"/>
    <mergeCell ref="I17:J17"/>
    <mergeCell ref="I16:J16"/>
    <mergeCell ref="B29:D29"/>
    <mergeCell ref="B19:D19"/>
    <mergeCell ref="B18:D18"/>
    <mergeCell ref="B22:D22"/>
    <mergeCell ref="B21:D21"/>
    <mergeCell ref="B20:D20"/>
    <mergeCell ref="B23:D23"/>
    <mergeCell ref="B24:D24"/>
    <mergeCell ref="B25:D25"/>
    <mergeCell ref="B26:D26"/>
    <mergeCell ref="B27:D27"/>
    <mergeCell ref="B28:D28"/>
  </mergeCells>
  <pageMargins left="0.7" right="0.7" top="0.75" bottom="0.75" header="0.3" footer="0.3"/>
  <pageSetup scale="2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CM</vt:lpstr>
      <vt:lpstr>CI</vt:lpstr>
      <vt:lpstr> PL</vt:lpstr>
      <vt:lpstr>SHIPPING MARK</vt:lpstr>
      <vt:lpstr>SN</vt:lpstr>
      <vt:lpstr>PO</vt:lpstr>
      <vt:lpstr>' PL'!Print_Area</vt:lpstr>
      <vt:lpstr>CI!Print_Area</vt:lpstr>
      <vt:lpstr>CM!Print_Area</vt:lpstr>
      <vt:lpstr>SN!Print_Area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Chiswa Dian Hermansyah(ZINUS ZDI)</cp:lastModifiedBy>
  <cp:lastPrinted>2026-08-28T11:47:16Z</cp:lastPrinted>
  <dcterms:created xsi:type="dcterms:W3CDTF">2019-03-23T06:53:17Z</dcterms:created>
  <dcterms:modified xsi:type="dcterms:W3CDTF">2026-08-28T11:47:28Z</dcterms:modified>
</cp:coreProperties>
</file>