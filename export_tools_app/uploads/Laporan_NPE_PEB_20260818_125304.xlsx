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7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8" fontId="30" fillId="0" borderId="36" applyAlignment="1" pivotButton="0" quotePrefix="0" xfId="0">
      <alignment horizontal="left" vertical="center"/>
    </xf>
    <xf numFmtId="173" fontId="30" fillId="0" borderId="36" applyAlignment="1" pivotButton="0" quotePrefix="0" xfId="0">
      <alignment horizontal="left" vertical="center"/>
    </xf>
    <xf numFmtId="174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L38" sqref="L38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92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95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000001</t>
        </is>
      </c>
      <c r="C12" s="245" t="inlineStr">
        <is>
          <t>123456</t>
        </is>
      </c>
      <c r="D12" s="245" t="inlineStr">
        <is>
          <t>123456</t>
        </is>
      </c>
      <c r="E12" s="246" t="n">
        <v>46252</v>
      </c>
      <c r="F12" s="245" t="inlineStr">
        <is>
          <t>INV-999</t>
        </is>
      </c>
      <c r="G12" s="246" t="n">
        <v>46249</v>
      </c>
      <c r="H12" s="247" t="n">
        <v>100</v>
      </c>
      <c r="I12" s="245" t="inlineStr">
        <is>
          <t>TGHU1234567</t>
        </is>
      </c>
      <c r="J12" s="245" t="inlineStr">
        <is>
          <t>40</t>
        </is>
      </c>
      <c r="K12" s="245" t="inlineStr">
        <is>
          <t>TEST GOODS</t>
        </is>
      </c>
      <c r="L12" s="245" t="inlineStr">
        <is>
          <t>SKU123</t>
        </is>
      </c>
      <c r="M12" s="248" t="inlineStr">
        <is>
          <t>PO-999</t>
        </is>
      </c>
      <c r="N12" s="245" t="inlineStr">
        <is>
          <t>FC-1</t>
        </is>
      </c>
      <c r="O12" s="249" t="n">
        <v>1500</v>
      </c>
      <c r="P12" s="249" t="n">
        <v>1200</v>
      </c>
      <c r="Q12" s="250">
        <f>R12/H12</f>
        <v/>
      </c>
      <c r="R12" s="251" t="n"/>
      <c r="S12" s="249" t="n"/>
      <c r="T12" s="252">
        <f>S12*R12</f>
        <v/>
      </c>
      <c r="U12" s="245" t="inlineStr">
        <is>
          <t>KPU BEA DAN CUKAI TIPE A TANJUNG PRIOK</t>
        </is>
      </c>
      <c r="V12" s="245" t="inlineStr">
        <is>
          <t>IDTPP - TANJUNG PRIOK</t>
        </is>
      </c>
      <c r="W12" s="245" t="inlineStr">
        <is>
          <t>SAVANNAH, US</t>
        </is>
      </c>
      <c r="X12" s="245" t="inlineStr">
        <is>
          <t>TEST RECEIVER INC.</t>
        </is>
      </c>
      <c r="Y12" s="245" t="inlineStr">
        <is>
          <t>BL-00123</t>
        </is>
      </c>
      <c r="Z12" s="246" t="n">
        <v>46250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18-08-2026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8.1" customFormat="1" customHeight="1" s="244"/>
    <row r="16" ht="20.1" customFormat="1" customHeight="1" s="244">
      <c r="A16" s="258">
        <f>COUNT(A12:A15)</f>
        <v/>
      </c>
      <c r="B16" s="259" t="n"/>
      <c r="C16" s="259" t="n"/>
      <c r="D16" s="259" t="n"/>
      <c r="E16" s="259" t="n"/>
      <c r="F16" s="259" t="n"/>
      <c r="G16" s="259" t="n"/>
      <c r="H16" s="260">
        <f>H14</f>
        <v/>
      </c>
      <c r="I16" s="260">
        <f>I14</f>
        <v/>
      </c>
      <c r="J16" s="259" t="n"/>
      <c r="K16" s="259" t="n"/>
      <c r="L16" s="259" t="n"/>
      <c r="M16" s="259" t="n"/>
      <c r="N16" s="259" t="n"/>
      <c r="O16" s="261">
        <f>O14</f>
        <v/>
      </c>
      <c r="P16" s="261">
        <f>P14</f>
        <v/>
      </c>
      <c r="Q16" s="259" t="n"/>
      <c r="R16" s="262">
        <f>R14</f>
        <v/>
      </c>
      <c r="S16" s="259" t="n"/>
      <c r="T16" s="263">
        <f>T14</f>
        <v/>
      </c>
      <c r="U16" s="259" t="n"/>
      <c r="V16" s="259" t="n"/>
      <c r="W16" s="259" t="n"/>
      <c r="X16" s="259" t="n"/>
      <c r="Y16" s="259" t="n"/>
      <c r="Z16" s="259" t="n"/>
    </row>
    <row r="17" ht="17.1" customFormat="1" customHeight="1" s="264"/>
    <row r="18" ht="17.1" customHeight="1" s="202" thickBot="1">
      <c r="B18" s="265" t="inlineStr">
        <is>
          <t>Total Qty Export :</t>
        </is>
      </c>
      <c r="C18" s="266">
        <f>H16-C19</f>
        <v/>
      </c>
    </row>
    <row r="19" ht="17.1" customFormat="1" customHeight="1" s="218" thickBot="1">
      <c r="B19" s="267" t="inlineStr">
        <is>
          <t>Total Qty Export Sample :</t>
        </is>
      </c>
      <c r="C19" s="268" t="inlineStr"/>
    </row>
    <row r="20" ht="17.1" customHeight="1" s="202"/>
    <row r="21" ht="17.1" customHeight="1" s="202">
      <c r="A21" s="269" t="n"/>
      <c r="B21" s="270" t="n"/>
      <c r="C21" s="270" t="n"/>
      <c r="D21" s="271" t="n"/>
      <c r="U21" s="272" t="inlineStr">
        <is>
          <t>Tangerang, 18 August 2026</t>
        </is>
      </c>
    </row>
    <row r="22" ht="17.1" customHeight="1" s="202">
      <c r="A22" s="273" t="inlineStr">
        <is>
          <t>Total Document</t>
        </is>
      </c>
      <c r="C22" s="274">
        <f>A16</f>
        <v/>
      </c>
      <c r="D22" s="275" t="n"/>
      <c r="U22" s="272" t="inlineStr">
        <is>
          <t>Kasubsi Hanggar Pabean dan Cukai</t>
        </is>
      </c>
    </row>
    <row r="23" ht="17.1" customHeight="1" s="202" thickBot="1">
      <c r="A23" s="273" t="inlineStr">
        <is>
          <t>Gross Weight</t>
        </is>
      </c>
      <c r="C23" s="276">
        <f>O16</f>
        <v/>
      </c>
      <c r="D23" s="275" t="n"/>
    </row>
    <row r="24" ht="17.1" customHeight="1" s="202" thickTop="1">
      <c r="A24" s="273" t="inlineStr">
        <is>
          <t>Nett Weight</t>
        </is>
      </c>
      <c r="C24" s="276">
        <f>P16</f>
        <v/>
      </c>
      <c r="D24" s="275" t="n"/>
    </row>
    <row r="25" ht="17.1" customHeight="1" s="202">
      <c r="A25" s="273" t="inlineStr">
        <is>
          <t>Amount</t>
        </is>
      </c>
      <c r="C25" s="277">
        <f>R16</f>
        <v/>
      </c>
      <c r="D25" s="275" t="n"/>
    </row>
    <row r="26" ht="17.1" customHeight="1" s="202">
      <c r="A26" s="273" t="inlineStr">
        <is>
          <t>Jumlah Container</t>
        </is>
      </c>
      <c r="C26" s="278">
        <f>I16-C27</f>
        <v/>
      </c>
      <c r="D26" s="275" t="n"/>
    </row>
    <row r="27" ht="17.1" customHeight="1" s="202">
      <c r="A27" s="279" t="n"/>
      <c r="C27" s="280" t="inlineStr"/>
      <c r="D27" s="275" t="n"/>
    </row>
    <row r="28" ht="17.1" customHeight="1" s="202">
      <c r="A28" s="279" t="n"/>
      <c r="C28" s="281">
        <f>C26*2+C27</f>
        <v/>
      </c>
      <c r="D28" s="275" t="n"/>
    </row>
    <row r="29" ht="16.2" customHeight="1" s="202">
      <c r="A29" s="282" t="n"/>
      <c r="B29" s="283" t="n"/>
      <c r="C29" s="283" t="n"/>
      <c r="D29" s="284" t="n"/>
    </row>
    <row r="30" ht="17.1" customHeight="1" s="202"/>
    <row r="31" ht="17.1" customHeight="1" s="202"/>
    <row r="32" ht="16.2" customHeight="1" s="202" thickBot="1"/>
    <row r="33" ht="16.2" customFormat="1" customHeight="1" s="17" thickTop="1"/>
  </sheetData>
  <autoFilter ref="A10:Z11">
    <filterColumn colId="2" hiddenButton="0" showButton="0"/>
    <filterColumn colId="8" hiddenButton="0" showButton="0"/>
  </autoFilter>
  <mergeCells count="26">
    <mergeCell ref="C24:D24"/>
    <mergeCell ref="E10:E11"/>
    <mergeCell ref="C26:D26"/>
    <mergeCell ref="G10:G11"/>
    <mergeCell ref="M10:M11"/>
    <mergeCell ref="Y10:Y11"/>
    <mergeCell ref="Q10:Q11"/>
    <mergeCell ref="C10:D10"/>
    <mergeCell ref="C25:D25"/>
    <mergeCell ref="A6:Z6"/>
    <mergeCell ref="I10:J11"/>
    <mergeCell ref="C22:D22"/>
    <mergeCell ref="B10:B11"/>
    <mergeCell ref="A7:Z7"/>
    <mergeCell ref="L10:L11"/>
    <mergeCell ref="X10:X11"/>
    <mergeCell ref="N10:N11"/>
    <mergeCell ref="Z10:Z11"/>
    <mergeCell ref="C27:D27"/>
    <mergeCell ref="A10:A11"/>
    <mergeCell ref="C23:D23"/>
    <mergeCell ref="K10:K11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2026-08-18T05:53:04Z</dcterms:modified>
  <cp:lastModifiedBy>Chiswa Dian Hermansyah(ZINUS ZDI)</cp:lastModifiedBy>
</cp:coreProperties>
</file>