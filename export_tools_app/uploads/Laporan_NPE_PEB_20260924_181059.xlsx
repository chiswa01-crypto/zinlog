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4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000030ZIK48020260828000723</t>
        </is>
      </c>
      <c r="C12" s="245" t="n">
        <v>551420</v>
      </c>
      <c r="D12" s="245" t="n">
        <v>551373</v>
      </c>
      <c r="E12" s="246" t="n">
        <v>46266</v>
      </c>
      <c r="F12" s="245" t="inlineStr">
        <is>
          <t>ID2608-8315</t>
        </is>
      </c>
      <c r="G12" s="246" t="n">
        <v>46262</v>
      </c>
      <c r="H12" s="247" t="n">
        <v>475</v>
      </c>
      <c r="I12" s="245" t="inlineStr">
        <is>
          <t>YMMU4094237</t>
        </is>
      </c>
      <c r="J12" s="245" t="inlineStr">
        <is>
          <t>40FT</t>
        </is>
      </c>
      <c r="K12" s="245" t="inlineStr">
        <is>
          <t>6IN GREEN TEA MF MATTRESS FL</t>
        </is>
      </c>
      <c r="L12" s="245" t="inlineStr">
        <is>
          <t>EB-FMS-0600F-IN</t>
        </is>
      </c>
      <c r="M12" s="248" t="inlineStr">
        <is>
          <t>43FNUL7Y</t>
        </is>
      </c>
      <c r="N12" s="245" t="inlineStr">
        <is>
          <t>F.MFM.06F.002.BD</t>
        </is>
      </c>
      <c r="O12" s="249" t="n">
        <v>22196.8</v>
      </c>
      <c r="P12" s="249" t="n">
        <v>17634.96</v>
      </c>
      <c r="Q12" s="250">
        <f>R12/H12</f>
        <v/>
      </c>
      <c r="R12" s="251" t="n">
        <v>22363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NEW YORK, US</t>
        </is>
      </c>
      <c r="X12" s="245" t="inlineStr">
        <is>
          <t>AMAZON.COM SERVICES LLC</t>
        </is>
      </c>
      <c r="Y12" s="245" t="inlineStr">
        <is>
          <t>YMJAE425911711</t>
        </is>
      </c>
      <c r="Z12" s="246" t="n">
        <v>46266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470</v>
      </c>
      <c r="I13" s="245" t="inlineStr">
        <is>
          <t>MAGU5769055</t>
        </is>
      </c>
      <c r="J13" s="245" t="inlineStr">
        <is>
          <t>40FT</t>
        </is>
      </c>
      <c r="K13" s="245" t="inlineStr">
        <is>
          <t>5IN GEL FOAM MATTRESS TW</t>
        </is>
      </c>
      <c r="L13" s="245" t="inlineStr">
        <is>
          <t>GFM-5T</t>
        </is>
      </c>
      <c r="M13" s="248" t="inlineStr">
        <is>
          <t>43FNUL7Y</t>
        </is>
      </c>
      <c r="N13" s="245" t="inlineStr">
        <is>
          <t>F.MFG.05T.000.BD</t>
        </is>
      </c>
      <c r="O13" s="245" t="n"/>
      <c r="P13" s="245" t="n"/>
      <c r="Q13" s="250">
        <f>R13/H13</f>
        <v/>
      </c>
      <c r="R13" s="251" t="n">
        <v>13893.2</v>
      </c>
      <c r="S13" s="249" t="n">
        <v>17796</v>
      </c>
      <c r="T13" s="252">
        <f>S13*R13</f>
        <v/>
      </c>
      <c r="U13" s="245" t="n"/>
      <c r="V13" s="245" t="n"/>
      <c r="W13" s="245" t="inlineStr">
        <is>
          <t>ETD : 05-09-2026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91</v>
      </c>
      <c r="I14" s="245" t="inlineStr"/>
      <c r="J14" s="245" t="inlineStr"/>
      <c r="K14" s="245" t="inlineStr">
        <is>
          <t>6IN GREEN TEA MF MATTRESS FL</t>
        </is>
      </c>
      <c r="L14" s="245" t="inlineStr">
        <is>
          <t>EB-FMS-0600F-IN</t>
        </is>
      </c>
      <c r="M14" s="248" t="inlineStr">
        <is>
          <t>6QDRMEOU</t>
        </is>
      </c>
      <c r="N14" s="245" t="inlineStr">
        <is>
          <t>F.MFM.06F.002.BD</t>
        </is>
      </c>
      <c r="O14" s="245" t="n"/>
      <c r="P14" s="245" t="n"/>
      <c r="Q14" s="250">
        <f>R14/H14</f>
        <v/>
      </c>
      <c r="R14" s="251" t="n">
        <v>4284.28</v>
      </c>
      <c r="S14" s="249" t="n">
        <v>17796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16</v>
      </c>
      <c r="I15" s="245" t="inlineStr"/>
      <c r="J15" s="245" t="inlineStr"/>
      <c r="K15" s="245" t="inlineStr">
        <is>
          <t>10IN GEL FOAM MATTRESS TW</t>
        </is>
      </c>
      <c r="L15" s="245" t="inlineStr">
        <is>
          <t>GFM-10T</t>
        </is>
      </c>
      <c r="M15" s="248" t="inlineStr">
        <is>
          <t>6QDRMEOU</t>
        </is>
      </c>
      <c r="N15" s="245" t="inlineStr">
        <is>
          <t>F.MFG.10T.000.BD</t>
        </is>
      </c>
      <c r="O15" s="245" t="n"/>
      <c r="P15" s="245" t="n"/>
      <c r="Q15" s="250">
        <f>R15/H15</f>
        <v/>
      </c>
      <c r="R15" s="251" t="n">
        <v>768.64</v>
      </c>
      <c r="S15" s="249" t="n">
        <v>17796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109</v>
      </c>
      <c r="I16" s="245" t="inlineStr"/>
      <c r="J16" s="245" t="inlineStr"/>
      <c r="K16" s="245" t="inlineStr">
        <is>
          <t>Uraian : GASKET 3,222.04-5IN GEL FOAM MATTRESS TW</t>
        </is>
      </c>
      <c r="L16" s="245" t="inlineStr">
        <is>
          <t>GFM-5T</t>
        </is>
      </c>
      <c r="M16" s="248" t="inlineStr">
        <is>
          <t>6QDRMEOU</t>
        </is>
      </c>
      <c r="N16" s="245" t="inlineStr">
        <is>
          <t>F.MFG.05T.000.BD</t>
        </is>
      </c>
      <c r="O16" s="245" t="n"/>
      <c r="P16" s="245" t="n"/>
      <c r="Q16" s="250">
        <f>R16/H16</f>
        <v/>
      </c>
      <c r="R16" s="251" t="n">
        <v>0</v>
      </c>
      <c r="S16" s="249" t="n">
        <v>17796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34</v>
      </c>
      <c r="I17" s="245" t="inlineStr"/>
      <c r="J17" s="245" t="inlineStr"/>
      <c r="K17" s="245" t="inlineStr">
        <is>
          <t>8IN GEL FOAM MATTRESS FL</t>
        </is>
      </c>
      <c r="L17" s="245" t="inlineStr">
        <is>
          <t>GFM-8F</t>
        </is>
      </c>
      <c r="M17" s="248" t="inlineStr">
        <is>
          <t>6QDRMEOU</t>
        </is>
      </c>
      <c r="N17" s="245" t="inlineStr">
        <is>
          <t>F.MFG.08F.000.BD</t>
        </is>
      </c>
      <c r="O17" s="245" t="n"/>
      <c r="P17" s="245" t="n"/>
      <c r="Q17" s="250">
        <f>R17/H17</f>
        <v/>
      </c>
      <c r="R17" s="251" t="n">
        <v>1755.76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107</v>
      </c>
      <c r="I18" s="245" t="inlineStr"/>
      <c r="J18" s="245" t="inlineStr"/>
      <c r="K18" s="245" t="inlineStr">
        <is>
          <t>8IN GEL FOAM MATTRESS TW</t>
        </is>
      </c>
      <c r="L18" s="245" t="inlineStr">
        <is>
          <t>GFM-8T</t>
        </is>
      </c>
      <c r="M18" s="248" t="inlineStr">
        <is>
          <t>6QDRMEOU</t>
        </is>
      </c>
      <c r="N18" s="245" t="inlineStr">
        <is>
          <t>F.MFG.08T.000.BD</t>
        </is>
      </c>
      <c r="O18" s="245" t="n"/>
      <c r="P18" s="245" t="n"/>
      <c r="Q18" s="250">
        <f>R18/H18</f>
        <v/>
      </c>
      <c r="R18" s="251" t="n">
        <v>4160.16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74</v>
      </c>
      <c r="I19" s="245" t="inlineStr"/>
      <c r="J19" s="245" t="inlineStr"/>
      <c r="K19" s="245" t="inlineStr">
        <is>
          <t>2IN CV LAVENDER MF TOPPER QN</t>
        </is>
      </c>
      <c r="L19" s="245" t="inlineStr">
        <is>
          <t>ECMF-LV2Q-IN</t>
        </is>
      </c>
      <c r="M19" s="248" t="inlineStr">
        <is>
          <t>43FNUL7Y</t>
        </is>
      </c>
      <c r="N19" s="245" t="inlineStr">
        <is>
          <t>F.TMT.02Q.008.BD</t>
        </is>
      </c>
      <c r="O19" s="245" t="n"/>
      <c r="P19" s="245" t="n"/>
      <c r="Q19" s="250">
        <f>R19/H19</f>
        <v/>
      </c>
      <c r="R19" s="251" t="n">
        <v>897.62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59</v>
      </c>
      <c r="I20" s="245" t="inlineStr"/>
      <c r="J20" s="245" t="inlineStr"/>
      <c r="K20" s="245" t="inlineStr">
        <is>
          <t>3IN CV LAVENDER MF TOPPER FL</t>
        </is>
      </c>
      <c r="L20" s="245" t="inlineStr">
        <is>
          <t>ECMF-03FL-IN</t>
        </is>
      </c>
      <c r="M20" s="248" t="inlineStr">
        <is>
          <t>6QDRMEOU</t>
        </is>
      </c>
      <c r="N20" s="245" t="inlineStr">
        <is>
          <t>F.TMT.03F.010.BD</t>
        </is>
      </c>
      <c r="O20" s="245" t="n"/>
      <c r="P20" s="245" t="n"/>
      <c r="Q20" s="250">
        <f>R20/H20</f>
        <v/>
      </c>
      <c r="R20" s="251" t="n">
        <v>861.99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24</v>
      </c>
      <c r="I21" s="245" t="inlineStr"/>
      <c r="J21" s="245" t="inlineStr"/>
      <c r="K21" s="245" t="inlineStr">
        <is>
          <t>3IN CV LAVENDER MF TOPPER EK</t>
        </is>
      </c>
      <c r="L21" s="245" t="inlineStr">
        <is>
          <t>ECMF-03KL-IN</t>
        </is>
      </c>
      <c r="M21" s="248" t="inlineStr">
        <is>
          <t>6QDRMEOU</t>
        </is>
      </c>
      <c r="N21" s="245" t="inlineStr">
        <is>
          <t>F.TMT.03K.010.BD</t>
        </is>
      </c>
      <c r="O21" s="245" t="n"/>
      <c r="P21" s="245" t="n"/>
      <c r="Q21" s="250">
        <f>R21/H21</f>
        <v/>
      </c>
      <c r="R21" s="251" t="n">
        <v>497.76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262</v>
      </c>
      <c r="I22" s="245" t="inlineStr"/>
      <c r="J22" s="245" t="inlineStr"/>
      <c r="K22" s="245" t="inlineStr">
        <is>
          <t>3IN CV LAVENDER MF TOPPER TW</t>
        </is>
      </c>
      <c r="L22" s="245" t="inlineStr">
        <is>
          <t>ECMF-03TL-IN</t>
        </is>
      </c>
      <c r="M22" s="248" t="inlineStr">
        <is>
          <t>6QDRMEOU</t>
        </is>
      </c>
      <c r="N22" s="245" t="inlineStr">
        <is>
          <t>F.TMT.03T.010.BD</t>
        </is>
      </c>
      <c r="O22" s="245" t="n"/>
      <c r="P22" s="245" t="n"/>
      <c r="Q22" s="250">
        <f>R22/H22</f>
        <v/>
      </c>
      <c r="R22" s="251" t="n">
        <v>2895.1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6</v>
      </c>
      <c r="I23" s="245" t="inlineStr"/>
      <c r="J23" s="245" t="inlineStr"/>
      <c r="K23" s="245" t="inlineStr">
        <is>
          <t>3IN CV LAVENDER MF TOPPER TX</t>
        </is>
      </c>
      <c r="L23" s="245" t="inlineStr">
        <is>
          <t>ECMF-03TXLL-IN</t>
        </is>
      </c>
      <c r="M23" s="248" t="inlineStr">
        <is>
          <t>6QDRMEOU</t>
        </is>
      </c>
      <c r="N23" s="245" t="inlineStr">
        <is>
          <t>F.TMT.03X.010.BD</t>
        </is>
      </c>
      <c r="O23" s="245" t="n"/>
      <c r="P23" s="245" t="n"/>
      <c r="Q23" s="250">
        <f>R23/H23</f>
        <v/>
      </c>
      <c r="R23" s="251" t="n">
        <v>72.12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12</v>
      </c>
      <c r="I24" s="245" t="inlineStr"/>
      <c r="J24" s="245" t="inlineStr"/>
      <c r="K24" s="245" t="inlineStr">
        <is>
          <t>2IN CV LAVENDER MF TOPPER FL</t>
        </is>
      </c>
      <c r="L24" s="245" t="inlineStr">
        <is>
          <t>ECMF- N</t>
        </is>
      </c>
      <c r="M24" s="248" t="inlineStr">
        <is>
          <t>6QDRMEOU</t>
        </is>
      </c>
      <c r="N24" s="245" t="inlineStr">
        <is>
          <t>F.TMT.02F.008.BD</t>
        </is>
      </c>
      <c r="O24" s="245" t="n"/>
      <c r="P24" s="245" t="n"/>
      <c r="Q24" s="250">
        <f>R24/H24</f>
        <v/>
      </c>
      <c r="R24" s="251" t="n">
        <v>118.68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43</v>
      </c>
      <c r="I25" s="245" t="inlineStr"/>
      <c r="J25" s="245" t="inlineStr"/>
      <c r="K25" s="245" t="inlineStr">
        <is>
          <t>2IN CV LAVENDER MF TOPPER EK</t>
        </is>
      </c>
      <c r="L25" s="245" t="inlineStr">
        <is>
          <t>ECMF-LV2K-IN</t>
        </is>
      </c>
      <c r="M25" s="248" t="inlineStr">
        <is>
          <t>6QDRMEOU</t>
        </is>
      </c>
      <c r="N25" s="245" t="inlineStr">
        <is>
          <t>F.TMT.02K.008.BD</t>
        </is>
      </c>
      <c r="O25" s="245" t="n"/>
      <c r="P25" s="245" t="n"/>
      <c r="Q25" s="250">
        <f>R25/H25</f>
        <v/>
      </c>
      <c r="R25" s="251" t="n">
        <v>598.13</v>
      </c>
      <c r="S25" s="249" t="n">
        <v>17796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19</v>
      </c>
      <c r="I26" s="245" t="inlineStr"/>
      <c r="J26" s="245" t="inlineStr"/>
      <c r="K26" s="245" t="inlineStr">
        <is>
          <t>2IN CV LAVENDER MF TOPPER QN</t>
        </is>
      </c>
      <c r="L26" s="245" t="inlineStr">
        <is>
          <t>ECMF-LV2Q-IN</t>
        </is>
      </c>
      <c r="M26" s="248" t="inlineStr">
        <is>
          <t>6QDRMEOU</t>
        </is>
      </c>
      <c r="N26" s="245" t="inlineStr">
        <is>
          <t>F.TMT.02Q.008.BD</t>
        </is>
      </c>
      <c r="O26" s="245" t="n"/>
      <c r="P26" s="245" t="n"/>
      <c r="Q26" s="250">
        <f>R26/H26</f>
        <v/>
      </c>
      <c r="R26" s="251" t="n">
        <v>230.47</v>
      </c>
      <c r="S26" s="249" t="n">
        <v>17796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12</v>
      </c>
      <c r="I27" s="245" t="inlineStr"/>
      <c r="J27" s="245" t="inlineStr"/>
      <c r="K27" s="245" t="inlineStr">
        <is>
          <t>4IN CV LAVENDER MF TOPPER QN</t>
        </is>
      </c>
      <c r="L27" s="245" t="inlineStr">
        <is>
          <t>ECMF-LV4Q-IN</t>
        </is>
      </c>
      <c r="M27" s="248" t="inlineStr">
        <is>
          <t>6QDRMEOU</t>
        </is>
      </c>
      <c r="N27" s="245" t="inlineStr">
        <is>
          <t>F.TMT.04Q.012.BD</t>
        </is>
      </c>
      <c r="O27" s="245" t="n"/>
      <c r="P27" s="245" t="n"/>
      <c r="Q27" s="250">
        <f>R27/H27</f>
        <v/>
      </c>
      <c r="R27" s="251" t="n">
        <v>265.8</v>
      </c>
      <c r="S27" s="249" t="n">
        <v>17796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44</v>
      </c>
      <c r="I28" s="245" t="inlineStr"/>
      <c r="J28" s="245" t="inlineStr"/>
      <c r="K28" s="245" t="inlineStr">
        <is>
          <t>1.5IN VT GEL MF TOPPER FL</t>
        </is>
      </c>
      <c r="L28" s="245" t="inlineStr">
        <is>
          <t>GMT1.5F-IN</t>
        </is>
      </c>
      <c r="M28" s="248" t="inlineStr">
        <is>
          <t>6QDRMEOU</t>
        </is>
      </c>
      <c r="N28" s="245" t="inlineStr">
        <is>
          <t>F.TGT.01F.004.BD</t>
        </is>
      </c>
      <c r="O28" s="245" t="n"/>
      <c r="P28" s="245" t="n"/>
      <c r="Q28" s="250">
        <f>R28/H28</f>
        <v/>
      </c>
      <c r="R28" s="251" t="n">
        <v>458.92</v>
      </c>
      <c r="S28" s="249" t="n">
        <v>17796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5</v>
      </c>
      <c r="I29" s="245" t="inlineStr"/>
      <c r="J29" s="245" t="inlineStr"/>
      <c r="K29" s="245" t="inlineStr">
        <is>
          <t>1.5IN VT GEL MF TOPPER TW</t>
        </is>
      </c>
      <c r="L29" s="245" t="inlineStr">
        <is>
          <t>GMT1.5T-IN</t>
        </is>
      </c>
      <c r="M29" s="248" t="inlineStr">
        <is>
          <t>6QDRMEOU</t>
        </is>
      </c>
      <c r="N29" s="245" t="inlineStr">
        <is>
          <t>F.TGT.01T.004.BD</t>
        </is>
      </c>
      <c r="O29" s="245" t="n"/>
      <c r="P29" s="245" t="n"/>
      <c r="Q29" s="250">
        <f>R29/H29</f>
        <v/>
      </c>
      <c r="R29" s="251" t="n">
        <v>41.75</v>
      </c>
      <c r="S29" s="249" t="n">
        <v>17796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12</v>
      </c>
      <c r="I30" s="245" t="inlineStr"/>
      <c r="J30" s="245" t="inlineStr"/>
      <c r="K30" s="245" t="inlineStr">
        <is>
          <t>4IN VT GEL MF TOPPER EK</t>
        </is>
      </c>
      <c r="L30" s="245" t="inlineStr">
        <is>
          <t>GMT4K-IN</t>
        </is>
      </c>
      <c r="M30" s="248" t="inlineStr">
        <is>
          <t>6QDRMEOU</t>
        </is>
      </c>
      <c r="N30" s="245" t="inlineStr">
        <is>
          <t>F.TGT.04K.005.BD</t>
        </is>
      </c>
      <c r="O30" s="245" t="n"/>
      <c r="P30" s="245" t="n"/>
      <c r="Q30" s="250">
        <f>R30/H30</f>
        <v/>
      </c>
      <c r="R30" s="251" t="n">
        <v>396.6</v>
      </c>
      <c r="S30" s="249" t="n">
        <v>17796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82</v>
      </c>
      <c r="I31" s="245" t="inlineStr"/>
      <c r="J31" s="245" t="inlineStr"/>
      <c r="K31" s="245" t="inlineStr">
        <is>
          <t>4IN VT GEL MF TOPPER QN</t>
        </is>
      </c>
      <c r="L31" s="245" t="inlineStr">
        <is>
          <t>GMT4Q-IN</t>
        </is>
      </c>
      <c r="M31" s="248" t="inlineStr">
        <is>
          <t>6QDRMEOU</t>
        </is>
      </c>
      <c r="N31" s="245" t="inlineStr">
        <is>
          <t>F.TGT.04Q.005.BD</t>
        </is>
      </c>
      <c r="O31" s="245" t="n"/>
      <c r="P31" s="245" t="n"/>
      <c r="Q31" s="250">
        <f>R31/H31</f>
        <v/>
      </c>
      <c r="R31" s="251" t="n">
        <v>2153.32</v>
      </c>
      <c r="S31" s="249" t="n">
        <v>17796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SUM(H12:H31)</f>
        <v/>
      </c>
      <c r="I32" s="254">
        <f>COUNTA(I12:I31)</f>
        <v/>
      </c>
      <c r="J32" s="254" t="n"/>
      <c r="K32" s="254" t="n"/>
      <c r="L32" s="254" t="n"/>
      <c r="M32" s="254" t="n"/>
      <c r="N32" s="254" t="n"/>
      <c r="O32" s="256">
        <f>SUM(O12:O31)</f>
        <v/>
      </c>
      <c r="P32" s="256">
        <f>SUM(P12:P31)</f>
        <v/>
      </c>
      <c r="Q32" s="254" t="n"/>
      <c r="R32" s="257">
        <f>SUM(R12:R31)</f>
        <v/>
      </c>
      <c r="S32" s="254" t="n"/>
      <c r="T32" s="258">
        <f>SUM(T12:T31)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2</v>
      </c>
      <c r="B33" s="245" t="inlineStr">
        <is>
          <t>000030ZIK48020260910000781</t>
        </is>
      </c>
      <c r="C33" s="245" t="n">
        <v>577730</v>
      </c>
      <c r="D33" s="245" t="n">
        <v>577661</v>
      </c>
      <c r="E33" s="246" t="n">
        <v>46276</v>
      </c>
      <c r="F33" s="245" t="inlineStr">
        <is>
          <t>ID2609-8421</t>
        </is>
      </c>
      <c r="G33" s="246" t="n">
        <v>46275</v>
      </c>
      <c r="H33" s="247" t="n">
        <v>900</v>
      </c>
      <c r="I33" s="245" t="inlineStr">
        <is>
          <t>TRHU6395421</t>
        </is>
      </c>
      <c r="J33" s="245" t="inlineStr">
        <is>
          <t>40FT</t>
        </is>
      </c>
      <c r="K33" s="245" t="inlineStr">
        <is>
          <t>8IN GREEN TEA MF MATTRESS QN</t>
        </is>
      </c>
      <c r="L33" s="245" t="inlineStr">
        <is>
          <t>SCF-STR-800Q</t>
        </is>
      </c>
      <c r="M33" s="248" t="inlineStr">
        <is>
          <t>0993630602</t>
        </is>
      </c>
      <c r="N33" s="245" t="inlineStr">
        <is>
          <t>F.MFM.08Q.000.WS</t>
        </is>
      </c>
      <c r="O33" s="249" t="n">
        <v>21510</v>
      </c>
      <c r="P33" s="249" t="n">
        <v>19188</v>
      </c>
      <c r="Q33" s="250">
        <f>R33/H33</f>
        <v/>
      </c>
      <c r="R33" s="251" t="n">
        <v>84573</v>
      </c>
      <c r="S33" s="249" t="n">
        <v>17714</v>
      </c>
      <c r="T33" s="252">
        <f>S33*R33</f>
        <v/>
      </c>
      <c r="U33" s="245" t="inlineStr">
        <is>
          <t>040300/KPPBC</t>
        </is>
      </c>
      <c r="V33" s="245" t="inlineStr">
        <is>
          <t>TG. PRIOK</t>
        </is>
      </c>
      <c r="W33" s="245" t="inlineStr">
        <is>
          <t>SAVANNAH, US</t>
        </is>
      </c>
      <c r="X33" s="245" t="inlineStr">
        <is>
          <t>WALMART, INC.</t>
        </is>
      </c>
      <c r="Y33" s="245" t="inlineStr">
        <is>
          <t>COSU6464959000</t>
        </is>
      </c>
      <c r="Z33" s="246" t="n">
        <v>46276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5" t="inlineStr">
        <is>
          <t>FSCU7099527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16-09-2026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3</v>
      </c>
      <c r="B36" s="245" t="inlineStr">
        <is>
          <t>000030ZIK48020260911000782</t>
        </is>
      </c>
      <c r="C36" s="245" t="n">
        <v>578170</v>
      </c>
      <c r="D36" s="245" t="n">
        <v>578100</v>
      </c>
      <c r="E36" s="246" t="n">
        <v>46276</v>
      </c>
      <c r="F36" s="245" t="inlineStr">
        <is>
          <t>ID2609-8427</t>
        </is>
      </c>
      <c r="G36" s="246" t="n">
        <v>46276</v>
      </c>
      <c r="H36" s="247" t="n">
        <v>900</v>
      </c>
      <c r="I36" s="245" t="inlineStr">
        <is>
          <t>UETU7849666</t>
        </is>
      </c>
      <c r="J36" s="245" t="inlineStr">
        <is>
          <t>40FT</t>
        </is>
      </c>
      <c r="K36" s="245" t="inlineStr">
        <is>
          <t>8IN GREEN TEA MF MATTRESS QN</t>
        </is>
      </c>
      <c r="L36" s="245" t="inlineStr">
        <is>
          <t>SCF-STR-800Q</t>
        </is>
      </c>
      <c r="M36" s="248" t="inlineStr">
        <is>
          <t>0993630535</t>
        </is>
      </c>
      <c r="N36" s="245" t="inlineStr">
        <is>
          <t>F.MFM.08Q.000.WS</t>
        </is>
      </c>
      <c r="O36" s="249" t="n">
        <v>21510</v>
      </c>
      <c r="P36" s="249" t="n">
        <v>19188</v>
      </c>
      <c r="Q36" s="250">
        <f>R36/H36</f>
        <v/>
      </c>
      <c r="R36" s="251" t="n">
        <v>84573</v>
      </c>
      <c r="S36" s="249" t="n">
        <v>17714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LOS ANGELES, US</t>
        </is>
      </c>
      <c r="X36" s="245" t="inlineStr">
        <is>
          <t>WALMART, INC.</t>
        </is>
      </c>
      <c r="Y36" s="245" t="inlineStr">
        <is>
          <t>CMDUDJA1535246</t>
        </is>
      </c>
      <c r="Z36" s="246" t="n">
        <v>46276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5" t="inlineStr">
        <is>
          <t>CMAU9409988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18-09-2026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4</v>
      </c>
      <c r="B39" s="245" t="inlineStr">
        <is>
          <t>000030ZIK48020260911000782</t>
        </is>
      </c>
      <c r="C39" s="245" t="n">
        <v>578170</v>
      </c>
      <c r="D39" s="245" t="n">
        <v>578100</v>
      </c>
      <c r="E39" s="246" t="n">
        <v>46276</v>
      </c>
      <c r="F39" s="245" t="inlineStr">
        <is>
          <t>ID2609-8427</t>
        </is>
      </c>
      <c r="G39" s="246" t="n">
        <v>46276</v>
      </c>
      <c r="H39" s="247" t="n">
        <v>900</v>
      </c>
      <c r="I39" s="245" t="inlineStr">
        <is>
          <t>UETU7849666</t>
        </is>
      </c>
      <c r="J39" s="245" t="inlineStr">
        <is>
          <t>40FT</t>
        </is>
      </c>
      <c r="K39" s="245" t="inlineStr">
        <is>
          <t>8IN GREEN TEA MF MATTRESS QN</t>
        </is>
      </c>
      <c r="L39" s="245" t="inlineStr">
        <is>
          <t>SCF-STR-800Q</t>
        </is>
      </c>
      <c r="M39" s="248" t="inlineStr">
        <is>
          <t>0993630535</t>
        </is>
      </c>
      <c r="N39" s="245" t="inlineStr">
        <is>
          <t>F.MFM.08Q.000.WS</t>
        </is>
      </c>
      <c r="O39" s="249" t="n">
        <v>21510</v>
      </c>
      <c r="P39" s="249" t="n">
        <v>19188</v>
      </c>
      <c r="Q39" s="250">
        <f>R39/H39</f>
        <v/>
      </c>
      <c r="R39" s="251" t="n">
        <v>84573</v>
      </c>
      <c r="S39" s="249" t="n">
        <v>17714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LOS ANGELES, US</t>
        </is>
      </c>
      <c r="X39" s="245" t="inlineStr">
        <is>
          <t>WALMART, INC.</t>
        </is>
      </c>
      <c r="Y39" s="245" t="inlineStr">
        <is>
          <t>CMDUDJA1535246</t>
        </is>
      </c>
      <c r="Z39" s="246" t="n">
        <v>46276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5" t="inlineStr">
        <is>
          <t>CMAU9409988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16-09-2026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5</v>
      </c>
      <c r="B42" s="245" t="inlineStr">
        <is>
          <t>000030ZIK48020260914000783</t>
        </is>
      </c>
      <c r="C42" s="245" t="n">
        <v>466902</v>
      </c>
      <c r="D42" s="245" t="n">
        <v>466641</v>
      </c>
      <c r="E42" s="246" t="n">
        <v>46279</v>
      </c>
      <c r="F42" s="245" t="inlineStr">
        <is>
          <t>SPL/035/ZDI/IX/2026</t>
        </is>
      </c>
      <c r="G42" s="246" t="n">
        <v>46279</v>
      </c>
      <c r="H42" s="247" t="n">
        <v>1</v>
      </c>
      <c r="I42" s="245" t="inlineStr"/>
      <c r="J42" s="245" t="inlineStr"/>
      <c r="K42" s="245" t="inlineStr">
        <is>
          <t>FOAM MATTRES</t>
        </is>
      </c>
      <c r="L42" s="245" t="inlineStr">
        <is>
          <t>M11511</t>
        </is>
      </c>
      <c r="M42" s="248" t="inlineStr"/>
      <c r="N42" s="245" t="inlineStr">
        <is>
          <t>F.MFM.SAMP</t>
        </is>
      </c>
      <c r="O42" s="249" t="n">
        <v>33.66</v>
      </c>
      <c r="P42" s="249" t="n">
        <v>28.76</v>
      </c>
      <c r="Q42" s="250">
        <f>R42/H42</f>
        <v/>
      </c>
      <c r="R42" s="251" t="n">
        <v>25.5</v>
      </c>
      <c r="S42" s="249" t="n">
        <v>17714</v>
      </c>
      <c r="T42" s="252">
        <f>S42*R42</f>
        <v/>
      </c>
      <c r="U42" s="245" t="inlineStr">
        <is>
          <t>050100/KPPBC</t>
        </is>
      </c>
      <c r="V42" s="245" t="inlineStr">
        <is>
          <t>S. HATTA</t>
        </is>
      </c>
      <c r="W42" s="245" t="inlineStr">
        <is>
          <t>HO CHI MINH CITY, US</t>
        </is>
      </c>
      <c r="X42" s="245" t="inlineStr">
        <is>
          <t>WANEK FURNITURE CO., LTD</t>
        </is>
      </c>
      <c r="Y42" s="245" t="inlineStr">
        <is>
          <t>877149100915</t>
        </is>
      </c>
      <c r="Z42" s="246" t="n">
        <v>46279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</t>
        </is>
      </c>
      <c r="L43" s="245" t="inlineStr">
        <is>
          <t>M11521</t>
        </is>
      </c>
      <c r="M43" s="248" t="inlineStr"/>
      <c r="N43" s="245" t="inlineStr">
        <is>
          <t>F.MFM.SAMP</t>
        </is>
      </c>
      <c r="O43" s="245" t="n"/>
      <c r="P43" s="245" t="n"/>
      <c r="Q43" s="250">
        <f>R43/H43</f>
        <v/>
      </c>
      <c r="R43" s="251" t="n">
        <v>37.07</v>
      </c>
      <c r="S43" s="249" t="n">
        <v>17714</v>
      </c>
      <c r="T43" s="252">
        <f>S43*R43</f>
        <v/>
      </c>
      <c r="U43" s="245" t="n"/>
      <c r="V43" s="245" t="n"/>
      <c r="W43" s="245" t="inlineStr">
        <is>
          <t>ETD : 21-09-2026</t>
        </is>
      </c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</t>
        </is>
      </c>
      <c r="L44" s="245" t="inlineStr">
        <is>
          <t>M11531</t>
        </is>
      </c>
      <c r="M44" s="248" t="inlineStr"/>
      <c r="N44" s="245" t="inlineStr">
        <is>
          <t>F.MFM.SAMP</t>
        </is>
      </c>
      <c r="O44" s="245" t="n"/>
      <c r="P44" s="245" t="n"/>
      <c r="Q44" s="250">
        <f>R44/H44</f>
        <v/>
      </c>
      <c r="R44" s="251" t="n">
        <v>43.37</v>
      </c>
      <c r="S44" s="249" t="n">
        <v>17714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7.1" customHeight="1" s="202">
      <c r="A45" s="254" t="n"/>
      <c r="B45" s="254" t="n"/>
      <c r="C45" s="254" t="n"/>
      <c r="D45" s="254" t="n"/>
      <c r="E45" s="254" t="n"/>
      <c r="F45" s="254" t="n"/>
      <c r="G45" s="254" t="n"/>
      <c r="H45" s="255">
        <f>SUM(H42:H44)</f>
        <v/>
      </c>
      <c r="I45" s="254">
        <f>COUNTA(I42:I44)</f>
        <v/>
      </c>
      <c r="J45" s="254" t="n"/>
      <c r="K45" s="254" t="n"/>
      <c r="L45" s="254" t="n"/>
      <c r="M45" s="254" t="n"/>
      <c r="N45" s="254" t="n"/>
      <c r="O45" s="256">
        <f>SUM(O42:O44)</f>
        <v/>
      </c>
      <c r="P45" s="256">
        <f>SUM(P42:P44)</f>
        <v/>
      </c>
      <c r="Q45" s="254" t="n"/>
      <c r="R45" s="257">
        <f>SUM(R42:R44)</f>
        <v/>
      </c>
      <c r="S45" s="254" t="n"/>
      <c r="T45" s="258">
        <f>SUM(T42:T44)</f>
        <v/>
      </c>
      <c r="U45" s="254" t="n"/>
      <c r="V45" s="254" t="n"/>
      <c r="W45" s="254" t="n"/>
      <c r="X45" s="254" t="n"/>
      <c r="Y45" s="254" t="n"/>
      <c r="Z45" s="254" t="n"/>
    </row>
    <row r="46" ht="16.5" customHeight="1" s="202">
      <c r="A46" s="245" t="n">
        <v>6</v>
      </c>
      <c r="B46" s="245" t="inlineStr">
        <is>
          <t>000030ZIK48020260914000784</t>
        </is>
      </c>
      <c r="C46" s="245" t="n">
        <v>466960</v>
      </c>
      <c r="D46" s="245" t="n">
        <v>466699</v>
      </c>
      <c r="E46" s="246" t="n">
        <v>46279</v>
      </c>
      <c r="F46" s="245" t="inlineStr">
        <is>
          <t>SPL/036/ZDI/IX/2026</t>
        </is>
      </c>
      <c r="G46" s="246" t="n">
        <v>46279</v>
      </c>
      <c r="H46" s="247" t="n">
        <v>1</v>
      </c>
      <c r="I46" s="245" t="inlineStr"/>
      <c r="J46" s="245" t="inlineStr"/>
      <c r="K46" s="245" t="inlineStr">
        <is>
          <t>FOAM MATTRESS</t>
        </is>
      </c>
      <c r="L46" s="245" t="inlineStr">
        <is>
          <t>M11531</t>
        </is>
      </c>
      <c r="M46" s="248" t="inlineStr"/>
      <c r="N46" s="245" t="inlineStr">
        <is>
          <t>F.MFM.SAMP</t>
        </is>
      </c>
      <c r="O46" s="249" t="n">
        <v>13.49</v>
      </c>
      <c r="P46" s="249" t="n">
        <v>11.55</v>
      </c>
      <c r="Q46" s="250">
        <f>R46/H46</f>
        <v/>
      </c>
      <c r="R46" s="251" t="n">
        <v>20</v>
      </c>
      <c r="S46" s="249" t="n">
        <v>17714</v>
      </c>
      <c r="T46" s="252">
        <f>S46*R46</f>
        <v/>
      </c>
      <c r="U46" s="245" t="inlineStr">
        <is>
          <t>050100/KPPBC</t>
        </is>
      </c>
      <c r="V46" s="245" t="inlineStr">
        <is>
          <t>S. HATTA</t>
        </is>
      </c>
      <c r="W46" s="245" t="inlineStr">
        <is>
          <t>MEMPHIS, US</t>
        </is>
      </c>
      <c r="X46" s="245" t="inlineStr">
        <is>
          <t>ASHLEY FURNITURE INDUSTRIES ENGINEERING</t>
        </is>
      </c>
      <c r="Y46" s="245" t="inlineStr">
        <is>
          <t>877150260641</t>
        </is>
      </c>
      <c r="Z46" s="246" t="n">
        <v>46279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inlineStr">
        <is>
          <t>ETD : 21-09-2026</t>
        </is>
      </c>
      <c r="X47" s="245" t="n"/>
      <c r="Y47" s="245" t="n"/>
      <c r="Z47" s="245" t="n"/>
    </row>
    <row r="48" ht="17.1" customHeight="1" s="202">
      <c r="A48" s="254" t="n"/>
      <c r="B48" s="254" t="n"/>
      <c r="C48" s="254" t="n"/>
      <c r="D48" s="254" t="n"/>
      <c r="E48" s="254" t="n"/>
      <c r="F48" s="254" t="n"/>
      <c r="G48" s="254" t="n"/>
      <c r="H48" s="255">
        <f>SUM(H46:H47)</f>
        <v/>
      </c>
      <c r="I48" s="254">
        <f>COUNTA(I46:I47)</f>
        <v/>
      </c>
      <c r="J48" s="254" t="n"/>
      <c r="K48" s="254" t="n"/>
      <c r="L48" s="254" t="n"/>
      <c r="M48" s="254" t="n"/>
      <c r="N48" s="254" t="n"/>
      <c r="O48" s="256">
        <f>SUM(O46:O47)</f>
        <v/>
      </c>
      <c r="P48" s="256">
        <f>SUM(P46:P47)</f>
        <v/>
      </c>
      <c r="Q48" s="254" t="n"/>
      <c r="R48" s="257">
        <f>SUM(R46:R47)</f>
        <v/>
      </c>
      <c r="S48" s="254" t="n"/>
      <c r="T48" s="258">
        <f>SUM(T46:T47)</f>
        <v/>
      </c>
      <c r="U48" s="254" t="n"/>
      <c r="V48" s="254" t="n"/>
      <c r="W48" s="254" t="n"/>
      <c r="X48" s="254" t="n"/>
      <c r="Y48" s="254" t="n"/>
      <c r="Z48" s="254" t="n"/>
    </row>
    <row r="49" ht="16.5" customHeight="1" s="202">
      <c r="A49" s="245" t="n">
        <v>7</v>
      </c>
      <c r="B49" s="245" t="inlineStr">
        <is>
          <t>000030ZIK48020260914000785</t>
        </is>
      </c>
      <c r="C49" s="245" t="n">
        <v>583191</v>
      </c>
      <c r="D49" s="245" t="n">
        <v>583120</v>
      </c>
      <c r="E49" s="246" t="n">
        <v>46280</v>
      </c>
      <c r="F49" s="245" t="inlineStr">
        <is>
          <t>ID2609-8381</t>
        </is>
      </c>
      <c r="G49" s="246" t="n">
        <v>46272</v>
      </c>
      <c r="H49" s="247" t="n">
        <v>300</v>
      </c>
      <c r="I49" s="245" t="inlineStr">
        <is>
          <t>TGBU4761826</t>
        </is>
      </c>
      <c r="J49" s="245" t="inlineStr">
        <is>
          <t>40FT</t>
        </is>
      </c>
      <c r="K49" s="245" t="inlineStr">
        <is>
          <t>3.5IN TRIFOLD GREENTEA MATT.TW</t>
        </is>
      </c>
      <c r="L49" s="245" t="inlineStr">
        <is>
          <t>CA-MFMTRI-35T</t>
        </is>
      </c>
      <c r="M49" s="248" t="inlineStr">
        <is>
          <t>0007439810</t>
        </is>
      </c>
      <c r="N49" s="245" t="inlineStr">
        <is>
          <t>F.MFM.03T.002.WN</t>
        </is>
      </c>
      <c r="O49" s="249" t="n">
        <v>60528.5</v>
      </c>
      <c r="P49" s="249" t="n">
        <v>46917.7</v>
      </c>
      <c r="Q49" s="250">
        <f>R49/H49</f>
        <v/>
      </c>
      <c r="R49" s="251" t="n">
        <v>6243</v>
      </c>
      <c r="S49" s="249" t="n">
        <v>17714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VANCOUVER, CA</t>
        </is>
      </c>
      <c r="X49" s="245" t="inlineStr">
        <is>
          <t>WAL-MART CANADA CORP</t>
        </is>
      </c>
      <c r="Y49" s="245" t="inlineStr">
        <is>
          <t>COSU6464260640</t>
        </is>
      </c>
      <c r="Z49" s="246" t="n">
        <v>46280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296</v>
      </c>
      <c r="I50" s="245" t="inlineStr">
        <is>
          <t>CSNU8478090</t>
        </is>
      </c>
      <c r="J50" s="245" t="inlineStr">
        <is>
          <t>40FT</t>
        </is>
      </c>
      <c r="K50" s="245" t="inlineStr">
        <is>
          <t>6IN GREEN TEA MF MATTRESS FL</t>
        </is>
      </c>
      <c r="L50" s="245" t="inlineStr">
        <is>
          <t>WCA-FMS-6F</t>
        </is>
      </c>
      <c r="M50" s="248" t="inlineStr">
        <is>
          <t>0007439810</t>
        </is>
      </c>
      <c r="N50" s="245" t="inlineStr">
        <is>
          <t>F.MFM.06F.000.WN</t>
        </is>
      </c>
      <c r="O50" s="245" t="n"/>
      <c r="P50" s="245" t="n"/>
      <c r="Q50" s="250">
        <f>R50/H50</f>
        <v/>
      </c>
      <c r="R50" s="251" t="n">
        <v>11390.08</v>
      </c>
      <c r="S50" s="249" t="n">
        <v>17714</v>
      </c>
      <c r="T50" s="252">
        <f>S50*R50</f>
        <v/>
      </c>
      <c r="U50" s="245" t="n"/>
      <c r="V50" s="245" t="n"/>
      <c r="W50" s="245" t="inlineStr">
        <is>
          <t>ETD : 20-09-2026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556</v>
      </c>
      <c r="I51" s="245" t="inlineStr">
        <is>
          <t>FFAU3206488</t>
        </is>
      </c>
      <c r="J51" s="245" t="inlineStr">
        <is>
          <t>40FT</t>
        </is>
      </c>
      <c r="K51" s="245" t="inlineStr">
        <is>
          <t>6IN GREEN TEA MF MATTRESS QN</t>
        </is>
      </c>
      <c r="L51" s="245" t="inlineStr">
        <is>
          <t>WCA-FMS-6Q</t>
        </is>
      </c>
      <c r="M51" s="248" t="inlineStr">
        <is>
          <t>0007439810</t>
        </is>
      </c>
      <c r="N51" s="245" t="inlineStr">
        <is>
          <t>F.MFM.06Q.000.WN</t>
        </is>
      </c>
      <c r="O51" s="245" t="n"/>
      <c r="P51" s="245" t="n"/>
      <c r="Q51" s="250">
        <f>R51/H51</f>
        <v/>
      </c>
      <c r="R51" s="251" t="n">
        <v>24997.76</v>
      </c>
      <c r="S51" s="249" t="n">
        <v>17714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1149</v>
      </c>
      <c r="I52" s="245" t="inlineStr">
        <is>
          <t>CSNU5850239</t>
        </is>
      </c>
      <c r="J52" s="245" t="inlineStr">
        <is>
          <t>40FT</t>
        </is>
      </c>
      <c r="K52" s="245" t="inlineStr">
        <is>
          <t>6IN GREEN TEA MF MATTRESS TW</t>
        </is>
      </c>
      <c r="L52" s="245" t="inlineStr">
        <is>
          <t>WCA-FMS-6T</t>
        </is>
      </c>
      <c r="M52" s="248" t="inlineStr">
        <is>
          <t>0007439810</t>
        </is>
      </c>
      <c r="N52" s="245" t="inlineStr">
        <is>
          <t>F.MFM.06T.000.WN</t>
        </is>
      </c>
      <c r="O52" s="245" t="n"/>
      <c r="P52" s="245" t="n"/>
      <c r="Q52" s="250">
        <f>R52/H52</f>
        <v/>
      </c>
      <c r="R52" s="251" t="n">
        <v>33688.68</v>
      </c>
      <c r="S52" s="249" t="n">
        <v>17714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808</v>
      </c>
      <c r="I53" s="245" t="inlineStr">
        <is>
          <t>TIIU4965182</t>
        </is>
      </c>
      <c r="J53" s="245" t="inlineStr">
        <is>
          <t>40FT</t>
        </is>
      </c>
      <c r="K53" s="245" t="inlineStr">
        <is>
          <t>8IN GREEN TEA MF MATTRESS FL</t>
        </is>
      </c>
      <c r="L53" s="245" t="inlineStr">
        <is>
          <t>WMC-FMN-8F</t>
        </is>
      </c>
      <c r="M53" s="248" t="inlineStr">
        <is>
          <t>0007439810</t>
        </is>
      </c>
      <c r="N53" s="245" t="inlineStr">
        <is>
          <t>F.MFM.08F.002.WN</t>
        </is>
      </c>
      <c r="O53" s="245" t="n"/>
      <c r="P53" s="245" t="n"/>
      <c r="Q53" s="250">
        <f>R53/H53</f>
        <v/>
      </c>
      <c r="R53" s="251" t="n">
        <v>40311.12</v>
      </c>
      <c r="S53" s="249" t="n">
        <v>17714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422</v>
      </c>
      <c r="I54" s="245" t="inlineStr"/>
      <c r="J54" s="245" t="inlineStr"/>
      <c r="K54" s="245" t="inlineStr">
        <is>
          <t>8IN GREEN TEA MF MATTRESS QN</t>
        </is>
      </c>
      <c r="L54" s="245" t="inlineStr">
        <is>
          <t>WMC-FMN-8Q</t>
        </is>
      </c>
      <c r="M54" s="248" t="inlineStr">
        <is>
          <t>0007439810</t>
        </is>
      </c>
      <c r="N54" s="245" t="inlineStr">
        <is>
          <t>F.MFM.08Q.002.WN</t>
        </is>
      </c>
      <c r="O54" s="245" t="n"/>
      <c r="P54" s="245" t="n"/>
      <c r="Q54" s="250">
        <f>R54/H54</f>
        <v/>
      </c>
      <c r="R54" s="251" t="n">
        <v>24260.78</v>
      </c>
      <c r="S54" s="249" t="n">
        <v>17714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7.1" customHeight="1" s="202">
      <c r="A55" s="254" t="n"/>
      <c r="B55" s="254" t="n"/>
      <c r="C55" s="254" t="n"/>
      <c r="D55" s="254" t="n"/>
      <c r="E55" s="254" t="n"/>
      <c r="F55" s="254" t="n"/>
      <c r="G55" s="254" t="n"/>
      <c r="H55" s="255">
        <f>SUM(H49:H54)</f>
        <v/>
      </c>
      <c r="I55" s="254">
        <f>COUNTA(I49:I54)</f>
        <v/>
      </c>
      <c r="J55" s="254" t="n"/>
      <c r="K55" s="254" t="n"/>
      <c r="L55" s="254" t="n"/>
      <c r="M55" s="254" t="n"/>
      <c r="N55" s="254" t="n"/>
      <c r="O55" s="256">
        <f>SUM(O49:O54)</f>
        <v/>
      </c>
      <c r="P55" s="256">
        <f>SUM(P49:P54)</f>
        <v/>
      </c>
      <c r="Q55" s="254" t="n"/>
      <c r="R55" s="257">
        <f>SUM(R49:R54)</f>
        <v/>
      </c>
      <c r="S55" s="254" t="n"/>
      <c r="T55" s="258">
        <f>SUM(T49:T54)</f>
        <v/>
      </c>
      <c r="U55" s="254" t="n"/>
      <c r="V55" s="254" t="n"/>
      <c r="W55" s="254" t="n"/>
      <c r="X55" s="254" t="n"/>
      <c r="Y55" s="254" t="n"/>
      <c r="Z55" s="254" t="n"/>
    </row>
    <row r="56" ht="16.5" customHeight="1" s="202">
      <c r="A56" s="245" t="n">
        <v>8</v>
      </c>
      <c r="B56" s="245" t="inlineStr">
        <is>
          <t>000030ZIK48020260915000786</t>
        </is>
      </c>
      <c r="C56" s="245" t="n">
        <v>468440</v>
      </c>
      <c r="D56" s="245" t="n">
        <v>468199</v>
      </c>
      <c r="E56" s="246" t="n">
        <v>46280</v>
      </c>
      <c r="F56" s="245" t="inlineStr">
        <is>
          <t>SPL/031/ZDI/IX/2026</t>
        </is>
      </c>
      <c r="G56" s="246" t="n">
        <v>46275</v>
      </c>
      <c r="H56" s="247" t="n">
        <v>12</v>
      </c>
      <c r="I56" s="245" t="inlineStr"/>
      <c r="J56" s="245" t="inlineStr"/>
      <c r="K56" s="245" t="inlineStr">
        <is>
          <t>8IN GREEN TEA MF MATTRESS QN</t>
        </is>
      </c>
      <c r="L56" s="245" t="inlineStr">
        <is>
          <t>SCF-STR-800Q</t>
        </is>
      </c>
      <c r="M56" s="248" t="inlineStr"/>
      <c r="N56" s="245" t="inlineStr">
        <is>
          <t>F.MFM.08Q.000.WS</t>
        </is>
      </c>
      <c r="O56" s="249" t="n">
        <v>595.4</v>
      </c>
      <c r="P56" s="249" t="n">
        <v>555</v>
      </c>
      <c r="Q56" s="250">
        <f>R56/H56</f>
        <v/>
      </c>
      <c r="R56" s="251" t="n">
        <v>1252.92</v>
      </c>
      <c r="S56" s="249" t="n">
        <v>17714</v>
      </c>
      <c r="T56" s="252">
        <f>S56*R56</f>
        <v/>
      </c>
      <c r="U56" s="245" t="inlineStr">
        <is>
          <t>050100/KPPBC</t>
        </is>
      </c>
      <c r="V56" s="245" t="inlineStr">
        <is>
          <t>S. HATTA</t>
        </is>
      </c>
      <c r="W56" s="245" t="inlineStr">
        <is>
          <t>SAN FRANCISCO, US</t>
        </is>
      </c>
      <c r="X56" s="245" t="inlineStr">
        <is>
          <t>ZINUS INC, (TRACY)</t>
        </is>
      </c>
      <c r="Y56" s="245" t="inlineStr">
        <is>
          <t>PLIID2H02572</t>
        </is>
      </c>
      <c r="Z56" s="246" t="n">
        <v>46280</v>
      </c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8</v>
      </c>
      <c r="I57" s="245" t="inlineStr"/>
      <c r="J57" s="245" t="inlineStr"/>
      <c r="K57" s="245" t="inlineStr">
        <is>
          <t>8IN GREEN TEA MF MATTRESS QN</t>
        </is>
      </c>
      <c r="L57" s="245" t="inlineStr">
        <is>
          <t>SCF-STR-800Q</t>
        </is>
      </c>
      <c r="M57" s="248" t="inlineStr"/>
      <c r="N57" s="245" t="inlineStr">
        <is>
          <t>F.MFM.08Q.000.WS</t>
        </is>
      </c>
      <c r="O57" s="245" t="n"/>
      <c r="P57" s="245" t="n"/>
      <c r="Q57" s="250">
        <f>R57/H57</f>
        <v/>
      </c>
      <c r="R57" s="251" t="n">
        <v>835.28</v>
      </c>
      <c r="S57" s="249" t="n">
        <v>17714</v>
      </c>
      <c r="T57" s="252">
        <f>S57*R57</f>
        <v/>
      </c>
      <c r="U57" s="245" t="n"/>
      <c r="V57" s="245" t="n"/>
      <c r="W57" s="245" t="inlineStr">
        <is>
          <t>ETD : 22-09-2026</t>
        </is>
      </c>
      <c r="X57" s="245" t="n"/>
      <c r="Y57" s="245" t="n"/>
      <c r="Z57" s="245" t="n"/>
    </row>
    <row r="58" ht="17.1" customHeight="1" s="202">
      <c r="A58" s="254" t="n"/>
      <c r="B58" s="254" t="n"/>
      <c r="C58" s="254" t="n"/>
      <c r="D58" s="254" t="n"/>
      <c r="E58" s="254" t="n"/>
      <c r="F58" s="254" t="n"/>
      <c r="G58" s="254" t="n"/>
      <c r="H58" s="255">
        <f>SUM(H56:H57)</f>
        <v/>
      </c>
      <c r="I58" s="254">
        <f>COUNTA(I56:I57)</f>
        <v/>
      </c>
      <c r="J58" s="254" t="n"/>
      <c r="K58" s="254" t="n"/>
      <c r="L58" s="254" t="n"/>
      <c r="M58" s="254" t="n"/>
      <c r="N58" s="254" t="n"/>
      <c r="O58" s="256">
        <f>SUM(O56:O57)</f>
        <v/>
      </c>
      <c r="P58" s="256">
        <f>SUM(P56:P57)</f>
        <v/>
      </c>
      <c r="Q58" s="254" t="n"/>
      <c r="R58" s="257">
        <f>SUM(R56:R57)</f>
        <v/>
      </c>
      <c r="S58" s="254" t="n"/>
      <c r="T58" s="258">
        <f>SUM(T56:T57)</f>
        <v/>
      </c>
      <c r="U58" s="254" t="n"/>
      <c r="V58" s="254" t="n"/>
      <c r="W58" s="254" t="n"/>
      <c r="X58" s="254" t="n"/>
      <c r="Y58" s="254" t="n"/>
      <c r="Z58" s="254" t="n"/>
    </row>
    <row r="59" ht="16.5" customHeight="1" s="202">
      <c r="A59" s="245" t="n">
        <v>9</v>
      </c>
      <c r="B59" s="245" t="inlineStr">
        <is>
          <t>000030ZIK48020260915000787</t>
        </is>
      </c>
      <c r="C59" s="245" t="n">
        <v>469700</v>
      </c>
      <c r="D59" s="245" t="n">
        <v>469474</v>
      </c>
      <c r="E59" s="246" t="n">
        <v>46280</v>
      </c>
      <c r="F59" s="245" t="inlineStr">
        <is>
          <t>SPL/033/ZDI/IX/2026</t>
        </is>
      </c>
      <c r="G59" s="246" t="n">
        <v>46280</v>
      </c>
      <c r="H59" s="247" t="n">
        <v>3</v>
      </c>
      <c r="I59" s="245" t="inlineStr"/>
      <c r="J59" s="245" t="inlineStr"/>
      <c r="K59" s="245" t="inlineStr">
        <is>
          <t>8IN SL BN MSS FL</t>
        </is>
      </c>
      <c r="L59" s="245" t="inlineStr">
        <is>
          <t>ZNWB-8F</t>
        </is>
      </c>
      <c r="M59" s="248" t="inlineStr"/>
      <c r="N59" s="245" t="inlineStr">
        <is>
          <t>F.MSS.08F.006.WT</t>
        </is>
      </c>
      <c r="O59" s="249" t="n">
        <v>198.5</v>
      </c>
      <c r="P59" s="249" t="n">
        <v>167.86</v>
      </c>
      <c r="Q59" s="250">
        <f>R59/H59</f>
        <v/>
      </c>
      <c r="R59" s="251" t="n">
        <v>216.78</v>
      </c>
      <c r="S59" s="249" t="n">
        <v>17714</v>
      </c>
      <c r="T59" s="252">
        <f>S59*R59</f>
        <v/>
      </c>
      <c r="U59" s="245" t="inlineStr">
        <is>
          <t>050100/KPPBC</t>
        </is>
      </c>
      <c r="V59" s="245" t="inlineStr">
        <is>
          <t>S. HATTA</t>
        </is>
      </c>
      <c r="W59" s="245" t="inlineStr">
        <is>
          <t>GUANGZHOU, US</t>
        </is>
      </c>
      <c r="X59" s="245" t="inlineStr">
        <is>
          <t>SGS-CSTC STANDARDS TECHNICAL SERVICES</t>
        </is>
      </c>
      <c r="Y59" s="245" t="inlineStr">
        <is>
          <t>PLIID2H02601</t>
        </is>
      </c>
      <c r="Z59" s="246" t="n">
        <v>46280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3</v>
      </c>
      <c r="I60" s="245" t="inlineStr"/>
      <c r="J60" s="245" t="inlineStr"/>
      <c r="K60" s="245" t="inlineStr">
        <is>
          <t>6IN SL BN MSS FL</t>
        </is>
      </c>
      <c r="L60" s="245" t="inlineStr">
        <is>
          <t>ZNWB-6F</t>
        </is>
      </c>
      <c r="M60" s="248" t="inlineStr"/>
      <c r="N60" s="245" t="inlineStr">
        <is>
          <t>F.MSS.06F.006.WT</t>
        </is>
      </c>
      <c r="O60" s="245" t="n"/>
      <c r="P60" s="245" t="n"/>
      <c r="Q60" s="250">
        <f>R60/H60</f>
        <v/>
      </c>
      <c r="R60" s="251" t="n">
        <v>161.76</v>
      </c>
      <c r="S60" s="249" t="n">
        <v>17714</v>
      </c>
      <c r="T60" s="252">
        <f>S60*R60</f>
        <v/>
      </c>
      <c r="U60" s="245" t="n"/>
      <c r="V60" s="245" t="n"/>
      <c r="W60" s="245" t="inlineStr">
        <is>
          <t>ETD : 22-09-2026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5</v>
      </c>
      <c r="I61" s="245" t="inlineStr"/>
      <c r="J61" s="245" t="inlineStr"/>
      <c r="K61" s="245" t="inlineStr">
        <is>
          <t>FOAM MATTRESS</t>
        </is>
      </c>
      <c r="L61" s="245" t="inlineStr">
        <is>
          <t>M11511</t>
        </is>
      </c>
      <c r="M61" s="248" t="inlineStr"/>
      <c r="N61" s="245" t="inlineStr">
        <is>
          <t>F.MFM.SAMP</t>
        </is>
      </c>
      <c r="O61" s="245" t="n"/>
      <c r="P61" s="245" t="n"/>
      <c r="Q61" s="250">
        <f>R61/H61</f>
        <v/>
      </c>
      <c r="R61" s="251" t="n">
        <v>127.5</v>
      </c>
      <c r="S61" s="249" t="n">
        <v>17714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7.1" customHeight="1" s="202">
      <c r="A62" s="254" t="n"/>
      <c r="B62" s="254" t="n"/>
      <c r="C62" s="254" t="n"/>
      <c r="D62" s="254" t="n"/>
      <c r="E62" s="254" t="n"/>
      <c r="F62" s="254" t="n"/>
      <c r="G62" s="254" t="n"/>
      <c r="H62" s="255">
        <f>SUM(H59:H61)</f>
        <v/>
      </c>
      <c r="I62" s="254">
        <f>COUNTA(I59:I61)</f>
        <v/>
      </c>
      <c r="J62" s="254" t="n"/>
      <c r="K62" s="254" t="n"/>
      <c r="L62" s="254" t="n"/>
      <c r="M62" s="254" t="n"/>
      <c r="N62" s="254" t="n"/>
      <c r="O62" s="256">
        <f>SUM(O59:O61)</f>
        <v/>
      </c>
      <c r="P62" s="256">
        <f>SUM(P59:P61)</f>
        <v/>
      </c>
      <c r="Q62" s="254" t="n"/>
      <c r="R62" s="257">
        <f>SUM(R59:R61)</f>
        <v/>
      </c>
      <c r="S62" s="254" t="n"/>
      <c r="T62" s="258">
        <f>SUM(T59:T61)</f>
        <v/>
      </c>
      <c r="U62" s="254" t="n"/>
      <c r="V62" s="254" t="n"/>
      <c r="W62" s="254" t="n"/>
      <c r="X62" s="254" t="n"/>
      <c r="Y62" s="254" t="n"/>
      <c r="Z62" s="254" t="n"/>
    </row>
    <row r="63" ht="16.5" customHeight="1" s="202">
      <c r="A63" s="245" t="n">
        <v>10</v>
      </c>
      <c r="B63" s="245" t="inlineStr">
        <is>
          <t>000030ZIK48020260916000793</t>
        </is>
      </c>
      <c r="C63" s="245" t="n">
        <v>588900</v>
      </c>
      <c r="D63" s="245" t="n">
        <v>588831</v>
      </c>
      <c r="E63" s="246" t="n">
        <v>46282</v>
      </c>
      <c r="F63" s="245" t="inlineStr">
        <is>
          <t>ID2609-8465</t>
        </is>
      </c>
      <c r="G63" s="246" t="n">
        <v>46280</v>
      </c>
      <c r="H63" s="247" t="n">
        <v>900</v>
      </c>
      <c r="I63" s="245" t="inlineStr">
        <is>
          <t>TRHU7624543</t>
        </is>
      </c>
      <c r="J63" s="245" t="inlineStr">
        <is>
          <t>40FT</t>
        </is>
      </c>
      <c r="K63" s="245" t="inlineStr">
        <is>
          <t>8IN GREEN TEA MF MATTRESS QN</t>
        </is>
      </c>
      <c r="L63" s="245" t="inlineStr">
        <is>
          <t>SCF-STR-800Q</t>
        </is>
      </c>
      <c r="M63" s="248" t="inlineStr">
        <is>
          <t>0993630568</t>
        </is>
      </c>
      <c r="N63" s="245" t="inlineStr">
        <is>
          <t>F.MFM.08Q.000.WS</t>
        </is>
      </c>
      <c r="O63" s="249" t="n">
        <v>21510</v>
      </c>
      <c r="P63" s="249" t="n">
        <v>19188</v>
      </c>
      <c r="Q63" s="250">
        <f>R63/H63</f>
        <v/>
      </c>
      <c r="R63" s="251" t="n">
        <v>84573</v>
      </c>
      <c r="S63" s="249" t="n">
        <v>17594</v>
      </c>
      <c r="T63" s="252">
        <f>S63*R63</f>
        <v/>
      </c>
      <c r="U63" s="245" t="inlineStr">
        <is>
          <t>040300/KPPBC</t>
        </is>
      </c>
      <c r="V63" s="245" t="inlineStr">
        <is>
          <t>TG. PRIOK</t>
        </is>
      </c>
      <c r="W63" s="245" t="inlineStr">
        <is>
          <t>CHARLESTON, US</t>
        </is>
      </c>
      <c r="X63" s="245" t="inlineStr">
        <is>
          <t>WALMART, INC.</t>
        </is>
      </c>
      <c r="Y63" s="245" t="inlineStr">
        <is>
          <t>ONEYJKTG78662300</t>
        </is>
      </c>
      <c r="Z63" s="246" t="n">
        <v>46282</v>
      </c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5" t="n"/>
      <c r="I64" s="245" t="inlineStr">
        <is>
          <t>TCNU6348642</t>
        </is>
      </c>
      <c r="J64" s="245" t="inlineStr">
        <is>
          <t>40FT</t>
        </is>
      </c>
      <c r="K64" s="245" t="n"/>
      <c r="L64" s="245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5" t="n"/>
      <c r="W64" s="245" t="inlineStr">
        <is>
          <t>ETD : 23-09-2026</t>
        </is>
      </c>
      <c r="X64" s="245" t="n"/>
      <c r="Y64" s="245" t="n"/>
      <c r="Z64" s="245" t="n"/>
    </row>
    <row r="65" ht="17.1" customHeight="1" s="202">
      <c r="A65" s="254" t="n"/>
      <c r="B65" s="254" t="n"/>
      <c r="C65" s="254" t="n"/>
      <c r="D65" s="254" t="n"/>
      <c r="E65" s="254" t="n"/>
      <c r="F65" s="254" t="n"/>
      <c r="G65" s="254" t="n"/>
      <c r="H65" s="255">
        <f>SUM(H63:H64)</f>
        <v/>
      </c>
      <c r="I65" s="254">
        <f>COUNTA(I63:I64)</f>
        <v/>
      </c>
      <c r="J65" s="254" t="n"/>
      <c r="K65" s="254" t="n"/>
      <c r="L65" s="254" t="n"/>
      <c r="M65" s="254" t="n"/>
      <c r="N65" s="254" t="n"/>
      <c r="O65" s="256">
        <f>SUM(O63:O64)</f>
        <v/>
      </c>
      <c r="P65" s="256">
        <f>SUM(P63:P64)</f>
        <v/>
      </c>
      <c r="Q65" s="254" t="n"/>
      <c r="R65" s="257">
        <f>SUM(R63:R64)</f>
        <v/>
      </c>
      <c r="S65" s="254" t="n"/>
      <c r="T65" s="258">
        <f>SUM(T63:T64)</f>
        <v/>
      </c>
      <c r="U65" s="254" t="n"/>
      <c r="V65" s="254" t="n"/>
      <c r="W65" s="254" t="n"/>
      <c r="X65" s="254" t="n"/>
      <c r="Y65" s="254" t="n"/>
      <c r="Z65" s="254" t="n"/>
    </row>
    <row r="66" ht="16.5" customHeight="1" s="202">
      <c r="A66" s="245" t="n">
        <v>11</v>
      </c>
      <c r="B66" s="245" t="inlineStr">
        <is>
          <t>000030ZIK48020260916000794</t>
        </is>
      </c>
      <c r="C66" s="245" t="n">
        <v>588811</v>
      </c>
      <c r="D66" s="245" t="n">
        <v>588742</v>
      </c>
      <c r="E66" s="246" t="n">
        <v>46282</v>
      </c>
      <c r="F66" s="245" t="inlineStr">
        <is>
          <t>ID2609-8466</t>
        </is>
      </c>
      <c r="G66" s="246" t="n">
        <v>46280</v>
      </c>
      <c r="H66" s="247" t="n">
        <v>520</v>
      </c>
      <c r="I66" s="245" t="inlineStr">
        <is>
          <t>KKFU8105541</t>
        </is>
      </c>
      <c r="J66" s="245" t="inlineStr">
        <is>
          <t>40FT</t>
        </is>
      </c>
      <c r="K66" s="245" t="inlineStr">
        <is>
          <t>8IN GREEN TEA MF MATTRESS FL</t>
        </is>
      </c>
      <c r="L66" s="245" t="inlineStr">
        <is>
          <t>SCF-STR-800F</t>
        </is>
      </c>
      <c r="M66" s="248" t="inlineStr">
        <is>
          <t>0993630746</t>
        </is>
      </c>
      <c r="N66" s="245" t="inlineStr">
        <is>
          <t>F.MFM.08F.000.WS</t>
        </is>
      </c>
      <c r="O66" s="249" t="n">
        <v>10618.4</v>
      </c>
      <c r="P66" s="249" t="n">
        <v>9370.4</v>
      </c>
      <c r="Q66" s="250">
        <f>R66/H66</f>
        <v/>
      </c>
      <c r="R66" s="251" t="n">
        <v>41480.4</v>
      </c>
      <c r="S66" s="249" t="n">
        <v>17594</v>
      </c>
      <c r="T66" s="252">
        <f>S66*R66</f>
        <v/>
      </c>
      <c r="U66" s="245" t="inlineStr">
        <is>
          <t>040300/KPPBC</t>
        </is>
      </c>
      <c r="V66" s="245" t="inlineStr">
        <is>
          <t>TG. PRIOK</t>
        </is>
      </c>
      <c r="W66" s="245" t="inlineStr">
        <is>
          <t>CHARLESTON, US</t>
        </is>
      </c>
      <c r="X66" s="245" t="inlineStr">
        <is>
          <t>WALMART, INC.</t>
        </is>
      </c>
      <c r="Y66" s="245" t="inlineStr">
        <is>
          <t>ONEYJKTG78779500</t>
        </is>
      </c>
      <c r="Z66" s="246" t="n">
        <v>46282</v>
      </c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5" t="n"/>
      <c r="I67" s="245" t="n"/>
      <c r="J67" s="245" t="n"/>
      <c r="K67" s="245" t="n"/>
      <c r="L67" s="245" t="n"/>
      <c r="M67" s="245" t="n"/>
      <c r="N67" s="245" t="n"/>
      <c r="O67" s="245" t="n"/>
      <c r="P67" s="245" t="n"/>
      <c r="Q67" s="245" t="n"/>
      <c r="R67" s="245" t="n"/>
      <c r="S67" s="245" t="n"/>
      <c r="T67" s="245" t="n"/>
      <c r="U67" s="245" t="n"/>
      <c r="V67" s="245" t="n"/>
      <c r="W67" s="245" t="inlineStr">
        <is>
          <t>ETD : 23-09-2026</t>
        </is>
      </c>
      <c r="X67" s="245" t="n"/>
      <c r="Y67" s="245" t="n"/>
      <c r="Z67" s="245" t="n"/>
    </row>
    <row r="68" ht="17.1" customHeight="1" s="202">
      <c r="A68" s="254" t="n"/>
      <c r="B68" s="254" t="n"/>
      <c r="C68" s="254" t="n"/>
      <c r="D68" s="254" t="n"/>
      <c r="E68" s="254" t="n"/>
      <c r="F68" s="254" t="n"/>
      <c r="G68" s="254" t="n"/>
      <c r="H68" s="255">
        <f>SUM(H66:H67)</f>
        <v/>
      </c>
      <c r="I68" s="254">
        <f>COUNTA(I66:I67)</f>
        <v/>
      </c>
      <c r="J68" s="254" t="n"/>
      <c r="K68" s="254" t="n"/>
      <c r="L68" s="254" t="n"/>
      <c r="M68" s="254" t="n"/>
      <c r="N68" s="254" t="n"/>
      <c r="O68" s="256">
        <f>SUM(O66:O67)</f>
        <v/>
      </c>
      <c r="P68" s="256">
        <f>SUM(P66:P67)</f>
        <v/>
      </c>
      <c r="Q68" s="254" t="n"/>
      <c r="R68" s="257">
        <f>SUM(R66:R67)</f>
        <v/>
      </c>
      <c r="S68" s="254" t="n"/>
      <c r="T68" s="258">
        <f>SUM(T66:T67)</f>
        <v/>
      </c>
      <c r="U68" s="254" t="n"/>
      <c r="V68" s="254" t="n"/>
      <c r="W68" s="254" t="n"/>
      <c r="X68" s="254" t="n"/>
      <c r="Y68" s="254" t="n"/>
      <c r="Z68" s="254" t="n"/>
    </row>
    <row r="69" ht="16.5" customHeight="1" s="202">
      <c r="A69" s="245" t="n">
        <v>12</v>
      </c>
      <c r="B69" s="245" t="inlineStr">
        <is>
          <t>000030ZIK48020260916000795</t>
        </is>
      </c>
      <c r="C69" s="245" t="n">
        <v>588971</v>
      </c>
      <c r="D69" s="245" t="n">
        <v>588902</v>
      </c>
      <c r="E69" s="246" t="n">
        <v>46282</v>
      </c>
      <c r="F69" s="245" t="inlineStr">
        <is>
          <t>ID2609-8467</t>
        </is>
      </c>
      <c r="G69" s="246" t="n">
        <v>46280</v>
      </c>
      <c r="H69" s="247" t="n">
        <v>900</v>
      </c>
      <c r="I69" s="245" t="inlineStr">
        <is>
          <t>TLLU5690965</t>
        </is>
      </c>
      <c r="J69" s="245" t="inlineStr">
        <is>
          <t>40FT</t>
        </is>
      </c>
      <c r="K69" s="245" t="inlineStr">
        <is>
          <t>8IN GREEN TEA MF MATTRESS QN</t>
        </is>
      </c>
      <c r="L69" s="245" t="inlineStr">
        <is>
          <t>SCF-STR-800Q</t>
        </is>
      </c>
      <c r="M69" s="248" t="inlineStr">
        <is>
          <t>0993630491</t>
        </is>
      </c>
      <c r="N69" s="245" t="inlineStr">
        <is>
          <t>F.MFM.08Q.000.WS</t>
        </is>
      </c>
      <c r="O69" s="249" t="n">
        <v>21510</v>
      </c>
      <c r="P69" s="249" t="n">
        <v>19188</v>
      </c>
      <c r="Q69" s="250">
        <f>R69/H69</f>
        <v/>
      </c>
      <c r="R69" s="251" t="n">
        <v>84573</v>
      </c>
      <c r="S69" s="249" t="n">
        <v>17594</v>
      </c>
      <c r="T69" s="252">
        <f>S69*R69</f>
        <v/>
      </c>
      <c r="U69" s="245" t="inlineStr">
        <is>
          <t>040300/KPPBC</t>
        </is>
      </c>
      <c r="V69" s="245" t="inlineStr">
        <is>
          <t>TG. PRIOK</t>
        </is>
      </c>
      <c r="W69" s="245" t="inlineStr">
        <is>
          <t>LOS ANGELES, US</t>
        </is>
      </c>
      <c r="X69" s="245" t="inlineStr">
        <is>
          <t>WALMART, INC.</t>
        </is>
      </c>
      <c r="Y69" s="245" t="inlineStr">
        <is>
          <t>ONEYJKTG80948300</t>
        </is>
      </c>
      <c r="Z69" s="246" t="n">
        <v>46282</v>
      </c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5" t="n"/>
      <c r="I70" s="245" t="inlineStr">
        <is>
          <t>ONEU5809695</t>
        </is>
      </c>
      <c r="J70" s="245" t="inlineStr">
        <is>
          <t>40FT</t>
        </is>
      </c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5" t="n"/>
      <c r="V70" s="245" t="n"/>
      <c r="W70" s="245" t="inlineStr">
        <is>
          <t>ETD : 23-09-2026</t>
        </is>
      </c>
      <c r="X70" s="245" t="n"/>
      <c r="Y70" s="245" t="n"/>
      <c r="Z70" s="245" t="n"/>
    </row>
    <row r="71" ht="17.1" customHeight="1" s="202">
      <c r="A71" s="254" t="n"/>
      <c r="B71" s="254" t="n"/>
      <c r="C71" s="254" t="n"/>
      <c r="D71" s="254" t="n"/>
      <c r="E71" s="254" t="n"/>
      <c r="F71" s="254" t="n"/>
      <c r="G71" s="254" t="n"/>
      <c r="H71" s="255">
        <f>SUM(H69:H70)</f>
        <v/>
      </c>
      <c r="I71" s="254">
        <f>COUNTA(I69:I70)</f>
        <v/>
      </c>
      <c r="J71" s="254" t="n"/>
      <c r="K71" s="254" t="n"/>
      <c r="L71" s="254" t="n"/>
      <c r="M71" s="254" t="n"/>
      <c r="N71" s="254" t="n"/>
      <c r="O71" s="256">
        <f>SUM(O69:O70)</f>
        <v/>
      </c>
      <c r="P71" s="256">
        <f>SUM(P69:P70)</f>
        <v/>
      </c>
      <c r="Q71" s="254" t="n"/>
      <c r="R71" s="257">
        <f>SUM(R69:R70)</f>
        <v/>
      </c>
      <c r="S71" s="254" t="n"/>
      <c r="T71" s="258">
        <f>SUM(T69:T70)</f>
        <v/>
      </c>
      <c r="U71" s="254" t="n"/>
      <c r="V71" s="254" t="n"/>
      <c r="W71" s="254" t="n"/>
      <c r="X71" s="254" t="n"/>
      <c r="Y71" s="254" t="n"/>
      <c r="Z71" s="254" t="n"/>
    </row>
    <row r="72" ht="16.5" customHeight="1" s="202">
      <c r="A72" s="245" t="n">
        <v>13</v>
      </c>
      <c r="B72" s="245" t="inlineStr">
        <is>
          <t>000030ZIK48020260916000796</t>
        </is>
      </c>
      <c r="C72" s="245" t="n">
        <v>589668</v>
      </c>
      <c r="D72" s="245" t="n">
        <v>589597</v>
      </c>
      <c r="E72" s="246" t="n">
        <v>46282</v>
      </c>
      <c r="F72" s="245" t="inlineStr">
        <is>
          <t>ID2609-8468</t>
        </is>
      </c>
      <c r="G72" s="246" t="n">
        <v>46280</v>
      </c>
      <c r="H72" s="247" t="n">
        <v>1040</v>
      </c>
      <c r="I72" s="245" t="inlineStr">
        <is>
          <t>TLLU4280626</t>
        </is>
      </c>
      <c r="J72" s="245" t="inlineStr">
        <is>
          <t>40FT</t>
        </is>
      </c>
      <c r="K72" s="245" t="inlineStr">
        <is>
          <t>8IN GREEN TEA MF MATTRESS FL</t>
        </is>
      </c>
      <c r="L72" s="245" t="inlineStr">
        <is>
          <t>SCF-STR-800F</t>
        </is>
      </c>
      <c r="M72" s="248" t="inlineStr">
        <is>
          <t>0993630678</t>
        </is>
      </c>
      <c r="N72" s="245" t="inlineStr">
        <is>
          <t>F.MFM.08F.000.WS</t>
        </is>
      </c>
      <c r="O72" s="249" t="n">
        <v>21236.8</v>
      </c>
      <c r="P72" s="249" t="n">
        <v>18740.8</v>
      </c>
      <c r="Q72" s="250">
        <f>R72/H72</f>
        <v/>
      </c>
      <c r="R72" s="251" t="n">
        <v>82960.8</v>
      </c>
      <c r="S72" s="249" t="n">
        <v>17594</v>
      </c>
      <c r="T72" s="252">
        <f>S72*R72</f>
        <v/>
      </c>
      <c r="U72" s="245" t="inlineStr">
        <is>
          <t>040300/KPPBC</t>
        </is>
      </c>
      <c r="V72" s="245" t="inlineStr">
        <is>
          <t>TG. PRIOK</t>
        </is>
      </c>
      <c r="W72" s="245" t="inlineStr">
        <is>
          <t>HOUSTON, US</t>
        </is>
      </c>
      <c r="X72" s="245" t="inlineStr">
        <is>
          <t>WALMART, INC.</t>
        </is>
      </c>
      <c r="Y72" s="245" t="inlineStr">
        <is>
          <t>CMDUDJA1535749B</t>
        </is>
      </c>
      <c r="Z72" s="246" t="n">
        <v>46282</v>
      </c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5" t="n"/>
      <c r="I73" s="245" t="inlineStr">
        <is>
          <t>CMAU9606987</t>
        </is>
      </c>
      <c r="J73" s="245" t="inlineStr">
        <is>
          <t>40FT</t>
        </is>
      </c>
      <c r="K73" s="245" t="n"/>
      <c r="L73" s="245" t="n"/>
      <c r="M73" s="245" t="n"/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inlineStr">
        <is>
          <t>ETD : 23-09-2026</t>
        </is>
      </c>
      <c r="X73" s="245" t="n"/>
      <c r="Y73" s="245" t="n"/>
      <c r="Z73" s="245" t="n"/>
    </row>
    <row r="74" ht="17.1" customHeight="1" s="202">
      <c r="A74" s="254" t="n"/>
      <c r="B74" s="254" t="n"/>
      <c r="C74" s="254" t="n"/>
      <c r="D74" s="254" t="n"/>
      <c r="E74" s="254" t="n"/>
      <c r="F74" s="254" t="n"/>
      <c r="G74" s="254" t="n"/>
      <c r="H74" s="255">
        <f>SUM(H72:H73)</f>
        <v/>
      </c>
      <c r="I74" s="254">
        <f>COUNTA(I72:I73)</f>
        <v/>
      </c>
      <c r="J74" s="254" t="n"/>
      <c r="K74" s="254" t="n"/>
      <c r="L74" s="254" t="n"/>
      <c r="M74" s="254" t="n"/>
      <c r="N74" s="254" t="n"/>
      <c r="O74" s="256">
        <f>SUM(O72:O73)</f>
        <v/>
      </c>
      <c r="P74" s="256">
        <f>SUM(P72:P73)</f>
        <v/>
      </c>
      <c r="Q74" s="254" t="n"/>
      <c r="R74" s="257">
        <f>SUM(R72:R73)</f>
        <v/>
      </c>
      <c r="S74" s="254" t="n"/>
      <c r="T74" s="258">
        <f>SUM(T72:T73)</f>
        <v/>
      </c>
      <c r="U74" s="254" t="n"/>
      <c r="V74" s="254" t="n"/>
      <c r="W74" s="254" t="n"/>
      <c r="X74" s="254" t="n"/>
      <c r="Y74" s="254" t="n"/>
      <c r="Z74" s="254" t="n"/>
    </row>
    <row r="75" ht="16.5" customHeight="1" s="202">
      <c r="A75" s="245" t="n">
        <v>14</v>
      </c>
      <c r="B75" s="245" t="inlineStr">
        <is>
          <t>000030ZIK48020260916000797</t>
        </is>
      </c>
      <c r="C75" s="245" t="n">
        <v>589710</v>
      </c>
      <c r="D75" s="245" t="n">
        <v>589639</v>
      </c>
      <c r="E75" s="246" t="n">
        <v>46282</v>
      </c>
      <c r="F75" s="245" t="inlineStr">
        <is>
          <t>ID2609-8469</t>
        </is>
      </c>
      <c r="G75" s="246" t="n">
        <v>46280</v>
      </c>
      <c r="H75" s="247" t="n">
        <v>1350</v>
      </c>
      <c r="I75" s="245" t="inlineStr">
        <is>
          <t>TLLU4285567</t>
        </is>
      </c>
      <c r="J75" s="245" t="inlineStr">
        <is>
          <t>40FT</t>
        </is>
      </c>
      <c r="K75" s="245" t="inlineStr">
        <is>
          <t>8IN GREEN TEA MF MATTRESS QN</t>
        </is>
      </c>
      <c r="L75" s="245" t="inlineStr">
        <is>
          <t>SCF-STR-800Q</t>
        </is>
      </c>
      <c r="M75" s="248" t="inlineStr">
        <is>
          <t>0993630607</t>
        </is>
      </c>
      <c r="N75" s="245" t="inlineStr">
        <is>
          <t>F.MFM.08Q.000.WS</t>
        </is>
      </c>
      <c r="O75" s="249" t="n">
        <v>32265</v>
      </c>
      <c r="P75" s="249" t="n">
        <v>28782</v>
      </c>
      <c r="Q75" s="250">
        <f>R75/H75</f>
        <v/>
      </c>
      <c r="R75" s="251" t="n">
        <v>126859.5</v>
      </c>
      <c r="S75" s="249" t="n">
        <v>17594</v>
      </c>
      <c r="T75" s="252">
        <f>S75*R75</f>
        <v/>
      </c>
      <c r="U75" s="245" t="inlineStr">
        <is>
          <t>040300/KPPBC</t>
        </is>
      </c>
      <c r="V75" s="245" t="inlineStr">
        <is>
          <t>TG. PRIOK</t>
        </is>
      </c>
      <c r="W75" s="245" t="inlineStr">
        <is>
          <t>HOUSTON, US</t>
        </is>
      </c>
      <c r="X75" s="245" t="inlineStr">
        <is>
          <t>WALMART, INC.</t>
        </is>
      </c>
      <c r="Y75" s="245" t="inlineStr">
        <is>
          <t>CMDUDJA1535749A</t>
        </is>
      </c>
      <c r="Z75" s="246" t="n">
        <v>46282</v>
      </c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5" t="n"/>
      <c r="I76" s="245" t="inlineStr">
        <is>
          <t>GESU6558669</t>
        </is>
      </c>
      <c r="J76" s="245" t="inlineStr">
        <is>
          <t>40FT</t>
        </is>
      </c>
      <c r="K76" s="245" t="n"/>
      <c r="L76" s="245" t="n"/>
      <c r="M76" s="245" t="n"/>
      <c r="N76" s="245" t="n"/>
      <c r="O76" s="245" t="n"/>
      <c r="P76" s="245" t="n"/>
      <c r="Q76" s="245" t="n"/>
      <c r="R76" s="245" t="n"/>
      <c r="S76" s="245" t="n"/>
      <c r="T76" s="245" t="n"/>
      <c r="U76" s="245" t="n"/>
      <c r="V76" s="245" t="n"/>
      <c r="W76" s="245" t="inlineStr">
        <is>
          <t>ETD : 23-09-2026</t>
        </is>
      </c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5" t="n"/>
      <c r="I77" s="245" t="inlineStr">
        <is>
          <t>TCNU3891804</t>
        </is>
      </c>
      <c r="J77" s="245" t="inlineStr">
        <is>
          <t>40FT</t>
        </is>
      </c>
      <c r="K77" s="245" t="n"/>
      <c r="L77" s="245" t="n"/>
      <c r="M77" s="245" t="n"/>
      <c r="N77" s="245" t="n"/>
      <c r="O77" s="245" t="n"/>
      <c r="P77" s="245" t="n"/>
      <c r="Q77" s="245" t="n"/>
      <c r="R77" s="245" t="n"/>
      <c r="S77" s="245" t="n"/>
      <c r="T77" s="245" t="n"/>
      <c r="U77" s="245" t="n"/>
      <c r="V77" s="245" t="n"/>
      <c r="W77" s="245" t="n"/>
      <c r="X77" s="245" t="n"/>
      <c r="Y77" s="245" t="n"/>
      <c r="Z77" s="245" t="n"/>
    </row>
    <row r="78" ht="17.1" customHeight="1" s="202">
      <c r="A78" s="254" t="n"/>
      <c r="B78" s="254" t="n"/>
      <c r="C78" s="254" t="n"/>
      <c r="D78" s="254" t="n"/>
      <c r="E78" s="254" t="n"/>
      <c r="F78" s="254" t="n"/>
      <c r="G78" s="254" t="n"/>
      <c r="H78" s="255">
        <f>SUM(H75:H77)</f>
        <v/>
      </c>
      <c r="I78" s="254">
        <f>COUNTA(I75:I77)</f>
        <v/>
      </c>
      <c r="J78" s="254" t="n"/>
      <c r="K78" s="254" t="n"/>
      <c r="L78" s="254" t="n"/>
      <c r="M78" s="254" t="n"/>
      <c r="N78" s="254" t="n"/>
      <c r="O78" s="256">
        <f>SUM(O75:O77)</f>
        <v/>
      </c>
      <c r="P78" s="256">
        <f>SUM(P75:P77)</f>
        <v/>
      </c>
      <c r="Q78" s="254" t="n"/>
      <c r="R78" s="257">
        <f>SUM(R75:R77)</f>
        <v/>
      </c>
      <c r="S78" s="254" t="n"/>
      <c r="T78" s="258">
        <f>SUM(T75:T77)</f>
        <v/>
      </c>
      <c r="U78" s="254" t="n"/>
      <c r="V78" s="254" t="n"/>
      <c r="W78" s="254" t="n"/>
      <c r="X78" s="254" t="n"/>
      <c r="Y78" s="254" t="n"/>
      <c r="Z78" s="254" t="n"/>
    </row>
    <row r="79" ht="16.5" customHeight="1" s="202">
      <c r="A79" s="245" t="n">
        <v>15</v>
      </c>
      <c r="B79" s="245" t="inlineStr">
        <is>
          <t>000030ZIK48020260916000798</t>
        </is>
      </c>
      <c r="C79" s="245" t="n">
        <v>590070</v>
      </c>
      <c r="D79" s="245" t="n">
        <v>590002</v>
      </c>
      <c r="E79" s="246" t="n">
        <v>46282</v>
      </c>
      <c r="F79" s="245" t="inlineStr">
        <is>
          <t>ID2609-8470</t>
        </is>
      </c>
      <c r="G79" s="246" t="n">
        <v>46280</v>
      </c>
      <c r="H79" s="247" t="n">
        <v>450</v>
      </c>
      <c r="I79" s="245" t="inlineStr">
        <is>
          <t>TGHU6870690</t>
        </is>
      </c>
      <c r="J79" s="245" t="inlineStr">
        <is>
          <t>40FT</t>
        </is>
      </c>
      <c r="K79" s="245" t="inlineStr">
        <is>
          <t>8IN GREEN TEA MF MATTRESS QN</t>
        </is>
      </c>
      <c r="L79" s="245" t="inlineStr">
        <is>
          <t>SCF-STR-800Q</t>
        </is>
      </c>
      <c r="M79" s="248" t="inlineStr">
        <is>
          <t>0993630530</t>
        </is>
      </c>
      <c r="N79" s="245" t="inlineStr">
        <is>
          <t>F.MFM.08Q.000.WS</t>
        </is>
      </c>
      <c r="O79" s="249" t="n">
        <v>10755</v>
      </c>
      <c r="P79" s="249" t="n">
        <v>9594</v>
      </c>
      <c r="Q79" s="250">
        <f>R79/H79</f>
        <v/>
      </c>
      <c r="R79" s="251" t="n">
        <v>42286.5</v>
      </c>
      <c r="S79" s="249" t="n">
        <v>17594</v>
      </c>
      <c r="T79" s="252">
        <f>S79*R79</f>
        <v/>
      </c>
      <c r="U79" s="245" t="inlineStr">
        <is>
          <t>040300/KPPBC</t>
        </is>
      </c>
      <c r="V79" s="245" t="inlineStr">
        <is>
          <t>TG. PRIOK</t>
        </is>
      </c>
      <c r="W79" s="245" t="inlineStr">
        <is>
          <t>MOBILE, US</t>
        </is>
      </c>
      <c r="X79" s="245" t="inlineStr">
        <is>
          <t>WALMART, INC.</t>
        </is>
      </c>
      <c r="Y79" s="245" t="inlineStr">
        <is>
          <t>CMDUDJA1533163A</t>
        </is>
      </c>
      <c r="Z79" s="246" t="n">
        <v>46282</v>
      </c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5" t="n"/>
      <c r="I80" s="245" t="n"/>
      <c r="J80" s="245" t="n"/>
      <c r="K80" s="245" t="n"/>
      <c r="L80" s="245" t="n"/>
      <c r="M80" s="245" t="n"/>
      <c r="N80" s="245" t="n"/>
      <c r="O80" s="245" t="n"/>
      <c r="P80" s="245" t="n"/>
      <c r="Q80" s="245" t="n"/>
      <c r="R80" s="245" t="n"/>
      <c r="S80" s="245" t="n"/>
      <c r="T80" s="245" t="n"/>
      <c r="U80" s="245" t="n"/>
      <c r="V80" s="245" t="n"/>
      <c r="W80" s="245" t="inlineStr">
        <is>
          <t>ETD : 23-09-2026</t>
        </is>
      </c>
      <c r="X80" s="245" t="n"/>
      <c r="Y80" s="245" t="n"/>
      <c r="Z80" s="245" t="n"/>
    </row>
    <row r="81" ht="17.1" customHeight="1" s="202">
      <c r="A81" s="254" t="n"/>
      <c r="B81" s="254" t="n"/>
      <c r="C81" s="254" t="n"/>
      <c r="D81" s="254" t="n"/>
      <c r="E81" s="254" t="n"/>
      <c r="F81" s="254" t="n"/>
      <c r="G81" s="254" t="n"/>
      <c r="H81" s="255">
        <f>SUM(H79:H80)</f>
        <v/>
      </c>
      <c r="I81" s="254">
        <f>COUNTA(I79:I80)</f>
        <v/>
      </c>
      <c r="J81" s="254" t="n"/>
      <c r="K81" s="254" t="n"/>
      <c r="L81" s="254" t="n"/>
      <c r="M81" s="254" t="n"/>
      <c r="N81" s="254" t="n"/>
      <c r="O81" s="256">
        <f>SUM(O79:O80)</f>
        <v/>
      </c>
      <c r="P81" s="256">
        <f>SUM(P79:P80)</f>
        <v/>
      </c>
      <c r="Q81" s="254" t="n"/>
      <c r="R81" s="257">
        <f>SUM(R79:R80)</f>
        <v/>
      </c>
      <c r="S81" s="254" t="n"/>
      <c r="T81" s="258">
        <f>SUM(T79:T80)</f>
        <v/>
      </c>
      <c r="U81" s="254" t="n"/>
      <c r="V81" s="254" t="n"/>
      <c r="W81" s="254" t="n"/>
      <c r="X81" s="254" t="n"/>
      <c r="Y81" s="254" t="n"/>
      <c r="Z81" s="254" t="n"/>
    </row>
    <row r="82" ht="16.5" customHeight="1" s="202">
      <c r="A82" s="245" t="n">
        <v>16</v>
      </c>
      <c r="B82" s="245" t="inlineStr">
        <is>
          <t>000030ZIK48020260916000799</t>
        </is>
      </c>
      <c r="C82" s="245" t="n">
        <v>590113</v>
      </c>
      <c r="D82" s="245" t="n">
        <v>590045</v>
      </c>
      <c r="E82" s="246" t="n">
        <v>46282</v>
      </c>
      <c r="F82" s="245" t="inlineStr">
        <is>
          <t>ID2609-8471</t>
        </is>
      </c>
      <c r="G82" s="246" t="n">
        <v>46280</v>
      </c>
      <c r="H82" s="247" t="n">
        <v>520</v>
      </c>
      <c r="I82" s="245" t="inlineStr">
        <is>
          <t>ECMU7543732</t>
        </is>
      </c>
      <c r="J82" s="245" t="inlineStr">
        <is>
          <t>40FT</t>
        </is>
      </c>
      <c r="K82" s="245" t="inlineStr">
        <is>
          <t>8IN GREEN TEA MF MATTRESS FL</t>
        </is>
      </c>
      <c r="L82" s="245" t="inlineStr">
        <is>
          <t>SCF-STR-800F</t>
        </is>
      </c>
      <c r="M82" s="248" t="inlineStr">
        <is>
          <t>0993630724</t>
        </is>
      </c>
      <c r="N82" s="245" t="inlineStr">
        <is>
          <t>F.MFM.08F.000.WS</t>
        </is>
      </c>
      <c r="O82" s="249" t="n">
        <v>10618.4</v>
      </c>
      <c r="P82" s="249" t="n">
        <v>9370.4</v>
      </c>
      <c r="Q82" s="250">
        <f>R82/H82</f>
        <v/>
      </c>
      <c r="R82" s="251" t="n">
        <v>41480.4</v>
      </c>
      <c r="S82" s="249" t="n">
        <v>17594</v>
      </c>
      <c r="T82" s="252">
        <f>S82*R82</f>
        <v/>
      </c>
      <c r="U82" s="245" t="inlineStr">
        <is>
          <t>040300/KPPBC</t>
        </is>
      </c>
      <c r="V82" s="245" t="inlineStr">
        <is>
          <t>TG. PRIOK</t>
        </is>
      </c>
      <c r="W82" s="245" t="inlineStr">
        <is>
          <t>MOBILE, US</t>
        </is>
      </c>
      <c r="X82" s="245" t="inlineStr">
        <is>
          <t>WALMART, INC.</t>
        </is>
      </c>
      <c r="Y82" s="245" t="inlineStr">
        <is>
          <t>CMDUDJA1533163B</t>
        </is>
      </c>
      <c r="Z82" s="246" t="n">
        <v>46282</v>
      </c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5" t="n"/>
      <c r="I83" s="245" t="n"/>
      <c r="J83" s="245" t="n"/>
      <c r="K83" s="245" t="n"/>
      <c r="L83" s="245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inlineStr">
        <is>
          <t>ETD : 23-09-2026</t>
        </is>
      </c>
      <c r="X83" s="245" t="n"/>
      <c r="Y83" s="245" t="n"/>
      <c r="Z83" s="245" t="n"/>
    </row>
    <row r="84" ht="17.1" customHeight="1" s="202">
      <c r="A84" s="254" t="n"/>
      <c r="B84" s="254" t="n"/>
      <c r="C84" s="254" t="n"/>
      <c r="D84" s="254" t="n"/>
      <c r="E84" s="254" t="n"/>
      <c r="F84" s="254" t="n"/>
      <c r="G84" s="254" t="n"/>
      <c r="H84" s="255">
        <f>SUM(H82:H83)</f>
        <v/>
      </c>
      <c r="I84" s="254">
        <f>COUNTA(I82:I83)</f>
        <v/>
      </c>
      <c r="J84" s="254" t="n"/>
      <c r="K84" s="254" t="n"/>
      <c r="L84" s="254" t="n"/>
      <c r="M84" s="254" t="n"/>
      <c r="N84" s="254" t="n"/>
      <c r="O84" s="256">
        <f>SUM(O82:O83)</f>
        <v/>
      </c>
      <c r="P84" s="256">
        <f>SUM(P82:P83)</f>
        <v/>
      </c>
      <c r="Q84" s="254" t="n"/>
      <c r="R84" s="257">
        <f>SUM(R82:R83)</f>
        <v/>
      </c>
      <c r="S84" s="254" t="n"/>
      <c r="T84" s="258">
        <f>SUM(T82:T83)</f>
        <v/>
      </c>
      <c r="U84" s="254" t="n"/>
      <c r="V84" s="254" t="n"/>
      <c r="W84" s="254" t="n"/>
      <c r="X84" s="254" t="n"/>
      <c r="Y84" s="254" t="n"/>
      <c r="Z84" s="254" t="n"/>
    </row>
    <row r="85" ht="16.5" customHeight="1" s="202">
      <c r="A85" s="245" t="n">
        <v>17</v>
      </c>
      <c r="B85" s="245" t="inlineStr">
        <is>
          <t>000030ZIK48020260916000800</t>
        </is>
      </c>
      <c r="C85" s="245" t="n">
        <v>588611</v>
      </c>
      <c r="D85" s="245" t="n">
        <v>588544</v>
      </c>
      <c r="E85" s="246" t="n">
        <v>46282</v>
      </c>
      <c r="F85" s="245" t="inlineStr">
        <is>
          <t>ID2609-8472</t>
        </is>
      </c>
      <c r="G85" s="246" t="n">
        <v>46280</v>
      </c>
      <c r="H85" s="247" t="n">
        <v>520</v>
      </c>
      <c r="I85" s="245" t="inlineStr">
        <is>
          <t>FCIU7099765</t>
        </is>
      </c>
      <c r="J85" s="245" t="inlineStr">
        <is>
          <t>40FT</t>
        </is>
      </c>
      <c r="K85" s="245" t="inlineStr">
        <is>
          <t>8IN GREEN TEA MF MATTRESS FL</t>
        </is>
      </c>
      <c r="L85" s="245" t="inlineStr">
        <is>
          <t>SCF-STR-800F</t>
        </is>
      </c>
      <c r="M85" s="248" t="inlineStr">
        <is>
          <t>0993630798</t>
        </is>
      </c>
      <c r="N85" s="245" t="inlineStr">
        <is>
          <t>F.MFM.08F.000.WS</t>
        </is>
      </c>
      <c r="O85" s="249" t="n">
        <v>10618.4</v>
      </c>
      <c r="P85" s="249" t="n">
        <v>9370.4</v>
      </c>
      <c r="Q85" s="250">
        <f>R85/H85</f>
        <v/>
      </c>
      <c r="R85" s="251" t="n">
        <v>41480.4</v>
      </c>
      <c r="S85" s="249" t="n">
        <v>17594</v>
      </c>
      <c r="T85" s="252">
        <f>S85*R85</f>
        <v/>
      </c>
      <c r="U85" s="245" t="inlineStr">
        <is>
          <t>040300/KPPBC</t>
        </is>
      </c>
      <c r="V85" s="245" t="inlineStr">
        <is>
          <t>TG. PRIOK</t>
        </is>
      </c>
      <c r="W85" s="245" t="inlineStr">
        <is>
          <t>LOS ANGELES, US</t>
        </is>
      </c>
      <c r="X85" s="245" t="inlineStr">
        <is>
          <t>WALMART, INC.</t>
        </is>
      </c>
      <c r="Y85" s="245" t="inlineStr">
        <is>
          <t>HLCUJK1260945960</t>
        </is>
      </c>
      <c r="Z85" s="246" t="n">
        <v>46282</v>
      </c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5" t="n"/>
      <c r="I86" s="245" t="n"/>
      <c r="J86" s="245" t="n"/>
      <c r="K86" s="245" t="n"/>
      <c r="L86" s="245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inlineStr">
        <is>
          <t>ETD : 22-09-2026</t>
        </is>
      </c>
      <c r="X86" s="245" t="n"/>
      <c r="Y86" s="245" t="n"/>
      <c r="Z86" s="245" t="n"/>
    </row>
    <row r="87" ht="17.1" customHeight="1" s="202">
      <c r="A87" s="254" t="n"/>
      <c r="B87" s="254" t="n"/>
      <c r="C87" s="254" t="n"/>
      <c r="D87" s="254" t="n"/>
      <c r="E87" s="254" t="n"/>
      <c r="F87" s="254" t="n"/>
      <c r="G87" s="254" t="n"/>
      <c r="H87" s="255">
        <f>SUM(H85:H86)</f>
        <v/>
      </c>
      <c r="I87" s="254">
        <f>COUNTA(I85:I86)</f>
        <v/>
      </c>
      <c r="J87" s="254" t="n"/>
      <c r="K87" s="254" t="n"/>
      <c r="L87" s="254" t="n"/>
      <c r="M87" s="254" t="n"/>
      <c r="N87" s="254" t="n"/>
      <c r="O87" s="256">
        <f>SUM(O85:O86)</f>
        <v/>
      </c>
      <c r="P87" s="256">
        <f>SUM(P85:P86)</f>
        <v/>
      </c>
      <c r="Q87" s="254" t="n"/>
      <c r="R87" s="257">
        <f>SUM(R85:R86)</f>
        <v/>
      </c>
      <c r="S87" s="254" t="n"/>
      <c r="T87" s="258">
        <f>SUM(T85:T86)</f>
        <v/>
      </c>
      <c r="U87" s="254" t="n"/>
      <c r="V87" s="254" t="n"/>
      <c r="W87" s="254" t="n"/>
      <c r="X87" s="254" t="n"/>
      <c r="Y87" s="254" t="n"/>
      <c r="Z87" s="254" t="n"/>
    </row>
    <row r="88" ht="16.5" customHeight="1" s="202">
      <c r="A88" s="245" t="n">
        <v>18</v>
      </c>
      <c r="B88" s="245" t="inlineStr">
        <is>
          <t>000030ZIK48020260916000801</t>
        </is>
      </c>
      <c r="C88" s="245" t="n">
        <v>590149</v>
      </c>
      <c r="D88" s="245" t="n">
        <v>590081</v>
      </c>
      <c r="E88" s="246" t="n">
        <v>46282</v>
      </c>
      <c r="F88" s="245" t="inlineStr">
        <is>
          <t>ID2609-8484</t>
        </is>
      </c>
      <c r="G88" s="246" t="n">
        <v>46281</v>
      </c>
      <c r="H88" s="247" t="n">
        <v>1040</v>
      </c>
      <c r="I88" s="245" t="inlineStr">
        <is>
          <t>FFAU4803554</t>
        </is>
      </c>
      <c r="J88" s="245" t="inlineStr">
        <is>
          <t>40FT</t>
        </is>
      </c>
      <c r="K88" s="245" t="inlineStr">
        <is>
          <t>8IN GREEN TEA MF MATTRESS FL</t>
        </is>
      </c>
      <c r="L88" s="245" t="inlineStr">
        <is>
          <t>SCF-STR-800F</t>
        </is>
      </c>
      <c r="M88" s="248" t="inlineStr">
        <is>
          <t>0993630687</t>
        </is>
      </c>
      <c r="N88" s="245" t="inlineStr">
        <is>
          <t>F.MFM.08F.000.WS</t>
        </is>
      </c>
      <c r="O88" s="249" t="n">
        <v>21236.8</v>
      </c>
      <c r="P88" s="249" t="n">
        <v>18740.8</v>
      </c>
      <c r="Q88" s="250">
        <f>R88/H88</f>
        <v/>
      </c>
      <c r="R88" s="251" t="n">
        <v>82960.8</v>
      </c>
      <c r="S88" s="249" t="n">
        <v>17594</v>
      </c>
      <c r="T88" s="252">
        <f>S88*R88</f>
        <v/>
      </c>
      <c r="U88" s="245" t="inlineStr">
        <is>
          <t>040300/KPPBC</t>
        </is>
      </c>
      <c r="V88" s="245" t="inlineStr">
        <is>
          <t>TG. PRIOK</t>
        </is>
      </c>
      <c r="W88" s="245" t="inlineStr">
        <is>
          <t>HOUSTON, US</t>
        </is>
      </c>
      <c r="X88" s="245" t="inlineStr">
        <is>
          <t>WALMART, INC.</t>
        </is>
      </c>
      <c r="Y88" s="245" t="inlineStr">
        <is>
          <t>CMDUDJA1538116B</t>
        </is>
      </c>
      <c r="Z88" s="246" t="n">
        <v>46282</v>
      </c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5" t="n"/>
      <c r="I89" s="245" t="inlineStr">
        <is>
          <t>CMAU9224665</t>
        </is>
      </c>
      <c r="J89" s="245" t="inlineStr">
        <is>
          <t>40FT</t>
        </is>
      </c>
      <c r="K89" s="245" t="n"/>
      <c r="L89" s="245" t="n"/>
      <c r="M89" s="245" t="n"/>
      <c r="N89" s="245" t="n"/>
      <c r="O89" s="245" t="n"/>
      <c r="P89" s="245" t="n"/>
      <c r="Q89" s="245" t="n"/>
      <c r="R89" s="245" t="n"/>
      <c r="S89" s="245" t="n"/>
      <c r="T89" s="245" t="n"/>
      <c r="U89" s="245" t="n"/>
      <c r="V89" s="245" t="n"/>
      <c r="W89" s="245" t="inlineStr">
        <is>
          <t>ETD : 23-09-2026</t>
        </is>
      </c>
      <c r="X89" s="245" t="n"/>
      <c r="Y89" s="245" t="n"/>
      <c r="Z89" s="245" t="n"/>
    </row>
    <row r="90" ht="17.1" customHeight="1" s="202">
      <c r="A90" s="254" t="n"/>
      <c r="B90" s="254" t="n"/>
      <c r="C90" s="254" t="n"/>
      <c r="D90" s="254" t="n"/>
      <c r="E90" s="254" t="n"/>
      <c r="F90" s="254" t="n"/>
      <c r="G90" s="254" t="n"/>
      <c r="H90" s="255">
        <f>SUM(H88:H89)</f>
        <v/>
      </c>
      <c r="I90" s="254">
        <f>COUNTA(I88:I89)</f>
        <v/>
      </c>
      <c r="J90" s="254" t="n"/>
      <c r="K90" s="254" t="n"/>
      <c r="L90" s="254" t="n"/>
      <c r="M90" s="254" t="n"/>
      <c r="N90" s="254" t="n"/>
      <c r="O90" s="256">
        <f>SUM(O88:O89)</f>
        <v/>
      </c>
      <c r="P90" s="256">
        <f>SUM(P88:P89)</f>
        <v/>
      </c>
      <c r="Q90" s="254" t="n"/>
      <c r="R90" s="257">
        <f>SUM(R88:R89)</f>
        <v/>
      </c>
      <c r="S90" s="254" t="n"/>
      <c r="T90" s="258">
        <f>SUM(T88:T89)</f>
        <v/>
      </c>
      <c r="U90" s="254" t="n"/>
      <c r="V90" s="254" t="n"/>
      <c r="W90" s="254" t="n"/>
      <c r="X90" s="254" t="n"/>
      <c r="Y90" s="254" t="n"/>
      <c r="Z90" s="254" t="n"/>
    </row>
    <row r="91" ht="16.5" customHeight="1" s="202">
      <c r="A91" s="245" t="n">
        <v>19</v>
      </c>
      <c r="B91" s="245" t="inlineStr">
        <is>
          <t>000030ZIK48020260916000802</t>
        </is>
      </c>
      <c r="C91" s="245" t="n">
        <v>590195</v>
      </c>
      <c r="D91" s="245" t="n">
        <v>590126</v>
      </c>
      <c r="E91" s="246" t="n">
        <v>46282</v>
      </c>
      <c r="F91" s="245" t="inlineStr">
        <is>
          <t>ID2609-8485</t>
        </is>
      </c>
      <c r="G91" s="246" t="n">
        <v>46281</v>
      </c>
      <c r="H91" s="247" t="n">
        <v>1350</v>
      </c>
      <c r="I91" s="245" t="inlineStr">
        <is>
          <t>TCNU3935918</t>
        </is>
      </c>
      <c r="J91" s="245" t="inlineStr">
        <is>
          <t>40FT</t>
        </is>
      </c>
      <c r="K91" s="245" t="inlineStr">
        <is>
          <t>8IN GREEN TEA MF MATTRESS QN</t>
        </is>
      </c>
      <c r="L91" s="245" t="inlineStr">
        <is>
          <t>SCF-STR-800Q</t>
        </is>
      </c>
      <c r="M91" s="248" t="inlineStr">
        <is>
          <t>0993630571</t>
        </is>
      </c>
      <c r="N91" s="245" t="inlineStr">
        <is>
          <t>F.MFM.08Q.000.WS</t>
        </is>
      </c>
      <c r="O91" s="249" t="n">
        <v>32265</v>
      </c>
      <c r="P91" s="249" t="n">
        <v>28782</v>
      </c>
      <c r="Q91" s="250">
        <f>R91/H91</f>
        <v/>
      </c>
      <c r="R91" s="251" t="n">
        <v>126859.5</v>
      </c>
      <c r="S91" s="249" t="n">
        <v>17594</v>
      </c>
      <c r="T91" s="252">
        <f>S91*R91</f>
        <v/>
      </c>
      <c r="U91" s="245" t="inlineStr">
        <is>
          <t>040300/KPPBC</t>
        </is>
      </c>
      <c r="V91" s="245" t="inlineStr">
        <is>
          <t>TG. PRIOK</t>
        </is>
      </c>
      <c r="W91" s="245" t="inlineStr">
        <is>
          <t>HOUSTON, US</t>
        </is>
      </c>
      <c r="X91" s="245" t="inlineStr">
        <is>
          <t>WALMART, INC.</t>
        </is>
      </c>
      <c r="Y91" s="245" t="inlineStr">
        <is>
          <t>CMDUDJA1538116A</t>
        </is>
      </c>
      <c r="Z91" s="246" t="n">
        <v>46282</v>
      </c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5" t="n"/>
      <c r="I92" s="245" t="inlineStr">
        <is>
          <t>FCIU7579912</t>
        </is>
      </c>
      <c r="J92" s="245" t="inlineStr">
        <is>
          <t>40FT</t>
        </is>
      </c>
      <c r="K92" s="245" t="n"/>
      <c r="L92" s="245" t="n"/>
      <c r="M92" s="245" t="n"/>
      <c r="N92" s="245" t="n"/>
      <c r="O92" s="245" t="n"/>
      <c r="P92" s="245" t="n"/>
      <c r="Q92" s="245" t="n"/>
      <c r="R92" s="245" t="n"/>
      <c r="S92" s="245" t="n"/>
      <c r="T92" s="245" t="n"/>
      <c r="U92" s="245" t="n"/>
      <c r="V92" s="245" t="n"/>
      <c r="W92" s="245" t="inlineStr">
        <is>
          <t>ETD : 23-09-2026</t>
        </is>
      </c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5" t="n"/>
      <c r="I93" s="245" t="inlineStr">
        <is>
          <t>BMOU6249862</t>
        </is>
      </c>
      <c r="J93" s="245" t="inlineStr">
        <is>
          <t>40FT</t>
        </is>
      </c>
      <c r="K93" s="245" t="n"/>
      <c r="L93" s="245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</row>
    <row r="94" ht="17.1" customHeight="1" s="202">
      <c r="A94" s="254" t="n"/>
      <c r="B94" s="254" t="n"/>
      <c r="C94" s="254" t="n"/>
      <c r="D94" s="254" t="n"/>
      <c r="E94" s="254" t="n"/>
      <c r="F94" s="254" t="n"/>
      <c r="G94" s="254" t="n"/>
      <c r="H94" s="255">
        <f>SUM(H91:H93)</f>
        <v/>
      </c>
      <c r="I94" s="254">
        <f>COUNTA(I91:I93)</f>
        <v/>
      </c>
      <c r="J94" s="254" t="n"/>
      <c r="K94" s="254" t="n"/>
      <c r="L94" s="254" t="n"/>
      <c r="M94" s="254" t="n"/>
      <c r="N94" s="254" t="n"/>
      <c r="O94" s="256">
        <f>SUM(O91:O93)</f>
        <v/>
      </c>
      <c r="P94" s="256">
        <f>SUM(P91:P93)</f>
        <v/>
      </c>
      <c r="Q94" s="254" t="n"/>
      <c r="R94" s="257">
        <f>SUM(R91:R93)</f>
        <v/>
      </c>
      <c r="S94" s="254" t="n"/>
      <c r="T94" s="258">
        <f>SUM(T91:T93)</f>
        <v/>
      </c>
      <c r="U94" s="254" t="n"/>
      <c r="V94" s="254" t="n"/>
      <c r="W94" s="254" t="n"/>
      <c r="X94" s="254" t="n"/>
      <c r="Y94" s="254" t="n"/>
      <c r="Z94" s="254" t="n"/>
    </row>
    <row r="95" ht="16.5" customHeight="1" s="202">
      <c r="A95" s="245" t="n">
        <v>20</v>
      </c>
      <c r="B95" s="245" t="inlineStr">
        <is>
          <t>000030ZIK48020260916000803</t>
        </is>
      </c>
      <c r="C95" s="245" t="n">
        <v>589047</v>
      </c>
      <c r="D95" s="245" t="n">
        <v>588977</v>
      </c>
      <c r="E95" s="246" t="n">
        <v>46282</v>
      </c>
      <c r="F95" s="245" t="inlineStr">
        <is>
          <t>ID2609-8476</t>
        </is>
      </c>
      <c r="G95" s="246" t="n">
        <v>46281</v>
      </c>
      <c r="H95" s="247" t="n">
        <v>14</v>
      </c>
      <c r="I95" s="245" t="inlineStr">
        <is>
          <t>EITU9139222</t>
        </is>
      </c>
      <c r="J95" s="245" t="inlineStr">
        <is>
          <t>40FT</t>
        </is>
      </c>
      <c r="K95" s="245" t="inlineStr">
        <is>
          <t>6IN MYGEL FOAM MATTRESS TW</t>
        </is>
      </c>
      <c r="L95" s="245" t="inlineStr">
        <is>
          <t>ZU-MFGN1YZI-06T</t>
        </is>
      </c>
      <c r="M95" s="248" t="inlineStr">
        <is>
          <t>4RG1QDQB</t>
        </is>
      </c>
      <c r="N95" s="245" t="inlineStr">
        <is>
          <t>F.MFG.06T.002.AD</t>
        </is>
      </c>
      <c r="O95" s="249" t="n">
        <v>23072.71</v>
      </c>
      <c r="P95" s="249" t="n">
        <v>19876.07</v>
      </c>
      <c r="Q95" s="250">
        <f>R95/H95</f>
        <v/>
      </c>
      <c r="R95" s="251" t="n">
        <v>464.38</v>
      </c>
      <c r="S95" s="249" t="n">
        <v>17594</v>
      </c>
      <c r="T95" s="252">
        <f>S95*R95</f>
        <v/>
      </c>
      <c r="U95" s="245" t="inlineStr">
        <is>
          <t>040300/KPPBC</t>
        </is>
      </c>
      <c r="V95" s="245" t="inlineStr">
        <is>
          <t>TG. PRIOK</t>
        </is>
      </c>
      <c r="W95" s="245" t="inlineStr">
        <is>
          <t>SAVANNAH, US</t>
        </is>
      </c>
      <c r="X95" s="245" t="inlineStr">
        <is>
          <t>AMAZON.COM SERVICES LLC</t>
        </is>
      </c>
      <c r="Y95" s="245" t="inlineStr">
        <is>
          <t>EGLV080600607452</t>
        </is>
      </c>
      <c r="Z95" s="246" t="n">
        <v>46282</v>
      </c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350</v>
      </c>
      <c r="I96" s="245" t="inlineStr">
        <is>
          <t>EITU1764223</t>
        </is>
      </c>
      <c r="J96" s="245" t="inlineStr">
        <is>
          <t>40FT</t>
        </is>
      </c>
      <c r="K96" s="245" t="inlineStr">
        <is>
          <t>10IN AIRFLOW GEL FOAM MATT QN</t>
        </is>
      </c>
      <c r="L96" s="245" t="inlineStr">
        <is>
          <t>ZU-MFMA1RZI-10Q</t>
        </is>
      </c>
      <c r="M96" s="248" t="inlineStr">
        <is>
          <t>4RG1QDQB</t>
        </is>
      </c>
      <c r="N96" s="245" t="inlineStr">
        <is>
          <t>F.MFM.10Q.014.AD</t>
        </is>
      </c>
      <c r="O96" s="245" t="n"/>
      <c r="P96" s="245" t="n"/>
      <c r="Q96" s="250">
        <f>R96/H96</f>
        <v/>
      </c>
      <c r="R96" s="251" t="n">
        <v>18865</v>
      </c>
      <c r="S96" s="249" t="n">
        <v>17594</v>
      </c>
      <c r="T96" s="252">
        <f>S96*R96</f>
        <v/>
      </c>
      <c r="U96" s="245" t="n"/>
      <c r="V96" s="245" t="n"/>
      <c r="W96" s="245" t="inlineStr">
        <is>
          <t>ETD : 22-09-2026</t>
        </is>
      </c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120</v>
      </c>
      <c r="I97" s="245" t="inlineStr"/>
      <c r="J97" s="245" t="inlineStr"/>
      <c r="K97" s="245" t="inlineStr">
        <is>
          <t>8IN GREEN TEA MF MATTRESS FL</t>
        </is>
      </c>
      <c r="L97" s="245" t="inlineStr">
        <is>
          <t>ZU-MFMA1ZZI-08F</t>
        </is>
      </c>
      <c r="M97" s="248" t="inlineStr">
        <is>
          <t>4RG1QDQB</t>
        </is>
      </c>
      <c r="N97" s="245" t="inlineStr">
        <is>
          <t>F.MFM.08F.008.AD</t>
        </is>
      </c>
      <c r="O97" s="245" t="n"/>
      <c r="P97" s="245" t="n"/>
      <c r="Q97" s="250">
        <f>R97/H97</f>
        <v/>
      </c>
      <c r="R97" s="251" t="n">
        <v>6718.8</v>
      </c>
      <c r="S97" s="249" t="n">
        <v>17594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</v>
      </c>
      <c r="I98" s="245" t="inlineStr"/>
      <c r="J98" s="245" t="inlineStr"/>
      <c r="K98" s="245" t="inlineStr">
        <is>
          <t>12IN MYGEL FOAM MATTRESS QN</t>
        </is>
      </c>
      <c r="L98" s="245" t="inlineStr">
        <is>
          <t>ZU-MFGN1YZI-12Q</t>
        </is>
      </c>
      <c r="M98" s="248" t="inlineStr">
        <is>
          <t>612E2L8I</t>
        </is>
      </c>
      <c r="N98" s="245" t="inlineStr">
        <is>
          <t>F.MFG.12Q.002.AD</t>
        </is>
      </c>
      <c r="O98" s="245" t="n"/>
      <c r="P98" s="245" t="n"/>
      <c r="Q98" s="250">
        <f>R98/H98</f>
        <v/>
      </c>
      <c r="R98" s="251" t="n">
        <v>164.6</v>
      </c>
      <c r="S98" s="249" t="n">
        <v>17594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1</v>
      </c>
      <c r="I99" s="245" t="inlineStr"/>
      <c r="J99" s="245" t="inlineStr"/>
      <c r="K99" s="245" t="inlineStr">
        <is>
          <t>12IN OPP HD FL</t>
        </is>
      </c>
      <c r="L99" s="245" t="inlineStr">
        <is>
          <t>ZU-MFMA1OZI-12F</t>
        </is>
      </c>
      <c r="M99" s="248" t="inlineStr">
        <is>
          <t>612E2L8I</t>
        </is>
      </c>
      <c r="N99" s="245" t="inlineStr">
        <is>
          <t>F.MFM.12F.010.AD</t>
        </is>
      </c>
      <c r="O99" s="245" t="n"/>
      <c r="P99" s="245" t="n"/>
      <c r="Q99" s="250">
        <f>R99/H99</f>
        <v/>
      </c>
      <c r="R99" s="251" t="n">
        <v>64.63</v>
      </c>
      <c r="S99" s="249" t="n">
        <v>17594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580</v>
      </c>
      <c r="I100" s="245" t="inlineStr"/>
      <c r="J100" s="245" t="inlineStr"/>
      <c r="K100" s="245" t="inlineStr">
        <is>
          <t>8IN GREEN TEA MF MATTRESS FL</t>
        </is>
      </c>
      <c r="L100" s="245" t="inlineStr">
        <is>
          <t>ZU-MFMA1ZZI-08F</t>
        </is>
      </c>
      <c r="M100" s="248" t="inlineStr">
        <is>
          <t>612E2L8I</t>
        </is>
      </c>
      <c r="N100" s="245" t="inlineStr">
        <is>
          <t>F.MFM.08F.008.AD</t>
        </is>
      </c>
      <c r="O100" s="245" t="n"/>
      <c r="P100" s="245" t="n"/>
      <c r="Q100" s="250">
        <f>R100/H100</f>
        <v/>
      </c>
      <c r="R100" s="251" t="n">
        <v>32474.2</v>
      </c>
      <c r="S100" s="249" t="n">
        <v>17594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7.1" customHeight="1" s="202">
      <c r="A101" s="254" t="n"/>
      <c r="B101" s="254" t="n"/>
      <c r="C101" s="254" t="n"/>
      <c r="D101" s="254" t="n"/>
      <c r="E101" s="254" t="n"/>
      <c r="F101" s="254" t="n"/>
      <c r="G101" s="254" t="n"/>
      <c r="H101" s="255">
        <f>SUM(H95:H100)</f>
        <v/>
      </c>
      <c r="I101" s="254">
        <f>COUNTA(I95:I100)</f>
        <v/>
      </c>
      <c r="J101" s="254" t="n"/>
      <c r="K101" s="254" t="n"/>
      <c r="L101" s="254" t="n"/>
      <c r="M101" s="254" t="n"/>
      <c r="N101" s="254" t="n"/>
      <c r="O101" s="256">
        <f>SUM(O95:O100)</f>
        <v/>
      </c>
      <c r="P101" s="256">
        <f>SUM(P95:P100)</f>
        <v/>
      </c>
      <c r="Q101" s="254" t="n"/>
      <c r="R101" s="257">
        <f>SUM(R95:R100)</f>
        <v/>
      </c>
      <c r="S101" s="254" t="n"/>
      <c r="T101" s="258">
        <f>SUM(T95:T100)</f>
        <v/>
      </c>
      <c r="U101" s="254" t="n"/>
      <c r="V101" s="254" t="n"/>
      <c r="W101" s="254" t="n"/>
      <c r="X101" s="254" t="n"/>
      <c r="Y101" s="254" t="n"/>
      <c r="Z101" s="254" t="n"/>
    </row>
    <row r="102" ht="16.5" customHeight="1" s="202">
      <c r="A102" s="245" t="n">
        <v>21</v>
      </c>
      <c r="B102" s="245" t="inlineStr">
        <is>
          <t>000030ZIK48020260916000804</t>
        </is>
      </c>
      <c r="C102" s="245" t="n">
        <v>589617</v>
      </c>
      <c r="D102" s="245" t="n">
        <v>589546</v>
      </c>
      <c r="E102" s="246" t="n">
        <v>46282</v>
      </c>
      <c r="F102" s="245" t="inlineStr">
        <is>
          <t>ID2609-8477</t>
        </is>
      </c>
      <c r="G102" s="246" t="n">
        <v>46281</v>
      </c>
      <c r="H102" s="247" t="n">
        <v>1420</v>
      </c>
      <c r="I102" s="245" t="inlineStr">
        <is>
          <t>BEAU5136846</t>
        </is>
      </c>
      <c r="J102" s="245" t="inlineStr">
        <is>
          <t>40FT</t>
        </is>
      </c>
      <c r="K102" s="245" t="inlineStr">
        <is>
          <t>6IN GREEN TEA MF MATTRESS QN</t>
        </is>
      </c>
      <c r="L102" s="245" t="inlineStr">
        <is>
          <t>ZU-MFMA1ZZI-06Q</t>
        </is>
      </c>
      <c r="M102" s="248" t="inlineStr">
        <is>
          <t>4FZYSA3A</t>
        </is>
      </c>
      <c r="N102" s="245" t="inlineStr">
        <is>
          <t>F.MFM.06Q.007.AD</t>
        </is>
      </c>
      <c r="O102" s="249" t="n">
        <v>97001.81</v>
      </c>
      <c r="P102" s="249" t="n">
        <v>82209.92</v>
      </c>
      <c r="Q102" s="250">
        <f>R102/H102</f>
        <v/>
      </c>
      <c r="R102" s="251" t="n">
        <v>64624.2</v>
      </c>
      <c r="S102" s="249" t="n">
        <v>17594</v>
      </c>
      <c r="T102" s="252">
        <f>S102*R102</f>
        <v/>
      </c>
      <c r="U102" s="245" t="inlineStr">
        <is>
          <t>040300/KPPBC</t>
        </is>
      </c>
      <c r="V102" s="245" t="inlineStr">
        <is>
          <t>TG. PRIOK</t>
        </is>
      </c>
      <c r="W102" s="245" t="inlineStr">
        <is>
          <t>SAVANNAH, US</t>
        </is>
      </c>
      <c r="X102" s="245" t="inlineStr">
        <is>
          <t>AMAZON.COM SERVICES LLC</t>
        </is>
      </c>
      <c r="Y102" s="245" t="inlineStr">
        <is>
          <t>EGLV080600606898</t>
        </is>
      </c>
      <c r="Z102" s="246" t="n">
        <v>46282</v>
      </c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1382</v>
      </c>
      <c r="I103" s="245" t="inlineStr">
        <is>
          <t>DRYU9681438</t>
        </is>
      </c>
      <c r="J103" s="245" t="inlineStr">
        <is>
          <t>40FT</t>
        </is>
      </c>
      <c r="K103" s="245" t="inlineStr">
        <is>
          <t>6IN GREEN TEA MF MATTRESS TW</t>
        </is>
      </c>
      <c r="L103" s="245" t="inlineStr">
        <is>
          <t>ZU-MFMA1ZZI-06T</t>
        </is>
      </c>
      <c r="M103" s="248" t="inlineStr">
        <is>
          <t>4FZYSA3A</t>
        </is>
      </c>
      <c r="N103" s="245" t="inlineStr">
        <is>
          <t>F.MFM.06T.007.AD</t>
        </is>
      </c>
      <c r="O103" s="245" t="n"/>
      <c r="P103" s="245" t="n"/>
      <c r="Q103" s="250">
        <f>R103/H103</f>
        <v/>
      </c>
      <c r="R103" s="251" t="n">
        <v>42164.82</v>
      </c>
      <c r="S103" s="249" t="n">
        <v>17594</v>
      </c>
      <c r="T103" s="252">
        <f>S103*R103</f>
        <v/>
      </c>
      <c r="U103" s="245" t="n"/>
      <c r="V103" s="245" t="n"/>
      <c r="W103" s="245" t="inlineStr">
        <is>
          <t>ETD : 22-09-2026</t>
        </is>
      </c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2704</v>
      </c>
      <c r="I104" s="245" t="inlineStr">
        <is>
          <t>TGBU8624924</t>
        </is>
      </c>
      <c r="J104" s="245" t="inlineStr">
        <is>
          <t>40FT</t>
        </is>
      </c>
      <c r="K104" s="245" t="inlineStr">
        <is>
          <t>8IN GREEN TEA MF MATTRESS TW</t>
        </is>
      </c>
      <c r="L104" s="245" t="inlineStr">
        <is>
          <t>ZU-MFMA1ZZI-08T</t>
        </is>
      </c>
      <c r="M104" s="248" t="inlineStr">
        <is>
          <t>4FZYSA3A</t>
        </is>
      </c>
      <c r="N104" s="245" t="inlineStr">
        <is>
          <t>F.MFM.08T.008.AD</t>
        </is>
      </c>
      <c r="O104" s="245" t="n"/>
      <c r="P104" s="245" t="n"/>
      <c r="Q104" s="250">
        <f>R104/H104</f>
        <v/>
      </c>
      <c r="R104" s="251" t="n">
        <v>97154.72</v>
      </c>
      <c r="S104" s="249" t="n">
        <v>17594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80</v>
      </c>
      <c r="I105" s="245" t="inlineStr">
        <is>
          <t>EGHU9130116</t>
        </is>
      </c>
      <c r="J105" s="245" t="inlineStr">
        <is>
          <t>40FT</t>
        </is>
      </c>
      <c r="K105" s="245" t="inlineStr">
        <is>
          <t>12IN GREEN TEA MF MATTRESS EK</t>
        </is>
      </c>
      <c r="L105" s="245" t="inlineStr">
        <is>
          <t>ZU-MFMA1ZZI-12K</t>
        </is>
      </c>
      <c r="M105" s="248" t="inlineStr">
        <is>
          <t>4FZYSA3A</t>
        </is>
      </c>
      <c r="N105" s="245" t="inlineStr">
        <is>
          <t>F.MFM.12K.006.AD</t>
        </is>
      </c>
      <c r="O105" s="245" t="n"/>
      <c r="P105" s="245" t="n"/>
      <c r="Q105" s="250">
        <f>R105/H105</f>
        <v/>
      </c>
      <c r="R105" s="251" t="n">
        <v>8157.6</v>
      </c>
      <c r="S105" s="249" t="n">
        <v>17594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13</v>
      </c>
      <c r="I106" s="245" t="inlineStr">
        <is>
          <t>EGHU9439276</t>
        </is>
      </c>
      <c r="J106" s="245" t="inlineStr">
        <is>
          <t>40FT</t>
        </is>
      </c>
      <c r="K106" s="245" t="inlineStr">
        <is>
          <t>12IN GREEN TEA MF MATTRESS TW</t>
        </is>
      </c>
      <c r="L106" s="245" t="inlineStr">
        <is>
          <t>ZU-MFMA1ZZI-12T</t>
        </is>
      </c>
      <c r="M106" s="248" t="inlineStr">
        <is>
          <t>4FZYSA3A</t>
        </is>
      </c>
      <c r="N106" s="245" t="inlineStr">
        <is>
          <t>F.MFM.12T.006.AD</t>
        </is>
      </c>
      <c r="O106" s="245" t="n"/>
      <c r="P106" s="245" t="n"/>
      <c r="Q106" s="250">
        <f>R106/H106</f>
        <v/>
      </c>
      <c r="R106" s="251" t="n">
        <v>821.6</v>
      </c>
      <c r="S106" s="249" t="n">
        <v>17594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640</v>
      </c>
      <c r="I107" s="245" t="inlineStr">
        <is>
          <t>TXGU6141278</t>
        </is>
      </c>
      <c r="J107" s="245" t="inlineStr">
        <is>
          <t>40FT</t>
        </is>
      </c>
      <c r="K107" s="245" t="inlineStr">
        <is>
          <t>12IN GREEN TEA MF MATTRESS TX</t>
        </is>
      </c>
      <c r="L107" s="245" t="inlineStr">
        <is>
          <t>ZU-MFMA1ZZI-12X</t>
        </is>
      </c>
      <c r="M107" s="248" t="inlineStr">
        <is>
          <t>4FZYSA3A</t>
        </is>
      </c>
      <c r="N107" s="245" t="inlineStr">
        <is>
          <t>F.MFM.12X.006.AD</t>
        </is>
      </c>
      <c r="O107" s="245" t="n"/>
      <c r="P107" s="245" t="n"/>
      <c r="Q107" s="250">
        <f>R107/H107</f>
        <v/>
      </c>
      <c r="R107" s="251" t="n">
        <v>37312</v>
      </c>
      <c r="S107" s="249" t="n">
        <v>17594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5" t="n"/>
      <c r="I108" s="245" t="inlineStr">
        <is>
          <t>EITU9403994</t>
        </is>
      </c>
      <c r="J108" s="245" t="inlineStr">
        <is>
          <t>40FT</t>
        </is>
      </c>
      <c r="K108" s="245" t="n"/>
      <c r="L108" s="245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5" t="n"/>
      <c r="I109" s="245" t="inlineStr">
        <is>
          <t>EGSU9455394</t>
        </is>
      </c>
      <c r="J109" s="245" t="inlineStr">
        <is>
          <t>40FT</t>
        </is>
      </c>
      <c r="K109" s="245" t="n"/>
      <c r="L109" s="245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</row>
    <row r="110" ht="17.1" customHeight="1" s="202">
      <c r="A110" s="254" t="n"/>
      <c r="B110" s="254" t="n"/>
      <c r="C110" s="254" t="n"/>
      <c r="D110" s="254" t="n"/>
      <c r="E110" s="254" t="n"/>
      <c r="F110" s="254" t="n"/>
      <c r="G110" s="254" t="n"/>
      <c r="H110" s="255">
        <f>SUM(H102:H109)</f>
        <v/>
      </c>
      <c r="I110" s="254">
        <f>COUNTA(I102:I109)</f>
        <v/>
      </c>
      <c r="J110" s="254" t="n"/>
      <c r="K110" s="254" t="n"/>
      <c r="L110" s="254" t="n"/>
      <c r="M110" s="254" t="n"/>
      <c r="N110" s="254" t="n"/>
      <c r="O110" s="256">
        <f>SUM(O102:O109)</f>
        <v/>
      </c>
      <c r="P110" s="256">
        <f>SUM(P102:P109)</f>
        <v/>
      </c>
      <c r="Q110" s="254" t="n"/>
      <c r="R110" s="257">
        <f>SUM(R102:R109)</f>
        <v/>
      </c>
      <c r="S110" s="254" t="n"/>
      <c r="T110" s="258">
        <f>SUM(T102:T109)</f>
        <v/>
      </c>
      <c r="U110" s="254" t="n"/>
      <c r="V110" s="254" t="n"/>
      <c r="W110" s="254" t="n"/>
      <c r="X110" s="254" t="n"/>
      <c r="Y110" s="254" t="n"/>
      <c r="Z110" s="254" t="n"/>
    </row>
    <row r="111" ht="16.5" customHeight="1" s="202">
      <c r="A111" s="245" t="n">
        <v>22</v>
      </c>
      <c r="B111" s="245" t="inlineStr">
        <is>
          <t>000030ZIK48020260916000805</t>
        </is>
      </c>
      <c r="C111" s="245" t="n">
        <v>589156</v>
      </c>
      <c r="D111" s="245" t="n">
        <v>589086</v>
      </c>
      <c r="E111" s="246" t="n">
        <v>46282</v>
      </c>
      <c r="F111" s="245" t="inlineStr">
        <is>
          <t>ID2609-8478</t>
        </is>
      </c>
      <c r="G111" s="246" t="n">
        <v>46281</v>
      </c>
      <c r="H111" s="247" t="n">
        <v>1914</v>
      </c>
      <c r="I111" s="245" t="inlineStr">
        <is>
          <t>CAAU5719758</t>
        </is>
      </c>
      <c r="J111" s="245" t="inlineStr">
        <is>
          <t>40FT</t>
        </is>
      </c>
      <c r="K111" s="245" t="inlineStr">
        <is>
          <t>8IN GREEN TEA MF MATTRESS FL</t>
        </is>
      </c>
      <c r="L111" s="245" t="inlineStr">
        <is>
          <t>ZU-MFMA1ZZI-08F</t>
        </is>
      </c>
      <c r="M111" s="248" t="inlineStr">
        <is>
          <t>4FZYSA3A</t>
        </is>
      </c>
      <c r="N111" s="245" t="inlineStr">
        <is>
          <t>F.MFM.08F.008.AD</t>
        </is>
      </c>
      <c r="O111" s="249" t="n">
        <v>46522.34</v>
      </c>
      <c r="P111" s="249" t="n">
        <v>39858.98</v>
      </c>
      <c r="Q111" s="250">
        <f>R111/H111</f>
        <v/>
      </c>
      <c r="R111" s="251" t="n">
        <v>107164.86</v>
      </c>
      <c r="S111" s="249" t="n">
        <v>17594</v>
      </c>
      <c r="T111" s="252">
        <f>S111*R111</f>
        <v/>
      </c>
      <c r="U111" s="245" t="inlineStr">
        <is>
          <t>040300/KPPBC</t>
        </is>
      </c>
      <c r="V111" s="245" t="inlineStr">
        <is>
          <t>TG. PRIOK</t>
        </is>
      </c>
      <c r="W111" s="245" t="inlineStr">
        <is>
          <t>SAVANNAH, US</t>
        </is>
      </c>
      <c r="X111" s="245" t="inlineStr">
        <is>
          <t>AMAZON.COM SERVICES LLC</t>
        </is>
      </c>
      <c r="Y111" s="245" t="inlineStr">
        <is>
          <t>EGLV080600614271</t>
        </is>
      </c>
      <c r="Z111" s="246" t="n">
        <v>46282</v>
      </c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394</v>
      </c>
      <c r="I112" s="245" t="inlineStr">
        <is>
          <t>EMCU1576169</t>
        </is>
      </c>
      <c r="J112" s="245" t="inlineStr">
        <is>
          <t>40FT</t>
        </is>
      </c>
      <c r="K112" s="245" t="inlineStr">
        <is>
          <t>10IN GREEN TEA MF MATTRESS FL</t>
        </is>
      </c>
      <c r="L112" s="245" t="inlineStr">
        <is>
          <t>ZU-MFMA1ZZI-10F</t>
        </is>
      </c>
      <c r="M112" s="248" t="inlineStr">
        <is>
          <t>4FZYSA3A</t>
        </is>
      </c>
      <c r="N112" s="245" t="inlineStr">
        <is>
          <t>F.MFM.10F.007.AD</t>
        </is>
      </c>
      <c r="O112" s="245" t="n"/>
      <c r="P112" s="245" t="n"/>
      <c r="Q112" s="250">
        <f>R112/H112</f>
        <v/>
      </c>
      <c r="R112" s="251" t="n">
        <v>24451.64</v>
      </c>
      <c r="S112" s="249" t="n">
        <v>17594</v>
      </c>
      <c r="T112" s="252">
        <f>S112*R112</f>
        <v/>
      </c>
      <c r="U112" s="245" t="n"/>
      <c r="V112" s="245" t="n"/>
      <c r="W112" s="245" t="inlineStr">
        <is>
          <t>ETD : 22-09-2026</t>
        </is>
      </c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5" t="n"/>
      <c r="I113" s="245" t="inlineStr">
        <is>
          <t>EGHU9608566</t>
        </is>
      </c>
      <c r="J113" s="245" t="inlineStr">
        <is>
          <t>40FT</t>
        </is>
      </c>
      <c r="K113" s="245" t="n"/>
      <c r="L113" s="245" t="n"/>
      <c r="M113" s="245" t="n"/>
      <c r="N113" s="245" t="n"/>
      <c r="O113" s="245" t="n"/>
      <c r="P113" s="245" t="n"/>
      <c r="Q113" s="245" t="n"/>
      <c r="R113" s="245" t="n"/>
      <c r="S113" s="245" t="n"/>
      <c r="T113" s="245" t="n"/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5" t="n"/>
      <c r="I114" s="245" t="inlineStr">
        <is>
          <t>EGSU1406201</t>
        </is>
      </c>
      <c r="J114" s="245" t="inlineStr">
        <is>
          <t>40FT</t>
        </is>
      </c>
      <c r="K114" s="245" t="n"/>
      <c r="L114" s="245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</row>
    <row r="115" ht="17.1" customHeight="1" s="202">
      <c r="A115" s="254" t="n"/>
      <c r="B115" s="254" t="n"/>
      <c r="C115" s="254" t="n"/>
      <c r="D115" s="254" t="n"/>
      <c r="E115" s="254" t="n"/>
      <c r="F115" s="254" t="n"/>
      <c r="G115" s="254" t="n"/>
      <c r="H115" s="255">
        <f>SUM(H111:H114)</f>
        <v/>
      </c>
      <c r="I115" s="254">
        <f>COUNTA(I111:I114)</f>
        <v/>
      </c>
      <c r="J115" s="254" t="n"/>
      <c r="K115" s="254" t="n"/>
      <c r="L115" s="254" t="n"/>
      <c r="M115" s="254" t="n"/>
      <c r="N115" s="254" t="n"/>
      <c r="O115" s="256">
        <f>SUM(O111:O114)</f>
        <v/>
      </c>
      <c r="P115" s="256">
        <f>SUM(P111:P114)</f>
        <v/>
      </c>
      <c r="Q115" s="254" t="n"/>
      <c r="R115" s="257">
        <f>SUM(R111:R114)</f>
        <v/>
      </c>
      <c r="S115" s="254" t="n"/>
      <c r="T115" s="258">
        <f>SUM(T111:T114)</f>
        <v/>
      </c>
      <c r="U115" s="254" t="n"/>
      <c r="V115" s="254" t="n"/>
      <c r="W115" s="254" t="n"/>
      <c r="X115" s="254" t="n"/>
      <c r="Y115" s="254" t="n"/>
      <c r="Z115" s="254" t="n"/>
    </row>
    <row r="116" ht="16.5" customHeight="1" s="202">
      <c r="A116" s="245" t="n">
        <v>23</v>
      </c>
      <c r="B116" s="245" t="inlineStr">
        <is>
          <t>000030ZIK48020260917000806</t>
        </is>
      </c>
      <c r="C116" s="245" t="n">
        <v>592158</v>
      </c>
      <c r="D116" s="245" t="n">
        <v>592100</v>
      </c>
      <c r="E116" s="246" t="n">
        <v>46283</v>
      </c>
      <c r="F116" s="245" t="inlineStr">
        <is>
          <t>ID2609-8446</t>
        </is>
      </c>
      <c r="G116" s="246" t="n">
        <v>46279</v>
      </c>
      <c r="H116" s="247" t="n">
        <v>311</v>
      </c>
      <c r="I116" s="245" t="inlineStr">
        <is>
          <t>MSNU7433614</t>
        </is>
      </c>
      <c r="J116" s="245" t="inlineStr">
        <is>
          <t>40FT</t>
        </is>
      </c>
      <c r="K116" s="245" t="inlineStr">
        <is>
          <t>12IN MYGEL FOAM MATTRESS QN</t>
        </is>
      </c>
      <c r="L116" s="245" t="inlineStr">
        <is>
          <t>ZU-MFGN1YZI-12Q</t>
        </is>
      </c>
      <c r="M116" s="248" t="inlineStr">
        <is>
          <t>2PQ6CSKE</t>
        </is>
      </c>
      <c r="N116" s="245" t="inlineStr">
        <is>
          <t>F.MFG.12Q.002.AD</t>
        </is>
      </c>
      <c r="O116" s="249" t="n">
        <v>80965.05</v>
      </c>
      <c r="P116" s="249" t="n">
        <v>69075.28999999999</v>
      </c>
      <c r="Q116" s="250">
        <f>R116/H116</f>
        <v/>
      </c>
      <c r="R116" s="251" t="n">
        <v>25595.3</v>
      </c>
      <c r="S116" s="249" t="n">
        <v>17594</v>
      </c>
      <c r="T116" s="252">
        <f>S116*R116</f>
        <v/>
      </c>
      <c r="U116" s="245" t="inlineStr">
        <is>
          <t>040300/KPPBC</t>
        </is>
      </c>
      <c r="V116" s="245" t="inlineStr">
        <is>
          <t>TG. PRIOK</t>
        </is>
      </c>
      <c r="W116" s="245" t="inlineStr">
        <is>
          <t>LONG BEACH, US</t>
        </is>
      </c>
      <c r="X116" s="245" t="inlineStr">
        <is>
          <t>AMAZON.COM SERVICES LLC</t>
        </is>
      </c>
      <c r="Y116" s="245" t="inlineStr">
        <is>
          <t>MEDUKU700655</t>
        </is>
      </c>
      <c r="Z116" s="246" t="n">
        <v>46283</v>
      </c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3418</v>
      </c>
      <c r="I117" s="245" t="inlineStr">
        <is>
          <t>MSCU5371382</t>
        </is>
      </c>
      <c r="J117" s="245" t="inlineStr">
        <is>
          <t>40FT</t>
        </is>
      </c>
      <c r="K117" s="245" t="inlineStr">
        <is>
          <t>8IN OPP HD TW</t>
        </is>
      </c>
      <c r="L117" s="245" t="inlineStr">
        <is>
          <t>ZU-MFMA1OZI-08T</t>
        </is>
      </c>
      <c r="M117" s="248" t="inlineStr">
        <is>
          <t>2PQ6CSKE</t>
        </is>
      </c>
      <c r="N117" s="245" t="inlineStr">
        <is>
          <t>F.MFM.08T.013.AD</t>
        </is>
      </c>
      <c r="O117" s="245" t="n"/>
      <c r="P117" s="245" t="n"/>
      <c r="Q117" s="250">
        <f>R117/H117</f>
        <v/>
      </c>
      <c r="R117" s="251" t="n">
        <v>102334.92</v>
      </c>
      <c r="S117" s="249" t="n">
        <v>17594</v>
      </c>
      <c r="T117" s="252">
        <f>S117*R117</f>
        <v/>
      </c>
      <c r="U117" s="245" t="n"/>
      <c r="V117" s="245" t="n"/>
      <c r="W117" s="245" t="inlineStr">
        <is>
          <t>ETD : 24-09-2026</t>
        </is>
      </c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884</v>
      </c>
      <c r="I118" s="245" t="inlineStr">
        <is>
          <t>MSMU8746651</t>
        </is>
      </c>
      <c r="J118" s="245" t="inlineStr">
        <is>
          <t>40FT</t>
        </is>
      </c>
      <c r="K118" s="245" t="inlineStr">
        <is>
          <t>10IN AIRFLOW GEL FOAM MATT QN</t>
        </is>
      </c>
      <c r="L118" s="245" t="inlineStr">
        <is>
          <t>ZU-MFMA1RZI-10Q</t>
        </is>
      </c>
      <c r="M118" s="248" t="inlineStr">
        <is>
          <t>2PQ6CSKE</t>
        </is>
      </c>
      <c r="N118" s="245" t="inlineStr">
        <is>
          <t>F.MFM.10Q.014.AD</t>
        </is>
      </c>
      <c r="O118" s="245" t="n"/>
      <c r="P118" s="245" t="n"/>
      <c r="Q118" s="250">
        <f>R118/H118</f>
        <v/>
      </c>
      <c r="R118" s="251" t="n">
        <v>47647.6</v>
      </c>
      <c r="S118" s="249" t="n">
        <v>17594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5" t="n"/>
      <c r="I119" s="245" t="inlineStr">
        <is>
          <t>MEDU4656052</t>
        </is>
      </c>
      <c r="J119" s="245" t="inlineStr">
        <is>
          <t>40FT</t>
        </is>
      </c>
      <c r="K119" s="245" t="n"/>
      <c r="L119" s="245" t="n"/>
      <c r="M119" s="245" t="n"/>
      <c r="N119" s="245" t="n"/>
      <c r="O119" s="245" t="n"/>
      <c r="P119" s="245" t="n"/>
      <c r="Q119" s="245" t="n"/>
      <c r="R119" s="245" t="n"/>
      <c r="S119" s="245" t="n"/>
      <c r="T119" s="245" t="n"/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5" t="n"/>
      <c r="I120" s="245" t="inlineStr">
        <is>
          <t>MSMU8231764</t>
        </is>
      </c>
      <c r="J120" s="245" t="inlineStr">
        <is>
          <t>40FT</t>
        </is>
      </c>
      <c r="K120" s="245" t="n"/>
      <c r="L120" s="245" t="n"/>
      <c r="M120" s="245" t="n"/>
      <c r="N120" s="245" t="n"/>
      <c r="O120" s="245" t="n"/>
      <c r="P120" s="245" t="n"/>
      <c r="Q120" s="245" t="n"/>
      <c r="R120" s="245" t="n"/>
      <c r="S120" s="245" t="n"/>
      <c r="T120" s="245" t="n"/>
      <c r="U120" s="245" t="n"/>
      <c r="V120" s="245" t="n"/>
      <c r="W120" s="245" t="n"/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5" t="n"/>
      <c r="I121" s="245" t="inlineStr">
        <is>
          <t>MSDU5497163</t>
        </is>
      </c>
      <c r="J121" s="245" t="inlineStr">
        <is>
          <t>40FT</t>
        </is>
      </c>
      <c r="K121" s="245" t="n"/>
      <c r="L121" s="245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5" t="n"/>
      <c r="I122" s="245" t="inlineStr">
        <is>
          <t>TLLU8719743</t>
        </is>
      </c>
      <c r="J122" s="245" t="inlineStr">
        <is>
          <t>40FT</t>
        </is>
      </c>
      <c r="K122" s="245" t="n"/>
      <c r="L122" s="245" t="n"/>
      <c r="M122" s="245" t="n"/>
      <c r="N122" s="245" t="n"/>
      <c r="O122" s="245" t="n"/>
      <c r="P122" s="245" t="n"/>
      <c r="Q122" s="245" t="n"/>
      <c r="R122" s="245" t="n"/>
      <c r="S122" s="245" t="n"/>
      <c r="T122" s="245" t="n"/>
      <c r="U122" s="245" t="n"/>
      <c r="V122" s="245" t="n"/>
      <c r="W122" s="245" t="n"/>
      <c r="X122" s="245" t="n"/>
      <c r="Y122" s="245" t="n"/>
      <c r="Z122" s="245" t="n"/>
    </row>
    <row r="123" ht="17.1" customHeight="1" s="202">
      <c r="A123" s="254" t="n"/>
      <c r="B123" s="254" t="n"/>
      <c r="C123" s="254" t="n"/>
      <c r="D123" s="254" t="n"/>
      <c r="E123" s="254" t="n"/>
      <c r="F123" s="254" t="n"/>
      <c r="G123" s="254" t="n"/>
      <c r="H123" s="255">
        <f>SUM(H116:H122)</f>
        <v/>
      </c>
      <c r="I123" s="254">
        <f>COUNTA(I116:I122)</f>
        <v/>
      </c>
      <c r="J123" s="254" t="n"/>
      <c r="K123" s="254" t="n"/>
      <c r="L123" s="254" t="n"/>
      <c r="M123" s="254" t="n"/>
      <c r="N123" s="254" t="n"/>
      <c r="O123" s="256">
        <f>SUM(O116:O122)</f>
        <v/>
      </c>
      <c r="P123" s="256">
        <f>SUM(P116:P122)</f>
        <v/>
      </c>
      <c r="Q123" s="254" t="n"/>
      <c r="R123" s="257">
        <f>SUM(R116:R122)</f>
        <v/>
      </c>
      <c r="S123" s="254" t="n"/>
      <c r="T123" s="258">
        <f>SUM(T116:T122)</f>
        <v/>
      </c>
      <c r="U123" s="254" t="n"/>
      <c r="V123" s="254" t="n"/>
      <c r="W123" s="254" t="n"/>
      <c r="X123" s="254" t="n"/>
      <c r="Y123" s="254" t="n"/>
      <c r="Z123" s="254" t="n"/>
    </row>
    <row r="124" ht="16.5" customHeight="1" s="202">
      <c r="A124" s="245" t="n">
        <v>24</v>
      </c>
      <c r="B124" s="245" t="inlineStr">
        <is>
          <t>000030ZIK48020260917000807</t>
        </is>
      </c>
      <c r="C124" s="245" t="n">
        <v>594433</v>
      </c>
      <c r="D124" s="245" t="n">
        <v>594375</v>
      </c>
      <c r="E124" s="246" t="n">
        <v>46283</v>
      </c>
      <c r="F124" s="245" t="inlineStr">
        <is>
          <t>ID2609-8447</t>
        </is>
      </c>
      <c r="G124" s="246" t="n">
        <v>46279</v>
      </c>
      <c r="H124" s="247" t="n">
        <v>3261</v>
      </c>
      <c r="I124" s="245" t="inlineStr">
        <is>
          <t>BMOU6892415</t>
        </is>
      </c>
      <c r="J124" s="245" t="inlineStr">
        <is>
          <t>40FT</t>
        </is>
      </c>
      <c r="K124" s="245" t="inlineStr">
        <is>
          <t>10IN GREEN TEA MF MATTRESS QN</t>
        </is>
      </c>
      <c r="L124" s="245" t="inlineStr">
        <is>
          <t>ZU-MFMA1ZZI-10Q</t>
        </is>
      </c>
      <c r="M124" s="248" t="inlineStr">
        <is>
          <t>63H36GGV</t>
        </is>
      </c>
      <c r="N124" s="245" t="inlineStr">
        <is>
          <t>F.MFM.10Q.007.AD</t>
        </is>
      </c>
      <c r="O124" s="249" t="n">
        <v>97713.10000000001</v>
      </c>
      <c r="P124" s="249" t="n">
        <v>86572.62</v>
      </c>
      <c r="Q124" s="250">
        <f>R124/H124</f>
        <v/>
      </c>
      <c r="R124" s="251" t="n">
        <v>214834.68</v>
      </c>
      <c r="S124" s="249" t="n">
        <v>17594</v>
      </c>
      <c r="T124" s="252">
        <f>S124*R124</f>
        <v/>
      </c>
      <c r="U124" s="245" t="inlineStr">
        <is>
          <t>040300/KPPBC</t>
        </is>
      </c>
      <c r="V124" s="245" t="inlineStr">
        <is>
          <t>TG. PRIOK</t>
        </is>
      </c>
      <c r="W124" s="245" t="inlineStr">
        <is>
          <t>LONG BEACH, US</t>
        </is>
      </c>
      <c r="X124" s="245" t="inlineStr">
        <is>
          <t>AMAZON.COM SERVICES LLC</t>
        </is>
      </c>
      <c r="Y124" s="245" t="inlineStr">
        <is>
          <t>MEDUKU720224</t>
        </is>
      </c>
      <c r="Z124" s="246" t="n">
        <v>46283</v>
      </c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220</v>
      </c>
      <c r="I125" s="245" t="inlineStr">
        <is>
          <t>TXGU7933120</t>
        </is>
      </c>
      <c r="J125" s="245" t="inlineStr">
        <is>
          <t>40FT</t>
        </is>
      </c>
      <c r="K125" s="245" t="inlineStr">
        <is>
          <t>12IN GREEN TEA MF MATTRESS EK</t>
        </is>
      </c>
      <c r="L125" s="245" t="inlineStr">
        <is>
          <t>ZU-MFMA1ZZI-12K</t>
        </is>
      </c>
      <c r="M125" s="248" t="inlineStr">
        <is>
          <t>63H36GGV</t>
        </is>
      </c>
      <c r="N125" s="245" t="inlineStr">
        <is>
          <t>F.MFM.12K.006.AD</t>
        </is>
      </c>
      <c r="O125" s="245" t="n"/>
      <c r="P125" s="245" t="n"/>
      <c r="Q125" s="250">
        <f>R125/H125</f>
        <v/>
      </c>
      <c r="R125" s="251" t="n">
        <v>22433.4</v>
      </c>
      <c r="S125" s="249" t="n">
        <v>17594</v>
      </c>
      <c r="T125" s="252">
        <f>S125*R125</f>
        <v/>
      </c>
      <c r="U125" s="245" t="n"/>
      <c r="V125" s="245" t="n"/>
      <c r="W125" s="245" t="inlineStr">
        <is>
          <t>ETD : 24-09-2026</t>
        </is>
      </c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5" t="n"/>
      <c r="I126" s="245" t="inlineStr">
        <is>
          <t>MSDU8244960</t>
        </is>
      </c>
      <c r="J126" s="245" t="inlineStr">
        <is>
          <t>40FT</t>
        </is>
      </c>
      <c r="K126" s="245" t="n"/>
      <c r="L126" s="245" t="n"/>
      <c r="M126" s="245" t="n"/>
      <c r="N126" s="245" t="n"/>
      <c r="O126" s="245" t="n"/>
      <c r="P126" s="245" t="n"/>
      <c r="Q126" s="245" t="n"/>
      <c r="R126" s="245" t="n"/>
      <c r="S126" s="245" t="n"/>
      <c r="T126" s="245" t="n"/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5" t="n"/>
      <c r="I127" s="245" t="inlineStr">
        <is>
          <t>TIIU4450870</t>
        </is>
      </c>
      <c r="J127" s="245" t="inlineStr">
        <is>
          <t>40FT</t>
        </is>
      </c>
      <c r="K127" s="245" t="n"/>
      <c r="L127" s="245" t="n"/>
      <c r="M127" s="245" t="n"/>
      <c r="N127" s="245" t="n"/>
      <c r="O127" s="245" t="n"/>
      <c r="P127" s="245" t="n"/>
      <c r="Q127" s="245" t="n"/>
      <c r="R127" s="245" t="n"/>
      <c r="S127" s="245" t="n"/>
      <c r="T127" s="245" t="n"/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5" t="n"/>
      <c r="I128" s="245" t="inlineStr">
        <is>
          <t>MSDU6673117</t>
        </is>
      </c>
      <c r="J128" s="245" t="inlineStr">
        <is>
          <t>40FT</t>
        </is>
      </c>
      <c r="K128" s="245" t="n"/>
      <c r="L128" s="245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5" t="n"/>
      <c r="I129" s="245" t="inlineStr">
        <is>
          <t>MEDU4720085</t>
        </is>
      </c>
      <c r="J129" s="245" t="inlineStr">
        <is>
          <t>40FT</t>
        </is>
      </c>
      <c r="K129" s="245" t="n"/>
      <c r="L129" s="245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5" t="n"/>
      <c r="I130" s="245" t="inlineStr">
        <is>
          <t>FFAU2618670</t>
        </is>
      </c>
      <c r="J130" s="245" t="inlineStr">
        <is>
          <t>40FT</t>
        </is>
      </c>
      <c r="K130" s="245" t="n"/>
      <c r="L130" s="245" t="n"/>
      <c r="M130" s="245" t="n"/>
      <c r="N130" s="245" t="n"/>
      <c r="O130" s="245" t="n"/>
      <c r="P130" s="245" t="n"/>
      <c r="Q130" s="245" t="n"/>
      <c r="R130" s="245" t="n"/>
      <c r="S130" s="245" t="n"/>
      <c r="T130" s="245" t="n"/>
      <c r="U130" s="245" t="n"/>
      <c r="V130" s="245" t="n"/>
      <c r="W130" s="245" t="n"/>
      <c r="X130" s="245" t="n"/>
      <c r="Y130" s="245" t="n"/>
      <c r="Z130" s="245" t="n"/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5" t="n"/>
      <c r="I131" s="245" t="inlineStr">
        <is>
          <t>TCLU9871705</t>
        </is>
      </c>
      <c r="J131" s="245" t="inlineStr">
        <is>
          <t>40FT</t>
        </is>
      </c>
      <c r="K131" s="245" t="n"/>
      <c r="L131" s="245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n"/>
      <c r="X131" s="245" t="n"/>
      <c r="Y131" s="245" t="n"/>
      <c r="Z131" s="245" t="n"/>
    </row>
    <row r="132" ht="17.1" customHeight="1" s="202">
      <c r="A132" s="254" t="n"/>
      <c r="B132" s="254" t="n"/>
      <c r="C132" s="254" t="n"/>
      <c r="D132" s="254" t="n"/>
      <c r="E132" s="254" t="n"/>
      <c r="F132" s="254" t="n"/>
      <c r="G132" s="254" t="n"/>
      <c r="H132" s="255">
        <f>SUM(H124:H131)</f>
        <v/>
      </c>
      <c r="I132" s="254">
        <f>COUNTA(I124:I131)</f>
        <v/>
      </c>
      <c r="J132" s="254" t="n"/>
      <c r="K132" s="254" t="n"/>
      <c r="L132" s="254" t="n"/>
      <c r="M132" s="254" t="n"/>
      <c r="N132" s="254" t="n"/>
      <c r="O132" s="256">
        <f>SUM(O124:O131)</f>
        <v/>
      </c>
      <c r="P132" s="256">
        <f>SUM(P124:P131)</f>
        <v/>
      </c>
      <c r="Q132" s="254" t="n"/>
      <c r="R132" s="257">
        <f>SUM(R124:R131)</f>
        <v/>
      </c>
      <c r="S132" s="254" t="n"/>
      <c r="T132" s="258">
        <f>SUM(T124:T131)</f>
        <v/>
      </c>
      <c r="U132" s="254" t="n"/>
      <c r="V132" s="254" t="n"/>
      <c r="W132" s="254" t="n"/>
      <c r="X132" s="254" t="n"/>
      <c r="Y132" s="254" t="n"/>
      <c r="Z132" s="254" t="n"/>
    </row>
    <row r="133" ht="16.5" customHeight="1" s="202">
      <c r="A133" s="245" t="n">
        <v>25</v>
      </c>
      <c r="B133" s="245" t="inlineStr">
        <is>
          <t>000030ZIK48020260917000808</t>
        </is>
      </c>
      <c r="C133" s="245" t="n">
        <v>594422</v>
      </c>
      <c r="D133" s="245" t="n">
        <v>594364</v>
      </c>
      <c r="E133" s="246" t="n">
        <v>46283</v>
      </c>
      <c r="F133" s="245" t="inlineStr">
        <is>
          <t>ID2609-8479</t>
        </is>
      </c>
      <c r="G133" s="246" t="n">
        <v>46281</v>
      </c>
      <c r="H133" s="247" t="n">
        <v>280</v>
      </c>
      <c r="I133" s="245" t="inlineStr">
        <is>
          <t>EGHU9168019</t>
        </is>
      </c>
      <c r="J133" s="245" t="inlineStr">
        <is>
          <t>40FT</t>
        </is>
      </c>
      <c r="K133" s="245" t="inlineStr">
        <is>
          <t>6IN MYGEL FOAM MATTRESS QN</t>
        </is>
      </c>
      <c r="L133" s="245" t="inlineStr">
        <is>
          <t>ZU-MFGN1YZI-06Q</t>
        </is>
      </c>
      <c r="M133" s="248" t="inlineStr">
        <is>
          <t>4FZYSA3A</t>
        </is>
      </c>
      <c r="N133" s="245" t="inlineStr">
        <is>
          <t>F.MFG.06Q.002.AD</t>
        </is>
      </c>
      <c r="O133" s="249" t="n">
        <v>70304.88</v>
      </c>
      <c r="P133" s="249" t="n">
        <v>59068.36</v>
      </c>
      <c r="Q133" s="250">
        <f>R133/H133</f>
        <v/>
      </c>
      <c r="R133" s="251" t="n">
        <v>13414.8</v>
      </c>
      <c r="S133" s="249" t="n">
        <v>17594</v>
      </c>
      <c r="T133" s="252">
        <f>S133*R133</f>
        <v/>
      </c>
      <c r="U133" s="245" t="inlineStr">
        <is>
          <t>040300/KPPBC</t>
        </is>
      </c>
      <c r="V133" s="245" t="inlineStr">
        <is>
          <t>TG. PRIOK</t>
        </is>
      </c>
      <c r="W133" s="245" t="inlineStr">
        <is>
          <t>SAVANNAH, US</t>
        </is>
      </c>
      <c r="X133" s="245" t="inlineStr">
        <is>
          <t>AMAZON.COM SERVICES LLC</t>
        </is>
      </c>
      <c r="Y133" s="245" t="inlineStr">
        <is>
          <t>EGLV080600614289</t>
        </is>
      </c>
      <c r="Z133" s="246" t="n">
        <v>46283</v>
      </c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7" t="n">
        <v>210</v>
      </c>
      <c r="I134" s="245" t="inlineStr">
        <is>
          <t>EGHU9187050</t>
        </is>
      </c>
      <c r="J134" s="245" t="inlineStr">
        <is>
          <t>40FT</t>
        </is>
      </c>
      <c r="K134" s="245" t="inlineStr">
        <is>
          <t>10IN MYGEL FOAM MATTRESS QN</t>
        </is>
      </c>
      <c r="L134" s="245" t="inlineStr">
        <is>
          <t>ZU-MFGN1YZI-10Q</t>
        </is>
      </c>
      <c r="M134" s="248" t="inlineStr">
        <is>
          <t>4FZYSA3A</t>
        </is>
      </c>
      <c r="N134" s="245" t="inlineStr">
        <is>
          <t>F.MFG.10Q.002.AD</t>
        </is>
      </c>
      <c r="O134" s="245" t="n"/>
      <c r="P134" s="245" t="n"/>
      <c r="Q134" s="250">
        <f>R134/H134</f>
        <v/>
      </c>
      <c r="R134" s="251" t="n">
        <v>13834.8</v>
      </c>
      <c r="S134" s="249" t="n">
        <v>17594</v>
      </c>
      <c r="T134" s="252">
        <f>S134*R134</f>
        <v/>
      </c>
      <c r="U134" s="245" t="n"/>
      <c r="V134" s="245" t="n"/>
      <c r="W134" s="245" t="inlineStr">
        <is>
          <t>ETD : 22-09-2026</t>
        </is>
      </c>
      <c r="X134" s="245" t="n"/>
      <c r="Y134" s="245" t="n"/>
      <c r="Z134" s="245" t="n"/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7" t="n">
        <v>97</v>
      </c>
      <c r="I135" s="245" t="inlineStr">
        <is>
          <t>EMCU1714099</t>
        </is>
      </c>
      <c r="J135" s="245" t="inlineStr">
        <is>
          <t>40FT</t>
        </is>
      </c>
      <c r="K135" s="245" t="inlineStr">
        <is>
          <t>12IN MYGEL FOAM MATTRESS TW</t>
        </is>
      </c>
      <c r="L135" s="245" t="inlineStr">
        <is>
          <t>ZU-MFGN1YZI-12T</t>
        </is>
      </c>
      <c r="M135" s="248" t="inlineStr">
        <is>
          <t>4FZYSA3A</t>
        </is>
      </c>
      <c r="N135" s="245" t="inlineStr">
        <is>
          <t>F.MFG.12T.002.AD</t>
        </is>
      </c>
      <c r="O135" s="245" t="n"/>
      <c r="P135" s="245" t="n"/>
      <c r="Q135" s="250">
        <f>R135/H135</f>
        <v/>
      </c>
      <c r="R135" s="251" t="n">
        <v>5884.02</v>
      </c>
      <c r="S135" s="249" t="n">
        <v>17594</v>
      </c>
      <c r="T135" s="252">
        <f>S135*R135</f>
        <v/>
      </c>
      <c r="U135" s="245" t="n"/>
      <c r="V135" s="245" t="n"/>
      <c r="W135" s="245" t="n"/>
      <c r="X135" s="245" t="n"/>
      <c r="Y135" s="245" t="n"/>
      <c r="Z135" s="245" t="n"/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7" t="n">
        <v>24</v>
      </c>
      <c r="I136" s="245" t="inlineStr">
        <is>
          <t>TXGU5858393</t>
        </is>
      </c>
      <c r="J136" s="245" t="inlineStr">
        <is>
          <t>40FT</t>
        </is>
      </c>
      <c r="K136" s="245" t="inlineStr">
        <is>
          <t>12IN QUADCOOL MF MATTRESS QN</t>
        </is>
      </c>
      <c r="L136" s="245" t="inlineStr">
        <is>
          <t>ZU-MFGNU2ZU-12Q</t>
        </is>
      </c>
      <c r="M136" s="248" t="inlineStr">
        <is>
          <t>4FZYSA3A</t>
        </is>
      </c>
      <c r="N136" s="245" t="inlineStr">
        <is>
          <t>F.MFG.12Q.000.AD</t>
        </is>
      </c>
      <c r="O136" s="245" t="n"/>
      <c r="P136" s="245" t="n"/>
      <c r="Q136" s="250">
        <f>R136/H136</f>
        <v/>
      </c>
      <c r="R136" s="251" t="n">
        <v>2549.52</v>
      </c>
      <c r="S136" s="249" t="n">
        <v>17594</v>
      </c>
      <c r="T136" s="252">
        <f>S136*R136</f>
        <v/>
      </c>
      <c r="U136" s="245" t="n"/>
      <c r="V136" s="245" t="n"/>
      <c r="W136" s="245" t="n"/>
      <c r="X136" s="245" t="n"/>
      <c r="Y136" s="245" t="n"/>
      <c r="Z136" s="245" t="n"/>
    </row>
    <row r="137" ht="16.5" customHeight="1" s="202">
      <c r="A137" s="245" t="n"/>
      <c r="B137" s="245" t="n"/>
      <c r="C137" s="245" t="n"/>
      <c r="D137" s="245" t="n"/>
      <c r="E137" s="245" t="n"/>
      <c r="F137" s="245" t="n"/>
      <c r="G137" s="245" t="n"/>
      <c r="H137" s="247" t="n">
        <v>134</v>
      </c>
      <c r="I137" s="245" t="inlineStr">
        <is>
          <t>TXGU5771858</t>
        </is>
      </c>
      <c r="J137" s="245" t="inlineStr">
        <is>
          <t>40FT</t>
        </is>
      </c>
      <c r="K137" s="245" t="inlineStr">
        <is>
          <t>6IN GREEN TEA MF MATTRESS FL</t>
        </is>
      </c>
      <c r="L137" s="245" t="inlineStr">
        <is>
          <t>ZU-MFMA1FZI-06F</t>
        </is>
      </c>
      <c r="M137" s="248" t="inlineStr">
        <is>
          <t>4FZYSA3A</t>
        </is>
      </c>
      <c r="N137" s="245" t="inlineStr">
        <is>
          <t>F.MFM.06F.006.AD</t>
        </is>
      </c>
      <c r="O137" s="245" t="n"/>
      <c r="P137" s="245" t="n"/>
      <c r="Q137" s="250">
        <f>R137/H137</f>
        <v/>
      </c>
      <c r="R137" s="251" t="n">
        <v>5662.84</v>
      </c>
      <c r="S137" s="249" t="n">
        <v>17594</v>
      </c>
      <c r="T137" s="252">
        <f>S137*R137</f>
        <v/>
      </c>
      <c r="U137" s="245" t="n"/>
      <c r="V137" s="245" t="n"/>
      <c r="W137" s="245" t="n"/>
      <c r="X137" s="245" t="n"/>
      <c r="Y137" s="245" t="n"/>
      <c r="Z137" s="245" t="n"/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7" t="n">
        <v>30</v>
      </c>
      <c r="I138" s="245" t="inlineStr">
        <is>
          <t>EMCU1657580</t>
        </is>
      </c>
      <c r="J138" s="245" t="inlineStr">
        <is>
          <t>40FT</t>
        </is>
      </c>
      <c r="K138" s="245" t="inlineStr">
        <is>
          <t>6IN GREEN TEA MF MATTRESS QN</t>
        </is>
      </c>
      <c r="L138" s="245" t="inlineStr">
        <is>
          <t>ZU-MFMA1FZI-06Q</t>
        </is>
      </c>
      <c r="M138" s="248" t="inlineStr">
        <is>
          <t>4FZYSA3A</t>
        </is>
      </c>
      <c r="N138" s="245" t="inlineStr">
        <is>
          <t>F.MFM.06Q.006.AD</t>
        </is>
      </c>
      <c r="O138" s="245" t="n"/>
      <c r="P138" s="245" t="n"/>
      <c r="Q138" s="250">
        <f>R138/H138</f>
        <v/>
      </c>
      <c r="R138" s="251" t="n">
        <v>1463.4</v>
      </c>
      <c r="S138" s="249" t="n">
        <v>17594</v>
      </c>
      <c r="T138" s="252">
        <f>S138*R138</f>
        <v/>
      </c>
      <c r="U138" s="245" t="n"/>
      <c r="V138" s="245" t="n"/>
      <c r="W138" s="245" t="n"/>
      <c r="X138" s="245" t="n"/>
      <c r="Y138" s="245" t="n"/>
      <c r="Z138" s="245" t="n"/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7" t="n">
        <v>240</v>
      </c>
      <c r="I139" s="245" t="inlineStr"/>
      <c r="J139" s="245" t="inlineStr"/>
      <c r="K139" s="245" t="inlineStr">
        <is>
          <t>6IN OPP HD FL</t>
        </is>
      </c>
      <c r="L139" s="245" t="inlineStr">
        <is>
          <t>ZU-MFMA1OZI-06F</t>
        </is>
      </c>
      <c r="M139" s="248" t="inlineStr">
        <is>
          <t>4FZYSA3A</t>
        </is>
      </c>
      <c r="N139" s="245" t="inlineStr">
        <is>
          <t>F.MFM.06F.008.AD</t>
        </is>
      </c>
      <c r="O139" s="245" t="n"/>
      <c r="P139" s="245" t="n"/>
      <c r="Q139" s="250">
        <f>R139/H139</f>
        <v/>
      </c>
      <c r="R139" s="251" t="n">
        <v>9228</v>
      </c>
      <c r="S139" s="249" t="n">
        <v>17594</v>
      </c>
      <c r="T139" s="252">
        <f>S139*R139</f>
        <v/>
      </c>
      <c r="U139" s="245" t="n"/>
      <c r="V139" s="245" t="n"/>
      <c r="W139" s="245" t="n"/>
      <c r="X139" s="245" t="n"/>
      <c r="Y139" s="245" t="n"/>
      <c r="Z139" s="245" t="n"/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7" t="n">
        <v>58</v>
      </c>
      <c r="I140" s="245" t="inlineStr"/>
      <c r="J140" s="245" t="inlineStr"/>
      <c r="K140" s="245" t="inlineStr">
        <is>
          <t>6IN OPP HD QN</t>
        </is>
      </c>
      <c r="L140" s="245" t="inlineStr">
        <is>
          <t>ZU-MFMA1OZI-06Q</t>
        </is>
      </c>
      <c r="M140" s="248" t="inlineStr">
        <is>
          <t>4FZYSA3A</t>
        </is>
      </c>
      <c r="N140" s="245" t="inlineStr">
        <is>
          <t>F.MFM.06Q.008.AD</t>
        </is>
      </c>
      <c r="O140" s="245" t="n"/>
      <c r="P140" s="245" t="n"/>
      <c r="Q140" s="250">
        <f>R140/H140</f>
        <v/>
      </c>
      <c r="R140" s="251" t="n">
        <v>2656.98</v>
      </c>
      <c r="S140" s="249" t="n">
        <v>17594</v>
      </c>
      <c r="T140" s="252">
        <f>S140*R140</f>
        <v/>
      </c>
      <c r="U140" s="245" t="n"/>
      <c r="V140" s="245" t="n"/>
      <c r="W140" s="245" t="n"/>
      <c r="X140" s="245" t="n"/>
      <c r="Y140" s="245" t="n"/>
      <c r="Z140" s="245" t="n"/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7" t="n">
        <v>212</v>
      </c>
      <c r="I141" s="245" t="inlineStr"/>
      <c r="J141" s="245" t="inlineStr"/>
      <c r="K141" s="245" t="inlineStr">
        <is>
          <t>8IN OPP HD FL</t>
        </is>
      </c>
      <c r="L141" s="245" t="inlineStr">
        <is>
          <t>ZU-MFMA1OZI-08F</t>
        </is>
      </c>
      <c r="M141" s="248" t="inlineStr">
        <is>
          <t>4FZYSA3A</t>
        </is>
      </c>
      <c r="N141" s="245" t="inlineStr">
        <is>
          <t>F.MFM.08F.013.AD</t>
        </is>
      </c>
      <c r="O141" s="245" t="n"/>
      <c r="P141" s="245" t="n"/>
      <c r="Q141" s="250">
        <f>R141/H141</f>
        <v/>
      </c>
      <c r="R141" s="251" t="n">
        <v>8253.16</v>
      </c>
      <c r="S141" s="249" t="n">
        <v>17594</v>
      </c>
      <c r="T141" s="252">
        <f>S141*R141</f>
        <v/>
      </c>
      <c r="U141" s="245" t="n"/>
      <c r="V141" s="245" t="n"/>
      <c r="W141" s="245" t="n"/>
      <c r="X141" s="245" t="n"/>
      <c r="Y141" s="245" t="n"/>
      <c r="Z141" s="245" t="n"/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2693</v>
      </c>
      <c r="I142" s="245" t="inlineStr"/>
      <c r="J142" s="245" t="inlineStr"/>
      <c r="K142" s="245" t="inlineStr">
        <is>
          <t>8IN OPP HD TW</t>
        </is>
      </c>
      <c r="L142" s="245" t="inlineStr">
        <is>
          <t>ZU-MFMA1OZI-08T</t>
        </is>
      </c>
      <c r="M142" s="248" t="inlineStr">
        <is>
          <t>4FZYSA3A</t>
        </is>
      </c>
      <c r="N142" s="245" t="inlineStr">
        <is>
          <t>F.MFM.08T.013.AD</t>
        </is>
      </c>
      <c r="O142" s="245" t="n"/>
      <c r="P142" s="245" t="n"/>
      <c r="Q142" s="250">
        <f>R142/H142</f>
        <v/>
      </c>
      <c r="R142" s="251" t="n">
        <v>80628.42</v>
      </c>
      <c r="S142" s="249" t="n">
        <v>17594</v>
      </c>
      <c r="T142" s="252">
        <f>S142*R142</f>
        <v/>
      </c>
      <c r="U142" s="245" t="n"/>
      <c r="V142" s="245" t="n"/>
      <c r="W142" s="245" t="n"/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133</v>
      </c>
      <c r="I143" s="245" t="inlineStr"/>
      <c r="J143" s="245" t="inlineStr"/>
      <c r="K143" s="245" t="inlineStr">
        <is>
          <t>8IN AIRFLOW GEL FOAM MATT FL</t>
        </is>
      </c>
      <c r="L143" s="245" t="inlineStr">
        <is>
          <t>ZU-MFMA1RZI-08F</t>
        </is>
      </c>
      <c r="M143" s="248" t="inlineStr">
        <is>
          <t>4FZYSA3A</t>
        </is>
      </c>
      <c r="N143" s="245" t="inlineStr">
        <is>
          <t>F.MFM.08F.014.AD</t>
        </is>
      </c>
      <c r="O143" s="245" t="n"/>
      <c r="P143" s="245" t="n"/>
      <c r="Q143" s="250">
        <f>R143/H143</f>
        <v/>
      </c>
      <c r="R143" s="251" t="n">
        <v>5177.69</v>
      </c>
      <c r="S143" s="249" t="n">
        <v>17594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283</v>
      </c>
      <c r="I144" s="245" t="inlineStr"/>
      <c r="J144" s="245" t="inlineStr"/>
      <c r="K144" s="245" t="inlineStr">
        <is>
          <t>6IN TIGHT TOP BONNEL TX</t>
        </is>
      </c>
      <c r="L144" s="245" t="inlineStr">
        <is>
          <t>ZU-MSSA2BZI-06X</t>
        </is>
      </c>
      <c r="M144" s="248" t="inlineStr">
        <is>
          <t>4FZYSA3A</t>
        </is>
      </c>
      <c r="N144" s="245" t="inlineStr">
        <is>
          <t>F.MSS.06X.007.AD</t>
        </is>
      </c>
      <c r="O144" s="245" t="n"/>
      <c r="P144" s="245" t="n"/>
      <c r="Q144" s="250">
        <f>R144/H144</f>
        <v/>
      </c>
      <c r="R144" s="251" t="n">
        <v>7853.25</v>
      </c>
      <c r="S144" s="249" t="n">
        <v>17594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7.1" customHeight="1" s="202">
      <c r="A145" s="254" t="n"/>
      <c r="B145" s="254" t="n"/>
      <c r="C145" s="254" t="n"/>
      <c r="D145" s="254" t="n"/>
      <c r="E145" s="254" t="n"/>
      <c r="F145" s="254" t="n"/>
      <c r="G145" s="254" t="n"/>
      <c r="H145" s="255">
        <f>SUM(H133:H144)</f>
        <v/>
      </c>
      <c r="I145" s="254">
        <f>COUNTA(I133:I144)</f>
        <v/>
      </c>
      <c r="J145" s="254" t="n"/>
      <c r="K145" s="254" t="n"/>
      <c r="L145" s="254" t="n"/>
      <c r="M145" s="254" t="n"/>
      <c r="N145" s="254" t="n"/>
      <c r="O145" s="256">
        <f>SUM(O133:O144)</f>
        <v/>
      </c>
      <c r="P145" s="256">
        <f>SUM(P133:P144)</f>
        <v/>
      </c>
      <c r="Q145" s="254" t="n"/>
      <c r="R145" s="257">
        <f>SUM(R133:R144)</f>
        <v/>
      </c>
      <c r="S145" s="254" t="n"/>
      <c r="T145" s="258">
        <f>SUM(T133:T144)</f>
        <v/>
      </c>
      <c r="U145" s="254" t="n"/>
      <c r="V145" s="254" t="n"/>
      <c r="W145" s="254" t="n"/>
      <c r="X145" s="254" t="n"/>
      <c r="Y145" s="254" t="n"/>
      <c r="Z145" s="254" t="n"/>
    </row>
    <row r="146" ht="16.5" customHeight="1" s="202">
      <c r="A146" s="245" t="n">
        <v>26</v>
      </c>
      <c r="B146" s="245" t="inlineStr">
        <is>
          <t>000030ZIK48020260917000809</t>
        </is>
      </c>
      <c r="C146" s="245" t="n">
        <v>591922</v>
      </c>
      <c r="D146" s="245" t="n">
        <v>591864</v>
      </c>
      <c r="E146" s="246" t="n">
        <v>46283</v>
      </c>
      <c r="F146" s="245" t="inlineStr">
        <is>
          <t>ID2609-8495</t>
        </is>
      </c>
      <c r="G146" s="246" t="n">
        <v>46282</v>
      </c>
      <c r="H146" s="247" t="n">
        <v>1386</v>
      </c>
      <c r="I146" s="245" t="inlineStr">
        <is>
          <t>TRHU8704089</t>
        </is>
      </c>
      <c r="J146" s="245" t="inlineStr">
        <is>
          <t>40FT</t>
        </is>
      </c>
      <c r="K146" s="245" t="inlineStr">
        <is>
          <t>8IN GREEN TEA MF MATTRESS TW</t>
        </is>
      </c>
      <c r="L146" s="245" t="inlineStr">
        <is>
          <t>SCF-STR-800T</t>
        </is>
      </c>
      <c r="M146" s="248" t="inlineStr">
        <is>
          <t>0993631054</t>
        </is>
      </c>
      <c r="N146" s="245" t="inlineStr">
        <is>
          <t>F.MFM.08T.000.WS</t>
        </is>
      </c>
      <c r="O146" s="249" t="n">
        <v>21053.34</v>
      </c>
      <c r="P146" s="249" t="n">
        <v>18281.34</v>
      </c>
      <c r="Q146" s="250">
        <f>R146/H146</f>
        <v/>
      </c>
      <c r="R146" s="251" t="n">
        <v>85239</v>
      </c>
      <c r="S146" s="249" t="n">
        <v>17594</v>
      </c>
      <c r="T146" s="252">
        <f>S146*R146</f>
        <v/>
      </c>
      <c r="U146" s="245" t="inlineStr">
        <is>
          <t>040300/KPPBC</t>
        </is>
      </c>
      <c r="V146" s="245" t="inlineStr">
        <is>
          <t>TG. PRIOK</t>
        </is>
      </c>
      <c r="W146" s="245" t="inlineStr">
        <is>
          <t>MOBILE, US</t>
        </is>
      </c>
      <c r="X146" s="245" t="inlineStr">
        <is>
          <t>WALMART, INC.</t>
        </is>
      </c>
      <c r="Y146" s="245" t="inlineStr">
        <is>
          <t>CMDUDJA1536980</t>
        </is>
      </c>
      <c r="Z146" s="246" t="n">
        <v>46283</v>
      </c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5" t="n"/>
      <c r="I147" s="245" t="inlineStr">
        <is>
          <t>TCNU3469907</t>
        </is>
      </c>
      <c r="J147" s="245" t="inlineStr">
        <is>
          <t>40FT</t>
        </is>
      </c>
      <c r="K147" s="245" t="n"/>
      <c r="L147" s="245" t="n"/>
      <c r="M147" s="245" t="n"/>
      <c r="N147" s="245" t="n"/>
      <c r="O147" s="245" t="n"/>
      <c r="P147" s="245" t="n"/>
      <c r="Q147" s="245" t="n"/>
      <c r="R147" s="245" t="n"/>
      <c r="S147" s="245" t="n"/>
      <c r="T147" s="245" t="n"/>
      <c r="U147" s="245" t="n"/>
      <c r="V147" s="245" t="n"/>
      <c r="W147" s="245" t="inlineStr">
        <is>
          <t>ETD : 23-09-2026</t>
        </is>
      </c>
      <c r="X147" s="245" t="n"/>
      <c r="Y147" s="245" t="n"/>
      <c r="Z147" s="245" t="n"/>
    </row>
    <row r="148" ht="17.1" customHeight="1" s="202">
      <c r="A148" s="254" t="n"/>
      <c r="B148" s="254" t="n"/>
      <c r="C148" s="254" t="n"/>
      <c r="D148" s="254" t="n"/>
      <c r="E148" s="254" t="n"/>
      <c r="F148" s="254" t="n"/>
      <c r="G148" s="254" t="n"/>
      <c r="H148" s="255">
        <f>SUM(H146:H147)</f>
        <v/>
      </c>
      <c r="I148" s="254">
        <f>COUNTA(I146:I147)</f>
        <v/>
      </c>
      <c r="J148" s="254" t="n"/>
      <c r="K148" s="254" t="n"/>
      <c r="L148" s="254" t="n"/>
      <c r="M148" s="254" t="n"/>
      <c r="N148" s="254" t="n"/>
      <c r="O148" s="256">
        <f>SUM(O146:O147)</f>
        <v/>
      </c>
      <c r="P148" s="256">
        <f>SUM(P146:P147)</f>
        <v/>
      </c>
      <c r="Q148" s="254" t="n"/>
      <c r="R148" s="257">
        <f>SUM(R146:R147)</f>
        <v/>
      </c>
      <c r="S148" s="254" t="n"/>
      <c r="T148" s="258">
        <f>SUM(T146:T147)</f>
        <v/>
      </c>
      <c r="U148" s="254" t="n"/>
      <c r="V148" s="254" t="n"/>
      <c r="W148" s="254" t="n"/>
      <c r="X148" s="254" t="n"/>
      <c r="Y148" s="254" t="n"/>
      <c r="Z148" s="254" t="n"/>
    </row>
    <row r="149" ht="16.5" customHeight="1" s="202">
      <c r="A149" s="245" t="n">
        <v>27</v>
      </c>
      <c r="B149" s="245" t="inlineStr">
        <is>
          <t>000030ZIK48020260918000810</t>
        </is>
      </c>
      <c r="C149" s="245" t="n">
        <v>477639</v>
      </c>
      <c r="D149" s="245" t="n">
        <v>477387</v>
      </c>
      <c r="E149" s="246" t="n">
        <v>46283</v>
      </c>
      <c r="F149" s="245" t="inlineStr">
        <is>
          <t>SAMPLE-ZIID26-0073-NCV</t>
        </is>
      </c>
      <c r="G149" s="246" t="n">
        <v>46283</v>
      </c>
      <c r="H149" s="247" t="n">
        <v>1</v>
      </c>
      <c r="I149" s="245" t="inlineStr"/>
      <c r="J149" s="245" t="inlineStr"/>
      <c r="K149" s="245" t="inlineStr">
        <is>
          <t>6IN BONNEL TW</t>
        </is>
      </c>
      <c r="L149" s="245" t="inlineStr">
        <is>
          <t>BSM-6T</t>
        </is>
      </c>
      <c r="M149" s="248" t="inlineStr"/>
      <c r="N149" s="245" t="inlineStr">
        <is>
          <t>F.MSS.06T.002.BD</t>
        </is>
      </c>
      <c r="O149" s="249" t="n">
        <v>52.54</v>
      </c>
      <c r="P149" s="249" t="n">
        <v>45.5</v>
      </c>
      <c r="Q149" s="250">
        <f>R149/H149</f>
        <v/>
      </c>
      <c r="R149" s="251" t="n">
        <v>31.19</v>
      </c>
      <c r="S149" s="249" t="n">
        <v>17594</v>
      </c>
      <c r="T149" s="252">
        <f>S149*R149</f>
        <v/>
      </c>
      <c r="U149" s="245" t="inlineStr">
        <is>
          <t>050100/KPPBC</t>
        </is>
      </c>
      <c r="V149" s="245" t="inlineStr">
        <is>
          <t>S. HATTA</t>
        </is>
      </c>
      <c r="W149" s="245" t="inlineStr">
        <is>
          <t>GUANGZHOU, US</t>
        </is>
      </c>
      <c r="X149" s="245" t="inlineStr">
        <is>
          <t>SGS-CSTC STANDARDS TECHNICAL SERVICES</t>
        </is>
      </c>
      <c r="Y149" s="245" t="inlineStr">
        <is>
          <t>PLIID2H02634</t>
        </is>
      </c>
      <c r="Z149" s="246" t="n">
        <v>46283</v>
      </c>
    </row>
    <row r="150" ht="16.5" customHeight="1" s="202">
      <c r="A150" s="245" t="n"/>
      <c r="B150" s="245" t="n"/>
      <c r="C150" s="245" t="n"/>
      <c r="D150" s="245" t="n"/>
      <c r="E150" s="245" t="n"/>
      <c r="F150" s="245" t="n"/>
      <c r="G150" s="245" t="n"/>
      <c r="H150" s="247" t="n">
        <v>6</v>
      </c>
      <c r="I150" s="245" t="inlineStr"/>
      <c r="J150" s="245" t="inlineStr"/>
      <c r="K150" s="245" t="inlineStr">
        <is>
          <t>3IN GEL MF TOPPER W/ COVER TW</t>
        </is>
      </c>
      <c r="L150" s="245" t="inlineStr">
        <is>
          <t>MF-TGTNM1ZI-03T</t>
        </is>
      </c>
      <c r="M150" s="248" t="inlineStr"/>
      <c r="N150" s="245" t="inlineStr">
        <is>
          <t>F.TGT.03T.001.ZU</t>
        </is>
      </c>
      <c r="O150" s="245" t="n"/>
      <c r="P150" s="245" t="n"/>
      <c r="Q150" s="250">
        <f>R150/H150</f>
        <v/>
      </c>
      <c r="R150" s="251" t="n">
        <v>158.1</v>
      </c>
      <c r="S150" s="249" t="n">
        <v>17594</v>
      </c>
      <c r="T150" s="252">
        <f>S150*R150</f>
        <v/>
      </c>
      <c r="U150" s="245" t="n"/>
      <c r="V150" s="245" t="n"/>
      <c r="W150" s="245" t="inlineStr">
        <is>
          <t>ETD : 25-09-2026</t>
        </is>
      </c>
      <c r="X150" s="245" t="n"/>
      <c r="Y150" s="245" t="n"/>
      <c r="Z150" s="245" t="n"/>
    </row>
    <row r="151" ht="17.1" customHeight="1" s="202">
      <c r="A151" s="254" t="n"/>
      <c r="B151" s="254" t="n"/>
      <c r="C151" s="254" t="n"/>
      <c r="D151" s="254" t="n"/>
      <c r="E151" s="254" t="n"/>
      <c r="F151" s="254" t="n"/>
      <c r="G151" s="254" t="n"/>
      <c r="H151" s="255">
        <f>SUM(H149:H150)</f>
        <v/>
      </c>
      <c r="I151" s="254">
        <f>COUNTA(I149:I150)</f>
        <v/>
      </c>
      <c r="J151" s="254" t="n"/>
      <c r="K151" s="254" t="n"/>
      <c r="L151" s="254" t="n"/>
      <c r="M151" s="254" t="n"/>
      <c r="N151" s="254" t="n"/>
      <c r="O151" s="256">
        <f>SUM(O149:O150)</f>
        <v/>
      </c>
      <c r="P151" s="256">
        <f>SUM(P149:P150)</f>
        <v/>
      </c>
      <c r="Q151" s="254" t="n"/>
      <c r="R151" s="257">
        <f>SUM(R149:R150)</f>
        <v/>
      </c>
      <c r="S151" s="254" t="n"/>
      <c r="T151" s="258">
        <f>SUM(T149:T150)</f>
        <v/>
      </c>
      <c r="U151" s="254" t="n"/>
      <c r="V151" s="254" t="n"/>
      <c r="W151" s="254" t="n"/>
      <c r="X151" s="254" t="n"/>
      <c r="Y151" s="254" t="n"/>
      <c r="Z151" s="254" t="n"/>
    </row>
    <row r="152" ht="16.5" customHeight="1" s="202">
      <c r="A152" s="245" t="n">
        <v>28</v>
      </c>
      <c r="B152" s="245" t="inlineStr">
        <is>
          <t>000030ZIK48020260918000811</t>
        </is>
      </c>
      <c r="C152" s="245" t="n">
        <v>478435</v>
      </c>
      <c r="D152" s="245" t="n">
        <v>478171</v>
      </c>
      <c r="E152" s="246" t="n">
        <v>46283</v>
      </c>
      <c r="F152" s="245" t="inlineStr">
        <is>
          <t>SAMPLE-ZIID26-0081-NCV</t>
        </is>
      </c>
      <c r="G152" s="246" t="n">
        <v>46283</v>
      </c>
      <c r="H152" s="247" t="n">
        <v>3</v>
      </c>
      <c r="I152" s="245" t="inlineStr"/>
      <c r="J152" s="245" t="inlineStr"/>
      <c r="K152" s="245" t="inlineStr">
        <is>
          <t>FOAM CUTTING SAMPLE</t>
        </is>
      </c>
      <c r="L152" s="245" t="inlineStr">
        <is>
          <t>FOAM SAMPLE</t>
        </is>
      </c>
      <c r="M152" s="248" t="inlineStr"/>
      <c r="N152" s="245" t="inlineStr">
        <is>
          <t>S.SMPL.Z0002</t>
        </is>
      </c>
      <c r="O152" s="249" t="n">
        <v>1.95</v>
      </c>
      <c r="P152" s="249" t="n">
        <v>0.95</v>
      </c>
      <c r="Q152" s="250">
        <f>R152/H152</f>
        <v/>
      </c>
      <c r="R152" s="251" t="n">
        <v>2.4</v>
      </c>
      <c r="S152" s="249" t="n">
        <v>17594</v>
      </c>
      <c r="T152" s="252">
        <f>S152*R152</f>
        <v/>
      </c>
      <c r="U152" s="245" t="inlineStr">
        <is>
          <t>050100/KPPBC</t>
        </is>
      </c>
      <c r="V152" s="245" t="inlineStr">
        <is>
          <t>S. HATTA</t>
        </is>
      </c>
      <c r="W152" s="245" t="inlineStr">
        <is>
          <t>GRAND RAPIDS, US</t>
        </is>
      </c>
      <c r="X152" s="245" t="inlineStr">
        <is>
          <t>INTERTEK</t>
        </is>
      </c>
      <c r="Y152" s="245" t="inlineStr">
        <is>
          <t>877401030600</t>
        </is>
      </c>
      <c r="Z152" s="246" t="n">
        <v>46283</v>
      </c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5" t="n"/>
      <c r="I153" s="245" t="n"/>
      <c r="J153" s="245" t="n"/>
      <c r="K153" s="245" t="n"/>
      <c r="L153" s="245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inlineStr">
        <is>
          <t>ETD : 25-09-2026</t>
        </is>
      </c>
      <c r="X153" s="245" t="n"/>
      <c r="Y153" s="245" t="n"/>
      <c r="Z153" s="245" t="n"/>
    </row>
    <row r="154" ht="17.1" customHeight="1" s="202">
      <c r="A154" s="254" t="n"/>
      <c r="B154" s="254" t="n"/>
      <c r="C154" s="254" t="n"/>
      <c r="D154" s="254" t="n"/>
      <c r="E154" s="254" t="n"/>
      <c r="F154" s="254" t="n"/>
      <c r="G154" s="254" t="n"/>
      <c r="H154" s="255">
        <f>SUM(H152:H153)</f>
        <v/>
      </c>
      <c r="I154" s="254">
        <f>COUNTA(I152:I153)</f>
        <v/>
      </c>
      <c r="J154" s="254" t="n"/>
      <c r="K154" s="254" t="n"/>
      <c r="L154" s="254" t="n"/>
      <c r="M154" s="254" t="n"/>
      <c r="N154" s="254" t="n"/>
      <c r="O154" s="256">
        <f>SUM(O152:O153)</f>
        <v/>
      </c>
      <c r="P154" s="256">
        <f>SUM(P152:P153)</f>
        <v/>
      </c>
      <c r="Q154" s="254" t="n"/>
      <c r="R154" s="257">
        <f>SUM(R152:R153)</f>
        <v/>
      </c>
      <c r="S154" s="254" t="n"/>
      <c r="T154" s="258">
        <f>SUM(T152:T153)</f>
        <v/>
      </c>
      <c r="U154" s="254" t="n"/>
      <c r="V154" s="254" t="n"/>
      <c r="W154" s="254" t="n"/>
      <c r="X154" s="254" t="n"/>
      <c r="Y154" s="254" t="n"/>
      <c r="Z154" s="254" t="n"/>
    </row>
    <row r="155" ht="16.5" customHeight="1" s="202">
      <c r="A155" s="245" t="n">
        <v>29</v>
      </c>
      <c r="B155" s="245" t="inlineStr">
        <is>
          <t>000030ZIK48020260918000812</t>
        </is>
      </c>
      <c r="C155" s="245" t="n">
        <v>478540</v>
      </c>
      <c r="D155" s="245" t="n">
        <v>478286</v>
      </c>
      <c r="E155" s="246" t="n">
        <v>46283</v>
      </c>
      <c r="F155" s="245" t="inlineStr">
        <is>
          <t>SAMPLE-ZIID26-0082-NCV</t>
        </is>
      </c>
      <c r="G155" s="246" t="n">
        <v>46283</v>
      </c>
      <c r="H155" s="247" t="n">
        <v>3</v>
      </c>
      <c r="I155" s="245" t="inlineStr"/>
      <c r="J155" s="245" t="inlineStr"/>
      <c r="K155" s="245" t="inlineStr">
        <is>
          <t>FOAM CUTTING SAMPLE</t>
        </is>
      </c>
      <c r="L155" s="245" t="inlineStr">
        <is>
          <t>FOAM SAMPLE</t>
        </is>
      </c>
      <c r="M155" s="248" t="inlineStr"/>
      <c r="N155" s="245" t="inlineStr">
        <is>
          <t>S.SMPL.Z0002</t>
        </is>
      </c>
      <c r="O155" s="249" t="n">
        <v>1.95</v>
      </c>
      <c r="P155" s="249" t="n">
        <v>0.95</v>
      </c>
      <c r="Q155" s="250">
        <f>R155/H155</f>
        <v/>
      </c>
      <c r="R155" s="251" t="n">
        <v>2.04</v>
      </c>
      <c r="S155" s="249" t="n">
        <v>17594</v>
      </c>
      <c r="T155" s="252">
        <f>S155*R155</f>
        <v/>
      </c>
      <c r="U155" s="245" t="inlineStr">
        <is>
          <t>050100/KPPBC</t>
        </is>
      </c>
      <c r="V155" s="245" t="inlineStr">
        <is>
          <t>S. HATTA</t>
        </is>
      </c>
      <c r="W155" s="245" t="inlineStr">
        <is>
          <t>NURNBERG, US</t>
        </is>
      </c>
      <c r="X155" s="245" t="inlineStr">
        <is>
          <t>TUV RHEINLAND LGA PRODUCTS GMBH</t>
        </is>
      </c>
      <c r="Y155" s="245" t="inlineStr">
        <is>
          <t>877401603668</t>
        </is>
      </c>
      <c r="Z155" s="246" t="n">
        <v>46283</v>
      </c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5" t="n"/>
      <c r="I156" s="245" t="n"/>
      <c r="J156" s="245" t="n"/>
      <c r="K156" s="245" t="n"/>
      <c r="L156" s="245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inlineStr">
        <is>
          <t>ETD : 25-09-2026</t>
        </is>
      </c>
      <c r="X156" s="245" t="n"/>
      <c r="Y156" s="245" t="n"/>
      <c r="Z156" s="245" t="n"/>
    </row>
    <row r="157" ht="17.1" customHeight="1" s="202">
      <c r="A157" s="254" t="n"/>
      <c r="B157" s="254" t="n"/>
      <c r="C157" s="254" t="n"/>
      <c r="D157" s="254" t="n"/>
      <c r="E157" s="254" t="n"/>
      <c r="F157" s="254" t="n"/>
      <c r="G157" s="254" t="n"/>
      <c r="H157" s="255">
        <f>SUM(H155:H156)</f>
        <v/>
      </c>
      <c r="I157" s="254">
        <f>COUNTA(I155:I156)</f>
        <v/>
      </c>
      <c r="J157" s="254" t="n"/>
      <c r="K157" s="254" t="n"/>
      <c r="L157" s="254" t="n"/>
      <c r="M157" s="254" t="n"/>
      <c r="N157" s="254" t="n"/>
      <c r="O157" s="256">
        <f>SUM(O155:O156)</f>
        <v/>
      </c>
      <c r="P157" s="256">
        <f>SUM(P155:P156)</f>
        <v/>
      </c>
      <c r="Q157" s="254" t="n"/>
      <c r="R157" s="257">
        <f>SUM(R155:R156)</f>
        <v/>
      </c>
      <c r="S157" s="254" t="n"/>
      <c r="T157" s="258">
        <f>SUM(T155:T156)</f>
        <v/>
      </c>
      <c r="U157" s="254" t="n"/>
      <c r="V157" s="254" t="n"/>
      <c r="W157" s="254" t="n"/>
      <c r="X157" s="254" t="n"/>
      <c r="Y157" s="254" t="n"/>
      <c r="Z157" s="254" t="n"/>
    </row>
    <row r="158" ht="16.5" customHeight="1" s="202">
      <c r="A158" s="245" t="n">
        <v>30</v>
      </c>
      <c r="B158" s="245" t="inlineStr">
        <is>
          <t>000030ZIK48020260918000813</t>
        </is>
      </c>
      <c r="C158" s="245" t="n">
        <v>478660</v>
      </c>
      <c r="D158" s="245" t="n">
        <v>478405</v>
      </c>
      <c r="E158" s="246" t="n">
        <v>46283</v>
      </c>
      <c r="F158" s="245" t="inlineStr">
        <is>
          <t>SPL/034/ZDI/IX/2026</t>
        </is>
      </c>
      <c r="G158" s="246" t="n">
        <v>46283</v>
      </c>
      <c r="H158" s="247" t="n">
        <v>1</v>
      </c>
      <c r="I158" s="245" t="inlineStr"/>
      <c r="J158" s="245" t="inlineStr"/>
      <c r="K158" s="245" t="inlineStr">
        <is>
          <t>6IN MYGEL FOAM MATTRESS FL</t>
        </is>
      </c>
      <c r="L158" s="245" t="inlineStr">
        <is>
          <t>MFGN-06F</t>
        </is>
      </c>
      <c r="M158" s="248" t="inlineStr"/>
      <c r="N158" s="245" t="inlineStr">
        <is>
          <t>F.MFG.06F.002.WT</t>
        </is>
      </c>
      <c r="O158" s="249" t="n">
        <v>177.65</v>
      </c>
      <c r="P158" s="249" t="n">
        <v>152.84</v>
      </c>
      <c r="Q158" s="250">
        <f>R158/H158</f>
        <v/>
      </c>
      <c r="R158" s="251" t="n">
        <v>69.09999999999999</v>
      </c>
      <c r="S158" s="249" t="n">
        <v>17594</v>
      </c>
      <c r="T158" s="252">
        <f>S158*R158</f>
        <v/>
      </c>
      <c r="U158" s="245" t="inlineStr">
        <is>
          <t>050100/KPPBC</t>
        </is>
      </c>
      <c r="V158" s="245" t="inlineStr">
        <is>
          <t>S. HATTA</t>
        </is>
      </c>
      <c r="W158" s="245" t="inlineStr">
        <is>
          <t>GUANGZHOU, US</t>
        </is>
      </c>
      <c r="X158" s="245" t="inlineStr">
        <is>
          <t>UL SOLUTIONS</t>
        </is>
      </c>
      <c r="Y158" s="245" t="inlineStr">
        <is>
          <t>PLIID2H02633</t>
        </is>
      </c>
      <c r="Z158" s="246" t="n">
        <v>46283</v>
      </c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1</v>
      </c>
      <c r="I159" s="245" t="inlineStr"/>
      <c r="J159" s="245" t="inlineStr"/>
      <c r="K159" s="245" t="inlineStr">
        <is>
          <t>8IN MYGEL FOAM MATTRESS QN</t>
        </is>
      </c>
      <c r="L159" s="245" t="inlineStr">
        <is>
          <t>MFGN-08Q</t>
        </is>
      </c>
      <c r="M159" s="248" t="inlineStr"/>
      <c r="N159" s="245" t="inlineStr">
        <is>
          <t>F.MFG.08Q.004.WT</t>
        </is>
      </c>
      <c r="O159" s="245" t="n"/>
      <c r="P159" s="245" t="n"/>
      <c r="Q159" s="250">
        <f>R159/H159</f>
        <v/>
      </c>
      <c r="R159" s="251" t="n">
        <v>99.25</v>
      </c>
      <c r="S159" s="249" t="n">
        <v>17594</v>
      </c>
      <c r="T159" s="252">
        <f>S159*R159</f>
        <v/>
      </c>
      <c r="U159" s="245" t="n"/>
      <c r="V159" s="245" t="n"/>
      <c r="W159" s="245" t="inlineStr">
        <is>
          <t>ETD : 25-09-2026</t>
        </is>
      </c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1</v>
      </c>
      <c r="I160" s="245" t="inlineStr"/>
      <c r="J160" s="245" t="inlineStr"/>
      <c r="K160" s="245" t="inlineStr">
        <is>
          <t>10IN MYGEL FOAM MATTRESS QN</t>
        </is>
      </c>
      <c r="L160" s="245" t="inlineStr">
        <is>
          <t>MFGN-10Q</t>
        </is>
      </c>
      <c r="M160" s="248" t="inlineStr"/>
      <c r="N160" s="245" t="inlineStr">
        <is>
          <t>F.MFG.10Q.003.WT</t>
        </is>
      </c>
      <c r="O160" s="245" t="n"/>
      <c r="P160" s="245" t="n"/>
      <c r="Q160" s="250">
        <f>R160/H160</f>
        <v/>
      </c>
      <c r="R160" s="251" t="n">
        <v>116.6</v>
      </c>
      <c r="S160" s="249" t="n">
        <v>17594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1</v>
      </c>
      <c r="I161" s="245" t="inlineStr"/>
      <c r="J161" s="245" t="inlineStr"/>
      <c r="K161" s="245" t="inlineStr">
        <is>
          <t>12IN MYGEL FOAM MATTRESS QN</t>
        </is>
      </c>
      <c r="L161" s="245" t="inlineStr">
        <is>
          <t>MFGN-12Q</t>
        </is>
      </c>
      <c r="M161" s="248" t="inlineStr"/>
      <c r="N161" s="245" t="inlineStr">
        <is>
          <t>F.MFG.12Q.003.WT</t>
        </is>
      </c>
      <c r="O161" s="245" t="n"/>
      <c r="P161" s="245" t="n"/>
      <c r="Q161" s="250">
        <f>R161/H161</f>
        <v/>
      </c>
      <c r="R161" s="251" t="n">
        <v>132.72</v>
      </c>
      <c r="S161" s="249" t="n">
        <v>17594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7" t="n">
        <v>1</v>
      </c>
      <c r="I162" s="245" t="inlineStr"/>
      <c r="J162" s="245" t="inlineStr"/>
      <c r="K162" s="245" t="inlineStr">
        <is>
          <t>12IN SP MFM QN</t>
        </is>
      </c>
      <c r="L162" s="245" t="inlineStr">
        <is>
          <t>M-FMS-1200Q</t>
        </is>
      </c>
      <c r="M162" s="248" t="inlineStr"/>
      <c r="N162" s="245" t="inlineStr">
        <is>
          <t>F.MFM.12Q.004.WT</t>
        </is>
      </c>
      <c r="O162" s="245" t="n"/>
      <c r="P162" s="245" t="n"/>
      <c r="Q162" s="250">
        <f>R162/H162</f>
        <v/>
      </c>
      <c r="R162" s="251" t="n">
        <v>167.09</v>
      </c>
      <c r="S162" s="249" t="n">
        <v>17594</v>
      </c>
      <c r="T162" s="252">
        <f>S162*R162</f>
        <v/>
      </c>
      <c r="U162" s="245" t="n"/>
      <c r="V162" s="245" t="n"/>
      <c r="W162" s="245" t="n"/>
      <c r="X162" s="245" t="n"/>
      <c r="Y162" s="245" t="n"/>
      <c r="Z162" s="245" t="n"/>
    </row>
    <row r="163" ht="16.5" customHeight="1" s="202">
      <c r="A163" s="245" t="n"/>
      <c r="B163" s="245" t="n"/>
      <c r="C163" s="245" t="n"/>
      <c r="D163" s="245" t="n"/>
      <c r="E163" s="245" t="n"/>
      <c r="F163" s="245" t="n"/>
      <c r="G163" s="245" t="n"/>
      <c r="H163" s="247" t="n">
        <v>1</v>
      </c>
      <c r="I163" s="245" t="inlineStr"/>
      <c r="J163" s="245" t="inlineStr"/>
      <c r="K163" s="245" t="inlineStr">
        <is>
          <t>10IN SP MFM QN</t>
        </is>
      </c>
      <c r="L163" s="245" t="inlineStr">
        <is>
          <t>W-FMT-10Q</t>
        </is>
      </c>
      <c r="M163" s="248" t="inlineStr"/>
      <c r="N163" s="245" t="inlineStr">
        <is>
          <t>F.MFM.10Q.004.WT</t>
        </is>
      </c>
      <c r="O163" s="245" t="n"/>
      <c r="P163" s="245" t="n"/>
      <c r="Q163" s="250">
        <f>R163/H163</f>
        <v/>
      </c>
      <c r="R163" s="251" t="n">
        <v>142.13</v>
      </c>
      <c r="S163" s="249" t="n">
        <v>17594</v>
      </c>
      <c r="T163" s="252">
        <f>S163*R163</f>
        <v/>
      </c>
      <c r="U163" s="245" t="n"/>
      <c r="V163" s="245" t="n"/>
      <c r="W163" s="245" t="n"/>
      <c r="X163" s="245" t="n"/>
      <c r="Y163" s="245" t="n"/>
      <c r="Z163" s="245" t="n"/>
    </row>
    <row r="164" ht="17.1" customHeight="1" s="202">
      <c r="A164" s="254" t="n"/>
      <c r="B164" s="254" t="n"/>
      <c r="C164" s="254" t="n"/>
      <c r="D164" s="254" t="n"/>
      <c r="E164" s="254" t="n"/>
      <c r="F164" s="254" t="n"/>
      <c r="G164" s="254" t="n"/>
      <c r="H164" s="255">
        <f>SUM(H158:H163)</f>
        <v/>
      </c>
      <c r="I164" s="254">
        <f>COUNTA(I158:I163)</f>
        <v/>
      </c>
      <c r="J164" s="254" t="n"/>
      <c r="K164" s="254" t="n"/>
      <c r="L164" s="254" t="n"/>
      <c r="M164" s="254" t="n"/>
      <c r="N164" s="254" t="n"/>
      <c r="O164" s="256">
        <f>SUM(O158:O163)</f>
        <v/>
      </c>
      <c r="P164" s="256">
        <f>SUM(P158:P163)</f>
        <v/>
      </c>
      <c r="Q164" s="254" t="n"/>
      <c r="R164" s="257">
        <f>SUM(R158:R163)</f>
        <v/>
      </c>
      <c r="S164" s="254" t="n"/>
      <c r="T164" s="258">
        <f>SUM(T158:T163)</f>
        <v/>
      </c>
      <c r="U164" s="254" t="n"/>
      <c r="V164" s="254" t="n"/>
      <c r="W164" s="254" t="n"/>
      <c r="X164" s="254" t="n"/>
      <c r="Y164" s="254" t="n"/>
      <c r="Z164" s="254" t="n"/>
    </row>
    <row r="165" ht="16.5" customHeight="1" s="202">
      <c r="A165" s="245" t="n">
        <v>31</v>
      </c>
      <c r="B165" s="245" t="inlineStr">
        <is>
          <t>000030ZIK48020260918000814</t>
        </is>
      </c>
      <c r="C165" s="245" t="n">
        <v>598262</v>
      </c>
      <c r="D165" s="245" t="n">
        <v>598198</v>
      </c>
      <c r="E165" s="246" t="n">
        <v>46286</v>
      </c>
      <c r="F165" s="245" t="inlineStr">
        <is>
          <t>ID2609-8453</t>
        </is>
      </c>
      <c r="G165" s="246" t="n">
        <v>46279</v>
      </c>
      <c r="H165" s="247" t="n">
        <v>693</v>
      </c>
      <c r="I165" s="245" t="inlineStr">
        <is>
          <t>MSBU8167189</t>
        </is>
      </c>
      <c r="J165" s="245" t="inlineStr">
        <is>
          <t>40FT</t>
        </is>
      </c>
      <c r="K165" s="245" t="inlineStr">
        <is>
          <t>8IN GREEN TEA MF MATTRESS TW</t>
        </is>
      </c>
      <c r="L165" s="245" t="inlineStr">
        <is>
          <t>SCF-STR-800T</t>
        </is>
      </c>
      <c r="M165" s="248" t="inlineStr">
        <is>
          <t>0993631074</t>
        </is>
      </c>
      <c r="N165" s="245" t="inlineStr">
        <is>
          <t>F.MFM.08T.000.WS</t>
        </is>
      </c>
      <c r="O165" s="249" t="n">
        <v>10526.67</v>
      </c>
      <c r="P165" s="249" t="n">
        <v>9140.67</v>
      </c>
      <c r="Q165" s="250">
        <f>R165/H165</f>
        <v/>
      </c>
      <c r="R165" s="251" t="n">
        <v>42619.5</v>
      </c>
      <c r="S165" s="249" t="n">
        <v>17594</v>
      </c>
      <c r="T165" s="252">
        <f>S165*R165</f>
        <v/>
      </c>
      <c r="U165" s="245" t="inlineStr">
        <is>
          <t>040300/KPPBC</t>
        </is>
      </c>
      <c r="V165" s="245" t="inlineStr">
        <is>
          <t>TG. PRIOK</t>
        </is>
      </c>
      <c r="W165" s="245" t="inlineStr">
        <is>
          <t>SAVANNAH, US</t>
        </is>
      </c>
      <c r="X165" s="245" t="inlineStr">
        <is>
          <t>WALMART, INC.</t>
        </is>
      </c>
      <c r="Y165" s="245" t="inlineStr">
        <is>
          <t>MEDUKU778701</t>
        </is>
      </c>
      <c r="Z165" s="246" t="n">
        <v>46286</v>
      </c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5" t="n"/>
      <c r="I166" s="245" t="n"/>
      <c r="J166" s="245" t="n"/>
      <c r="K166" s="245" t="n"/>
      <c r="L166" s="245" t="n"/>
      <c r="M166" s="245" t="n"/>
      <c r="N166" s="245" t="n"/>
      <c r="O166" s="245" t="n"/>
      <c r="P166" s="245" t="n"/>
      <c r="Q166" s="245" t="n"/>
      <c r="R166" s="245" t="n"/>
      <c r="S166" s="245" t="n"/>
      <c r="T166" s="245" t="n"/>
      <c r="U166" s="245" t="n"/>
      <c r="V166" s="245" t="n"/>
      <c r="W166" s="245" t="inlineStr">
        <is>
          <t>ETD : 28-09-2026</t>
        </is>
      </c>
      <c r="X166" s="245" t="n"/>
      <c r="Y166" s="245" t="n"/>
      <c r="Z166" s="245" t="n"/>
    </row>
    <row r="167" ht="17.1" customHeight="1" s="202">
      <c r="A167" s="254" t="n"/>
      <c r="B167" s="254" t="n"/>
      <c r="C167" s="254" t="n"/>
      <c r="D167" s="254" t="n"/>
      <c r="E167" s="254" t="n"/>
      <c r="F167" s="254" t="n"/>
      <c r="G167" s="254" t="n"/>
      <c r="H167" s="255">
        <f>SUM(H165:H166)</f>
        <v/>
      </c>
      <c r="I167" s="254">
        <f>COUNTA(I165:I166)</f>
        <v/>
      </c>
      <c r="J167" s="254" t="n"/>
      <c r="K167" s="254" t="n"/>
      <c r="L167" s="254" t="n"/>
      <c r="M167" s="254" t="n"/>
      <c r="N167" s="254" t="n"/>
      <c r="O167" s="256">
        <f>SUM(O165:O166)</f>
        <v/>
      </c>
      <c r="P167" s="256">
        <f>SUM(P165:P166)</f>
        <v/>
      </c>
      <c r="Q167" s="254" t="n"/>
      <c r="R167" s="257">
        <f>SUM(R165:R166)</f>
        <v/>
      </c>
      <c r="S167" s="254" t="n"/>
      <c r="T167" s="258">
        <f>SUM(T165:T166)</f>
        <v/>
      </c>
      <c r="U167" s="254" t="n"/>
      <c r="V167" s="254" t="n"/>
      <c r="W167" s="254" t="n"/>
      <c r="X167" s="254" t="n"/>
      <c r="Y167" s="254" t="n"/>
      <c r="Z167" s="254" t="n"/>
    </row>
    <row r="168" ht="16.5" customHeight="1" s="202">
      <c r="A168" s="245" t="n">
        <v>32</v>
      </c>
      <c r="B168" s="245" t="inlineStr">
        <is>
          <t>000030ZIK48020260918000815</t>
        </is>
      </c>
      <c r="C168" s="245" t="n">
        <v>598980</v>
      </c>
      <c r="D168" s="245" t="n">
        <v>598917</v>
      </c>
      <c r="E168" s="246" t="n">
        <v>46286</v>
      </c>
      <c r="F168" s="245" t="inlineStr">
        <is>
          <t>ID2609-8454</t>
        </is>
      </c>
      <c r="G168" s="246" t="n">
        <v>46279</v>
      </c>
      <c r="H168" s="247" t="n">
        <v>520</v>
      </c>
      <c r="I168" s="245" t="inlineStr">
        <is>
          <t>MSBU5159106</t>
        </is>
      </c>
      <c r="J168" s="245" t="inlineStr">
        <is>
          <t>40FT</t>
        </is>
      </c>
      <c r="K168" s="245" t="inlineStr">
        <is>
          <t>8IN GREEN TEA MF MATTRESS FL</t>
        </is>
      </c>
      <c r="L168" s="245" t="inlineStr">
        <is>
          <t>SCF-STR-800F</t>
        </is>
      </c>
      <c r="M168" s="248" t="inlineStr">
        <is>
          <t>0993630698</t>
        </is>
      </c>
      <c r="N168" s="245" t="inlineStr">
        <is>
          <t>F.MFM.08F.000.WS</t>
        </is>
      </c>
      <c r="O168" s="249" t="n">
        <v>10618.4</v>
      </c>
      <c r="P168" s="249" t="n">
        <v>9370.4</v>
      </c>
      <c r="Q168" s="250">
        <f>R168/H168</f>
        <v/>
      </c>
      <c r="R168" s="251" t="n">
        <v>41480.4</v>
      </c>
      <c r="S168" s="249" t="n">
        <v>17594</v>
      </c>
      <c r="T168" s="252">
        <f>S168*R168</f>
        <v/>
      </c>
      <c r="U168" s="245" t="inlineStr">
        <is>
          <t>040300/KPPBC</t>
        </is>
      </c>
      <c r="V168" s="245" t="inlineStr">
        <is>
          <t>TG. PRIOK</t>
        </is>
      </c>
      <c r="W168" s="245" t="inlineStr">
        <is>
          <t>SAVANNAH, US</t>
        </is>
      </c>
      <c r="X168" s="245" t="inlineStr">
        <is>
          <t>WALMART, INC.</t>
        </is>
      </c>
      <c r="Y168" s="245" t="inlineStr">
        <is>
          <t>MEDUKU778693</t>
        </is>
      </c>
      <c r="Z168" s="246" t="n">
        <v>46286</v>
      </c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5" t="n"/>
      <c r="I169" s="245" t="n"/>
      <c r="J169" s="245" t="n"/>
      <c r="K169" s="245" t="n"/>
      <c r="L169" s="245" t="n"/>
      <c r="M169" s="245" t="n"/>
      <c r="N169" s="245" t="n"/>
      <c r="O169" s="245" t="n"/>
      <c r="P169" s="245" t="n"/>
      <c r="Q169" s="245" t="n"/>
      <c r="R169" s="245" t="n"/>
      <c r="S169" s="245" t="n"/>
      <c r="T169" s="245" t="n"/>
      <c r="U169" s="245" t="n"/>
      <c r="V169" s="245" t="n"/>
      <c r="W169" s="245" t="inlineStr">
        <is>
          <t>ETD : 28-09-2026</t>
        </is>
      </c>
      <c r="X169" s="245" t="n"/>
      <c r="Y169" s="245" t="n"/>
      <c r="Z169" s="245" t="n"/>
    </row>
    <row r="170" ht="17.1" customHeight="1" s="202">
      <c r="A170" s="254" t="n"/>
      <c r="B170" s="254" t="n"/>
      <c r="C170" s="254" t="n"/>
      <c r="D170" s="254" t="n"/>
      <c r="E170" s="254" t="n"/>
      <c r="F170" s="254" t="n"/>
      <c r="G170" s="254" t="n"/>
      <c r="H170" s="255">
        <f>SUM(H168:H169)</f>
        <v/>
      </c>
      <c r="I170" s="254">
        <f>COUNTA(I168:I169)</f>
        <v/>
      </c>
      <c r="J170" s="254" t="n"/>
      <c r="K170" s="254" t="n"/>
      <c r="L170" s="254" t="n"/>
      <c r="M170" s="254" t="n"/>
      <c r="N170" s="254" t="n"/>
      <c r="O170" s="256">
        <f>SUM(O168:O169)</f>
        <v/>
      </c>
      <c r="P170" s="256">
        <f>SUM(P168:P169)</f>
        <v/>
      </c>
      <c r="Q170" s="254" t="n"/>
      <c r="R170" s="257">
        <f>SUM(R168:R169)</f>
        <v/>
      </c>
      <c r="S170" s="254" t="n"/>
      <c r="T170" s="258">
        <f>SUM(T168:T169)</f>
        <v/>
      </c>
      <c r="U170" s="254" t="n"/>
      <c r="V170" s="254" t="n"/>
      <c r="W170" s="254" t="n"/>
      <c r="X170" s="254" t="n"/>
      <c r="Y170" s="254" t="n"/>
      <c r="Z170" s="254" t="n"/>
    </row>
    <row r="171" ht="16.5" customHeight="1" s="202">
      <c r="A171" s="245" t="n">
        <v>33</v>
      </c>
      <c r="B171" s="245" t="inlineStr">
        <is>
          <t>000030ZIK48020260918000816</t>
        </is>
      </c>
      <c r="C171" s="245" t="n">
        <v>598447</v>
      </c>
      <c r="D171" s="245" t="n">
        <v>598384</v>
      </c>
      <c r="E171" s="246" t="n">
        <v>46286</v>
      </c>
      <c r="F171" s="245" t="inlineStr">
        <is>
          <t>ID2609-8507</t>
        </is>
      </c>
      <c r="G171" s="246" t="n">
        <v>46283</v>
      </c>
      <c r="H171" s="247" t="n">
        <v>1040</v>
      </c>
      <c r="I171" s="245" t="inlineStr">
        <is>
          <t>TEMU7302923</t>
        </is>
      </c>
      <c r="J171" s="245" t="inlineStr">
        <is>
          <t>40FT</t>
        </is>
      </c>
      <c r="K171" s="245" t="inlineStr">
        <is>
          <t>8IN GREEN TEA MF MATTRESS FL</t>
        </is>
      </c>
      <c r="L171" s="245" t="inlineStr">
        <is>
          <t>SCF-STR-800F</t>
        </is>
      </c>
      <c r="M171" s="248" t="inlineStr">
        <is>
          <t>0993630738</t>
        </is>
      </c>
      <c r="N171" s="245" t="inlineStr">
        <is>
          <t>F.MFM.08F.000.WS</t>
        </is>
      </c>
      <c r="O171" s="249" t="n">
        <v>21236.8</v>
      </c>
      <c r="P171" s="249" t="n">
        <v>18740.8</v>
      </c>
      <c r="Q171" s="250">
        <f>R171/H171</f>
        <v/>
      </c>
      <c r="R171" s="251" t="n">
        <v>82960.8</v>
      </c>
      <c r="S171" s="249" t="n">
        <v>17594</v>
      </c>
      <c r="T171" s="252">
        <f>S171*R171</f>
        <v/>
      </c>
      <c r="U171" s="245" t="inlineStr">
        <is>
          <t>040300/KPPBC</t>
        </is>
      </c>
      <c r="V171" s="245" t="inlineStr">
        <is>
          <t>TG. PRIOK</t>
        </is>
      </c>
      <c r="W171" s="245" t="inlineStr">
        <is>
          <t>SAVANNAH, US</t>
        </is>
      </c>
      <c r="X171" s="245" t="inlineStr">
        <is>
          <t>WALMART, INC.</t>
        </is>
      </c>
      <c r="Y171" s="245" t="inlineStr">
        <is>
          <t>ONEYJKTG80664500</t>
        </is>
      </c>
      <c r="Z171" s="246" t="n">
        <v>46286</v>
      </c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5" t="n"/>
      <c r="I172" s="245" t="inlineStr">
        <is>
          <t>FFAU1431896</t>
        </is>
      </c>
      <c r="J172" s="245" t="inlineStr">
        <is>
          <t>40FT</t>
        </is>
      </c>
      <c r="K172" s="245" t="n"/>
      <c r="L172" s="245" t="n"/>
      <c r="M172" s="245" t="n"/>
      <c r="N172" s="245" t="n"/>
      <c r="O172" s="245" t="n"/>
      <c r="P172" s="245" t="n"/>
      <c r="Q172" s="245" t="n"/>
      <c r="R172" s="245" t="n"/>
      <c r="S172" s="245" t="n"/>
      <c r="T172" s="245" t="n"/>
      <c r="U172" s="245" t="n"/>
      <c r="V172" s="245" t="n"/>
      <c r="W172" s="245" t="inlineStr">
        <is>
          <t>ETD : 26-09-2026</t>
        </is>
      </c>
      <c r="X172" s="245" t="n"/>
      <c r="Y172" s="245" t="n"/>
      <c r="Z172" s="245" t="n"/>
    </row>
    <row r="173" ht="17.1" customHeight="1" s="202">
      <c r="A173" s="254" t="n"/>
      <c r="B173" s="254" t="n"/>
      <c r="C173" s="254" t="n"/>
      <c r="D173" s="254" t="n"/>
      <c r="E173" s="254" t="n"/>
      <c r="F173" s="254" t="n"/>
      <c r="G173" s="254" t="n"/>
      <c r="H173" s="255">
        <f>SUM(H171:H172)</f>
        <v/>
      </c>
      <c r="I173" s="254">
        <f>COUNTA(I171:I172)</f>
        <v/>
      </c>
      <c r="J173" s="254" t="n"/>
      <c r="K173" s="254" t="n"/>
      <c r="L173" s="254" t="n"/>
      <c r="M173" s="254" t="n"/>
      <c r="N173" s="254" t="n"/>
      <c r="O173" s="256">
        <f>SUM(O171:O172)</f>
        <v/>
      </c>
      <c r="P173" s="256">
        <f>SUM(P171:P172)</f>
        <v/>
      </c>
      <c r="Q173" s="254" t="n"/>
      <c r="R173" s="257">
        <f>SUM(R171:R172)</f>
        <v/>
      </c>
      <c r="S173" s="254" t="n"/>
      <c r="T173" s="258">
        <f>SUM(T171:T172)</f>
        <v/>
      </c>
      <c r="U173" s="254" t="n"/>
      <c r="V173" s="254" t="n"/>
      <c r="W173" s="254" t="n"/>
      <c r="X173" s="254" t="n"/>
      <c r="Y173" s="254" t="n"/>
      <c r="Z173" s="254" t="n"/>
    </row>
    <row r="174" ht="16.5" customHeight="1" s="202">
      <c r="A174" s="245" t="n">
        <v>34</v>
      </c>
      <c r="B174" s="245" t="inlineStr">
        <is>
          <t>000030ZIK48020260918000817</t>
        </is>
      </c>
      <c r="C174" s="245" t="n">
        <v>598166</v>
      </c>
      <c r="D174" s="245" t="n">
        <v>598102</v>
      </c>
      <c r="E174" s="246" t="n">
        <v>46286</v>
      </c>
      <c r="F174" s="245" t="inlineStr">
        <is>
          <t>ID2609-8444</t>
        </is>
      </c>
      <c r="G174" s="246" t="n">
        <v>46279</v>
      </c>
      <c r="H174" s="247" t="n">
        <v>10</v>
      </c>
      <c r="I174" s="245" t="inlineStr">
        <is>
          <t>TCNU3834532</t>
        </is>
      </c>
      <c r="J174" s="245" t="inlineStr">
        <is>
          <t>40FT</t>
        </is>
      </c>
      <c r="K174" s="245" t="inlineStr">
        <is>
          <t>6IN OPP HD TW</t>
        </is>
      </c>
      <c r="L174" s="245" t="inlineStr">
        <is>
          <t>ZU-MFMA1OZI-06T</t>
        </is>
      </c>
      <c r="M174" s="248" t="inlineStr">
        <is>
          <t>1783Z9GF</t>
        </is>
      </c>
      <c r="N174" s="245" t="inlineStr">
        <is>
          <t>F.MFM.06T.008.AD</t>
        </is>
      </c>
      <c r="O174" s="249" t="n">
        <v>75167.03999999999</v>
      </c>
      <c r="P174" s="249" t="n">
        <v>66767.03999999999</v>
      </c>
      <c r="Q174" s="250">
        <f>R174/H174</f>
        <v/>
      </c>
      <c r="R174" s="251" t="n">
        <v>269.5</v>
      </c>
      <c r="S174" s="249" t="n">
        <v>17594</v>
      </c>
      <c r="T174" s="252">
        <f>S174*R174</f>
        <v/>
      </c>
      <c r="U174" s="245" t="inlineStr">
        <is>
          <t>040300/KPPBC</t>
        </is>
      </c>
      <c r="V174" s="245" t="inlineStr">
        <is>
          <t>TG. PRIOK</t>
        </is>
      </c>
      <c r="W174" s="245" t="inlineStr">
        <is>
          <t>NORFOLK, US</t>
        </is>
      </c>
      <c r="X174" s="245" t="inlineStr">
        <is>
          <t>AMAZON.COM SERVICES LLC</t>
        </is>
      </c>
      <c r="Y174" s="245" t="inlineStr">
        <is>
          <t>EGLV080600621765</t>
        </is>
      </c>
      <c r="Z174" s="246" t="n">
        <v>46286</v>
      </c>
    </row>
    <row r="175" ht="16.5" customHeight="1" s="202">
      <c r="A175" s="245" t="n"/>
      <c r="B175" s="245" t="n"/>
      <c r="C175" s="245" t="n"/>
      <c r="D175" s="245" t="n"/>
      <c r="E175" s="245" t="n"/>
      <c r="F175" s="245" t="n"/>
      <c r="G175" s="245" t="n"/>
      <c r="H175" s="247" t="n">
        <v>1</v>
      </c>
      <c r="I175" s="245" t="inlineStr">
        <is>
          <t>EMCU8306627</t>
        </is>
      </c>
      <c r="J175" s="245" t="inlineStr">
        <is>
          <t>40FT</t>
        </is>
      </c>
      <c r="K175" s="245" t="inlineStr">
        <is>
          <t>12IN OPP HD EK</t>
        </is>
      </c>
      <c r="L175" s="245" t="inlineStr">
        <is>
          <t>ZU-MFMA1OZI-12K</t>
        </is>
      </c>
      <c r="M175" s="248" t="inlineStr">
        <is>
          <t>1783Z9GF</t>
        </is>
      </c>
      <c r="N175" s="245" t="inlineStr">
        <is>
          <t>F.MFM.12K.010.AD</t>
        </is>
      </c>
      <c r="O175" s="245" t="n"/>
      <c r="P175" s="245" t="n"/>
      <c r="Q175" s="250">
        <f>R175/H175</f>
        <v/>
      </c>
      <c r="R175" s="251" t="n">
        <v>74.86</v>
      </c>
      <c r="S175" s="249" t="n">
        <v>17594</v>
      </c>
      <c r="T175" s="252">
        <f>S175*R175</f>
        <v/>
      </c>
      <c r="U175" s="245" t="n"/>
      <c r="V175" s="245" t="n"/>
      <c r="W175" s="245" t="inlineStr">
        <is>
          <t>ETD : 24-09-2026</t>
        </is>
      </c>
      <c r="X175" s="245" t="n"/>
      <c r="Y175" s="245" t="n"/>
      <c r="Z175" s="245" t="n"/>
    </row>
    <row r="176" ht="16.5" customHeight="1" s="202">
      <c r="A176" s="245" t="n"/>
      <c r="B176" s="245" t="n"/>
      <c r="C176" s="245" t="n"/>
      <c r="D176" s="245" t="n"/>
      <c r="E176" s="245" t="n"/>
      <c r="F176" s="245" t="n"/>
      <c r="G176" s="245" t="n"/>
      <c r="H176" s="247" t="n">
        <v>570</v>
      </c>
      <c r="I176" s="245" t="inlineStr">
        <is>
          <t>EITU9016830</t>
        </is>
      </c>
      <c r="J176" s="245" t="inlineStr">
        <is>
          <t>40FT</t>
        </is>
      </c>
      <c r="K176" s="245" t="inlineStr">
        <is>
          <t>5IN GREEN TEA MF MATTRESS TW</t>
        </is>
      </c>
      <c r="L176" s="245" t="inlineStr">
        <is>
          <t>ZU-MFMA1ZZI-05T</t>
        </is>
      </c>
      <c r="M176" s="248" t="inlineStr">
        <is>
          <t>1783Z9GF</t>
        </is>
      </c>
      <c r="N176" s="245" t="inlineStr">
        <is>
          <t>F.MFM.05T.007.AD</t>
        </is>
      </c>
      <c r="O176" s="245" t="n"/>
      <c r="P176" s="245" t="n"/>
      <c r="Q176" s="250">
        <f>R176/H176</f>
        <v/>
      </c>
      <c r="R176" s="251" t="n">
        <v>13486.2</v>
      </c>
      <c r="S176" s="249" t="n">
        <v>17594</v>
      </c>
      <c r="T176" s="252">
        <f>S176*R176</f>
        <v/>
      </c>
      <c r="U176" s="245" t="n"/>
      <c r="V176" s="245" t="n"/>
      <c r="W176" s="245" t="n"/>
      <c r="X176" s="245" t="n"/>
      <c r="Y176" s="245" t="n"/>
      <c r="Z176" s="245" t="n"/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1</v>
      </c>
      <c r="I177" s="245" t="inlineStr">
        <is>
          <t>EGHU9287548</t>
        </is>
      </c>
      <c r="J177" s="245" t="inlineStr">
        <is>
          <t>40FT</t>
        </is>
      </c>
      <c r="K177" s="245" t="inlineStr">
        <is>
          <t>10IN GREEN TEA MF MATTRESS EK</t>
        </is>
      </c>
      <c r="L177" s="245" t="inlineStr">
        <is>
          <t>ZU-MFMA1ZZI-10K</t>
        </is>
      </c>
      <c r="M177" s="248" t="inlineStr">
        <is>
          <t>1783Z9GF</t>
        </is>
      </c>
      <c r="N177" s="245" t="inlineStr">
        <is>
          <t>F.MFM.10K.007.AD</t>
        </is>
      </c>
      <c r="O177" s="245" t="n"/>
      <c r="P177" s="245" t="n"/>
      <c r="Q177" s="250">
        <f>R177/H177</f>
        <v/>
      </c>
      <c r="R177" s="251" t="n">
        <v>97.11</v>
      </c>
      <c r="S177" s="249" t="n">
        <v>17594</v>
      </c>
      <c r="T177" s="252">
        <f>S177*R177</f>
        <v/>
      </c>
      <c r="U177" s="245" t="n"/>
      <c r="V177" s="245" t="n"/>
      <c r="W177" s="245" t="n"/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1</v>
      </c>
      <c r="I178" s="245" t="inlineStr">
        <is>
          <t>GCXU6478561</t>
        </is>
      </c>
      <c r="J178" s="245" t="inlineStr">
        <is>
          <t>40FT</t>
        </is>
      </c>
      <c r="K178" s="245" t="inlineStr">
        <is>
          <t>10IN GREEN TEA MF MATTRESS QN</t>
        </is>
      </c>
      <c r="L178" s="245" t="inlineStr">
        <is>
          <t>ZU-MFMA1ZZI-10Q</t>
        </is>
      </c>
      <c r="M178" s="248" t="inlineStr">
        <is>
          <t>1783Z9GF</t>
        </is>
      </c>
      <c r="N178" s="245" t="inlineStr">
        <is>
          <t>F.MFM.10Q.007.AD</t>
        </is>
      </c>
      <c r="O178" s="245" t="n"/>
      <c r="P178" s="245" t="n"/>
      <c r="Q178" s="250">
        <f>R178/H178</f>
        <v/>
      </c>
      <c r="R178" s="251" t="n">
        <v>65.88</v>
      </c>
      <c r="S178" s="249" t="n">
        <v>17594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1</v>
      </c>
      <c r="I179" s="245" t="inlineStr">
        <is>
          <t>FCIU7532514</t>
        </is>
      </c>
      <c r="J179" s="245" t="inlineStr">
        <is>
          <t>40FT</t>
        </is>
      </c>
      <c r="K179" s="245" t="inlineStr">
        <is>
          <t>12IN GREEN TEA MF MATTRESS EK</t>
        </is>
      </c>
      <c r="L179" s="245" t="inlineStr">
        <is>
          <t>ZU-MFMA1ZZI-12K</t>
        </is>
      </c>
      <c r="M179" s="248" t="inlineStr">
        <is>
          <t>1783Z9GF</t>
        </is>
      </c>
      <c r="N179" s="245" t="inlineStr">
        <is>
          <t>F.MFM.12K.006.AD</t>
        </is>
      </c>
      <c r="O179" s="245" t="n"/>
      <c r="P179" s="245" t="n"/>
      <c r="Q179" s="250">
        <f>R179/H179</f>
        <v/>
      </c>
      <c r="R179" s="251" t="n">
        <v>101.97</v>
      </c>
      <c r="S179" s="249" t="n">
        <v>17594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1</v>
      </c>
      <c r="I180" s="245" t="inlineStr"/>
      <c r="J180" s="245" t="inlineStr"/>
      <c r="K180" s="245" t="inlineStr">
        <is>
          <t>12IN GREEN TEA MF MATTRESS QN</t>
        </is>
      </c>
      <c r="L180" s="245" t="inlineStr">
        <is>
          <t>ZU-MFMA1ZZI-12Q</t>
        </is>
      </c>
      <c r="M180" s="248" t="inlineStr">
        <is>
          <t>1783Z9GF</t>
        </is>
      </c>
      <c r="N180" s="245" t="inlineStr">
        <is>
          <t>F.MFM.12Q.006.AD</t>
        </is>
      </c>
      <c r="O180" s="245" t="n"/>
      <c r="P180" s="245" t="n"/>
      <c r="Q180" s="250">
        <f>R180/H180</f>
        <v/>
      </c>
      <c r="R180" s="251" t="n">
        <v>83.79000000000001</v>
      </c>
      <c r="S180" s="249" t="n">
        <v>17594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106</v>
      </c>
      <c r="I181" s="245" t="inlineStr"/>
      <c r="J181" s="245" t="inlineStr"/>
      <c r="K181" s="245" t="inlineStr">
        <is>
          <t>14IN GREEN TEA FOAM MATTRESS K</t>
        </is>
      </c>
      <c r="L181" s="245" t="inlineStr">
        <is>
          <t>ZU-MFMA1ZZI-14K</t>
        </is>
      </c>
      <c r="M181" s="248" t="inlineStr">
        <is>
          <t>1783Z9GF</t>
        </is>
      </c>
      <c r="N181" s="245" t="inlineStr">
        <is>
          <t>F.MFM.14K.000.AD</t>
        </is>
      </c>
      <c r="O181" s="245" t="n"/>
      <c r="P181" s="245" t="n"/>
      <c r="Q181" s="250">
        <f>R181/H181</f>
        <v/>
      </c>
      <c r="R181" s="251" t="n">
        <v>13707.92</v>
      </c>
      <c r="S181" s="249" t="n">
        <v>17594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1</v>
      </c>
      <c r="I182" s="245" t="inlineStr"/>
      <c r="J182" s="245" t="inlineStr"/>
      <c r="K182" s="245" t="inlineStr">
        <is>
          <t>12IN OPP HD EK</t>
        </is>
      </c>
      <c r="L182" s="245" t="inlineStr">
        <is>
          <t>ZU-MFMA1OZI-12K</t>
        </is>
      </c>
      <c r="M182" s="248" t="inlineStr">
        <is>
          <t>364CLZYQ</t>
        </is>
      </c>
      <c r="N182" s="245" t="inlineStr">
        <is>
          <t>F.MFM.12K.010.AD</t>
        </is>
      </c>
      <c r="O182" s="245" t="n"/>
      <c r="P182" s="245" t="n"/>
      <c r="Q182" s="250">
        <f>R182/H182</f>
        <v/>
      </c>
      <c r="R182" s="251" t="n">
        <v>74.86</v>
      </c>
      <c r="S182" s="249" t="n">
        <v>17594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1</v>
      </c>
      <c r="I183" s="245" t="inlineStr"/>
      <c r="J183" s="245" t="inlineStr"/>
      <c r="K183" s="245" t="inlineStr">
        <is>
          <t>12IN AIRFLOW GEL FOAM MATT QN</t>
        </is>
      </c>
      <c r="L183" s="245" t="inlineStr">
        <is>
          <t>ZU-MFMA1RZI-12Q</t>
        </is>
      </c>
      <c r="M183" s="248" t="inlineStr">
        <is>
          <t>364CLZYQ</t>
        </is>
      </c>
      <c r="N183" s="245" t="inlineStr">
        <is>
          <t>F.MFM.12Q.011.AD</t>
        </is>
      </c>
      <c r="O183" s="245" t="n"/>
      <c r="P183" s="245" t="n"/>
      <c r="Q183" s="250">
        <f>R183/H183</f>
        <v/>
      </c>
      <c r="R183" s="251" t="n">
        <v>67.56999999999999</v>
      </c>
      <c r="S183" s="249" t="n">
        <v>17594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290</v>
      </c>
      <c r="I184" s="245" t="inlineStr"/>
      <c r="J184" s="245" t="inlineStr"/>
      <c r="K184" s="245" t="inlineStr">
        <is>
          <t>5IN GREEN TEA MF MATTRESS TW</t>
        </is>
      </c>
      <c r="L184" s="245" t="inlineStr">
        <is>
          <t>ZU-MFMA1ZZI-05T</t>
        </is>
      </c>
      <c r="M184" s="248" t="inlineStr">
        <is>
          <t>364CLZYQ</t>
        </is>
      </c>
      <c r="N184" s="245" t="inlineStr">
        <is>
          <t>F.MFM.05T.007.AD</t>
        </is>
      </c>
      <c r="O184" s="245" t="n"/>
      <c r="P184" s="245" t="n"/>
      <c r="Q184" s="250">
        <f>R184/H184</f>
        <v/>
      </c>
      <c r="R184" s="251" t="n">
        <v>6861.4</v>
      </c>
      <c r="S184" s="249" t="n">
        <v>17594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54</v>
      </c>
      <c r="I185" s="245" t="inlineStr"/>
      <c r="J185" s="245" t="inlineStr"/>
      <c r="K185" s="245" t="inlineStr">
        <is>
          <t>10IN GREEN TEA MF MATTRESS EK</t>
        </is>
      </c>
      <c r="L185" s="245" t="inlineStr">
        <is>
          <t>ZU-MFMA1ZZI-10K</t>
        </is>
      </c>
      <c r="M185" s="248" t="inlineStr">
        <is>
          <t>364CLZYQ</t>
        </is>
      </c>
      <c r="N185" s="245" t="inlineStr">
        <is>
          <t>F.MFM.10K.007.AD</t>
        </is>
      </c>
      <c r="O185" s="245" t="n"/>
      <c r="P185" s="245" t="n"/>
      <c r="Q185" s="250">
        <f>R185/H185</f>
        <v/>
      </c>
      <c r="R185" s="251" t="n">
        <v>5243.94</v>
      </c>
      <c r="S185" s="249" t="n">
        <v>17594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245</v>
      </c>
      <c r="I186" s="245" t="inlineStr"/>
      <c r="J186" s="245" t="inlineStr"/>
      <c r="K186" s="245" t="inlineStr">
        <is>
          <t>10IN GREEN TEA MF MATTRESS QN</t>
        </is>
      </c>
      <c r="L186" s="245" t="inlineStr">
        <is>
          <t>ZU-MFMA1ZZI-10Q</t>
        </is>
      </c>
      <c r="M186" s="248" t="inlineStr">
        <is>
          <t>364CLZYQ</t>
        </is>
      </c>
      <c r="N186" s="245" t="inlineStr">
        <is>
          <t>F.MFM.10Q.007.AD</t>
        </is>
      </c>
      <c r="O186" s="245" t="n"/>
      <c r="P186" s="245" t="n"/>
      <c r="Q186" s="250">
        <f>R186/H186</f>
        <v/>
      </c>
      <c r="R186" s="251" t="n">
        <v>16140.6</v>
      </c>
      <c r="S186" s="249" t="n">
        <v>17594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6.5" customHeight="1" s="202">
      <c r="A187" s="245" t="n"/>
      <c r="B187" s="245" t="n"/>
      <c r="C187" s="245" t="n"/>
      <c r="D187" s="245" t="n"/>
      <c r="E187" s="245" t="n"/>
      <c r="F187" s="245" t="n"/>
      <c r="G187" s="245" t="n"/>
      <c r="H187" s="247" t="n">
        <v>1</v>
      </c>
      <c r="I187" s="245" t="inlineStr"/>
      <c r="J187" s="245" t="inlineStr"/>
      <c r="K187" s="245" t="inlineStr">
        <is>
          <t>12IN GREEN TEA MF MATTRESS FL</t>
        </is>
      </c>
      <c r="L187" s="245" t="inlineStr">
        <is>
          <t>ZU-MFMA1ZZI-12F</t>
        </is>
      </c>
      <c r="M187" s="248" t="inlineStr">
        <is>
          <t>364CLZYQ</t>
        </is>
      </c>
      <c r="N187" s="245" t="inlineStr">
        <is>
          <t>F.MFM.12F.006.AD</t>
        </is>
      </c>
      <c r="O187" s="245" t="n"/>
      <c r="P187" s="245" t="n"/>
      <c r="Q187" s="250">
        <f>R187/H187</f>
        <v/>
      </c>
      <c r="R187" s="251" t="n">
        <v>70.95999999999999</v>
      </c>
      <c r="S187" s="249" t="n">
        <v>17594</v>
      </c>
      <c r="T187" s="252">
        <f>S187*R187</f>
        <v/>
      </c>
      <c r="U187" s="245" t="n"/>
      <c r="V187" s="245" t="n"/>
      <c r="W187" s="245" t="n"/>
      <c r="X187" s="245" t="n"/>
      <c r="Y187" s="245" t="n"/>
      <c r="Z187" s="245" t="n"/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1</v>
      </c>
      <c r="I188" s="245" t="inlineStr"/>
      <c r="J188" s="245" t="inlineStr"/>
      <c r="K188" s="245" t="inlineStr">
        <is>
          <t>12IN MYGEL FOAM MATTRESS EK</t>
        </is>
      </c>
      <c r="L188" s="245" t="inlineStr">
        <is>
          <t>ZU-MFGN1YZI-12K</t>
        </is>
      </c>
      <c r="M188" s="248" t="inlineStr">
        <is>
          <t>3DT668UB</t>
        </is>
      </c>
      <c r="N188" s="245" t="inlineStr">
        <is>
          <t>F.MFG.12K.002.AD</t>
        </is>
      </c>
      <c r="O188" s="245" t="n"/>
      <c r="P188" s="245" t="n"/>
      <c r="Q188" s="250">
        <f>R188/H188</f>
        <v/>
      </c>
      <c r="R188" s="251" t="n">
        <v>101.78</v>
      </c>
      <c r="S188" s="249" t="n">
        <v>17594</v>
      </c>
      <c r="T188" s="252">
        <f>S188*R188</f>
        <v/>
      </c>
      <c r="U188" s="245" t="n"/>
      <c r="V188" s="245" t="n"/>
      <c r="W188" s="245" t="n"/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53</v>
      </c>
      <c r="I189" s="245" t="inlineStr"/>
      <c r="J189" s="245" t="inlineStr"/>
      <c r="K189" s="245" t="inlineStr">
        <is>
          <t>6IN OPP HD TW</t>
        </is>
      </c>
      <c r="L189" s="245" t="inlineStr">
        <is>
          <t>ZU-MFMA1OZI-06T</t>
        </is>
      </c>
      <c r="M189" s="248" t="inlineStr">
        <is>
          <t>3DT668UB</t>
        </is>
      </c>
      <c r="N189" s="245" t="inlineStr">
        <is>
          <t>F.MFM.06T.008.AD</t>
        </is>
      </c>
      <c r="O189" s="245" t="n"/>
      <c r="P189" s="245" t="n"/>
      <c r="Q189" s="250">
        <f>R189/H189</f>
        <v/>
      </c>
      <c r="R189" s="251" t="n">
        <v>1428.35</v>
      </c>
      <c r="S189" s="249" t="n">
        <v>17594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17</v>
      </c>
      <c r="I190" s="245" t="inlineStr"/>
      <c r="J190" s="245" t="inlineStr"/>
      <c r="K190" s="245" t="inlineStr">
        <is>
          <t>12IN AIRFLOW GEL FOAM MATT EK</t>
        </is>
      </c>
      <c r="L190" s="245" t="inlineStr">
        <is>
          <t>ZU-MFMA1RZI-12K</t>
        </is>
      </c>
      <c r="M190" s="248" t="inlineStr">
        <is>
          <t>3DT668UB</t>
        </is>
      </c>
      <c r="N190" s="245" t="inlineStr">
        <is>
          <t>F.MFM.12K.011.AD</t>
        </is>
      </c>
      <c r="O190" s="245" t="n"/>
      <c r="P190" s="245" t="n"/>
      <c r="Q190" s="250">
        <f>R190/H190</f>
        <v/>
      </c>
      <c r="R190" s="251" t="n">
        <v>1272.62</v>
      </c>
      <c r="S190" s="249" t="n">
        <v>17594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54</v>
      </c>
      <c r="I191" s="245" t="inlineStr"/>
      <c r="J191" s="245" t="inlineStr"/>
      <c r="K191" s="245" t="inlineStr">
        <is>
          <t>6IN GREEN TEA MF MATTRESS QN</t>
        </is>
      </c>
      <c r="L191" s="245" t="inlineStr">
        <is>
          <t>ZU-MFMA1ZZI-06Q</t>
        </is>
      </c>
      <c r="M191" s="248" t="inlineStr">
        <is>
          <t>3DT668UB</t>
        </is>
      </c>
      <c r="N191" s="245" t="inlineStr">
        <is>
          <t>F.MFM.06Q.007.AD</t>
        </is>
      </c>
      <c r="O191" s="245" t="n"/>
      <c r="P191" s="245" t="n"/>
      <c r="Q191" s="250">
        <f>R191/H191</f>
        <v/>
      </c>
      <c r="R191" s="251" t="n">
        <v>2457.54</v>
      </c>
      <c r="S191" s="249" t="n">
        <v>17594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23</v>
      </c>
      <c r="I192" s="245" t="inlineStr"/>
      <c r="J192" s="245" t="inlineStr"/>
      <c r="K192" s="245" t="inlineStr">
        <is>
          <t>10IN GREEN TEA MF MATTRESS EK</t>
        </is>
      </c>
      <c r="L192" s="245" t="inlineStr">
        <is>
          <t>ZU-MFMA1ZZI-10K</t>
        </is>
      </c>
      <c r="M192" s="248" t="inlineStr">
        <is>
          <t>3DT668UB</t>
        </is>
      </c>
      <c r="N192" s="245" t="inlineStr">
        <is>
          <t>F.MFM.10K.007.AD</t>
        </is>
      </c>
      <c r="O192" s="245" t="n"/>
      <c r="P192" s="245" t="n"/>
      <c r="Q192" s="250">
        <f>R192/H192</f>
        <v/>
      </c>
      <c r="R192" s="251" t="n">
        <v>2233.53</v>
      </c>
      <c r="S192" s="249" t="n">
        <v>17594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345</v>
      </c>
      <c r="I193" s="245" t="inlineStr"/>
      <c r="J193" s="245" t="inlineStr"/>
      <c r="K193" s="245" t="inlineStr">
        <is>
          <t>10IN GREEN TEA MF MATTRESS QN</t>
        </is>
      </c>
      <c r="L193" s="245" t="inlineStr">
        <is>
          <t>ZU-MFMA1ZZI-10Q</t>
        </is>
      </c>
      <c r="M193" s="248" t="inlineStr">
        <is>
          <t>3DT668UB</t>
        </is>
      </c>
      <c r="N193" s="245" t="inlineStr">
        <is>
          <t>F.MFM.10Q.007.AD</t>
        </is>
      </c>
      <c r="O193" s="245" t="n"/>
      <c r="P193" s="245" t="n"/>
      <c r="Q193" s="250">
        <f>R193/H193</f>
        <v/>
      </c>
      <c r="R193" s="251" t="n">
        <v>22728.6</v>
      </c>
      <c r="S193" s="249" t="n">
        <v>17594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48</v>
      </c>
      <c r="I194" s="245" t="inlineStr"/>
      <c r="J194" s="245" t="inlineStr"/>
      <c r="K194" s="245" t="inlineStr">
        <is>
          <t>12IN OPP HD EK</t>
        </is>
      </c>
      <c r="L194" s="245" t="inlineStr">
        <is>
          <t>ZU-MFMA1OZI-12K</t>
        </is>
      </c>
      <c r="M194" s="248" t="inlineStr">
        <is>
          <t>45LRLZ4B</t>
        </is>
      </c>
      <c r="N194" s="245" t="inlineStr">
        <is>
          <t>F.MFM.12K.010.AD</t>
        </is>
      </c>
      <c r="O194" s="245" t="n"/>
      <c r="P194" s="245" t="n"/>
      <c r="Q194" s="250">
        <f>R194/H194</f>
        <v/>
      </c>
      <c r="R194" s="251" t="n">
        <v>3593.28</v>
      </c>
      <c r="S194" s="249" t="n">
        <v>17594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290</v>
      </c>
      <c r="I195" s="245" t="inlineStr"/>
      <c r="J195" s="245" t="inlineStr"/>
      <c r="K195" s="245" t="inlineStr">
        <is>
          <t>12IN AIRFLOW GEL FOAM MATT EK</t>
        </is>
      </c>
      <c r="L195" s="245" t="inlineStr">
        <is>
          <t>ZU-MFMA1RZI-12K</t>
        </is>
      </c>
      <c r="M195" s="248" t="inlineStr">
        <is>
          <t>45LRLZ4B</t>
        </is>
      </c>
      <c r="N195" s="245" t="inlineStr">
        <is>
          <t>F.MFM.12K.011.AD</t>
        </is>
      </c>
      <c r="O195" s="245" t="n"/>
      <c r="P195" s="245" t="n"/>
      <c r="Q195" s="250">
        <f>R195/H195</f>
        <v/>
      </c>
      <c r="R195" s="251" t="n">
        <v>21709.4</v>
      </c>
      <c r="S195" s="249" t="n">
        <v>17594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1</v>
      </c>
      <c r="I196" s="245" t="inlineStr"/>
      <c r="J196" s="245" t="inlineStr"/>
      <c r="K196" s="245" t="inlineStr">
        <is>
          <t>10IN GREEN TEA MF MATTRESS QN</t>
        </is>
      </c>
      <c r="L196" s="245" t="inlineStr">
        <is>
          <t>ZU-MFMA1ZZI-10Q</t>
        </is>
      </c>
      <c r="M196" s="248" t="inlineStr">
        <is>
          <t>45LRLZ4B</t>
        </is>
      </c>
      <c r="N196" s="245" t="inlineStr">
        <is>
          <t>F.MFM.10Q.007.AD</t>
        </is>
      </c>
      <c r="O196" s="245" t="n"/>
      <c r="P196" s="245" t="n"/>
      <c r="Q196" s="250">
        <f>R196/H196</f>
        <v/>
      </c>
      <c r="R196" s="251" t="n">
        <v>65.88</v>
      </c>
      <c r="S196" s="249" t="n">
        <v>17594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6.5" customHeight="1" s="202">
      <c r="A197" s="245" t="n"/>
      <c r="B197" s="245" t="n"/>
      <c r="C197" s="245" t="n"/>
      <c r="D197" s="245" t="n"/>
      <c r="E197" s="245" t="n"/>
      <c r="F197" s="245" t="n"/>
      <c r="G197" s="245" t="n"/>
      <c r="H197" s="247" t="n">
        <v>1</v>
      </c>
      <c r="I197" s="245" t="inlineStr"/>
      <c r="J197" s="245" t="inlineStr"/>
      <c r="K197" s="245" t="inlineStr">
        <is>
          <t>12IN GREEN TEA MF MATTRESS EK</t>
        </is>
      </c>
      <c r="L197" s="245" t="inlineStr">
        <is>
          <t>ZU-MFMA1ZZI-12K</t>
        </is>
      </c>
      <c r="M197" s="248" t="inlineStr">
        <is>
          <t>45LRLZ4B</t>
        </is>
      </c>
      <c r="N197" s="245" t="inlineStr">
        <is>
          <t>F.MFM.12K.006.AD</t>
        </is>
      </c>
      <c r="O197" s="245" t="n"/>
      <c r="P197" s="245" t="n"/>
      <c r="Q197" s="250">
        <f>R197/H197</f>
        <v/>
      </c>
      <c r="R197" s="251" t="n">
        <v>101.97</v>
      </c>
      <c r="S197" s="249" t="n">
        <v>17594</v>
      </c>
      <c r="T197" s="252">
        <f>S197*R197</f>
        <v/>
      </c>
      <c r="U197" s="245" t="n"/>
      <c r="V197" s="245" t="n"/>
      <c r="W197" s="245" t="n"/>
      <c r="X197" s="245" t="n"/>
      <c r="Y197" s="245" t="n"/>
      <c r="Z197" s="245" t="n"/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7" t="n">
        <v>5</v>
      </c>
      <c r="I198" s="245" t="inlineStr"/>
      <c r="J198" s="245" t="inlineStr"/>
      <c r="K198" s="245" t="inlineStr">
        <is>
          <t>14IN GREEN TEA FOAM MATTRESS K</t>
        </is>
      </c>
      <c r="L198" s="245" t="inlineStr">
        <is>
          <t>ZU-MFMA1ZZI-14K</t>
        </is>
      </c>
      <c r="M198" s="248" t="inlineStr">
        <is>
          <t>45LRLZ4B</t>
        </is>
      </c>
      <c r="N198" s="245" t="inlineStr">
        <is>
          <t>F.MFM.14K.000.AD</t>
        </is>
      </c>
      <c r="O198" s="245" t="n"/>
      <c r="P198" s="245" t="n"/>
      <c r="Q198" s="250">
        <f>R198/H198</f>
        <v/>
      </c>
      <c r="R198" s="251" t="n">
        <v>646.6</v>
      </c>
      <c r="S198" s="249" t="n">
        <v>17594</v>
      </c>
      <c r="T198" s="252">
        <f>S198*R198</f>
        <v/>
      </c>
      <c r="U198" s="245" t="n"/>
      <c r="V198" s="245" t="n"/>
      <c r="W198" s="245" t="n"/>
      <c r="X198" s="245" t="n"/>
      <c r="Y198" s="245" t="n"/>
      <c r="Z198" s="245" t="n"/>
    </row>
    <row r="199" ht="16.5" customHeight="1" s="202">
      <c r="A199" s="245" t="n"/>
      <c r="B199" s="245" t="n"/>
      <c r="C199" s="245" t="n"/>
      <c r="D199" s="245" t="n"/>
      <c r="E199" s="245" t="n"/>
      <c r="F199" s="245" t="n"/>
      <c r="G199" s="245" t="n"/>
      <c r="H199" s="247" t="n">
        <v>2</v>
      </c>
      <c r="I199" s="245" t="inlineStr"/>
      <c r="J199" s="245" t="inlineStr"/>
      <c r="K199" s="245" t="inlineStr">
        <is>
          <t>10IN GREEN TEA MF MATTRESS SQ</t>
        </is>
      </c>
      <c r="L199" s="245" t="inlineStr">
        <is>
          <t>ZU-MFMA1FZI-10S</t>
        </is>
      </c>
      <c r="M199" s="248" t="inlineStr">
        <is>
          <t>7GJV5ZKV</t>
        </is>
      </c>
      <c r="N199" s="245" t="inlineStr">
        <is>
          <t>F.MFM.10S.009.AD</t>
        </is>
      </c>
      <c r="O199" s="245" t="n"/>
      <c r="P199" s="245" t="n"/>
      <c r="Q199" s="250">
        <f>R199/H199</f>
        <v/>
      </c>
      <c r="R199" s="251" t="n">
        <v>146.04</v>
      </c>
      <c r="S199" s="249" t="n">
        <v>17594</v>
      </c>
      <c r="T199" s="252">
        <f>S199*R199</f>
        <v/>
      </c>
      <c r="U199" s="245" t="n"/>
      <c r="V199" s="245" t="n"/>
      <c r="W199" s="245" t="n"/>
      <c r="X199" s="245" t="n"/>
      <c r="Y199" s="245" t="n"/>
      <c r="Z199" s="245" t="n"/>
    </row>
    <row r="200" ht="16.5" customHeight="1" s="202">
      <c r="A200" s="245" t="n"/>
      <c r="B200" s="245" t="n"/>
      <c r="C200" s="245" t="n"/>
      <c r="D200" s="245" t="n"/>
      <c r="E200" s="245" t="n"/>
      <c r="F200" s="245" t="n"/>
      <c r="G200" s="245" t="n"/>
      <c r="H200" s="247" t="n">
        <v>1</v>
      </c>
      <c r="I200" s="245" t="inlineStr"/>
      <c r="J200" s="245" t="inlineStr"/>
      <c r="K200" s="245" t="inlineStr">
        <is>
          <t>12IN OPP HD EK</t>
        </is>
      </c>
      <c r="L200" s="245" t="inlineStr">
        <is>
          <t>ZU-MFMA1OZI-12K</t>
        </is>
      </c>
      <c r="M200" s="248" t="inlineStr">
        <is>
          <t>7GJV5ZKV</t>
        </is>
      </c>
      <c r="N200" s="245" t="inlineStr">
        <is>
          <t>F.MFM.12K.010.AD</t>
        </is>
      </c>
      <c r="O200" s="245" t="n"/>
      <c r="P200" s="245" t="n"/>
      <c r="Q200" s="250">
        <f>R200/H200</f>
        <v/>
      </c>
      <c r="R200" s="251" t="n">
        <v>74.86</v>
      </c>
      <c r="S200" s="249" t="n">
        <v>17594</v>
      </c>
      <c r="T200" s="252">
        <f>S200*R200</f>
        <v/>
      </c>
      <c r="U200" s="245" t="n"/>
      <c r="V200" s="245" t="n"/>
      <c r="W200" s="245" t="n"/>
      <c r="X200" s="245" t="n"/>
      <c r="Y200" s="245" t="n"/>
      <c r="Z200" s="245" t="n"/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7" t="n">
        <v>6</v>
      </c>
      <c r="I201" s="245" t="inlineStr"/>
      <c r="J201" s="245" t="inlineStr"/>
      <c r="K201" s="245" t="inlineStr">
        <is>
          <t>12IN AIRFLOW GEL FOAM MATT TW</t>
        </is>
      </c>
      <c r="L201" s="245" t="inlineStr">
        <is>
          <t>ZU-MFMA1RZI-12T</t>
        </is>
      </c>
      <c r="M201" s="248" t="inlineStr">
        <is>
          <t>7GJV5ZKV</t>
        </is>
      </c>
      <c r="N201" s="245" t="inlineStr">
        <is>
          <t>F.MFM.12T.011.AD</t>
        </is>
      </c>
      <c r="O201" s="245" t="n"/>
      <c r="P201" s="245" t="n"/>
      <c r="Q201" s="250">
        <f>R201/H201</f>
        <v/>
      </c>
      <c r="R201" s="251" t="n">
        <v>251.52</v>
      </c>
      <c r="S201" s="249" t="n">
        <v>17594</v>
      </c>
      <c r="T201" s="252">
        <f>S201*R201</f>
        <v/>
      </c>
      <c r="U201" s="245" t="n"/>
      <c r="V201" s="245" t="n"/>
      <c r="W201" s="245" t="n"/>
      <c r="X201" s="245" t="n"/>
      <c r="Y201" s="245" t="n"/>
      <c r="Z201" s="245" t="n"/>
    </row>
    <row r="202" ht="16.5" customHeight="1" s="202">
      <c r="A202" s="245" t="n"/>
      <c r="B202" s="245" t="n"/>
      <c r="C202" s="245" t="n"/>
      <c r="D202" s="245" t="n"/>
      <c r="E202" s="245" t="n"/>
      <c r="F202" s="245" t="n"/>
      <c r="G202" s="245" t="n"/>
      <c r="H202" s="247" t="n">
        <v>145</v>
      </c>
      <c r="I202" s="245" t="inlineStr"/>
      <c r="J202" s="245" t="inlineStr"/>
      <c r="K202" s="245" t="inlineStr">
        <is>
          <t>6IN GREEN TEA MF MATTRESS QN</t>
        </is>
      </c>
      <c r="L202" s="245" t="inlineStr">
        <is>
          <t>ZU-MFMA1ZZI-06Q</t>
        </is>
      </c>
      <c r="M202" s="248" t="inlineStr">
        <is>
          <t>7GJV5ZKV</t>
        </is>
      </c>
      <c r="N202" s="245" t="inlineStr">
        <is>
          <t>F.MFM.06Q.007.AD</t>
        </is>
      </c>
      <c r="O202" s="245" t="n"/>
      <c r="P202" s="245" t="n"/>
      <c r="Q202" s="250">
        <f>R202/H202</f>
        <v/>
      </c>
      <c r="R202" s="251" t="n">
        <v>6598.95</v>
      </c>
      <c r="S202" s="249" t="n">
        <v>17594</v>
      </c>
      <c r="T202" s="252">
        <f>S202*R202</f>
        <v/>
      </c>
      <c r="U202" s="245" t="n"/>
      <c r="V202" s="245" t="n"/>
      <c r="W202" s="245" t="n"/>
      <c r="X202" s="245" t="n"/>
      <c r="Y202" s="245" t="n"/>
      <c r="Z202" s="245" t="n"/>
    </row>
    <row r="203" ht="16.5" customHeight="1" s="202">
      <c r="A203" s="245" t="n"/>
      <c r="B203" s="245" t="n"/>
      <c r="C203" s="245" t="n"/>
      <c r="D203" s="245" t="n"/>
      <c r="E203" s="245" t="n"/>
      <c r="F203" s="245" t="n"/>
      <c r="G203" s="245" t="n"/>
      <c r="H203" s="247" t="n">
        <v>1</v>
      </c>
      <c r="I203" s="245" t="inlineStr"/>
      <c r="J203" s="245" t="inlineStr"/>
      <c r="K203" s="245" t="inlineStr">
        <is>
          <t>10IN GREEN TEA MF MATTRESS EK</t>
        </is>
      </c>
      <c r="L203" s="245" t="inlineStr">
        <is>
          <t>ZU-MFMA1ZZI-10K</t>
        </is>
      </c>
      <c r="M203" s="248" t="inlineStr">
        <is>
          <t>7GJV5ZKV</t>
        </is>
      </c>
      <c r="N203" s="245" t="inlineStr">
        <is>
          <t>F.MFM.10K.007.AD</t>
        </is>
      </c>
      <c r="O203" s="245" t="n"/>
      <c r="P203" s="245" t="n"/>
      <c r="Q203" s="250">
        <f>R203/H203</f>
        <v/>
      </c>
      <c r="R203" s="251" t="n">
        <v>97.11</v>
      </c>
      <c r="S203" s="249" t="n">
        <v>17594</v>
      </c>
      <c r="T203" s="252">
        <f>S203*R203</f>
        <v/>
      </c>
      <c r="U203" s="245" t="n"/>
      <c r="V203" s="245" t="n"/>
      <c r="W203" s="245" t="n"/>
      <c r="X203" s="245" t="n"/>
      <c r="Y203" s="245" t="n"/>
      <c r="Z203" s="245" t="n"/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10</v>
      </c>
      <c r="I204" s="245" t="inlineStr"/>
      <c r="J204" s="245" t="inlineStr"/>
      <c r="K204" s="245" t="inlineStr">
        <is>
          <t>10IN GREEN TEA MF MATTRESS QN</t>
        </is>
      </c>
      <c r="L204" s="245" t="inlineStr">
        <is>
          <t>ZU-MFMA1ZZI-10Q</t>
        </is>
      </c>
      <c r="M204" s="248" t="inlineStr">
        <is>
          <t>7GJV5ZKV</t>
        </is>
      </c>
      <c r="N204" s="245" t="inlineStr">
        <is>
          <t>F.MFM.10Q.007.AD</t>
        </is>
      </c>
      <c r="O204" s="245" t="n"/>
      <c r="P204" s="245" t="n"/>
      <c r="Q204" s="250">
        <f>R204/H204</f>
        <v/>
      </c>
      <c r="R204" s="251" t="n">
        <v>658.8</v>
      </c>
      <c r="S204" s="249" t="n">
        <v>17594</v>
      </c>
      <c r="T204" s="252">
        <f>S204*R204</f>
        <v/>
      </c>
      <c r="U204" s="245" t="n"/>
      <c r="V204" s="245" t="n"/>
      <c r="W204" s="245" t="n"/>
      <c r="X204" s="245" t="n"/>
      <c r="Y204" s="245" t="n"/>
      <c r="Z204" s="245" t="n"/>
    </row>
    <row r="205" ht="16.5" customHeight="1" s="202">
      <c r="A205" s="245" t="n"/>
      <c r="B205" s="245" t="n"/>
      <c r="C205" s="245" t="n"/>
      <c r="D205" s="245" t="n"/>
      <c r="E205" s="245" t="n"/>
      <c r="F205" s="245" t="n"/>
      <c r="G205" s="245" t="n"/>
      <c r="H205" s="247" t="n">
        <v>1</v>
      </c>
      <c r="I205" s="245" t="inlineStr"/>
      <c r="J205" s="245" t="inlineStr"/>
      <c r="K205" s="245" t="inlineStr">
        <is>
          <t>12IN GREEN TEA MF MATTRESS FL</t>
        </is>
      </c>
      <c r="L205" s="245" t="inlineStr">
        <is>
          <t>ZU-MFMA1ZZI-12F</t>
        </is>
      </c>
      <c r="M205" s="248" t="inlineStr">
        <is>
          <t>7GJV5ZKV</t>
        </is>
      </c>
      <c r="N205" s="245" t="inlineStr">
        <is>
          <t>F.MFM.12F.006.AD</t>
        </is>
      </c>
      <c r="O205" s="245" t="n"/>
      <c r="P205" s="245" t="n"/>
      <c r="Q205" s="250">
        <f>R205/H205</f>
        <v/>
      </c>
      <c r="R205" s="251" t="n">
        <v>70.95999999999999</v>
      </c>
      <c r="S205" s="249" t="n">
        <v>17594</v>
      </c>
      <c r="T205" s="252">
        <f>S205*R205</f>
        <v/>
      </c>
      <c r="U205" s="245" t="n"/>
      <c r="V205" s="245" t="n"/>
      <c r="W205" s="245" t="n"/>
      <c r="X205" s="245" t="n"/>
      <c r="Y205" s="245" t="n"/>
      <c r="Z205" s="245" t="n"/>
    </row>
    <row r="206" ht="16.5" customHeight="1" s="202">
      <c r="A206" s="245" t="n"/>
      <c r="B206" s="245" t="n"/>
      <c r="C206" s="245" t="n"/>
      <c r="D206" s="245" t="n"/>
      <c r="E206" s="245" t="n"/>
      <c r="F206" s="245" t="n"/>
      <c r="G206" s="245" t="n"/>
      <c r="H206" s="247" t="n">
        <v>330</v>
      </c>
      <c r="I206" s="245" t="inlineStr"/>
      <c r="J206" s="245" t="inlineStr"/>
      <c r="K206" s="245" t="inlineStr">
        <is>
          <t>12IN GREEN TEA MF MATTRESS QN</t>
        </is>
      </c>
      <c r="L206" s="245" t="inlineStr">
        <is>
          <t>ZU-MFMA1ZZI-12Q</t>
        </is>
      </c>
      <c r="M206" s="248" t="inlineStr">
        <is>
          <t>7GJV5ZKV</t>
        </is>
      </c>
      <c r="N206" s="245" t="inlineStr">
        <is>
          <t>F.MFM.12Q.006.AD</t>
        </is>
      </c>
      <c r="O206" s="245" t="n"/>
      <c r="P206" s="245" t="n"/>
      <c r="Q206" s="250">
        <f>R206/H206</f>
        <v/>
      </c>
      <c r="R206" s="251" t="n">
        <v>27650.7</v>
      </c>
      <c r="S206" s="249" t="n">
        <v>17594</v>
      </c>
      <c r="T206" s="252">
        <f>S206*R206</f>
        <v/>
      </c>
      <c r="U206" s="245" t="n"/>
      <c r="V206" s="245" t="n"/>
      <c r="W206" s="245" t="n"/>
      <c r="X206" s="245" t="n"/>
      <c r="Y206" s="245" t="n"/>
      <c r="Z206" s="245" t="n"/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7" t="n">
        <v>1</v>
      </c>
      <c r="I207" s="245" t="inlineStr"/>
      <c r="J207" s="245" t="inlineStr"/>
      <c r="K207" s="245" t="inlineStr">
        <is>
          <t>14IN GREEN TEA FOAM MATTRESS K</t>
        </is>
      </c>
      <c r="L207" s="245" t="inlineStr">
        <is>
          <t>ZU-MFMA1ZZI-14K</t>
        </is>
      </c>
      <c r="M207" s="248" t="inlineStr">
        <is>
          <t>7GJV5ZKV</t>
        </is>
      </c>
      <c r="N207" s="245" t="inlineStr">
        <is>
          <t>F.MFM.14K.000.AD</t>
        </is>
      </c>
      <c r="O207" s="245" t="n"/>
      <c r="P207" s="245" t="n"/>
      <c r="Q207" s="250">
        <f>R207/H207</f>
        <v/>
      </c>
      <c r="R207" s="251" t="n">
        <v>129.32</v>
      </c>
      <c r="S207" s="249" t="n">
        <v>17594</v>
      </c>
      <c r="T207" s="252">
        <f>S207*R207</f>
        <v/>
      </c>
      <c r="U207" s="245" t="n"/>
      <c r="V207" s="245" t="n"/>
      <c r="W207" s="245" t="n"/>
      <c r="X207" s="245" t="n"/>
      <c r="Y207" s="245" t="n"/>
      <c r="Z207" s="245" t="n"/>
    </row>
    <row r="208" ht="16.5" customHeight="1" s="202">
      <c r="A208" s="245" t="n"/>
      <c r="B208" s="245" t="n"/>
      <c r="C208" s="245" t="n"/>
      <c r="D208" s="245" t="n"/>
      <c r="E208" s="245" t="n"/>
      <c r="F208" s="245" t="n"/>
      <c r="G208" s="245" t="n"/>
      <c r="H208" s="247" t="n">
        <v>405</v>
      </c>
      <c r="I208" s="245" t="inlineStr"/>
      <c r="J208" s="245" t="inlineStr"/>
      <c r="K208" s="245" t="inlineStr">
        <is>
          <t>6IN GREEN TEA MF MATTRESS QN</t>
        </is>
      </c>
      <c r="L208" s="245" t="inlineStr">
        <is>
          <t>ZU-MFMA1ZZI-06Q</t>
        </is>
      </c>
      <c r="M208" s="248" t="inlineStr">
        <is>
          <t>7IPEVVVN</t>
        </is>
      </c>
      <c r="N208" s="245" t="inlineStr">
        <is>
          <t>F.MFM.06Q.007.AD</t>
        </is>
      </c>
      <c r="O208" s="245" t="n"/>
      <c r="P208" s="245" t="n"/>
      <c r="Q208" s="250">
        <f>R208/H208</f>
        <v/>
      </c>
      <c r="R208" s="251" t="n">
        <v>18431.55</v>
      </c>
      <c r="S208" s="249" t="n">
        <v>17594</v>
      </c>
      <c r="T208" s="252">
        <f>S208*R208</f>
        <v/>
      </c>
      <c r="U208" s="245" t="n"/>
      <c r="V208" s="245" t="n"/>
      <c r="W208" s="245" t="n"/>
      <c r="X208" s="245" t="n"/>
      <c r="Y208" s="245" t="n"/>
      <c r="Z208" s="245" t="n"/>
    </row>
    <row r="209" ht="16.5" customHeight="1" s="202">
      <c r="A209" s="245" t="n"/>
      <c r="B209" s="245" t="n"/>
      <c r="C209" s="245" t="n"/>
      <c r="D209" s="245" t="n"/>
      <c r="E209" s="245" t="n"/>
      <c r="F209" s="245" t="n"/>
      <c r="G209" s="245" t="n"/>
      <c r="H209" s="247" t="n">
        <v>1</v>
      </c>
      <c r="I209" s="245" t="inlineStr"/>
      <c r="J209" s="245" t="inlineStr"/>
      <c r="K209" s="245" t="inlineStr">
        <is>
          <t>8IN GREEN TEA MF MATTRESS FL</t>
        </is>
      </c>
      <c r="L209" s="245" t="inlineStr">
        <is>
          <t>ZU-MFMA1ZZI-08F</t>
        </is>
      </c>
      <c r="M209" s="248" t="inlineStr">
        <is>
          <t>7IPEVVVN</t>
        </is>
      </c>
      <c r="N209" s="245" t="inlineStr">
        <is>
          <t>F.MFM.08F.008.AD</t>
        </is>
      </c>
      <c r="O209" s="245" t="n"/>
      <c r="P209" s="245" t="n"/>
      <c r="Q209" s="250">
        <f>R209/H209</f>
        <v/>
      </c>
      <c r="R209" s="251" t="n">
        <v>55.99</v>
      </c>
      <c r="S209" s="249" t="n">
        <v>17594</v>
      </c>
      <c r="T209" s="252">
        <f>S209*R209</f>
        <v/>
      </c>
      <c r="U209" s="245" t="n"/>
      <c r="V209" s="245" t="n"/>
      <c r="W209" s="245" t="n"/>
      <c r="X209" s="245" t="n"/>
      <c r="Y209" s="245" t="n"/>
      <c r="Z209" s="245" t="n"/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7" t="n">
        <v>3</v>
      </c>
      <c r="I210" s="245" t="inlineStr"/>
      <c r="J210" s="245" t="inlineStr"/>
      <c r="K210" s="245" t="inlineStr">
        <is>
          <t>10IN GREEN TEA MF MATTRESS EK</t>
        </is>
      </c>
      <c r="L210" s="245" t="inlineStr">
        <is>
          <t>ZU-MFMA1ZZI-10K</t>
        </is>
      </c>
      <c r="M210" s="248" t="inlineStr">
        <is>
          <t>7IPEVVVN</t>
        </is>
      </c>
      <c r="N210" s="245" t="inlineStr">
        <is>
          <t>F.MFM.10K.007.AD</t>
        </is>
      </c>
      <c r="O210" s="245" t="n"/>
      <c r="P210" s="245" t="n"/>
      <c r="Q210" s="250">
        <f>R210/H210</f>
        <v/>
      </c>
      <c r="R210" s="251" t="n">
        <v>291.33</v>
      </c>
      <c r="S210" s="249" t="n">
        <v>17594</v>
      </c>
      <c r="T210" s="252">
        <f>S210*R210</f>
        <v/>
      </c>
      <c r="U210" s="245" t="n"/>
      <c r="V210" s="245" t="n"/>
      <c r="W210" s="245" t="n"/>
      <c r="X210" s="245" t="n"/>
      <c r="Y210" s="245" t="n"/>
      <c r="Z210" s="245" t="n"/>
    </row>
    <row r="211" ht="16.5" customHeight="1" s="202">
      <c r="A211" s="245" t="n"/>
      <c r="B211" s="245" t="n"/>
      <c r="C211" s="245" t="n"/>
      <c r="D211" s="245" t="n"/>
      <c r="E211" s="245" t="n"/>
      <c r="F211" s="245" t="n"/>
      <c r="G211" s="245" t="n"/>
      <c r="H211" s="247" t="n">
        <v>130</v>
      </c>
      <c r="I211" s="245" t="inlineStr"/>
      <c r="J211" s="245" t="inlineStr"/>
      <c r="K211" s="245" t="inlineStr">
        <is>
          <t>12IN GREEN TEA MF MATTRESS FL</t>
        </is>
      </c>
      <c r="L211" s="245" t="inlineStr">
        <is>
          <t>ZU-MFMA1ZZI-12F</t>
        </is>
      </c>
      <c r="M211" s="248" t="inlineStr">
        <is>
          <t>7IPEVVVN</t>
        </is>
      </c>
      <c r="N211" s="245" t="inlineStr">
        <is>
          <t>F.MFM.12F.006.AD</t>
        </is>
      </c>
      <c r="O211" s="245" t="n"/>
      <c r="P211" s="245" t="n"/>
      <c r="Q211" s="250">
        <f>R211/H211</f>
        <v/>
      </c>
      <c r="R211" s="251" t="n">
        <v>9224.799999999999</v>
      </c>
      <c r="S211" s="249" t="n">
        <v>17594</v>
      </c>
      <c r="T211" s="252">
        <f>S211*R211</f>
        <v/>
      </c>
      <c r="U211" s="245" t="n"/>
      <c r="V211" s="245" t="n"/>
      <c r="W211" s="245" t="n"/>
      <c r="X211" s="245" t="n"/>
      <c r="Y211" s="245" t="n"/>
      <c r="Z211" s="245" t="n"/>
    </row>
    <row r="212" ht="16.5" customHeight="1" s="202">
      <c r="A212" s="245" t="n"/>
      <c r="B212" s="245" t="n"/>
      <c r="C212" s="245" t="n"/>
      <c r="D212" s="245" t="n"/>
      <c r="E212" s="245" t="n"/>
      <c r="F212" s="245" t="n"/>
      <c r="G212" s="245" t="n"/>
      <c r="H212" s="247" t="n">
        <v>50</v>
      </c>
      <c r="I212" s="245" t="inlineStr"/>
      <c r="J212" s="245" t="inlineStr"/>
      <c r="K212" s="245" t="inlineStr">
        <is>
          <t>12IN GREEN TEA MF MATTRESS QN</t>
        </is>
      </c>
      <c r="L212" s="245" t="inlineStr">
        <is>
          <t>ZU-MFMA1ZZI-12Q</t>
        </is>
      </c>
      <c r="M212" s="248" t="inlineStr">
        <is>
          <t>7IPEVVVN</t>
        </is>
      </c>
      <c r="N212" s="245" t="inlineStr">
        <is>
          <t>F.MFM.12Q.006.AD</t>
        </is>
      </c>
      <c r="O212" s="245" t="n"/>
      <c r="P212" s="245" t="n"/>
      <c r="Q212" s="250">
        <f>R212/H212</f>
        <v/>
      </c>
      <c r="R212" s="251" t="n">
        <v>4189.5</v>
      </c>
      <c r="S212" s="249" t="n">
        <v>17594</v>
      </c>
      <c r="T212" s="252">
        <f>S212*R212</f>
        <v/>
      </c>
      <c r="U212" s="245" t="n"/>
      <c r="V212" s="245" t="n"/>
      <c r="W212" s="245" t="n"/>
      <c r="X212" s="245" t="n"/>
      <c r="Y212" s="245" t="n"/>
      <c r="Z212" s="245" t="n"/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7" t="n">
        <v>1</v>
      </c>
      <c r="I213" s="245" t="inlineStr"/>
      <c r="J213" s="245" t="inlineStr"/>
      <c r="K213" s="245" t="inlineStr">
        <is>
          <t>6IN TIGHT TOP BONNEL TX</t>
        </is>
      </c>
      <c r="L213" s="245" t="inlineStr">
        <is>
          <t>ZU-MSSA2BZI-06X</t>
        </is>
      </c>
      <c r="M213" s="248" t="inlineStr">
        <is>
          <t>3DT668UB</t>
        </is>
      </c>
      <c r="N213" s="245" t="inlineStr">
        <is>
          <t>F.MSS.06X.007.AD</t>
        </is>
      </c>
      <c r="O213" s="245" t="n"/>
      <c r="P213" s="245" t="n"/>
      <c r="Q213" s="250">
        <f>R213/H213</f>
        <v/>
      </c>
      <c r="R213" s="251" t="n">
        <v>27.75</v>
      </c>
      <c r="S213" s="249" t="n">
        <v>17594</v>
      </c>
      <c r="T213" s="252">
        <f>S213*R213</f>
        <v/>
      </c>
      <c r="U213" s="245" t="n"/>
      <c r="V213" s="245" t="n"/>
      <c r="W213" s="245" t="n"/>
      <c r="X213" s="245" t="n"/>
      <c r="Y213" s="245" t="n"/>
      <c r="Z213" s="245" t="n"/>
    </row>
    <row r="214" ht="16.5" customHeight="1" s="202">
      <c r="A214" s="245" t="n"/>
      <c r="B214" s="245" t="n"/>
      <c r="C214" s="245" t="n"/>
      <c r="D214" s="245" t="n"/>
      <c r="E214" s="245" t="n"/>
      <c r="F214" s="245" t="n"/>
      <c r="G214" s="245" t="n"/>
      <c r="H214" s="247" t="n">
        <v>7</v>
      </c>
      <c r="I214" s="245" t="inlineStr"/>
      <c r="J214" s="245" t="inlineStr"/>
      <c r="K214" s="245" t="inlineStr">
        <is>
          <t>8IN TIGHT TOP BONNEL SQ</t>
        </is>
      </c>
      <c r="L214" s="245" t="inlineStr">
        <is>
          <t>ZU-MSSA2BZI-08S</t>
        </is>
      </c>
      <c r="M214" s="248" t="inlineStr">
        <is>
          <t>7IPEVVVN</t>
        </is>
      </c>
      <c r="N214" s="245" t="inlineStr">
        <is>
          <t>F.MSS.08S.009.AD</t>
        </is>
      </c>
      <c r="O214" s="245" t="n"/>
      <c r="P214" s="245" t="n"/>
      <c r="Q214" s="250">
        <f>R214/H214</f>
        <v/>
      </c>
      <c r="R214" s="251" t="n">
        <v>339.29</v>
      </c>
      <c r="S214" s="249" t="n">
        <v>17594</v>
      </c>
      <c r="T214" s="252">
        <f>S214*R214</f>
        <v/>
      </c>
      <c r="U214" s="245" t="n"/>
      <c r="V214" s="245" t="n"/>
      <c r="W214" s="245" t="n"/>
      <c r="X214" s="245" t="n"/>
      <c r="Y214" s="245" t="n"/>
      <c r="Z214" s="245" t="n"/>
    </row>
    <row r="215" ht="16.5" customHeight="1" s="202">
      <c r="A215" s="245" t="n"/>
      <c r="B215" s="245" t="n"/>
      <c r="C215" s="245" t="n"/>
      <c r="D215" s="245" t="n"/>
      <c r="E215" s="245" t="n"/>
      <c r="F215" s="245" t="n"/>
      <c r="G215" s="245" t="n"/>
      <c r="H215" s="247" t="n">
        <v>8</v>
      </c>
      <c r="I215" s="245" t="inlineStr"/>
      <c r="J215" s="245" t="inlineStr"/>
      <c r="K215" s="245" t="inlineStr">
        <is>
          <t>12IN F-EURO TOP BONNEL EK</t>
        </is>
      </c>
      <c r="L215" s="245" t="inlineStr">
        <is>
          <t>ZU-MSSA2BZI-12K</t>
        </is>
      </c>
      <c r="M215" s="248" t="inlineStr">
        <is>
          <t>7IPEVVVN</t>
        </is>
      </c>
      <c r="N215" s="245" t="inlineStr">
        <is>
          <t>F.MSS.12K.007.AD</t>
        </is>
      </c>
      <c r="O215" s="245" t="n"/>
      <c r="P215" s="245" t="n"/>
      <c r="Q215" s="250">
        <f>R215/H215</f>
        <v/>
      </c>
      <c r="R215" s="251" t="n">
        <v>636.4</v>
      </c>
      <c r="S215" s="249" t="n">
        <v>17594</v>
      </c>
      <c r="T215" s="252">
        <f>S215*R215</f>
        <v/>
      </c>
      <c r="U215" s="245" t="n"/>
      <c r="V215" s="245" t="n"/>
      <c r="W215" s="245" t="n"/>
      <c r="X215" s="245" t="n"/>
      <c r="Y215" s="245" t="n"/>
      <c r="Z215" s="245" t="n"/>
    </row>
    <row r="216" ht="17.1" customHeight="1" s="202">
      <c r="A216" s="254" t="n"/>
      <c r="B216" s="254" t="n"/>
      <c r="C216" s="254" t="n"/>
      <c r="D216" s="254" t="n"/>
      <c r="E216" s="254" t="n"/>
      <c r="F216" s="254" t="n"/>
      <c r="G216" s="254" t="n"/>
      <c r="H216" s="255">
        <f>SUM(H174:H215)</f>
        <v/>
      </c>
      <c r="I216" s="254">
        <f>COUNTA(I174:I215)</f>
        <v/>
      </c>
      <c r="J216" s="254" t="n"/>
      <c r="K216" s="254" t="n"/>
      <c r="L216" s="254" t="n"/>
      <c r="M216" s="254" t="n"/>
      <c r="N216" s="254" t="n"/>
      <c r="O216" s="256">
        <f>SUM(O174:O215)</f>
        <v/>
      </c>
      <c r="P216" s="256">
        <f>SUM(P174:P215)</f>
        <v/>
      </c>
      <c r="Q216" s="254" t="n"/>
      <c r="R216" s="257">
        <f>SUM(R174:R215)</f>
        <v/>
      </c>
      <c r="S216" s="254" t="n"/>
      <c r="T216" s="258">
        <f>SUM(T174:T215)</f>
        <v/>
      </c>
      <c r="U216" s="254" t="n"/>
      <c r="V216" s="254" t="n"/>
      <c r="W216" s="254" t="n"/>
      <c r="X216" s="254" t="n"/>
      <c r="Y216" s="254" t="n"/>
      <c r="Z216" s="254" t="n"/>
    </row>
    <row r="217" ht="16.5" customHeight="1" s="202">
      <c r="A217" s="245" t="n">
        <v>35</v>
      </c>
      <c r="B217" s="245" t="inlineStr">
        <is>
          <t>000030ZIK48020260918000818</t>
        </is>
      </c>
      <c r="C217" s="245" t="n">
        <v>599404</v>
      </c>
      <c r="D217" s="245" t="n">
        <v>599342</v>
      </c>
      <c r="E217" s="246" t="n">
        <v>46286</v>
      </c>
      <c r="F217" s="245" t="inlineStr">
        <is>
          <t>ID2609-8480</t>
        </is>
      </c>
      <c r="G217" s="246" t="n">
        <v>46281</v>
      </c>
      <c r="H217" s="247" t="n">
        <v>442</v>
      </c>
      <c r="I217" s="245" t="inlineStr">
        <is>
          <t>TCNU8299790</t>
        </is>
      </c>
      <c r="J217" s="245" t="inlineStr">
        <is>
          <t>40FT</t>
        </is>
      </c>
      <c r="K217" s="245" t="inlineStr">
        <is>
          <t>12IN GREEN TEA MF MATTRESS QN</t>
        </is>
      </c>
      <c r="L217" s="245" t="inlineStr">
        <is>
          <t>ZU-MFMA1ZZI-12Q</t>
        </is>
      </c>
      <c r="M217" s="248" t="inlineStr">
        <is>
          <t>4S7BADVV</t>
        </is>
      </c>
      <c r="N217" s="245" t="inlineStr">
        <is>
          <t>F.MFM.12Q.006.AD</t>
        </is>
      </c>
      <c r="O217" s="249" t="n">
        <v>13962.78</v>
      </c>
      <c r="P217" s="249" t="n">
        <v>12499.76</v>
      </c>
      <c r="Q217" s="250">
        <f>R217/H217</f>
        <v/>
      </c>
      <c r="R217" s="251" t="n">
        <v>37035.18</v>
      </c>
      <c r="S217" s="249" t="n">
        <v>17594</v>
      </c>
      <c r="T217" s="252">
        <f>S217*R217</f>
        <v/>
      </c>
      <c r="U217" s="245" t="inlineStr">
        <is>
          <t>040300/KPPBC</t>
        </is>
      </c>
      <c r="V217" s="245" t="inlineStr">
        <is>
          <t>TG. PRIOK</t>
        </is>
      </c>
      <c r="W217" s="245" t="inlineStr">
        <is>
          <t>NEW YORK, US</t>
        </is>
      </c>
      <c r="X217" s="245" t="inlineStr">
        <is>
          <t>AMAZON.COM SERVICES LLC</t>
        </is>
      </c>
      <c r="Y217" s="245" t="inlineStr">
        <is>
          <t>CMDUDJA1527589</t>
        </is>
      </c>
      <c r="Z217" s="246" t="n">
        <v>46286</v>
      </c>
    </row>
    <row r="218" ht="16.5" customHeight="1" s="202">
      <c r="A218" s="245" t="n"/>
      <c r="B218" s="245" t="n"/>
      <c r="C218" s="245" t="n"/>
      <c r="D218" s="245" t="n"/>
      <c r="E218" s="245" t="n"/>
      <c r="F218" s="245" t="n"/>
      <c r="G218" s="245" t="n"/>
      <c r="H218" s="245" t="n"/>
      <c r="I218" s="245" t="n"/>
      <c r="J218" s="245" t="n"/>
      <c r="K218" s="245" t="n"/>
      <c r="L218" s="245" t="n"/>
      <c r="M218" s="245" t="n"/>
      <c r="N218" s="245" t="n"/>
      <c r="O218" s="245" t="n"/>
      <c r="P218" s="245" t="n"/>
      <c r="Q218" s="245" t="n"/>
      <c r="R218" s="245" t="n"/>
      <c r="S218" s="245" t="n"/>
      <c r="T218" s="245" t="n"/>
      <c r="U218" s="245" t="n"/>
      <c r="V218" s="245" t="n"/>
      <c r="W218" s="245" t="inlineStr">
        <is>
          <t>ETD : 25-09-2026</t>
        </is>
      </c>
      <c r="X218" s="245" t="n"/>
      <c r="Y218" s="245" t="n"/>
      <c r="Z218" s="245" t="n"/>
    </row>
    <row r="219" ht="17.1" customHeight="1" s="202">
      <c r="A219" s="254" t="n"/>
      <c r="B219" s="254" t="n"/>
      <c r="C219" s="254" t="n"/>
      <c r="D219" s="254" t="n"/>
      <c r="E219" s="254" t="n"/>
      <c r="F219" s="254" t="n"/>
      <c r="G219" s="254" t="n"/>
      <c r="H219" s="255">
        <f>SUM(H217:H218)</f>
        <v/>
      </c>
      <c r="I219" s="254">
        <f>COUNTA(I217:I218)</f>
        <v/>
      </c>
      <c r="J219" s="254" t="n"/>
      <c r="K219" s="254" t="n"/>
      <c r="L219" s="254" t="n"/>
      <c r="M219" s="254" t="n"/>
      <c r="N219" s="254" t="n"/>
      <c r="O219" s="256">
        <f>SUM(O217:O218)</f>
        <v/>
      </c>
      <c r="P219" s="256">
        <f>SUM(P217:P218)</f>
        <v/>
      </c>
      <c r="Q219" s="254" t="n"/>
      <c r="R219" s="257">
        <f>SUM(R217:R218)</f>
        <v/>
      </c>
      <c r="S219" s="254" t="n"/>
      <c r="T219" s="258">
        <f>SUM(T217:T218)</f>
        <v/>
      </c>
      <c r="U219" s="254" t="n"/>
      <c r="V219" s="254" t="n"/>
      <c r="W219" s="254" t="n"/>
      <c r="X219" s="254" t="n"/>
      <c r="Y219" s="254" t="n"/>
      <c r="Z219" s="254" t="n"/>
    </row>
    <row r="220" ht="16.5" customHeight="1" s="202">
      <c r="A220" s="245" t="n">
        <v>36</v>
      </c>
      <c r="B220" s="245" t="inlineStr">
        <is>
          <t>000030ZIK48020260918000819</t>
        </is>
      </c>
      <c r="C220" s="245" t="n">
        <v>598396</v>
      </c>
      <c r="D220" s="245" t="n">
        <v>598333</v>
      </c>
      <c r="E220" s="246" t="n">
        <v>46286</v>
      </c>
      <c r="F220" s="245" t="inlineStr">
        <is>
          <t>ID2609-8481</t>
        </is>
      </c>
      <c r="G220" s="246" t="n">
        <v>46281</v>
      </c>
      <c r="H220" s="247" t="n">
        <v>1500</v>
      </c>
      <c r="I220" s="245" t="inlineStr">
        <is>
          <t>SEGU5174616</t>
        </is>
      </c>
      <c r="J220" s="245" t="inlineStr">
        <is>
          <t>40FT</t>
        </is>
      </c>
      <c r="K220" s="245" t="inlineStr">
        <is>
          <t>10IN MYGEL FOAM MATTRESS QN</t>
        </is>
      </c>
      <c r="L220" s="245" t="inlineStr">
        <is>
          <t>ZU-MFGN1YZI-10Q</t>
        </is>
      </c>
      <c r="M220" s="248" t="inlineStr">
        <is>
          <t>623J68CJ</t>
        </is>
      </c>
      <c r="N220" s="245" t="inlineStr">
        <is>
          <t>F.MFG.10Q.002.AD</t>
        </is>
      </c>
      <c r="O220" s="249" t="n">
        <v>48313.94</v>
      </c>
      <c r="P220" s="249" t="n">
        <v>42359.59</v>
      </c>
      <c r="Q220" s="250">
        <f>R220/H220</f>
        <v/>
      </c>
      <c r="R220" s="251" t="n">
        <v>98820</v>
      </c>
      <c r="S220" s="249" t="n">
        <v>17594</v>
      </c>
      <c r="T220" s="252">
        <f>S220*R220</f>
        <v/>
      </c>
      <c r="U220" s="245" t="inlineStr">
        <is>
          <t>040300/KPPBC</t>
        </is>
      </c>
      <c r="V220" s="245" t="inlineStr">
        <is>
          <t>TG. PRIOK</t>
        </is>
      </c>
      <c r="W220" s="245" t="inlineStr">
        <is>
          <t>NORFOLK, US</t>
        </is>
      </c>
      <c r="X220" s="245" t="inlineStr">
        <is>
          <t>AMAZON.COM SERVICES LLC</t>
        </is>
      </c>
      <c r="Y220" s="245" t="inlineStr">
        <is>
          <t>CMDUDJA1537401</t>
        </is>
      </c>
      <c r="Z220" s="246" t="n">
        <v>46286</v>
      </c>
    </row>
    <row r="221" ht="16.5" customHeight="1" s="202">
      <c r="A221" s="245" t="n"/>
      <c r="B221" s="245" t="n"/>
      <c r="C221" s="245" t="n"/>
      <c r="D221" s="245" t="n"/>
      <c r="E221" s="245" t="n"/>
      <c r="F221" s="245" t="n"/>
      <c r="G221" s="245" t="n"/>
      <c r="H221" s="247" t="n">
        <v>32</v>
      </c>
      <c r="I221" s="245" t="inlineStr">
        <is>
          <t>TXGU7143790</t>
        </is>
      </c>
      <c r="J221" s="245" t="inlineStr">
        <is>
          <t>40FT</t>
        </is>
      </c>
      <c r="K221" s="245" t="inlineStr">
        <is>
          <t>10IN MYGEL FOAM MATTRESS TW</t>
        </is>
      </c>
      <c r="L221" s="245" t="inlineStr">
        <is>
          <t>ZU-MFGN1YZI-10T</t>
        </is>
      </c>
      <c r="M221" s="248" t="inlineStr">
        <is>
          <t>623J68CJ</t>
        </is>
      </c>
      <c r="N221" s="245" t="inlineStr">
        <is>
          <t>F.MFG.10T.002.AD</t>
        </is>
      </c>
      <c r="O221" s="245" t="n"/>
      <c r="P221" s="245" t="n"/>
      <c r="Q221" s="250">
        <f>R221/H221</f>
        <v/>
      </c>
      <c r="R221" s="251" t="n">
        <v>1688.64</v>
      </c>
      <c r="S221" s="249" t="n">
        <v>17594</v>
      </c>
      <c r="T221" s="252">
        <f>S221*R221</f>
        <v/>
      </c>
      <c r="U221" s="245" t="n"/>
      <c r="V221" s="245" t="n"/>
      <c r="W221" s="245" t="inlineStr">
        <is>
          <t>ETD : 25-09-2026</t>
        </is>
      </c>
      <c r="X221" s="245" t="n"/>
      <c r="Y221" s="245" t="n"/>
      <c r="Z221" s="245" t="n"/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7" t="n">
        <v>203</v>
      </c>
      <c r="I222" s="245" t="inlineStr">
        <is>
          <t>TCNU3875892</t>
        </is>
      </c>
      <c r="J222" s="245" t="inlineStr">
        <is>
          <t>40FT</t>
        </is>
      </c>
      <c r="K222" s="245" t="inlineStr">
        <is>
          <t>6IN OPP HD FL</t>
        </is>
      </c>
      <c r="L222" s="245" t="inlineStr">
        <is>
          <t>ZU-MFMA1OZI-06F</t>
        </is>
      </c>
      <c r="M222" s="248" t="inlineStr">
        <is>
          <t>623J68CJ</t>
        </is>
      </c>
      <c r="N222" s="245" t="inlineStr">
        <is>
          <t>F.MFM.06F.008.AD</t>
        </is>
      </c>
      <c r="O222" s="245" t="n"/>
      <c r="P222" s="245" t="n"/>
      <c r="Q222" s="250">
        <f>R222/H222</f>
        <v/>
      </c>
      <c r="R222" s="251" t="n">
        <v>7805.35</v>
      </c>
      <c r="S222" s="249" t="n">
        <v>17594</v>
      </c>
      <c r="T222" s="252">
        <f>S222*R222</f>
        <v/>
      </c>
      <c r="U222" s="245" t="n"/>
      <c r="V222" s="245" t="n"/>
      <c r="W222" s="245" t="n"/>
      <c r="X222" s="245" t="n"/>
      <c r="Y222" s="245" t="n"/>
      <c r="Z222" s="245" t="n"/>
    </row>
    <row r="223" ht="16.5" customHeight="1" s="202">
      <c r="A223" s="245" t="n"/>
      <c r="B223" s="245" t="n"/>
      <c r="C223" s="245" t="n"/>
      <c r="D223" s="245" t="n"/>
      <c r="E223" s="245" t="n"/>
      <c r="F223" s="245" t="n"/>
      <c r="G223" s="245" t="n"/>
      <c r="H223" s="247" t="n">
        <v>155</v>
      </c>
      <c r="I223" s="245" t="inlineStr">
        <is>
          <t>TLLU4143140</t>
        </is>
      </c>
      <c r="J223" s="245" t="inlineStr">
        <is>
          <t>40FT</t>
        </is>
      </c>
      <c r="K223" s="245" t="inlineStr">
        <is>
          <t>12IN OPP HD FL</t>
        </is>
      </c>
      <c r="L223" s="245" t="inlineStr">
        <is>
          <t>ZU-MFMA1OZI-12F</t>
        </is>
      </c>
      <c r="M223" s="248" t="inlineStr">
        <is>
          <t>623J68CJ</t>
        </is>
      </c>
      <c r="N223" s="245" t="inlineStr">
        <is>
          <t>F.MFM.12F.010.AD</t>
        </is>
      </c>
      <c r="O223" s="245" t="n"/>
      <c r="P223" s="245" t="n"/>
      <c r="Q223" s="250">
        <f>R223/H223</f>
        <v/>
      </c>
      <c r="R223" s="251" t="n">
        <v>10017.65</v>
      </c>
      <c r="S223" s="249" t="n">
        <v>17594</v>
      </c>
      <c r="T223" s="252">
        <f>S223*R223</f>
        <v/>
      </c>
      <c r="U223" s="245" t="n"/>
      <c r="V223" s="245" t="n"/>
      <c r="W223" s="245" t="n"/>
      <c r="X223" s="245" t="n"/>
      <c r="Y223" s="245" t="n"/>
      <c r="Z223" s="245" t="n"/>
    </row>
    <row r="224" ht="17.1" customHeight="1" s="202">
      <c r="A224" s="254" t="n"/>
      <c r="B224" s="254" t="n"/>
      <c r="C224" s="254" t="n"/>
      <c r="D224" s="254" t="n"/>
      <c r="E224" s="254" t="n"/>
      <c r="F224" s="254" t="n"/>
      <c r="G224" s="254" t="n"/>
      <c r="H224" s="255">
        <f>SUM(H220:H223)</f>
        <v/>
      </c>
      <c r="I224" s="254">
        <f>COUNTA(I220:I223)</f>
        <v/>
      </c>
      <c r="J224" s="254" t="n"/>
      <c r="K224" s="254" t="n"/>
      <c r="L224" s="254" t="n"/>
      <c r="M224" s="254" t="n"/>
      <c r="N224" s="254" t="n"/>
      <c r="O224" s="256">
        <f>SUM(O220:O223)</f>
        <v/>
      </c>
      <c r="P224" s="256">
        <f>SUM(P220:P223)</f>
        <v/>
      </c>
      <c r="Q224" s="254" t="n"/>
      <c r="R224" s="257">
        <f>SUM(R220:R223)</f>
        <v/>
      </c>
      <c r="S224" s="254" t="n"/>
      <c r="T224" s="258">
        <f>SUM(T220:T223)</f>
        <v/>
      </c>
      <c r="U224" s="254" t="n"/>
      <c r="V224" s="254" t="n"/>
      <c r="W224" s="254" t="n"/>
      <c r="X224" s="254" t="n"/>
      <c r="Y224" s="254" t="n"/>
      <c r="Z224" s="254" t="n"/>
    </row>
    <row r="225" ht="16.5" customHeight="1" s="202">
      <c r="A225" s="245" t="n">
        <v>37</v>
      </c>
      <c r="B225" s="245" t="inlineStr">
        <is>
          <t>000030ZIK48020260918000820</t>
        </is>
      </c>
      <c r="C225" s="245" t="n">
        <v>597733</v>
      </c>
      <c r="D225" s="245" t="n">
        <v>597672</v>
      </c>
      <c r="E225" s="246" t="n">
        <v>46286</v>
      </c>
      <c r="F225" s="245" t="inlineStr">
        <is>
          <t>ID2609-8496</t>
        </is>
      </c>
      <c r="G225" s="246" t="n">
        <v>46282</v>
      </c>
      <c r="H225" s="247" t="n">
        <v>1350</v>
      </c>
      <c r="I225" s="245" t="inlineStr">
        <is>
          <t>TLLU4907995</t>
        </is>
      </c>
      <c r="J225" s="245" t="inlineStr">
        <is>
          <t>40FT</t>
        </is>
      </c>
      <c r="K225" s="245" t="inlineStr">
        <is>
          <t>8IN GREEN TEA MF MATTRESS QN</t>
        </is>
      </c>
      <c r="L225" s="245" t="inlineStr">
        <is>
          <t>SCF-STR-800Q</t>
        </is>
      </c>
      <c r="M225" s="248" t="inlineStr">
        <is>
          <t>0993630614</t>
        </is>
      </c>
      <c r="N225" s="245" t="inlineStr">
        <is>
          <t>F.MFM.08Q.000.WS</t>
        </is>
      </c>
      <c r="O225" s="249" t="n">
        <v>32265</v>
      </c>
      <c r="P225" s="249" t="n">
        <v>28782</v>
      </c>
      <c r="Q225" s="250">
        <f>R225/H225</f>
        <v/>
      </c>
      <c r="R225" s="251" t="n">
        <v>126859.5</v>
      </c>
      <c r="S225" s="249" t="n">
        <v>17594</v>
      </c>
      <c r="T225" s="252">
        <f>S225*R225</f>
        <v/>
      </c>
      <c r="U225" s="245" t="inlineStr">
        <is>
          <t>040300/KPPBC</t>
        </is>
      </c>
      <c r="V225" s="245" t="inlineStr">
        <is>
          <t>TG. PRIOK</t>
        </is>
      </c>
      <c r="W225" s="245" t="inlineStr">
        <is>
          <t>NORFOLK, US</t>
        </is>
      </c>
      <c r="X225" s="245" t="inlineStr">
        <is>
          <t>WALMART, INC.</t>
        </is>
      </c>
      <c r="Y225" s="245" t="inlineStr">
        <is>
          <t>CMDUDJA1538985</t>
        </is>
      </c>
      <c r="Z225" s="246" t="n">
        <v>46286</v>
      </c>
    </row>
    <row r="226" ht="16.5" customHeight="1" s="202">
      <c r="A226" s="245" t="n"/>
      <c r="B226" s="245" t="n"/>
      <c r="C226" s="245" t="n"/>
      <c r="D226" s="245" t="n"/>
      <c r="E226" s="245" t="n"/>
      <c r="F226" s="245" t="n"/>
      <c r="G226" s="245" t="n"/>
      <c r="H226" s="245" t="n"/>
      <c r="I226" s="245" t="inlineStr">
        <is>
          <t>FCIU9088944</t>
        </is>
      </c>
      <c r="J226" s="245" t="inlineStr">
        <is>
          <t>40FT</t>
        </is>
      </c>
      <c r="K226" s="245" t="n"/>
      <c r="L226" s="245" t="n"/>
      <c r="M226" s="245" t="n"/>
      <c r="N226" s="245" t="n"/>
      <c r="O226" s="245" t="n"/>
      <c r="P226" s="245" t="n"/>
      <c r="Q226" s="245" t="n"/>
      <c r="R226" s="245" t="n"/>
      <c r="S226" s="245" t="n"/>
      <c r="T226" s="245" t="n"/>
      <c r="U226" s="245" t="n"/>
      <c r="V226" s="245" t="n"/>
      <c r="W226" s="245" t="inlineStr">
        <is>
          <t>ETD : 25-09-2026</t>
        </is>
      </c>
      <c r="X226" s="245" t="n"/>
      <c r="Y226" s="245" t="n"/>
      <c r="Z226" s="245" t="n"/>
    </row>
    <row r="227" ht="16.5" customHeight="1" s="202">
      <c r="A227" s="245" t="n"/>
      <c r="B227" s="245" t="n"/>
      <c r="C227" s="245" t="n"/>
      <c r="D227" s="245" t="n"/>
      <c r="E227" s="245" t="n"/>
      <c r="F227" s="245" t="n"/>
      <c r="G227" s="245" t="n"/>
      <c r="H227" s="245" t="n"/>
      <c r="I227" s="245" t="inlineStr">
        <is>
          <t>TCNU2543609</t>
        </is>
      </c>
      <c r="J227" s="245" t="inlineStr">
        <is>
          <t>40FT</t>
        </is>
      </c>
      <c r="K227" s="245" t="n"/>
      <c r="L227" s="245" t="n"/>
      <c r="M227" s="245" t="n"/>
      <c r="N227" s="245" t="n"/>
      <c r="O227" s="245" t="n"/>
      <c r="P227" s="245" t="n"/>
      <c r="Q227" s="245" t="n"/>
      <c r="R227" s="245" t="n"/>
      <c r="S227" s="245" t="n"/>
      <c r="T227" s="245" t="n"/>
      <c r="U227" s="245" t="n"/>
      <c r="V227" s="245" t="n"/>
      <c r="W227" s="245" t="n"/>
      <c r="X227" s="245" t="n"/>
      <c r="Y227" s="245" t="n"/>
      <c r="Z227" s="245" t="n"/>
    </row>
    <row r="228" ht="17.1" customHeight="1" s="202">
      <c r="A228" s="254" t="n"/>
      <c r="B228" s="254" t="n"/>
      <c r="C228" s="254" t="n"/>
      <c r="D228" s="254" t="n"/>
      <c r="E228" s="254" t="n"/>
      <c r="F228" s="254" t="n"/>
      <c r="G228" s="254" t="n"/>
      <c r="H228" s="255">
        <f>SUM(H225:H227)</f>
        <v/>
      </c>
      <c r="I228" s="254">
        <f>COUNTA(I225:I227)</f>
        <v/>
      </c>
      <c r="J228" s="254" t="n"/>
      <c r="K228" s="254" t="n"/>
      <c r="L228" s="254" t="n"/>
      <c r="M228" s="254" t="n"/>
      <c r="N228" s="254" t="n"/>
      <c r="O228" s="256">
        <f>SUM(O225:O227)</f>
        <v/>
      </c>
      <c r="P228" s="256">
        <f>SUM(P225:P227)</f>
        <v/>
      </c>
      <c r="Q228" s="254" t="n"/>
      <c r="R228" s="257">
        <f>SUM(R225:R227)</f>
        <v/>
      </c>
      <c r="S228" s="254" t="n"/>
      <c r="T228" s="258">
        <f>SUM(T225:T227)</f>
        <v/>
      </c>
      <c r="U228" s="254" t="n"/>
      <c r="V228" s="254" t="n"/>
      <c r="W228" s="254" t="n"/>
      <c r="X228" s="254" t="n"/>
      <c r="Y228" s="254" t="n"/>
      <c r="Z228" s="254" t="n"/>
    </row>
    <row r="229" ht="16.5" customHeight="1" s="202">
      <c r="A229" s="245" t="n">
        <v>38</v>
      </c>
      <c r="B229" s="245" t="inlineStr">
        <is>
          <t>000030ZIK48020260918000821</t>
        </is>
      </c>
      <c r="C229" s="245" t="n">
        <v>597797</v>
      </c>
      <c r="D229" s="245" t="n">
        <v>597735</v>
      </c>
      <c r="E229" s="246" t="n">
        <v>46286</v>
      </c>
      <c r="F229" s="245" t="inlineStr">
        <is>
          <t>ID2609-8497</t>
        </is>
      </c>
      <c r="G229" s="246" t="n">
        <v>46282</v>
      </c>
      <c r="H229" s="247" t="n">
        <v>693</v>
      </c>
      <c r="I229" s="245" t="inlineStr">
        <is>
          <t>TLLU4339350</t>
        </is>
      </c>
      <c r="J229" s="245" t="inlineStr">
        <is>
          <t>40FT</t>
        </is>
      </c>
      <c r="K229" s="245" t="inlineStr">
        <is>
          <t>8IN GREEN TEA MF MATTRESS TW</t>
        </is>
      </c>
      <c r="L229" s="245" t="inlineStr">
        <is>
          <t>SCF-STR-800T</t>
        </is>
      </c>
      <c r="M229" s="248" t="inlineStr">
        <is>
          <t>0993631011</t>
        </is>
      </c>
      <c r="N229" s="245" t="inlineStr">
        <is>
          <t>F.MFM.08T.000.WS</t>
        </is>
      </c>
      <c r="O229" s="249" t="n">
        <v>10526.67</v>
      </c>
      <c r="P229" s="249" t="n">
        <v>9140.67</v>
      </c>
      <c r="Q229" s="250">
        <f>R229/H229</f>
        <v/>
      </c>
      <c r="R229" s="251" t="n">
        <v>42619.5</v>
      </c>
      <c r="S229" s="249" t="n">
        <v>17594</v>
      </c>
      <c r="T229" s="252">
        <f>S229*R229</f>
        <v/>
      </c>
      <c r="U229" s="245" t="inlineStr">
        <is>
          <t>040300/KPPBC</t>
        </is>
      </c>
      <c r="V229" s="245" t="inlineStr">
        <is>
          <t>TG. PRIOK</t>
        </is>
      </c>
      <c r="W229" s="245" t="inlineStr">
        <is>
          <t>LOS ANGELES, US</t>
        </is>
      </c>
      <c r="X229" s="245" t="inlineStr">
        <is>
          <t>WALMART, INC.</t>
        </is>
      </c>
      <c r="Y229" s="245" t="inlineStr">
        <is>
          <t>CMDUDJA1541259</t>
        </is>
      </c>
      <c r="Z229" s="246" t="n">
        <v>46286</v>
      </c>
    </row>
    <row r="230" ht="16.5" customHeight="1" s="202">
      <c r="A230" s="245" t="n"/>
      <c r="B230" s="245" t="n"/>
      <c r="C230" s="245" t="n"/>
      <c r="D230" s="245" t="n"/>
      <c r="E230" s="245" t="n"/>
      <c r="F230" s="245" t="n"/>
      <c r="G230" s="245" t="n"/>
      <c r="H230" s="245" t="n"/>
      <c r="I230" s="245" t="n"/>
      <c r="J230" s="245" t="n"/>
      <c r="K230" s="245" t="n"/>
      <c r="L230" s="245" t="n"/>
      <c r="M230" s="245" t="n"/>
      <c r="N230" s="245" t="n"/>
      <c r="O230" s="245" t="n"/>
      <c r="P230" s="245" t="n"/>
      <c r="Q230" s="245" t="n"/>
      <c r="R230" s="245" t="n"/>
      <c r="S230" s="245" t="n"/>
      <c r="T230" s="245" t="n"/>
      <c r="U230" s="245" t="n"/>
      <c r="V230" s="245" t="n"/>
      <c r="W230" s="245" t="inlineStr">
        <is>
          <t>ETD : 25-09-2026</t>
        </is>
      </c>
      <c r="X230" s="245" t="n"/>
      <c r="Y230" s="245" t="n"/>
      <c r="Z230" s="245" t="n"/>
    </row>
    <row r="231" ht="17.1" customHeight="1" s="202">
      <c r="A231" s="254" t="n"/>
      <c r="B231" s="254" t="n"/>
      <c r="C231" s="254" t="n"/>
      <c r="D231" s="254" t="n"/>
      <c r="E231" s="254" t="n"/>
      <c r="F231" s="254" t="n"/>
      <c r="G231" s="254" t="n"/>
      <c r="H231" s="255">
        <f>SUM(H229:H230)</f>
        <v/>
      </c>
      <c r="I231" s="254">
        <f>COUNTA(I229:I230)</f>
        <v/>
      </c>
      <c r="J231" s="254" t="n"/>
      <c r="K231" s="254" t="n"/>
      <c r="L231" s="254" t="n"/>
      <c r="M231" s="254" t="n"/>
      <c r="N231" s="254" t="n"/>
      <c r="O231" s="256">
        <f>SUM(O229:O230)</f>
        <v/>
      </c>
      <c r="P231" s="256">
        <f>SUM(P229:P230)</f>
        <v/>
      </c>
      <c r="Q231" s="254" t="n"/>
      <c r="R231" s="257">
        <f>SUM(R229:R230)</f>
        <v/>
      </c>
      <c r="S231" s="254" t="n"/>
      <c r="T231" s="258">
        <f>SUM(T229:T230)</f>
        <v/>
      </c>
      <c r="U231" s="254" t="n"/>
      <c r="V231" s="254" t="n"/>
      <c r="W231" s="254" t="n"/>
      <c r="X231" s="254" t="n"/>
      <c r="Y231" s="254" t="n"/>
      <c r="Z231" s="254" t="n"/>
    </row>
    <row r="232" ht="16.5" customHeight="1" s="202">
      <c r="A232" s="245" t="n">
        <v>39</v>
      </c>
      <c r="B232" s="245" t="inlineStr">
        <is>
          <t>000030ZIK48020260918000822</t>
        </is>
      </c>
      <c r="C232" s="245" t="n">
        <v>597771</v>
      </c>
      <c r="D232" s="245" t="n">
        <v>597710</v>
      </c>
      <c r="E232" s="246" t="n">
        <v>46286</v>
      </c>
      <c r="F232" s="245" t="inlineStr">
        <is>
          <t>ID2609-8498</t>
        </is>
      </c>
      <c r="G232" s="246" t="n">
        <v>46282</v>
      </c>
      <c r="H232" s="247" t="n">
        <v>2616</v>
      </c>
      <c r="I232" s="245" t="inlineStr">
        <is>
          <t>CMAU6493172</t>
        </is>
      </c>
      <c r="J232" s="245" t="inlineStr">
        <is>
          <t>40FT</t>
        </is>
      </c>
      <c r="K232" s="245" t="inlineStr">
        <is>
          <t>6IN MSS24-6TW</t>
        </is>
      </c>
      <c r="L232" s="245" t="inlineStr">
        <is>
          <t>MS24-6T</t>
        </is>
      </c>
      <c r="M232" s="248" t="inlineStr">
        <is>
          <t>0010143761</t>
        </is>
      </c>
      <c r="N232" s="245" t="inlineStr">
        <is>
          <t>F.MSS.06T.002.WS</t>
        </is>
      </c>
      <c r="O232" s="249" t="n">
        <v>46878.72</v>
      </c>
      <c r="P232" s="249" t="n">
        <v>41856</v>
      </c>
      <c r="Q232" s="250">
        <f>R232/H232</f>
        <v/>
      </c>
      <c r="R232" s="251" t="n">
        <v>94594.56</v>
      </c>
      <c r="S232" s="249" t="n">
        <v>17594</v>
      </c>
      <c r="T232" s="252">
        <f>S232*R232</f>
        <v/>
      </c>
      <c r="U232" s="245" t="inlineStr">
        <is>
          <t>040300/KPPBC</t>
        </is>
      </c>
      <c r="V232" s="245" t="inlineStr">
        <is>
          <t>TG. PRIOK</t>
        </is>
      </c>
      <c r="W232" s="245" t="inlineStr">
        <is>
          <t>LOS ANGELES, US</t>
        </is>
      </c>
      <c r="X232" s="245" t="inlineStr">
        <is>
          <t>WALMART, INC.</t>
        </is>
      </c>
      <c r="Y232" s="245" t="inlineStr">
        <is>
          <t>CMDUDJA1535349</t>
        </is>
      </c>
      <c r="Z232" s="246" t="n">
        <v>46286</v>
      </c>
    </row>
    <row r="233" ht="16.5" customHeight="1" s="202">
      <c r="A233" s="245" t="n"/>
      <c r="B233" s="245" t="n"/>
      <c r="C233" s="245" t="n"/>
      <c r="D233" s="245" t="n"/>
      <c r="E233" s="245" t="n"/>
      <c r="F233" s="245" t="n"/>
      <c r="G233" s="245" t="n"/>
      <c r="H233" s="245" t="n"/>
      <c r="I233" s="245" t="inlineStr">
        <is>
          <t>TCNU4617803</t>
        </is>
      </c>
      <c r="J233" s="245" t="inlineStr">
        <is>
          <t>40FT</t>
        </is>
      </c>
      <c r="K233" s="245" t="n"/>
      <c r="L233" s="245" t="n"/>
      <c r="M233" s="245" t="n"/>
      <c r="N233" s="245" t="n"/>
      <c r="O233" s="245" t="n"/>
      <c r="P233" s="245" t="n"/>
      <c r="Q233" s="245" t="n"/>
      <c r="R233" s="245" t="n"/>
      <c r="S233" s="245" t="n"/>
      <c r="T233" s="245" t="n"/>
      <c r="U233" s="245" t="n"/>
      <c r="V233" s="245" t="n"/>
      <c r="W233" s="245" t="inlineStr">
        <is>
          <t>ETD : 25-09-2026</t>
        </is>
      </c>
      <c r="X233" s="245" t="n"/>
      <c r="Y233" s="245" t="n"/>
      <c r="Z233" s="245" t="n"/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5" t="n"/>
      <c r="I234" s="245" t="inlineStr">
        <is>
          <t>ECMU4727660</t>
        </is>
      </c>
      <c r="J234" s="245" t="inlineStr">
        <is>
          <t>40FT</t>
        </is>
      </c>
      <c r="K234" s="245" t="n"/>
      <c r="L234" s="245" t="n"/>
      <c r="M234" s="245" t="n"/>
      <c r="N234" s="245" t="n"/>
      <c r="O234" s="245" t="n"/>
      <c r="P234" s="245" t="n"/>
      <c r="Q234" s="245" t="n"/>
      <c r="R234" s="245" t="n"/>
      <c r="S234" s="245" t="n"/>
      <c r="T234" s="245" t="n"/>
      <c r="U234" s="245" t="n"/>
      <c r="V234" s="245" t="n"/>
      <c r="W234" s="245" t="n"/>
      <c r="X234" s="245" t="n"/>
      <c r="Y234" s="245" t="n"/>
      <c r="Z234" s="245" t="n"/>
    </row>
    <row r="235" ht="17.1" customHeight="1" s="202">
      <c r="A235" s="254" t="n"/>
      <c r="B235" s="254" t="n"/>
      <c r="C235" s="254" t="n"/>
      <c r="D235" s="254" t="n"/>
      <c r="E235" s="254" t="n"/>
      <c r="F235" s="254" t="n"/>
      <c r="G235" s="254" t="n"/>
      <c r="H235" s="255">
        <f>SUM(H232:H234)</f>
        <v/>
      </c>
      <c r="I235" s="254">
        <f>COUNTA(I232:I234)</f>
        <v/>
      </c>
      <c r="J235" s="254" t="n"/>
      <c r="K235" s="254" t="n"/>
      <c r="L235" s="254" t="n"/>
      <c r="M235" s="254" t="n"/>
      <c r="N235" s="254" t="n"/>
      <c r="O235" s="256">
        <f>SUM(O232:O234)</f>
        <v/>
      </c>
      <c r="P235" s="256">
        <f>SUM(P232:P234)</f>
        <v/>
      </c>
      <c r="Q235" s="254" t="n"/>
      <c r="R235" s="257">
        <f>SUM(R232:R234)</f>
        <v/>
      </c>
      <c r="S235" s="254" t="n"/>
      <c r="T235" s="258">
        <f>SUM(T232:T234)</f>
        <v/>
      </c>
      <c r="U235" s="254" t="n"/>
      <c r="V235" s="254" t="n"/>
      <c r="W235" s="254" t="n"/>
      <c r="X235" s="254" t="n"/>
      <c r="Y235" s="254" t="n"/>
      <c r="Z235" s="254" t="n"/>
    </row>
    <row r="236" ht="16.5" customHeight="1" s="202">
      <c r="A236" s="245" t="n">
        <v>40</v>
      </c>
      <c r="B236" s="245" t="inlineStr">
        <is>
          <t>000030ZIK48020260918000823</t>
        </is>
      </c>
      <c r="C236" s="245" t="n">
        <v>597784</v>
      </c>
      <c r="D236" s="245" t="n">
        <v>597723</v>
      </c>
      <c r="E236" s="246" t="n">
        <v>46286</v>
      </c>
      <c r="F236" s="245" t="inlineStr">
        <is>
          <t>ID2609-8508</t>
        </is>
      </c>
      <c r="G236" s="246" t="n">
        <v>46283</v>
      </c>
      <c r="H236" s="247" t="n">
        <v>900</v>
      </c>
      <c r="I236" s="245" t="inlineStr">
        <is>
          <t>TCNU1558482</t>
        </is>
      </c>
      <c r="J236" s="245" t="inlineStr">
        <is>
          <t>40FT</t>
        </is>
      </c>
      <c r="K236" s="245" t="inlineStr">
        <is>
          <t>8IN GREEN TEA MF MATTRESS QN</t>
        </is>
      </c>
      <c r="L236" s="245" t="inlineStr">
        <is>
          <t>SCF-STR-800Q</t>
        </is>
      </c>
      <c r="M236" s="248" t="inlineStr">
        <is>
          <t>0993630524</t>
        </is>
      </c>
      <c r="N236" s="245" t="inlineStr">
        <is>
          <t>F.MFM.08Q.000.WS</t>
        </is>
      </c>
      <c r="O236" s="249" t="n">
        <v>21510</v>
      </c>
      <c r="P236" s="249" t="n">
        <v>19188</v>
      </c>
      <c r="Q236" s="250">
        <f>R236/H236</f>
        <v/>
      </c>
      <c r="R236" s="251" t="n">
        <v>84573</v>
      </c>
      <c r="S236" s="249" t="n">
        <v>17594</v>
      </c>
      <c r="T236" s="252">
        <f>S236*R236</f>
        <v/>
      </c>
      <c r="U236" s="245" t="inlineStr">
        <is>
          <t>040300/KPPBC</t>
        </is>
      </c>
      <c r="V236" s="245" t="inlineStr">
        <is>
          <t>TG. PRIOK</t>
        </is>
      </c>
      <c r="W236" s="245" t="inlineStr">
        <is>
          <t>SAVANNAH, US</t>
        </is>
      </c>
      <c r="X236" s="245" t="inlineStr">
        <is>
          <t>WALMART, INC.</t>
        </is>
      </c>
      <c r="Y236" s="245" t="inlineStr">
        <is>
          <t>CMDUDJA1536095</t>
        </is>
      </c>
      <c r="Z236" s="246" t="n">
        <v>46286</v>
      </c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5" t="n"/>
      <c r="I237" s="245" t="inlineStr">
        <is>
          <t>TCKU7830021</t>
        </is>
      </c>
      <c r="J237" s="245" t="inlineStr">
        <is>
          <t>40FT</t>
        </is>
      </c>
      <c r="K237" s="245" t="n"/>
      <c r="L237" s="245" t="n"/>
      <c r="M237" s="245" t="n"/>
      <c r="N237" s="245" t="n"/>
      <c r="O237" s="245" t="n"/>
      <c r="P237" s="245" t="n"/>
      <c r="Q237" s="245" t="n"/>
      <c r="R237" s="245" t="n"/>
      <c r="S237" s="245" t="n"/>
      <c r="T237" s="245" t="n"/>
      <c r="U237" s="245" t="n"/>
      <c r="V237" s="245" t="n"/>
      <c r="W237" s="245" t="inlineStr">
        <is>
          <t>ETD : 25-09-2026</t>
        </is>
      </c>
      <c r="X237" s="245" t="n"/>
      <c r="Y237" s="245" t="n"/>
      <c r="Z237" s="245" t="n"/>
    </row>
    <row r="238" ht="17.1" customHeight="1" s="202">
      <c r="A238" s="254" t="n"/>
      <c r="B238" s="254" t="n"/>
      <c r="C238" s="254" t="n"/>
      <c r="D238" s="254" t="n"/>
      <c r="E238" s="254" t="n"/>
      <c r="F238" s="254" t="n"/>
      <c r="G238" s="254" t="n"/>
      <c r="H238" s="255">
        <f>SUM(H236:H237)</f>
        <v/>
      </c>
      <c r="I238" s="254">
        <f>COUNTA(I236:I237)</f>
        <v/>
      </c>
      <c r="J238" s="254" t="n"/>
      <c r="K238" s="254" t="n"/>
      <c r="L238" s="254" t="n"/>
      <c r="M238" s="254" t="n"/>
      <c r="N238" s="254" t="n"/>
      <c r="O238" s="256">
        <f>SUM(O236:O237)</f>
        <v/>
      </c>
      <c r="P238" s="256">
        <f>SUM(P236:P237)</f>
        <v/>
      </c>
      <c r="Q238" s="254" t="n"/>
      <c r="R238" s="257">
        <f>SUM(R236:R237)</f>
        <v/>
      </c>
      <c r="S238" s="254" t="n"/>
      <c r="T238" s="258">
        <f>SUM(T236:T237)</f>
        <v/>
      </c>
      <c r="U238" s="254" t="n"/>
      <c r="V238" s="254" t="n"/>
      <c r="W238" s="254" t="n"/>
      <c r="X238" s="254" t="n"/>
      <c r="Y238" s="254" t="n"/>
      <c r="Z238" s="254" t="n"/>
    </row>
    <row r="239" ht="16.5" customHeight="1" s="202">
      <c r="A239" s="245" t="n">
        <v>41</v>
      </c>
      <c r="B239" s="245" t="inlineStr">
        <is>
          <t>000030ZIK48020260921000824</t>
        </is>
      </c>
      <c r="C239" s="245" t="n">
        <v>599017</v>
      </c>
      <c r="D239" s="245" t="n">
        <v>598953</v>
      </c>
      <c r="E239" s="246" t="n">
        <v>46286</v>
      </c>
      <c r="F239" s="245" t="inlineStr">
        <is>
          <t>ID2609-8432</t>
        </is>
      </c>
      <c r="G239" s="246" t="n">
        <v>46276</v>
      </c>
      <c r="H239" s="247" t="n">
        <v>450</v>
      </c>
      <c r="I239" s="245" t="inlineStr">
        <is>
          <t>MRKU5765742</t>
        </is>
      </c>
      <c r="J239" s="245" t="inlineStr">
        <is>
          <t>40FT</t>
        </is>
      </c>
      <c r="K239" s="245" t="inlineStr">
        <is>
          <t>8IN GREEN TEA MF MATTRESS QN</t>
        </is>
      </c>
      <c r="L239" s="245" t="inlineStr">
        <is>
          <t>SCF-STR-800Q</t>
        </is>
      </c>
      <c r="M239" s="248" t="inlineStr">
        <is>
          <t>0993630463</t>
        </is>
      </c>
      <c r="N239" s="245" t="inlineStr">
        <is>
          <t>F.MFM.08Q.000.WS</t>
        </is>
      </c>
      <c r="O239" s="249" t="n">
        <v>10755</v>
      </c>
      <c r="P239" s="249" t="n">
        <v>9594</v>
      </c>
      <c r="Q239" s="250">
        <f>R239/H239</f>
        <v/>
      </c>
      <c r="R239" s="251" t="n">
        <v>42286.5</v>
      </c>
      <c r="S239" s="249" t="n">
        <v>17594</v>
      </c>
      <c r="T239" s="252">
        <f>S239*R239</f>
        <v/>
      </c>
      <c r="U239" s="245" t="inlineStr">
        <is>
          <t>040300/KPPBC</t>
        </is>
      </c>
      <c r="V239" s="245" t="inlineStr">
        <is>
          <t>TG. PRIOK</t>
        </is>
      </c>
      <c r="W239" s="245" t="inlineStr">
        <is>
          <t>SAVANNAH, US</t>
        </is>
      </c>
      <c r="X239" s="245" t="inlineStr">
        <is>
          <t>WALMART, INC.</t>
        </is>
      </c>
      <c r="Y239" s="245" t="inlineStr">
        <is>
          <t>MAEU276274637</t>
        </is>
      </c>
      <c r="Z239" s="246" t="n">
        <v>46286</v>
      </c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5" t="n"/>
      <c r="I240" s="245" t="n"/>
      <c r="J240" s="245" t="n"/>
      <c r="K240" s="245" t="n"/>
      <c r="L240" s="245" t="n"/>
      <c r="M240" s="245" t="n"/>
      <c r="N240" s="245" t="n"/>
      <c r="O240" s="245" t="n"/>
      <c r="P240" s="245" t="n"/>
      <c r="Q240" s="245" t="n"/>
      <c r="R240" s="245" t="n"/>
      <c r="S240" s="245" t="n"/>
      <c r="T240" s="245" t="n"/>
      <c r="U240" s="245" t="n"/>
      <c r="V240" s="245" t="n"/>
      <c r="W240" s="245" t="inlineStr">
        <is>
          <t>ETD : 27-09-2026</t>
        </is>
      </c>
      <c r="X240" s="245" t="n"/>
      <c r="Y240" s="245" t="n"/>
      <c r="Z240" s="245" t="n"/>
    </row>
    <row r="241" ht="17.1" customHeight="1" s="202">
      <c r="A241" s="254" t="n"/>
      <c r="B241" s="254" t="n"/>
      <c r="C241" s="254" t="n"/>
      <c r="D241" s="254" t="n"/>
      <c r="E241" s="254" t="n"/>
      <c r="F241" s="254" t="n"/>
      <c r="G241" s="254" t="n"/>
      <c r="H241" s="255">
        <f>SUM(H239:H240)</f>
        <v/>
      </c>
      <c r="I241" s="254">
        <f>COUNTA(I239:I240)</f>
        <v/>
      </c>
      <c r="J241" s="254" t="n"/>
      <c r="K241" s="254" t="n"/>
      <c r="L241" s="254" t="n"/>
      <c r="M241" s="254" t="n"/>
      <c r="N241" s="254" t="n"/>
      <c r="O241" s="256">
        <f>SUM(O239:O240)</f>
        <v/>
      </c>
      <c r="P241" s="256">
        <f>SUM(P239:P240)</f>
        <v/>
      </c>
      <c r="Q241" s="254" t="n"/>
      <c r="R241" s="257">
        <f>SUM(R239:R240)</f>
        <v/>
      </c>
      <c r="S241" s="254" t="n"/>
      <c r="T241" s="258">
        <f>SUM(T239:T240)</f>
        <v/>
      </c>
      <c r="U241" s="254" t="n"/>
      <c r="V241" s="254" t="n"/>
      <c r="W241" s="254" t="n"/>
      <c r="X241" s="254" t="n"/>
      <c r="Y241" s="254" t="n"/>
      <c r="Z241" s="254" t="n"/>
    </row>
    <row r="242" ht="16.5" customHeight="1" s="202">
      <c r="A242" s="245" t="n">
        <v>42</v>
      </c>
      <c r="B242" s="245" t="inlineStr">
        <is>
          <t>000030ZIK48020260921000825</t>
        </is>
      </c>
      <c r="C242" s="245" t="n">
        <v>599061</v>
      </c>
      <c r="D242" s="245" t="n">
        <v>598997</v>
      </c>
      <c r="E242" s="246" t="n">
        <v>46286</v>
      </c>
      <c r="F242" s="245" t="inlineStr">
        <is>
          <t>ID2609-8528</t>
        </is>
      </c>
      <c r="G242" s="246" t="n">
        <v>46286</v>
      </c>
      <c r="H242" s="247" t="n">
        <v>1040</v>
      </c>
      <c r="I242" s="245" t="inlineStr">
        <is>
          <t>CAIU4809931</t>
        </is>
      </c>
      <c r="J242" s="245" t="inlineStr">
        <is>
          <t>40FT</t>
        </is>
      </c>
      <c r="K242" s="245" t="inlineStr">
        <is>
          <t>8IN GREEN TEA MF MATTRESS FL</t>
        </is>
      </c>
      <c r="L242" s="245" t="inlineStr">
        <is>
          <t>SCF-STR-800F</t>
        </is>
      </c>
      <c r="M242" s="248" t="inlineStr">
        <is>
          <t>0993630640</t>
        </is>
      </c>
      <c r="N242" s="245" t="inlineStr">
        <is>
          <t>F.MFM.08F.000.WS</t>
        </is>
      </c>
      <c r="O242" s="249" t="n">
        <v>21236.8</v>
      </c>
      <c r="P242" s="249" t="n">
        <v>18740.8</v>
      </c>
      <c r="Q242" s="250">
        <f>R242/H242</f>
        <v/>
      </c>
      <c r="R242" s="251" t="n">
        <v>82960.8</v>
      </c>
      <c r="S242" s="249" t="n">
        <v>17594</v>
      </c>
      <c r="T242" s="252">
        <f>S242*R242</f>
        <v/>
      </c>
      <c r="U242" s="245" t="inlineStr">
        <is>
          <t>040300/KPPBC</t>
        </is>
      </c>
      <c r="V242" s="245" t="inlineStr">
        <is>
          <t>TG. PRIOK</t>
        </is>
      </c>
      <c r="W242" s="245" t="inlineStr">
        <is>
          <t>LOS ANGELES, US</t>
        </is>
      </c>
      <c r="X242" s="245" t="inlineStr">
        <is>
          <t>WALMART, INC.</t>
        </is>
      </c>
      <c r="Y242" s="245" t="inlineStr">
        <is>
          <t>HLCUJK1260936385</t>
        </is>
      </c>
      <c r="Z242" s="246" t="n">
        <v>46286</v>
      </c>
    </row>
    <row r="243" ht="16.5" customHeight="1" s="202">
      <c r="A243" s="245" t="n"/>
      <c r="B243" s="245" t="n"/>
      <c r="C243" s="245" t="n"/>
      <c r="D243" s="245" t="n"/>
      <c r="E243" s="245" t="n"/>
      <c r="F243" s="245" t="n"/>
      <c r="G243" s="245" t="n"/>
      <c r="H243" s="245" t="n"/>
      <c r="I243" s="245" t="inlineStr">
        <is>
          <t>UACU6025560</t>
        </is>
      </c>
      <c r="J243" s="245" t="inlineStr">
        <is>
          <t>40FT</t>
        </is>
      </c>
      <c r="K243" s="245" t="n"/>
      <c r="L243" s="245" t="n"/>
      <c r="M243" s="245" t="n"/>
      <c r="N243" s="245" t="n"/>
      <c r="O243" s="245" t="n"/>
      <c r="P243" s="245" t="n"/>
      <c r="Q243" s="245" t="n"/>
      <c r="R243" s="245" t="n"/>
      <c r="S243" s="245" t="n"/>
      <c r="T243" s="245" t="n"/>
      <c r="U243" s="245" t="n"/>
      <c r="V243" s="245" t="n"/>
      <c r="W243" s="245" t="inlineStr">
        <is>
          <t>ETD : 27-09-2026</t>
        </is>
      </c>
      <c r="X243" s="245" t="n"/>
      <c r="Y243" s="245" t="n"/>
      <c r="Z243" s="245" t="n"/>
    </row>
    <row r="244" ht="17.1" customHeight="1" s="202">
      <c r="A244" s="254" t="n"/>
      <c r="B244" s="254" t="n"/>
      <c r="C244" s="254" t="n"/>
      <c r="D244" s="254" t="n"/>
      <c r="E244" s="254" t="n"/>
      <c r="F244" s="254" t="n"/>
      <c r="G244" s="254" t="n"/>
      <c r="H244" s="255">
        <f>SUM(H242:H243)</f>
        <v/>
      </c>
      <c r="I244" s="254">
        <f>COUNTA(I242:I243)</f>
        <v/>
      </c>
      <c r="J244" s="254" t="n"/>
      <c r="K244" s="254" t="n"/>
      <c r="L244" s="254" t="n"/>
      <c r="M244" s="254" t="n"/>
      <c r="N244" s="254" t="n"/>
      <c r="O244" s="256">
        <f>SUM(O242:O243)</f>
        <v/>
      </c>
      <c r="P244" s="256">
        <f>SUM(P242:P243)</f>
        <v/>
      </c>
      <c r="Q244" s="254" t="n"/>
      <c r="R244" s="257">
        <f>SUM(R242:R243)</f>
        <v/>
      </c>
      <c r="S244" s="254" t="n"/>
      <c r="T244" s="258">
        <f>SUM(T242:T243)</f>
        <v/>
      </c>
      <c r="U244" s="254" t="n"/>
      <c r="V244" s="254" t="n"/>
      <c r="W244" s="254" t="n"/>
      <c r="X244" s="254" t="n"/>
      <c r="Y244" s="254" t="n"/>
      <c r="Z244" s="254" t="n"/>
    </row>
    <row r="245" ht="16.5" customHeight="1" s="202">
      <c r="A245" s="245" t="n">
        <v>43</v>
      </c>
      <c r="B245" s="245" t="inlineStr">
        <is>
          <t>000030ZIK48020260921000826</t>
        </is>
      </c>
      <c r="C245" s="245" t="n">
        <v>599416</v>
      </c>
      <c r="D245" s="245" t="n">
        <v>599354</v>
      </c>
      <c r="E245" s="246" t="n">
        <v>46286</v>
      </c>
      <c r="F245" s="245" t="inlineStr">
        <is>
          <t>ID2609-8530</t>
        </is>
      </c>
      <c r="G245" s="246" t="n">
        <v>46286</v>
      </c>
      <c r="H245" s="247" t="n">
        <v>1386</v>
      </c>
      <c r="I245" s="245" t="inlineStr">
        <is>
          <t>HAMU3741824</t>
        </is>
      </c>
      <c r="J245" s="245" t="inlineStr">
        <is>
          <t>40FT</t>
        </is>
      </c>
      <c r="K245" s="245" t="inlineStr">
        <is>
          <t>8IN GREEN TEA MF MATTRESS TW</t>
        </is>
      </c>
      <c r="L245" s="245" t="inlineStr">
        <is>
          <t>SCF-STR-800T</t>
        </is>
      </c>
      <c r="M245" s="248" t="inlineStr">
        <is>
          <t>0993646592</t>
        </is>
      </c>
      <c r="N245" s="245" t="inlineStr">
        <is>
          <t>F.MFM.08T.000.WS</t>
        </is>
      </c>
      <c r="O245" s="249" t="n">
        <v>21053.34</v>
      </c>
      <c r="P245" s="249" t="n">
        <v>18281.34</v>
      </c>
      <c r="Q245" s="250">
        <f>R245/H245</f>
        <v/>
      </c>
      <c r="R245" s="251" t="n">
        <v>85239</v>
      </c>
      <c r="S245" s="249" t="n">
        <v>17594</v>
      </c>
      <c r="T245" s="252">
        <f>S245*R245</f>
        <v/>
      </c>
      <c r="U245" s="245" t="inlineStr">
        <is>
          <t>040300/KPPBC</t>
        </is>
      </c>
      <c r="V245" s="245" t="inlineStr">
        <is>
          <t>TG. PRIOK</t>
        </is>
      </c>
      <c r="W245" s="245" t="inlineStr">
        <is>
          <t>LOS ANGELES, US</t>
        </is>
      </c>
      <c r="X245" s="245" t="inlineStr">
        <is>
          <t>WALMART, INC.</t>
        </is>
      </c>
      <c r="Y245" s="245" t="inlineStr">
        <is>
          <t>HLCUJK1260936893</t>
        </is>
      </c>
      <c r="Z245" s="246" t="n">
        <v>46286</v>
      </c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5" t="n"/>
      <c r="I246" s="245" t="inlineStr">
        <is>
          <t>UACU5762074</t>
        </is>
      </c>
      <c r="J246" s="245" t="inlineStr">
        <is>
          <t>40FT</t>
        </is>
      </c>
      <c r="K246" s="245" t="n"/>
      <c r="L246" s="245" t="n"/>
      <c r="M246" s="245" t="n"/>
      <c r="N246" s="245" t="n"/>
      <c r="O246" s="245" t="n"/>
      <c r="P246" s="245" t="n"/>
      <c r="Q246" s="245" t="n"/>
      <c r="R246" s="245" t="n"/>
      <c r="S246" s="245" t="n"/>
      <c r="T246" s="245" t="n"/>
      <c r="U246" s="245" t="n"/>
      <c r="V246" s="245" t="n"/>
      <c r="W246" s="245" t="inlineStr">
        <is>
          <t>ETD : 27-09-2026</t>
        </is>
      </c>
      <c r="X246" s="245" t="n"/>
      <c r="Y246" s="245" t="n"/>
      <c r="Z246" s="245" t="n"/>
    </row>
    <row r="247" ht="17.1" customHeight="1" s="202">
      <c r="A247" s="254" t="n"/>
      <c r="B247" s="254" t="n"/>
      <c r="C247" s="254" t="n"/>
      <c r="D247" s="254" t="n"/>
      <c r="E247" s="254" t="n"/>
      <c r="F247" s="254" t="n"/>
      <c r="G247" s="254" t="n"/>
      <c r="H247" s="255">
        <f>SUM(H245:H246)</f>
        <v/>
      </c>
      <c r="I247" s="254">
        <f>COUNTA(I245:I246)</f>
        <v/>
      </c>
      <c r="J247" s="254" t="n"/>
      <c r="K247" s="254" t="n"/>
      <c r="L247" s="254" t="n"/>
      <c r="M247" s="254" t="n"/>
      <c r="N247" s="254" t="n"/>
      <c r="O247" s="256">
        <f>SUM(O245:O246)</f>
        <v/>
      </c>
      <c r="P247" s="256">
        <f>SUM(P245:P246)</f>
        <v/>
      </c>
      <c r="Q247" s="254" t="n"/>
      <c r="R247" s="257">
        <f>SUM(R245:R246)</f>
        <v/>
      </c>
      <c r="S247" s="254" t="n"/>
      <c r="T247" s="258">
        <f>SUM(T245:T246)</f>
        <v/>
      </c>
      <c r="U247" s="254" t="n"/>
      <c r="V247" s="254" t="n"/>
      <c r="W247" s="254" t="n"/>
      <c r="X247" s="254" t="n"/>
      <c r="Y247" s="254" t="n"/>
      <c r="Z247" s="254" t="n"/>
    </row>
    <row r="248" ht="16.5" customHeight="1" s="202">
      <c r="A248" s="245" t="n">
        <v>44</v>
      </c>
      <c r="B248" s="245" t="inlineStr">
        <is>
          <t>000030ZIK48020260921000827</t>
        </is>
      </c>
      <c r="C248" s="245" t="n">
        <v>599762</v>
      </c>
      <c r="D248" s="245" t="n">
        <v>599704</v>
      </c>
      <c r="E248" s="246" t="n">
        <v>46287</v>
      </c>
      <c r="F248" s="245" t="inlineStr">
        <is>
          <t>ID2609-8537</t>
        </is>
      </c>
      <c r="G248" s="246" t="n">
        <v>46286</v>
      </c>
      <c r="H248" s="247" t="n">
        <v>520</v>
      </c>
      <c r="I248" s="245" t="inlineStr">
        <is>
          <t>SEKU6033582</t>
        </is>
      </c>
      <c r="J248" s="245" t="inlineStr">
        <is>
          <t>40FT</t>
        </is>
      </c>
      <c r="K248" s="245" t="inlineStr">
        <is>
          <t>8IN GREEN TEA MF MATTRESS FL</t>
        </is>
      </c>
      <c r="L248" s="245" t="inlineStr">
        <is>
          <t>SCF-STR-800F</t>
        </is>
      </c>
      <c r="M248" s="248" t="inlineStr">
        <is>
          <t>0993630705</t>
        </is>
      </c>
      <c r="N248" s="245" t="inlineStr">
        <is>
          <t>F.MFM.08F.000.WS</t>
        </is>
      </c>
      <c r="O248" s="249" t="n">
        <v>10618.4</v>
      </c>
      <c r="P248" s="249" t="n">
        <v>9370.4</v>
      </c>
      <c r="Q248" s="250">
        <f>R248/H248</f>
        <v/>
      </c>
      <c r="R248" s="251" t="n">
        <v>41480.4</v>
      </c>
      <c r="S248" s="249" t="n">
        <v>17594</v>
      </c>
      <c r="T248" s="252">
        <f>S248*R248</f>
        <v/>
      </c>
      <c r="U248" s="245" t="inlineStr">
        <is>
          <t>040300/KPPBC</t>
        </is>
      </c>
      <c r="V248" s="245" t="inlineStr">
        <is>
          <t>TG. PRIOK</t>
        </is>
      </c>
      <c r="W248" s="245" t="inlineStr">
        <is>
          <t>NORFOLK, US</t>
        </is>
      </c>
      <c r="X248" s="245" t="inlineStr">
        <is>
          <t>WALMART, INC.</t>
        </is>
      </c>
      <c r="Y248" s="245" t="inlineStr">
        <is>
          <t>CMDUDJA1538978</t>
        </is>
      </c>
      <c r="Z248" s="246" t="n">
        <v>46287</v>
      </c>
    </row>
    <row r="249" ht="16.5" customHeight="1" s="202">
      <c r="A249" s="245" t="n"/>
      <c r="B249" s="245" t="n"/>
      <c r="C249" s="245" t="n"/>
      <c r="D249" s="245" t="n"/>
      <c r="E249" s="245" t="n"/>
      <c r="F249" s="245" t="n"/>
      <c r="G249" s="245" t="n"/>
      <c r="H249" s="245" t="n"/>
      <c r="I249" s="245" t="n"/>
      <c r="J249" s="245" t="n"/>
      <c r="K249" s="245" t="n"/>
      <c r="L249" s="245" t="n"/>
      <c r="M249" s="245" t="n"/>
      <c r="N249" s="245" t="n"/>
      <c r="O249" s="245" t="n"/>
      <c r="P249" s="245" t="n"/>
      <c r="Q249" s="245" t="n"/>
      <c r="R249" s="245" t="n"/>
      <c r="S249" s="245" t="n"/>
      <c r="T249" s="245" t="n"/>
      <c r="U249" s="245" t="n"/>
      <c r="V249" s="245" t="n"/>
      <c r="W249" s="245" t="inlineStr">
        <is>
          <t>ETD : 25-09-2026</t>
        </is>
      </c>
      <c r="X249" s="245" t="n"/>
      <c r="Y249" s="245" t="n"/>
      <c r="Z249" s="245" t="n"/>
    </row>
    <row r="250" ht="17.1" customHeight="1" s="202">
      <c r="A250" s="254" t="n"/>
      <c r="B250" s="254" t="n"/>
      <c r="C250" s="254" t="n"/>
      <c r="D250" s="254" t="n"/>
      <c r="E250" s="254" t="n"/>
      <c r="F250" s="254" t="n"/>
      <c r="G250" s="254" t="n"/>
      <c r="H250" s="255">
        <f>SUM(H248:H249)</f>
        <v/>
      </c>
      <c r="I250" s="254">
        <f>COUNTA(I248:I249)</f>
        <v/>
      </c>
      <c r="J250" s="254" t="n"/>
      <c r="K250" s="254" t="n"/>
      <c r="L250" s="254" t="n"/>
      <c r="M250" s="254" t="n"/>
      <c r="N250" s="254" t="n"/>
      <c r="O250" s="256">
        <f>SUM(O248:O249)</f>
        <v/>
      </c>
      <c r="P250" s="256">
        <f>SUM(P248:P249)</f>
        <v/>
      </c>
      <c r="Q250" s="254" t="n"/>
      <c r="R250" s="257">
        <f>SUM(R248:R249)</f>
        <v/>
      </c>
      <c r="S250" s="254" t="n"/>
      <c r="T250" s="258">
        <f>SUM(T248:T249)</f>
        <v/>
      </c>
      <c r="U250" s="254" t="n"/>
      <c r="V250" s="254" t="n"/>
      <c r="W250" s="254" t="n"/>
      <c r="X250" s="254" t="n"/>
      <c r="Y250" s="254" t="n"/>
      <c r="Z250" s="254" t="n"/>
    </row>
    <row r="251" ht="16.5" customHeight="1" s="202">
      <c r="A251" s="245" t="n">
        <v>45</v>
      </c>
      <c r="B251" s="245" t="inlineStr">
        <is>
          <t>000030ZIK48020260921000828</t>
        </is>
      </c>
      <c r="C251" s="245" t="n">
        <v>599774</v>
      </c>
      <c r="D251" s="245" t="n">
        <v>599715</v>
      </c>
      <c r="E251" s="246" t="n">
        <v>46287</v>
      </c>
      <c r="F251" s="245" t="inlineStr">
        <is>
          <t>ID2609-8538</t>
        </is>
      </c>
      <c r="G251" s="246" t="n">
        <v>46286</v>
      </c>
      <c r="H251" s="247" t="n">
        <v>693</v>
      </c>
      <c r="I251" s="245" t="inlineStr">
        <is>
          <t>TGBU6026409</t>
        </is>
      </c>
      <c r="J251" s="245" t="inlineStr">
        <is>
          <t>40FT</t>
        </is>
      </c>
      <c r="K251" s="245" t="inlineStr">
        <is>
          <t>8IN GREEN TEA MF MATTRESS TW</t>
        </is>
      </c>
      <c r="L251" s="245" t="inlineStr">
        <is>
          <t>SCF-STR-800T</t>
        </is>
      </c>
      <c r="M251" s="248" t="inlineStr">
        <is>
          <t>0993630865</t>
        </is>
      </c>
      <c r="N251" s="245" t="inlineStr">
        <is>
          <t>F.MFM.08T.000.WS</t>
        </is>
      </c>
      <c r="O251" s="249" t="n">
        <v>10526.67</v>
      </c>
      <c r="P251" s="249" t="n">
        <v>9140.67</v>
      </c>
      <c r="Q251" s="250">
        <f>R251/H251</f>
        <v/>
      </c>
      <c r="R251" s="251" t="n">
        <v>42619.5</v>
      </c>
      <c r="S251" s="249" t="n">
        <v>17594</v>
      </c>
      <c r="T251" s="252">
        <f>S251*R251</f>
        <v/>
      </c>
      <c r="U251" s="245" t="inlineStr">
        <is>
          <t>040300/KPPBC</t>
        </is>
      </c>
      <c r="V251" s="245" t="inlineStr">
        <is>
          <t>TG. PRIOK</t>
        </is>
      </c>
      <c r="W251" s="245" t="inlineStr">
        <is>
          <t>NORFOLK, US</t>
        </is>
      </c>
      <c r="X251" s="245" t="inlineStr">
        <is>
          <t>WALMART, INC.</t>
        </is>
      </c>
      <c r="Y251" s="245" t="inlineStr">
        <is>
          <t>CMDUDJA1539003</t>
        </is>
      </c>
      <c r="Z251" s="246" t="n">
        <v>46287</v>
      </c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5" t="n"/>
      <c r="I252" s="245" t="n"/>
      <c r="J252" s="245" t="n"/>
      <c r="K252" s="245" t="n"/>
      <c r="L252" s="245" t="n"/>
      <c r="M252" s="245" t="n"/>
      <c r="N252" s="245" t="n"/>
      <c r="O252" s="245" t="n"/>
      <c r="P252" s="245" t="n"/>
      <c r="Q252" s="245" t="n"/>
      <c r="R252" s="245" t="n"/>
      <c r="S252" s="245" t="n"/>
      <c r="T252" s="245" t="n"/>
      <c r="U252" s="245" t="n"/>
      <c r="V252" s="245" t="n"/>
      <c r="W252" s="245" t="inlineStr">
        <is>
          <t>ETD : 25-09-2026</t>
        </is>
      </c>
      <c r="X252" s="245" t="n"/>
      <c r="Y252" s="245" t="n"/>
      <c r="Z252" s="245" t="n"/>
    </row>
    <row r="253" ht="17.1" customHeight="1" s="202">
      <c r="A253" s="254" t="n"/>
      <c r="B253" s="254" t="n"/>
      <c r="C253" s="254" t="n"/>
      <c r="D253" s="254" t="n"/>
      <c r="E253" s="254" t="n"/>
      <c r="F253" s="254" t="n"/>
      <c r="G253" s="254" t="n"/>
      <c r="H253" s="255">
        <f>SUM(H251:H252)</f>
        <v/>
      </c>
      <c r="I253" s="254">
        <f>COUNTA(I251:I252)</f>
        <v/>
      </c>
      <c r="J253" s="254" t="n"/>
      <c r="K253" s="254" t="n"/>
      <c r="L253" s="254" t="n"/>
      <c r="M253" s="254" t="n"/>
      <c r="N253" s="254" t="n"/>
      <c r="O253" s="256">
        <f>SUM(O251:O252)</f>
        <v/>
      </c>
      <c r="P253" s="256">
        <f>SUM(P251:P252)</f>
        <v/>
      </c>
      <c r="Q253" s="254" t="n"/>
      <c r="R253" s="257">
        <f>SUM(R251:R252)</f>
        <v/>
      </c>
      <c r="S253" s="254" t="n"/>
      <c r="T253" s="258">
        <f>SUM(T251:T252)</f>
        <v/>
      </c>
      <c r="U253" s="254" t="n"/>
      <c r="V253" s="254" t="n"/>
      <c r="W253" s="254" t="n"/>
      <c r="X253" s="254" t="n"/>
      <c r="Y253" s="254" t="n"/>
      <c r="Z253" s="254" t="n"/>
    </row>
    <row r="254" ht="16.5" customHeight="1" s="202">
      <c r="A254" s="245" t="n">
        <v>46</v>
      </c>
      <c r="B254" s="245" t="inlineStr">
        <is>
          <t>000030ZIK48020260921000829</t>
        </is>
      </c>
      <c r="C254" s="245" t="n">
        <v>601824</v>
      </c>
      <c r="D254" s="245" t="n">
        <v>601760</v>
      </c>
      <c r="E254" s="246" t="n">
        <v>46287</v>
      </c>
      <c r="F254" s="245" t="inlineStr">
        <is>
          <t>ID2609-8531</t>
        </is>
      </c>
      <c r="G254" s="246" t="n">
        <v>46286</v>
      </c>
      <c r="H254" s="247" t="n">
        <v>220</v>
      </c>
      <c r="I254" s="245" t="inlineStr">
        <is>
          <t>TXGU6757730</t>
        </is>
      </c>
      <c r="J254" s="245" t="inlineStr">
        <is>
          <t>40FT</t>
        </is>
      </c>
      <c r="K254" s="245" t="inlineStr">
        <is>
          <t>6IN GREEN TEA MF MATTRESS QN</t>
        </is>
      </c>
      <c r="L254" s="245" t="inlineStr">
        <is>
          <t>ZU-MFMA1ZZI-06Q</t>
        </is>
      </c>
      <c r="M254" s="248" t="inlineStr">
        <is>
          <t>63H36GGV</t>
        </is>
      </c>
      <c r="N254" s="245" t="inlineStr">
        <is>
          <t>F.MFM.06Q.007.AD</t>
        </is>
      </c>
      <c r="O254" s="249" t="n">
        <v>75583.64999999999</v>
      </c>
      <c r="P254" s="249" t="n">
        <v>67930.27</v>
      </c>
      <c r="Q254" s="250">
        <f>R254/H254</f>
        <v/>
      </c>
      <c r="R254" s="251" t="n">
        <v>10012.2</v>
      </c>
      <c r="S254" s="249" t="n">
        <v>17594</v>
      </c>
      <c r="T254" s="252">
        <f>S254*R254</f>
        <v/>
      </c>
      <c r="U254" s="245" t="inlineStr">
        <is>
          <t>040300/KPPBC</t>
        </is>
      </c>
      <c r="V254" s="245" t="inlineStr">
        <is>
          <t>TG. PRIOK</t>
        </is>
      </c>
      <c r="W254" s="245" t="inlineStr">
        <is>
          <t>LONG BEACH, US</t>
        </is>
      </c>
      <c r="X254" s="245" t="inlineStr">
        <is>
          <t>AMAZON.COM SERVICES LLC</t>
        </is>
      </c>
      <c r="Y254" s="245" t="inlineStr">
        <is>
          <t>MEDUKU720554</t>
        </is>
      </c>
      <c r="Z254" s="246" t="n">
        <v>46287</v>
      </c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383</v>
      </c>
      <c r="I255" s="245" t="inlineStr">
        <is>
          <t>MSNU5805332</t>
        </is>
      </c>
      <c r="J255" s="245" t="inlineStr">
        <is>
          <t>40FT</t>
        </is>
      </c>
      <c r="K255" s="245" t="inlineStr">
        <is>
          <t>8IN GREEN TEA MF MATTRESS FL</t>
        </is>
      </c>
      <c r="L255" s="245" t="inlineStr">
        <is>
          <t>ZU-MFMA1ZZI-08F</t>
        </is>
      </c>
      <c r="M255" s="248" t="inlineStr">
        <is>
          <t>63H36GGV</t>
        </is>
      </c>
      <c r="N255" s="245" t="inlineStr">
        <is>
          <t>F.MFM.08F.008.AD</t>
        </is>
      </c>
      <c r="O255" s="245" t="n"/>
      <c r="P255" s="245" t="n"/>
      <c r="Q255" s="250">
        <f>R255/H255</f>
        <v/>
      </c>
      <c r="R255" s="251" t="n">
        <v>21444.17</v>
      </c>
      <c r="S255" s="249" t="n">
        <v>17594</v>
      </c>
      <c r="T255" s="252">
        <f>S255*R255</f>
        <v/>
      </c>
      <c r="U255" s="245" t="n"/>
      <c r="V255" s="245" t="n"/>
      <c r="W255" s="245" t="inlineStr">
        <is>
          <t>ETD : 28-09-2026</t>
        </is>
      </c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142</v>
      </c>
      <c r="I256" s="245" t="inlineStr">
        <is>
          <t>MSBU7022935</t>
        </is>
      </c>
      <c r="J256" s="245" t="inlineStr">
        <is>
          <t>40FT</t>
        </is>
      </c>
      <c r="K256" s="245" t="inlineStr">
        <is>
          <t>8IN GREEN TEA MF MATTRESS TW</t>
        </is>
      </c>
      <c r="L256" s="245" t="inlineStr">
        <is>
          <t>ZU-MFMA1ZZI-08T</t>
        </is>
      </c>
      <c r="M256" s="248" t="inlineStr">
        <is>
          <t>63H36GGV</t>
        </is>
      </c>
      <c r="N256" s="245" t="inlineStr">
        <is>
          <t>F.MFM.08T.008.AD</t>
        </is>
      </c>
      <c r="O256" s="245" t="n"/>
      <c r="P256" s="245" t="n"/>
      <c r="Q256" s="250">
        <f>R256/H256</f>
        <v/>
      </c>
      <c r="R256" s="251" t="n">
        <v>5102.06</v>
      </c>
      <c r="S256" s="249" t="n">
        <v>17594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1210</v>
      </c>
      <c r="I257" s="245" t="inlineStr">
        <is>
          <t>MSDU8855907</t>
        </is>
      </c>
      <c r="J257" s="245" t="inlineStr">
        <is>
          <t>40FT</t>
        </is>
      </c>
      <c r="K257" s="245" t="inlineStr">
        <is>
          <t>10IN GREEN TEA MF MATTRESS FL</t>
        </is>
      </c>
      <c r="L257" s="245" t="inlineStr">
        <is>
          <t>ZU-MFMA1ZZI-10F</t>
        </is>
      </c>
      <c r="M257" s="248" t="inlineStr">
        <is>
          <t>63H36GGV</t>
        </is>
      </c>
      <c r="N257" s="245" t="inlineStr">
        <is>
          <t>F.MFM.10F.007.AD</t>
        </is>
      </c>
      <c r="O257" s="245" t="n"/>
      <c r="P257" s="245" t="n"/>
      <c r="Q257" s="250">
        <f>R257/H257</f>
        <v/>
      </c>
      <c r="R257" s="251" t="n">
        <v>75092.60000000001</v>
      </c>
      <c r="S257" s="249" t="n">
        <v>17594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1035</v>
      </c>
      <c r="I258" s="245" t="inlineStr">
        <is>
          <t>MSDU5475288</t>
        </is>
      </c>
      <c r="J258" s="245" t="inlineStr">
        <is>
          <t>40FT</t>
        </is>
      </c>
      <c r="K258" s="245" t="inlineStr">
        <is>
          <t>12IN GREEN TEA MF MATTRESS FL</t>
        </is>
      </c>
      <c r="L258" s="245" t="inlineStr">
        <is>
          <t>ZU-MFMA1ZZI-12F</t>
        </is>
      </c>
      <c r="M258" s="248" t="inlineStr">
        <is>
          <t>63H36GGV</t>
        </is>
      </c>
      <c r="N258" s="245" t="inlineStr">
        <is>
          <t>F.MFM.12F.006.AD</t>
        </is>
      </c>
      <c r="O258" s="245" t="n"/>
      <c r="P258" s="245" t="n"/>
      <c r="Q258" s="250">
        <f>R258/H258</f>
        <v/>
      </c>
      <c r="R258" s="251" t="n">
        <v>73443.60000000001</v>
      </c>
      <c r="S258" s="249" t="n">
        <v>17594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92</v>
      </c>
      <c r="I259" s="245" t="inlineStr">
        <is>
          <t>MSDU8555350</t>
        </is>
      </c>
      <c r="J259" s="245" t="inlineStr">
        <is>
          <t>40FT</t>
        </is>
      </c>
      <c r="K259" s="245" t="inlineStr">
        <is>
          <t>14IN GREEN TEA FOAM MATTRESS K</t>
        </is>
      </c>
      <c r="L259" s="245" t="inlineStr">
        <is>
          <t>ZU-MFMA1ZZI-14K</t>
        </is>
      </c>
      <c r="M259" s="248" t="inlineStr">
        <is>
          <t>63H36GGV</t>
        </is>
      </c>
      <c r="N259" s="245" t="inlineStr">
        <is>
          <t>F.MFM.14K.000.AD</t>
        </is>
      </c>
      <c r="O259" s="245" t="n"/>
      <c r="P259" s="245" t="n"/>
      <c r="Q259" s="250">
        <f>R259/H259</f>
        <v/>
      </c>
      <c r="R259" s="251" t="n">
        <v>11897.44</v>
      </c>
      <c r="S259" s="249" t="n">
        <v>17594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7.1" customHeight="1" s="202">
      <c r="A260" s="254" t="n"/>
      <c r="B260" s="254" t="n"/>
      <c r="C260" s="254" t="n"/>
      <c r="D260" s="254" t="n"/>
      <c r="E260" s="254" t="n"/>
      <c r="F260" s="254" t="n"/>
      <c r="G260" s="254" t="n"/>
      <c r="H260" s="255">
        <f>SUM(H254:H259)</f>
        <v/>
      </c>
      <c r="I260" s="254">
        <f>COUNTA(I254:I259)</f>
        <v/>
      </c>
      <c r="J260" s="254" t="n"/>
      <c r="K260" s="254" t="n"/>
      <c r="L260" s="254" t="n"/>
      <c r="M260" s="254" t="n"/>
      <c r="N260" s="254" t="n"/>
      <c r="O260" s="256">
        <f>SUM(O254:O259)</f>
        <v/>
      </c>
      <c r="P260" s="256">
        <f>SUM(P254:P259)</f>
        <v/>
      </c>
      <c r="Q260" s="254" t="n"/>
      <c r="R260" s="257">
        <f>SUM(R254:R259)</f>
        <v/>
      </c>
      <c r="S260" s="254" t="n"/>
      <c r="T260" s="258">
        <f>SUM(T254:T259)</f>
        <v/>
      </c>
      <c r="U260" s="254" t="n"/>
      <c r="V260" s="254" t="n"/>
      <c r="W260" s="254" t="n"/>
      <c r="X260" s="254" t="n"/>
      <c r="Y260" s="254" t="n"/>
      <c r="Z260" s="254" t="n"/>
    </row>
    <row r="261" ht="16.5" customHeight="1" s="202">
      <c r="A261" s="245" t="n">
        <v>47</v>
      </c>
      <c r="B261" s="245" t="inlineStr">
        <is>
          <t>000030ZIK48020260921000830</t>
        </is>
      </c>
      <c r="C261" s="245" t="n">
        <v>601094</v>
      </c>
      <c r="D261" s="245" t="n">
        <v>601027</v>
      </c>
      <c r="E261" s="246" t="n">
        <v>46287</v>
      </c>
      <c r="F261" s="245" t="inlineStr">
        <is>
          <t>ID2609-8532</t>
        </is>
      </c>
      <c r="G261" s="246" t="n">
        <v>46286</v>
      </c>
      <c r="H261" s="247" t="n">
        <v>3536</v>
      </c>
      <c r="I261" s="245" t="inlineStr">
        <is>
          <t>TGBU5565068</t>
        </is>
      </c>
      <c r="J261" s="245" t="inlineStr">
        <is>
          <t>40FT</t>
        </is>
      </c>
      <c r="K261" s="245" t="inlineStr">
        <is>
          <t>10IN GREEN TEA MF MATTRESS QN</t>
        </is>
      </c>
      <c r="L261" s="245" t="inlineStr">
        <is>
          <t>ZU-MFMA1ZZI-10Q</t>
        </is>
      </c>
      <c r="M261" s="248" t="inlineStr">
        <is>
          <t>63H36GGV</t>
        </is>
      </c>
      <c r="N261" s="245" t="inlineStr">
        <is>
          <t>F.MFM.10Q.007.AD</t>
        </is>
      </c>
      <c r="O261" s="249" t="n">
        <v>96532.8</v>
      </c>
      <c r="P261" s="249" t="n">
        <v>84934.72</v>
      </c>
      <c r="Q261" s="250">
        <f>R261/H261</f>
        <v/>
      </c>
      <c r="R261" s="251" t="n">
        <v>232951.68</v>
      </c>
      <c r="S261" s="249" t="n">
        <v>17594</v>
      </c>
      <c r="T261" s="252">
        <f>S261*R261</f>
        <v/>
      </c>
      <c r="U261" s="245" t="inlineStr">
        <is>
          <t>040300/KPPBC</t>
        </is>
      </c>
      <c r="V261" s="245" t="inlineStr">
        <is>
          <t>TG. PRIOK</t>
        </is>
      </c>
      <c r="W261" s="245" t="inlineStr">
        <is>
          <t>LONG BEACH, US</t>
        </is>
      </c>
      <c r="X261" s="245" t="inlineStr">
        <is>
          <t>AMAZON.COM SERVICES LLC</t>
        </is>
      </c>
      <c r="Y261" s="245" t="inlineStr">
        <is>
          <t>MEDUKU720513</t>
        </is>
      </c>
      <c r="Z261" s="246" t="n">
        <v>46287</v>
      </c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5" t="n"/>
      <c r="I262" s="245" t="inlineStr">
        <is>
          <t>MSMU4151207</t>
        </is>
      </c>
      <c r="J262" s="245" t="inlineStr">
        <is>
          <t>40FT</t>
        </is>
      </c>
      <c r="K262" s="245" t="n"/>
      <c r="L262" s="245" t="n"/>
      <c r="M262" s="245" t="n"/>
      <c r="N262" s="245" t="n"/>
      <c r="O262" s="245" t="n"/>
      <c r="P262" s="245" t="n"/>
      <c r="Q262" s="245" t="n"/>
      <c r="R262" s="245" t="n"/>
      <c r="S262" s="245" t="n"/>
      <c r="T262" s="245" t="n"/>
      <c r="U262" s="245" t="n"/>
      <c r="V262" s="245" t="n"/>
      <c r="W262" s="245" t="inlineStr">
        <is>
          <t>ETD : 28-09-2026</t>
        </is>
      </c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5" t="n"/>
      <c r="I263" s="245" t="inlineStr">
        <is>
          <t>MSDU7539329</t>
        </is>
      </c>
      <c r="J263" s="245" t="inlineStr">
        <is>
          <t>40FT</t>
        </is>
      </c>
      <c r="K263" s="245" t="n"/>
      <c r="L263" s="245" t="n"/>
      <c r="M263" s="245" t="n"/>
      <c r="N263" s="245" t="n"/>
      <c r="O263" s="245" t="n"/>
      <c r="P263" s="245" t="n"/>
      <c r="Q263" s="245" t="n"/>
      <c r="R263" s="245" t="n"/>
      <c r="S263" s="245" t="n"/>
      <c r="T263" s="245" t="n"/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5" t="n"/>
      <c r="I264" s="245" t="inlineStr">
        <is>
          <t>MEDU7618380</t>
        </is>
      </c>
      <c r="J264" s="245" t="inlineStr">
        <is>
          <t>40FT</t>
        </is>
      </c>
      <c r="K264" s="245" t="n"/>
      <c r="L264" s="245" t="n"/>
      <c r="M264" s="245" t="n"/>
      <c r="N264" s="245" t="n"/>
      <c r="O264" s="245" t="n"/>
      <c r="P264" s="245" t="n"/>
      <c r="Q264" s="245" t="n"/>
      <c r="R264" s="245" t="n"/>
      <c r="S264" s="245" t="n"/>
      <c r="T264" s="245" t="n"/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5" t="n"/>
      <c r="I265" s="245" t="inlineStr">
        <is>
          <t>MEDU4904781</t>
        </is>
      </c>
      <c r="J265" s="245" t="inlineStr">
        <is>
          <t>40FT</t>
        </is>
      </c>
      <c r="K265" s="245" t="n"/>
      <c r="L265" s="245" t="n"/>
      <c r="M265" s="245" t="n"/>
      <c r="N265" s="245" t="n"/>
      <c r="O265" s="245" t="n"/>
      <c r="P265" s="245" t="n"/>
      <c r="Q265" s="245" t="n"/>
      <c r="R265" s="245" t="n"/>
      <c r="S265" s="245" t="n"/>
      <c r="T265" s="245" t="n"/>
      <c r="U265" s="245" t="n"/>
      <c r="V265" s="245" t="n"/>
      <c r="W265" s="245" t="n"/>
      <c r="X265" s="245" t="n"/>
      <c r="Y265" s="245" t="n"/>
      <c r="Z265" s="245" t="n"/>
    </row>
    <row r="266" ht="16.5" customHeight="1" s="202">
      <c r="A266" s="245" t="n"/>
      <c r="B266" s="245" t="n"/>
      <c r="C266" s="245" t="n"/>
      <c r="D266" s="245" t="n"/>
      <c r="E266" s="245" t="n"/>
      <c r="F266" s="245" t="n"/>
      <c r="G266" s="245" t="n"/>
      <c r="H266" s="245" t="n"/>
      <c r="I266" s="245" t="inlineStr">
        <is>
          <t>CAAU5098060</t>
        </is>
      </c>
      <c r="J266" s="245" t="inlineStr">
        <is>
          <t>40FT</t>
        </is>
      </c>
      <c r="K266" s="245" t="n"/>
      <c r="L266" s="245" t="n"/>
      <c r="M266" s="245" t="n"/>
      <c r="N266" s="245" t="n"/>
      <c r="O266" s="245" t="n"/>
      <c r="P266" s="245" t="n"/>
      <c r="Q266" s="245" t="n"/>
      <c r="R266" s="245" t="n"/>
      <c r="S266" s="245" t="n"/>
      <c r="T266" s="245" t="n"/>
      <c r="U266" s="245" t="n"/>
      <c r="V266" s="245" t="n"/>
      <c r="W266" s="245" t="n"/>
      <c r="X266" s="245" t="n"/>
      <c r="Y266" s="245" t="n"/>
      <c r="Z266" s="245" t="n"/>
    </row>
    <row r="267" ht="16.5" customHeight="1" s="202">
      <c r="A267" s="245" t="n"/>
      <c r="B267" s="245" t="n"/>
      <c r="C267" s="245" t="n"/>
      <c r="D267" s="245" t="n"/>
      <c r="E267" s="245" t="n"/>
      <c r="F267" s="245" t="n"/>
      <c r="G267" s="245" t="n"/>
      <c r="H267" s="245" t="n"/>
      <c r="I267" s="245" t="inlineStr">
        <is>
          <t>TLLU7620355</t>
        </is>
      </c>
      <c r="J267" s="245" t="inlineStr">
        <is>
          <t>40FT</t>
        </is>
      </c>
      <c r="K267" s="245" t="n"/>
      <c r="L267" s="245" t="n"/>
      <c r="M267" s="245" t="n"/>
      <c r="N267" s="245" t="n"/>
      <c r="O267" s="245" t="n"/>
      <c r="P267" s="245" t="n"/>
      <c r="Q267" s="245" t="n"/>
      <c r="R267" s="245" t="n"/>
      <c r="S267" s="245" t="n"/>
      <c r="T267" s="245" t="n"/>
      <c r="U267" s="245" t="n"/>
      <c r="V267" s="245" t="n"/>
      <c r="W267" s="245" t="n"/>
      <c r="X267" s="245" t="n"/>
      <c r="Y267" s="245" t="n"/>
      <c r="Z267" s="245" t="n"/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5" t="n"/>
      <c r="I268" s="245" t="inlineStr">
        <is>
          <t>MEDU4567130</t>
        </is>
      </c>
      <c r="J268" s="245" t="inlineStr">
        <is>
          <t>40FT</t>
        </is>
      </c>
      <c r="K268" s="245" t="n"/>
      <c r="L268" s="245" t="n"/>
      <c r="M268" s="245" t="n"/>
      <c r="N268" s="245" t="n"/>
      <c r="O268" s="245" t="n"/>
      <c r="P268" s="245" t="n"/>
      <c r="Q268" s="245" t="n"/>
      <c r="R268" s="245" t="n"/>
      <c r="S268" s="245" t="n"/>
      <c r="T268" s="245" t="n"/>
      <c r="U268" s="245" t="n"/>
      <c r="V268" s="245" t="n"/>
      <c r="W268" s="245" t="n"/>
      <c r="X268" s="245" t="n"/>
      <c r="Y268" s="245" t="n"/>
      <c r="Z268" s="245" t="n"/>
    </row>
    <row r="269" ht="17.1" customHeight="1" s="202">
      <c r="A269" s="254" t="n"/>
      <c r="B269" s="254" t="n"/>
      <c r="C269" s="254" t="n"/>
      <c r="D269" s="254" t="n"/>
      <c r="E269" s="254" t="n"/>
      <c r="F269" s="254" t="n"/>
      <c r="G269" s="254" t="n"/>
      <c r="H269" s="255">
        <f>SUM(H261:H268)</f>
        <v/>
      </c>
      <c r="I269" s="254">
        <f>COUNTA(I261:I268)</f>
        <v/>
      </c>
      <c r="J269" s="254" t="n"/>
      <c r="K269" s="254" t="n"/>
      <c r="L269" s="254" t="n"/>
      <c r="M269" s="254" t="n"/>
      <c r="N269" s="254" t="n"/>
      <c r="O269" s="256">
        <f>SUM(O261:O268)</f>
        <v/>
      </c>
      <c r="P269" s="256">
        <f>SUM(P261:P268)</f>
        <v/>
      </c>
      <c r="Q269" s="254" t="n"/>
      <c r="R269" s="257">
        <f>SUM(R261:R268)</f>
        <v/>
      </c>
      <c r="S269" s="254" t="n"/>
      <c r="T269" s="258">
        <f>SUM(T261:T268)</f>
        <v/>
      </c>
      <c r="U269" s="254" t="n"/>
      <c r="V269" s="254" t="n"/>
      <c r="W269" s="254" t="n"/>
      <c r="X269" s="254" t="n"/>
      <c r="Y269" s="254" t="n"/>
      <c r="Z269" s="254" t="n"/>
    </row>
    <row r="270" ht="16.5" customHeight="1" s="202">
      <c r="A270" s="245" t="n">
        <v>48</v>
      </c>
      <c r="B270" s="245" t="inlineStr">
        <is>
          <t>000030ZIK48020260921000831</t>
        </is>
      </c>
      <c r="C270" s="245" t="n">
        <v>601387</v>
      </c>
      <c r="D270" s="245" t="n">
        <v>601320</v>
      </c>
      <c r="E270" s="246" t="n">
        <v>46287</v>
      </c>
      <c r="F270" s="245" t="inlineStr">
        <is>
          <t>ID2609-8533</t>
        </is>
      </c>
      <c r="G270" s="246" t="n">
        <v>46286</v>
      </c>
      <c r="H270" s="247" t="n">
        <v>2872</v>
      </c>
      <c r="I270" s="245" t="inlineStr">
        <is>
          <t>MSMU8281209</t>
        </is>
      </c>
      <c r="J270" s="245" t="inlineStr">
        <is>
          <t>40FT</t>
        </is>
      </c>
      <c r="K270" s="245" t="inlineStr">
        <is>
          <t>12IN GREEN TEA MF MATTRESS EK</t>
        </is>
      </c>
      <c r="L270" s="245" t="inlineStr">
        <is>
          <t>ZU-MFMA1ZZI-12K</t>
        </is>
      </c>
      <c r="M270" s="248" t="inlineStr">
        <is>
          <t>63H36GGV</t>
        </is>
      </c>
      <c r="N270" s="245" t="inlineStr">
        <is>
          <t>F.MFM.12K.006.AD</t>
        </is>
      </c>
      <c r="O270" s="249" t="n">
        <v>113415.28</v>
      </c>
      <c r="P270" s="249" t="n">
        <v>107613.84</v>
      </c>
      <c r="Q270" s="250">
        <f>R270/H270</f>
        <v/>
      </c>
      <c r="R270" s="251" t="n">
        <v>292857.84</v>
      </c>
      <c r="S270" s="249" t="n">
        <v>17594</v>
      </c>
      <c r="T270" s="252">
        <f>S270*R270</f>
        <v/>
      </c>
      <c r="U270" s="245" t="inlineStr">
        <is>
          <t>040300/KPPBC</t>
        </is>
      </c>
      <c r="V270" s="245" t="inlineStr">
        <is>
          <t>TG. PRIOK</t>
        </is>
      </c>
      <c r="W270" s="245" t="inlineStr">
        <is>
          <t>LONG BEACH, US</t>
        </is>
      </c>
      <c r="X270" s="245" t="inlineStr">
        <is>
          <t>AMAZON.COM SERVICES LLC</t>
        </is>
      </c>
      <c r="Y270" s="245" t="inlineStr">
        <is>
          <t>MEDUKU720588</t>
        </is>
      </c>
      <c r="Z270" s="246" t="n">
        <v>46287</v>
      </c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5" t="n"/>
      <c r="I271" s="245" t="inlineStr">
        <is>
          <t>MEDU4354155</t>
        </is>
      </c>
      <c r="J271" s="245" t="inlineStr">
        <is>
          <t>40FT</t>
        </is>
      </c>
      <c r="K271" s="245" t="n"/>
      <c r="L271" s="245" t="n"/>
      <c r="M271" s="245" t="n"/>
      <c r="N271" s="245" t="n"/>
      <c r="O271" s="245" t="n"/>
      <c r="P271" s="245" t="n"/>
      <c r="Q271" s="245" t="n"/>
      <c r="R271" s="245" t="n"/>
      <c r="S271" s="245" t="n"/>
      <c r="T271" s="245" t="n"/>
      <c r="U271" s="245" t="n"/>
      <c r="V271" s="245" t="n"/>
      <c r="W271" s="245" t="inlineStr">
        <is>
          <t>ETD : 28-09-2026</t>
        </is>
      </c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5" t="n"/>
      <c r="I272" s="245" t="inlineStr">
        <is>
          <t>MSMU4255794</t>
        </is>
      </c>
      <c r="J272" s="245" t="inlineStr">
        <is>
          <t>40FT</t>
        </is>
      </c>
      <c r="K272" s="245" t="n"/>
      <c r="L272" s="245" t="n"/>
      <c r="M272" s="245" t="n"/>
      <c r="N272" s="245" t="n"/>
      <c r="O272" s="245" t="n"/>
      <c r="P272" s="245" t="n"/>
      <c r="Q272" s="245" t="n"/>
      <c r="R272" s="245" t="n"/>
      <c r="S272" s="245" t="n"/>
      <c r="T272" s="245" t="n"/>
      <c r="U272" s="245" t="n"/>
      <c r="V272" s="245" t="n"/>
      <c r="W272" s="245" t="n"/>
      <c r="X272" s="245" t="n"/>
      <c r="Y272" s="245" t="n"/>
      <c r="Z272" s="245" t="n"/>
    </row>
    <row r="273" ht="16.5" customHeight="1" s="202">
      <c r="A273" s="245" t="n"/>
      <c r="B273" s="245" t="n"/>
      <c r="C273" s="245" t="n"/>
      <c r="D273" s="245" t="n"/>
      <c r="E273" s="245" t="n"/>
      <c r="F273" s="245" t="n"/>
      <c r="G273" s="245" t="n"/>
      <c r="H273" s="245" t="n"/>
      <c r="I273" s="245" t="inlineStr">
        <is>
          <t>SEKU6783930</t>
        </is>
      </c>
      <c r="J273" s="245" t="inlineStr">
        <is>
          <t>40FT</t>
        </is>
      </c>
      <c r="K273" s="245" t="n"/>
      <c r="L273" s="245" t="n"/>
      <c r="M273" s="245" t="n"/>
      <c r="N273" s="245" t="n"/>
      <c r="O273" s="245" t="n"/>
      <c r="P273" s="245" t="n"/>
      <c r="Q273" s="245" t="n"/>
      <c r="R273" s="245" t="n"/>
      <c r="S273" s="245" t="n"/>
      <c r="T273" s="245" t="n"/>
      <c r="U273" s="245" t="n"/>
      <c r="V273" s="245" t="n"/>
      <c r="W273" s="245" t="n"/>
      <c r="X273" s="245" t="n"/>
      <c r="Y273" s="245" t="n"/>
      <c r="Z273" s="245" t="n"/>
    </row>
    <row r="274" ht="16.5" customHeight="1" s="202">
      <c r="A274" s="245" t="n"/>
      <c r="B274" s="245" t="n"/>
      <c r="C274" s="245" t="n"/>
      <c r="D274" s="245" t="n"/>
      <c r="E274" s="245" t="n"/>
      <c r="F274" s="245" t="n"/>
      <c r="G274" s="245" t="n"/>
      <c r="H274" s="245" t="n"/>
      <c r="I274" s="245" t="inlineStr">
        <is>
          <t>MSDU5972807</t>
        </is>
      </c>
      <c r="J274" s="245" t="inlineStr">
        <is>
          <t>40FT</t>
        </is>
      </c>
      <c r="K274" s="245" t="n"/>
      <c r="L274" s="245" t="n"/>
      <c r="M274" s="245" t="n"/>
      <c r="N274" s="245" t="n"/>
      <c r="O274" s="245" t="n"/>
      <c r="P274" s="245" t="n"/>
      <c r="Q274" s="245" t="n"/>
      <c r="R274" s="245" t="n"/>
      <c r="S274" s="245" t="n"/>
      <c r="T274" s="245" t="n"/>
      <c r="U274" s="245" t="n"/>
      <c r="V274" s="245" t="n"/>
      <c r="W274" s="245" t="n"/>
      <c r="X274" s="245" t="n"/>
      <c r="Y274" s="245" t="n"/>
      <c r="Z274" s="245" t="n"/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5" t="n"/>
      <c r="I275" s="245" t="inlineStr">
        <is>
          <t>UETU6909077</t>
        </is>
      </c>
      <c r="J275" s="245" t="inlineStr">
        <is>
          <t>40FT</t>
        </is>
      </c>
      <c r="K275" s="245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n"/>
      <c r="X275" s="245" t="n"/>
      <c r="Y275" s="245" t="n"/>
      <c r="Z275" s="245" t="n"/>
    </row>
    <row r="276" ht="16.5" customHeight="1" s="202">
      <c r="A276" s="245" t="n"/>
      <c r="B276" s="245" t="n"/>
      <c r="C276" s="245" t="n"/>
      <c r="D276" s="245" t="n"/>
      <c r="E276" s="245" t="n"/>
      <c r="F276" s="245" t="n"/>
      <c r="G276" s="245" t="n"/>
      <c r="H276" s="245" t="n"/>
      <c r="I276" s="245" t="inlineStr">
        <is>
          <t>MSMU6889479</t>
        </is>
      </c>
      <c r="J276" s="245" t="inlineStr">
        <is>
          <t>40FT</t>
        </is>
      </c>
      <c r="K276" s="245" t="n"/>
      <c r="L276" s="245" t="n"/>
      <c r="M276" s="245" t="n"/>
      <c r="N276" s="245" t="n"/>
      <c r="O276" s="245" t="n"/>
      <c r="P276" s="245" t="n"/>
      <c r="Q276" s="245" t="n"/>
      <c r="R276" s="245" t="n"/>
      <c r="S276" s="245" t="n"/>
      <c r="T276" s="245" t="n"/>
      <c r="U276" s="245" t="n"/>
      <c r="V276" s="245" t="n"/>
      <c r="W276" s="245" t="n"/>
      <c r="X276" s="245" t="n"/>
      <c r="Y276" s="245" t="n"/>
      <c r="Z276" s="245" t="n"/>
    </row>
    <row r="277" ht="16.5" customHeight="1" s="202">
      <c r="A277" s="245" t="n"/>
      <c r="B277" s="245" t="n"/>
      <c r="C277" s="245" t="n"/>
      <c r="D277" s="245" t="n"/>
      <c r="E277" s="245" t="n"/>
      <c r="F277" s="245" t="n"/>
      <c r="G277" s="245" t="n"/>
      <c r="H277" s="245" t="n"/>
      <c r="I277" s="245" t="inlineStr">
        <is>
          <t>MSMU7208374</t>
        </is>
      </c>
      <c r="J277" s="245" t="inlineStr">
        <is>
          <t>40FT</t>
        </is>
      </c>
      <c r="K277" s="245" t="n"/>
      <c r="L277" s="245" t="n"/>
      <c r="M277" s="245" t="n"/>
      <c r="N277" s="245" t="n"/>
      <c r="O277" s="245" t="n"/>
      <c r="P277" s="245" t="n"/>
      <c r="Q277" s="245" t="n"/>
      <c r="R277" s="245" t="n"/>
      <c r="S277" s="245" t="n"/>
      <c r="T277" s="245" t="n"/>
      <c r="U277" s="245" t="n"/>
      <c r="V277" s="245" t="n"/>
      <c r="W277" s="245" t="n"/>
      <c r="X277" s="245" t="n"/>
      <c r="Y277" s="245" t="n"/>
      <c r="Z277" s="245" t="n"/>
    </row>
    <row r="278" ht="17.1" customHeight="1" s="202">
      <c r="A278" s="254" t="n"/>
      <c r="B278" s="254" t="n"/>
      <c r="C278" s="254" t="n"/>
      <c r="D278" s="254" t="n"/>
      <c r="E278" s="254" t="n"/>
      <c r="F278" s="254" t="n"/>
      <c r="G278" s="254" t="n"/>
      <c r="H278" s="255">
        <f>SUM(H270:H277)</f>
        <v/>
      </c>
      <c r="I278" s="254">
        <f>COUNTA(I270:I277)</f>
        <v/>
      </c>
      <c r="J278" s="254" t="n"/>
      <c r="K278" s="254" t="n"/>
      <c r="L278" s="254" t="n"/>
      <c r="M278" s="254" t="n"/>
      <c r="N278" s="254" t="n"/>
      <c r="O278" s="256">
        <f>SUM(O270:O277)</f>
        <v/>
      </c>
      <c r="P278" s="256">
        <f>SUM(P270:P277)</f>
        <v/>
      </c>
      <c r="Q278" s="254" t="n"/>
      <c r="R278" s="257">
        <f>SUM(R270:R277)</f>
        <v/>
      </c>
      <c r="S278" s="254" t="n"/>
      <c r="T278" s="258">
        <f>SUM(T270:T277)</f>
        <v/>
      </c>
      <c r="U278" s="254" t="n"/>
      <c r="V278" s="254" t="n"/>
      <c r="W278" s="254" t="n"/>
      <c r="X278" s="254" t="n"/>
      <c r="Y278" s="254" t="n"/>
      <c r="Z278" s="254" t="n"/>
    </row>
    <row r="279" ht="16.5" customHeight="1" s="202">
      <c r="A279" s="245" t="n">
        <v>49</v>
      </c>
      <c r="B279" s="245" t="inlineStr">
        <is>
          <t>000030ZIK48020260921000832</t>
        </is>
      </c>
      <c r="C279" s="245" t="n">
        <v>600039</v>
      </c>
      <c r="D279" s="245" t="n">
        <v>599977</v>
      </c>
      <c r="E279" s="246" t="n">
        <v>46287</v>
      </c>
      <c r="F279" s="245" t="inlineStr">
        <is>
          <t>ID2609-8534</t>
        </is>
      </c>
      <c r="G279" s="246" t="n">
        <v>46286</v>
      </c>
      <c r="H279" s="247" t="n">
        <v>718</v>
      </c>
      <c r="I279" s="245" t="inlineStr">
        <is>
          <t>TRHU8408739</t>
        </is>
      </c>
      <c r="J279" s="245" t="inlineStr">
        <is>
          <t>40FT</t>
        </is>
      </c>
      <c r="K279" s="245" t="inlineStr">
        <is>
          <t>12IN GREEN TEA MF MATTRESS EK</t>
        </is>
      </c>
      <c r="L279" s="245" t="inlineStr">
        <is>
          <t>ZU-MFMA1ZZI-12K</t>
        </is>
      </c>
      <c r="M279" s="248" t="inlineStr">
        <is>
          <t>63H36GGV</t>
        </is>
      </c>
      <c r="N279" s="245" t="inlineStr">
        <is>
          <t>F.MFM.12K.006.AD</t>
        </is>
      </c>
      <c r="O279" s="249" t="n">
        <v>28353.82</v>
      </c>
      <c r="P279" s="249" t="n">
        <v>26903.46</v>
      </c>
      <c r="Q279" s="250">
        <f>R279/H279</f>
        <v/>
      </c>
      <c r="R279" s="251" t="n">
        <v>73214.46000000001</v>
      </c>
      <c r="S279" s="249" t="n">
        <v>17594</v>
      </c>
      <c r="T279" s="252">
        <f>S279*R279</f>
        <v/>
      </c>
      <c r="U279" s="245" t="inlineStr">
        <is>
          <t>040300/KPPBC</t>
        </is>
      </c>
      <c r="V279" s="245" t="inlineStr">
        <is>
          <t>TG. PRIOK</t>
        </is>
      </c>
      <c r="W279" s="245" t="inlineStr">
        <is>
          <t>LONG BEACH, US</t>
        </is>
      </c>
      <c r="X279" s="245" t="inlineStr">
        <is>
          <t>AMAZON.COM SERVICES LLC</t>
        </is>
      </c>
      <c r="Y279" s="245" t="inlineStr">
        <is>
          <t>MEDUKU723228</t>
        </is>
      </c>
      <c r="Z279" s="246" t="n">
        <v>46287</v>
      </c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5" t="n"/>
      <c r="I280" s="245" t="inlineStr">
        <is>
          <t>MSNU6980643</t>
        </is>
      </c>
      <c r="J280" s="245" t="inlineStr">
        <is>
          <t>40FT</t>
        </is>
      </c>
      <c r="K280" s="245" t="n"/>
      <c r="L280" s="245" t="n"/>
      <c r="M280" s="245" t="n"/>
      <c r="N280" s="245" t="n"/>
      <c r="O280" s="245" t="n"/>
      <c r="P280" s="245" t="n"/>
      <c r="Q280" s="245" t="n"/>
      <c r="R280" s="245" t="n"/>
      <c r="S280" s="245" t="n"/>
      <c r="T280" s="245" t="n"/>
      <c r="U280" s="245" t="n"/>
      <c r="V280" s="245" t="n"/>
      <c r="W280" s="245" t="inlineStr">
        <is>
          <t>ETD : 28-09-2026</t>
        </is>
      </c>
      <c r="X280" s="245" t="n"/>
      <c r="Y280" s="245" t="n"/>
      <c r="Z280" s="245" t="n"/>
    </row>
    <row r="281" ht="17.1" customHeight="1" s="202">
      <c r="A281" s="254" t="n"/>
      <c r="B281" s="254" t="n"/>
      <c r="C281" s="254" t="n"/>
      <c r="D281" s="254" t="n"/>
      <c r="E281" s="254" t="n"/>
      <c r="F281" s="254" t="n"/>
      <c r="G281" s="254" t="n"/>
      <c r="H281" s="255">
        <f>SUM(H279:H280)</f>
        <v/>
      </c>
      <c r="I281" s="254">
        <f>COUNTA(I279:I280)</f>
        <v/>
      </c>
      <c r="J281" s="254" t="n"/>
      <c r="K281" s="254" t="n"/>
      <c r="L281" s="254" t="n"/>
      <c r="M281" s="254" t="n"/>
      <c r="N281" s="254" t="n"/>
      <c r="O281" s="256">
        <f>SUM(O279:O280)</f>
        <v/>
      </c>
      <c r="P281" s="256">
        <f>SUM(P279:P280)</f>
        <v/>
      </c>
      <c r="Q281" s="254" t="n"/>
      <c r="R281" s="257">
        <f>SUM(R279:R280)</f>
        <v/>
      </c>
      <c r="S281" s="254" t="n"/>
      <c r="T281" s="258">
        <f>SUM(T279:T280)</f>
        <v/>
      </c>
      <c r="U281" s="254" t="n"/>
      <c r="V281" s="254" t="n"/>
      <c r="W281" s="254" t="n"/>
      <c r="X281" s="254" t="n"/>
      <c r="Y281" s="254" t="n"/>
      <c r="Z281" s="254" t="n"/>
    </row>
    <row r="282" ht="16.5" customHeight="1" s="202">
      <c r="A282" s="245" t="n">
        <v>50</v>
      </c>
      <c r="B282" s="245" t="inlineStr">
        <is>
          <t>000030ZIK48020260921000833</t>
        </is>
      </c>
      <c r="C282" s="245" t="n">
        <v>601155</v>
      </c>
      <c r="D282" s="245" t="n">
        <v>601088</v>
      </c>
      <c r="E282" s="246" t="n">
        <v>46287</v>
      </c>
      <c r="F282" s="245" t="inlineStr">
        <is>
          <t>ID2609-8535</t>
        </is>
      </c>
      <c r="G282" s="246" t="n">
        <v>46286</v>
      </c>
      <c r="H282" s="247" t="n">
        <v>900</v>
      </c>
      <c r="I282" s="245" t="inlineStr">
        <is>
          <t>TEMU8406769</t>
        </is>
      </c>
      <c r="J282" s="245" t="inlineStr">
        <is>
          <t>40FT</t>
        </is>
      </c>
      <c r="K282" s="245" t="inlineStr">
        <is>
          <t>8IN GREEN TEA MF MATTRESS QN</t>
        </is>
      </c>
      <c r="L282" s="245" t="inlineStr">
        <is>
          <t>SCF-STR-800Q</t>
        </is>
      </c>
      <c r="M282" s="248" t="inlineStr">
        <is>
          <t>0993630528</t>
        </is>
      </c>
      <c r="N282" s="245" t="inlineStr">
        <is>
          <t>F.MFM.08Q.000.WS</t>
        </is>
      </c>
      <c r="O282" s="249" t="n">
        <v>21510</v>
      </c>
      <c r="P282" s="249" t="n">
        <v>19188</v>
      </c>
      <c r="Q282" s="250">
        <f>R282/H282</f>
        <v/>
      </c>
      <c r="R282" s="251" t="n">
        <v>84573</v>
      </c>
      <c r="S282" s="249" t="n">
        <v>17594</v>
      </c>
      <c r="T282" s="252">
        <f>S282*R282</f>
        <v/>
      </c>
      <c r="U282" s="245" t="inlineStr">
        <is>
          <t>040300/KPPBC</t>
        </is>
      </c>
      <c r="V282" s="245" t="inlineStr">
        <is>
          <t>TG. PRIOK</t>
        </is>
      </c>
      <c r="W282" s="245" t="inlineStr">
        <is>
          <t>MOBILE, US</t>
        </is>
      </c>
      <c r="X282" s="245" t="inlineStr">
        <is>
          <t>WALMART, INC.</t>
        </is>
      </c>
      <c r="Y282" s="245" t="inlineStr">
        <is>
          <t>CMDUDJA1534756A</t>
        </is>
      </c>
      <c r="Z282" s="246" t="n">
        <v>46287</v>
      </c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5" t="n"/>
      <c r="I283" s="245" t="inlineStr">
        <is>
          <t>BMOU6416229</t>
        </is>
      </c>
      <c r="J283" s="245" t="inlineStr">
        <is>
          <t>40FT</t>
        </is>
      </c>
      <c r="K283" s="245" t="n"/>
      <c r="L283" s="245" t="n"/>
      <c r="M283" s="245" t="n"/>
      <c r="N283" s="245" t="n"/>
      <c r="O283" s="245" t="n"/>
      <c r="P283" s="245" t="n"/>
      <c r="Q283" s="245" t="n"/>
      <c r="R283" s="245" t="n"/>
      <c r="S283" s="245" t="n"/>
      <c r="T283" s="245" t="n"/>
      <c r="U283" s="245" t="n"/>
      <c r="V283" s="245" t="n"/>
      <c r="W283" s="245" t="inlineStr">
        <is>
          <t>ETD : 27-09-2026</t>
        </is>
      </c>
      <c r="X283" s="245" t="n"/>
      <c r="Y283" s="245" t="n"/>
      <c r="Z283" s="245" t="n"/>
    </row>
    <row r="284" ht="17.1" customHeight="1" s="202">
      <c r="A284" s="254" t="n"/>
      <c r="B284" s="254" t="n"/>
      <c r="C284" s="254" t="n"/>
      <c r="D284" s="254" t="n"/>
      <c r="E284" s="254" t="n"/>
      <c r="F284" s="254" t="n"/>
      <c r="G284" s="254" t="n"/>
      <c r="H284" s="255">
        <f>SUM(H282:H283)</f>
        <v/>
      </c>
      <c r="I284" s="254">
        <f>COUNTA(I282:I283)</f>
        <v/>
      </c>
      <c r="J284" s="254" t="n"/>
      <c r="K284" s="254" t="n"/>
      <c r="L284" s="254" t="n"/>
      <c r="M284" s="254" t="n"/>
      <c r="N284" s="254" t="n"/>
      <c r="O284" s="256">
        <f>SUM(O282:O283)</f>
        <v/>
      </c>
      <c r="P284" s="256">
        <f>SUM(P282:P283)</f>
        <v/>
      </c>
      <c r="Q284" s="254" t="n"/>
      <c r="R284" s="257">
        <f>SUM(R282:R283)</f>
        <v/>
      </c>
      <c r="S284" s="254" t="n"/>
      <c r="T284" s="258">
        <f>SUM(T282:T283)</f>
        <v/>
      </c>
      <c r="U284" s="254" t="n"/>
      <c r="V284" s="254" t="n"/>
      <c r="W284" s="254" t="n"/>
      <c r="X284" s="254" t="n"/>
      <c r="Y284" s="254" t="n"/>
      <c r="Z284" s="254" t="n"/>
    </row>
    <row r="285" ht="16.5" customHeight="1" s="202">
      <c r="A285" s="245" t="n">
        <v>51</v>
      </c>
      <c r="B285" s="245" t="inlineStr">
        <is>
          <t>000030ZIK48020260921000834</t>
        </is>
      </c>
      <c r="C285" s="245" t="n">
        <v>601176</v>
      </c>
      <c r="D285" s="245" t="n">
        <v>601109</v>
      </c>
      <c r="E285" s="246" t="n">
        <v>46287</v>
      </c>
      <c r="F285" s="245" t="inlineStr">
        <is>
          <t>ID2609-8536</t>
        </is>
      </c>
      <c r="G285" s="246" t="n">
        <v>46286</v>
      </c>
      <c r="H285" s="247" t="n">
        <v>520</v>
      </c>
      <c r="I285" s="245" t="inlineStr">
        <is>
          <t>TLLU4220000</t>
        </is>
      </c>
      <c r="J285" s="245" t="inlineStr">
        <is>
          <t>40FT</t>
        </is>
      </c>
      <c r="K285" s="245" t="inlineStr">
        <is>
          <t>8IN GREEN TEA MF MATTRESS FL</t>
        </is>
      </c>
      <c r="L285" s="245" t="inlineStr">
        <is>
          <t>SCF-STR-800F</t>
        </is>
      </c>
      <c r="M285" s="248" t="inlineStr">
        <is>
          <t>0993630680</t>
        </is>
      </c>
      <c r="N285" s="245" t="inlineStr">
        <is>
          <t>F.MFM.08F.000.WS</t>
        </is>
      </c>
      <c r="O285" s="249" t="n">
        <v>10618.4</v>
      </c>
      <c r="P285" s="249" t="n">
        <v>9370.4</v>
      </c>
      <c r="Q285" s="250">
        <f>R285/H285</f>
        <v/>
      </c>
      <c r="R285" s="251" t="n">
        <v>41480.4</v>
      </c>
      <c r="S285" s="249" t="n">
        <v>17594</v>
      </c>
      <c r="T285" s="252">
        <f>S285*R285</f>
        <v/>
      </c>
      <c r="U285" s="245" t="inlineStr">
        <is>
          <t>040300/KPPBC</t>
        </is>
      </c>
      <c r="V285" s="245" t="inlineStr">
        <is>
          <t>TG. PRIOK</t>
        </is>
      </c>
      <c r="W285" s="245" t="inlineStr">
        <is>
          <t>MOBILE, US</t>
        </is>
      </c>
      <c r="X285" s="245" t="inlineStr">
        <is>
          <t>WALMART, INC.</t>
        </is>
      </c>
      <c r="Y285" s="245" t="inlineStr">
        <is>
          <t>CMDUDJA1534756B</t>
        </is>
      </c>
      <c r="Z285" s="246" t="n">
        <v>46287</v>
      </c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5" t="n"/>
      <c r="I286" s="245" t="n"/>
      <c r="J286" s="245" t="n"/>
      <c r="K286" s="245" t="n"/>
      <c r="L286" s="245" t="n"/>
      <c r="M286" s="245" t="n"/>
      <c r="N286" s="245" t="n"/>
      <c r="O286" s="245" t="n"/>
      <c r="P286" s="245" t="n"/>
      <c r="Q286" s="245" t="n"/>
      <c r="R286" s="245" t="n"/>
      <c r="S286" s="245" t="n"/>
      <c r="T286" s="245" t="n"/>
      <c r="U286" s="245" t="n"/>
      <c r="V286" s="245" t="n"/>
      <c r="W286" s="245" t="inlineStr">
        <is>
          <t>ETD : 27-09-2026</t>
        </is>
      </c>
      <c r="X286" s="245" t="n"/>
      <c r="Y286" s="245" t="n"/>
      <c r="Z286" s="245" t="n"/>
    </row>
    <row r="287" ht="17.1" customHeight="1" s="202">
      <c r="A287" s="254" t="n"/>
      <c r="B287" s="254" t="n"/>
      <c r="C287" s="254" t="n"/>
      <c r="D287" s="254" t="n"/>
      <c r="E287" s="254" t="n"/>
      <c r="F287" s="254" t="n"/>
      <c r="G287" s="254" t="n"/>
      <c r="H287" s="255">
        <f>SUM(H285:H286)</f>
        <v/>
      </c>
      <c r="I287" s="254">
        <f>COUNTA(I285:I286)</f>
        <v/>
      </c>
      <c r="J287" s="254" t="n"/>
      <c r="K287" s="254" t="n"/>
      <c r="L287" s="254" t="n"/>
      <c r="M287" s="254" t="n"/>
      <c r="N287" s="254" t="n"/>
      <c r="O287" s="256">
        <f>SUM(O285:O286)</f>
        <v/>
      </c>
      <c r="P287" s="256">
        <f>SUM(P285:P286)</f>
        <v/>
      </c>
      <c r="Q287" s="254" t="n"/>
      <c r="R287" s="257">
        <f>SUM(R285:R286)</f>
        <v/>
      </c>
      <c r="S287" s="254" t="n"/>
      <c r="T287" s="258">
        <f>SUM(T285:T286)</f>
        <v/>
      </c>
      <c r="U287" s="254" t="n"/>
      <c r="V287" s="254" t="n"/>
      <c r="W287" s="254" t="n"/>
      <c r="X287" s="254" t="n"/>
      <c r="Y287" s="254" t="n"/>
      <c r="Z287" s="254" t="n"/>
    </row>
    <row r="288" ht="16.5" customHeight="1" s="202">
      <c r="A288" s="245" t="n">
        <v>52</v>
      </c>
      <c r="B288" s="245" t="inlineStr">
        <is>
          <t>000030ZIK48020260922000835</t>
        </is>
      </c>
      <c r="C288" s="245" t="n">
        <v>485045</v>
      </c>
      <c r="D288" s="245" t="n">
        <v>484793</v>
      </c>
      <c r="E288" s="246" t="n">
        <v>46287</v>
      </c>
      <c r="F288" s="245" t="inlineStr">
        <is>
          <t>SPL/039/ZDI/IX/2026</t>
        </is>
      </c>
      <c r="G288" s="246" t="n">
        <v>46287</v>
      </c>
      <c r="H288" s="247" t="n"/>
      <c r="I288" s="245" t="n"/>
      <c r="J288" s="245" t="n"/>
      <c r="K288" s="245" t="n"/>
      <c r="L288" s="245" t="n"/>
      <c r="M288" s="248" t="n"/>
      <c r="N288" s="245" t="n"/>
      <c r="O288" s="249" t="n">
        <v>5.37</v>
      </c>
      <c r="P288" s="249" t="n">
        <v>4.91</v>
      </c>
      <c r="Q288" s="250">
        <f>R288/H288</f>
        <v/>
      </c>
      <c r="R288" s="251" t="n"/>
      <c r="S288" s="249" t="n"/>
      <c r="T288" s="252">
        <f>S288*R288</f>
        <v/>
      </c>
      <c r="U288" s="245" t="inlineStr">
        <is>
          <t>050100/KPPBC</t>
        </is>
      </c>
      <c r="V288" s="245" t="inlineStr">
        <is>
          <t>S. HATTA</t>
        </is>
      </c>
      <c r="W288" s="245" t="inlineStr">
        <is>
          <t>INCHEON INTL APT/SEOUL, KR</t>
        </is>
      </c>
      <c r="X288" s="245" t="inlineStr">
        <is>
          <t>ZINUS INC KOREA</t>
        </is>
      </c>
      <c r="Y288" s="245" t="inlineStr">
        <is>
          <t>877559551908</t>
        </is>
      </c>
      <c r="Z288" s="246" t="n">
        <v>46287</v>
      </c>
    </row>
    <row r="289" ht="16.5" customHeight="1" s="202">
      <c r="A289" s="245" t="n"/>
      <c r="B289" s="245" t="n"/>
      <c r="C289" s="245" t="n"/>
      <c r="D289" s="245" t="n"/>
      <c r="E289" s="245" t="n"/>
      <c r="F289" s="245" t="n"/>
      <c r="G289" s="245" t="n"/>
      <c r="H289" s="245" t="n"/>
      <c r="I289" s="245" t="n"/>
      <c r="J289" s="245" t="n"/>
      <c r="K289" s="245" t="n"/>
      <c r="L289" s="245" t="n"/>
      <c r="M289" s="245" t="n"/>
      <c r="N289" s="245" t="n"/>
      <c r="O289" s="245" t="n"/>
      <c r="P289" s="245" t="n"/>
      <c r="Q289" s="245" t="n"/>
      <c r="R289" s="245" t="n"/>
      <c r="S289" s="245" t="n"/>
      <c r="T289" s="245" t="n"/>
      <c r="U289" s="245" t="n"/>
      <c r="V289" s="245" t="n"/>
      <c r="W289" s="245" t="inlineStr">
        <is>
          <t>ETD : 29-09-2026</t>
        </is>
      </c>
      <c r="X289" s="245" t="n"/>
      <c r="Y289" s="245" t="n"/>
      <c r="Z289" s="245" t="n"/>
    </row>
    <row r="290" ht="17.1" customHeight="1" s="202">
      <c r="A290" s="254" t="n"/>
      <c r="B290" s="254" t="n"/>
      <c r="C290" s="254" t="n"/>
      <c r="D290" s="254" t="n"/>
      <c r="E290" s="254" t="n"/>
      <c r="F290" s="254" t="n"/>
      <c r="G290" s="254" t="n"/>
      <c r="H290" s="255">
        <f>SUM(H288:H289)</f>
        <v/>
      </c>
      <c r="I290" s="254">
        <f>COUNTA(I288:I289)</f>
        <v/>
      </c>
      <c r="J290" s="254" t="n"/>
      <c r="K290" s="254" t="n"/>
      <c r="L290" s="254" t="n"/>
      <c r="M290" s="254" t="n"/>
      <c r="N290" s="254" t="n"/>
      <c r="O290" s="256">
        <f>SUM(O288:O289)</f>
        <v/>
      </c>
      <c r="P290" s="256">
        <f>SUM(P288:P289)</f>
        <v/>
      </c>
      <c r="Q290" s="254" t="n"/>
      <c r="R290" s="257">
        <f>SUM(R288:R289)</f>
        <v/>
      </c>
      <c r="S290" s="254" t="n"/>
      <c r="T290" s="258">
        <f>SUM(T288:T289)</f>
        <v/>
      </c>
      <c r="U290" s="254" t="n"/>
      <c r="V290" s="254" t="n"/>
      <c r="W290" s="254" t="n"/>
      <c r="X290" s="254" t="n"/>
      <c r="Y290" s="254" t="n"/>
      <c r="Z290" s="254" t="n"/>
    </row>
    <row r="291" ht="16.5" customHeight="1" s="202">
      <c r="A291" s="245" t="n">
        <v>53</v>
      </c>
      <c r="B291" s="245" t="inlineStr">
        <is>
          <t>000030ZIK48020260922000836</t>
        </is>
      </c>
      <c r="C291" s="245" t="n">
        <v>605523</v>
      </c>
      <c r="D291" s="245" t="n">
        <v>605454</v>
      </c>
      <c r="E291" s="246" t="n">
        <v>46288</v>
      </c>
      <c r="F291" s="245" t="inlineStr">
        <is>
          <t>ID2609-8550</t>
        </is>
      </c>
      <c r="G291" s="246" t="n">
        <v>46287</v>
      </c>
      <c r="H291" s="247" t="n">
        <v>3536</v>
      </c>
      <c r="I291" s="245" t="inlineStr">
        <is>
          <t>MSNU7244565</t>
        </is>
      </c>
      <c r="J291" s="245" t="inlineStr">
        <is>
          <t>40FT</t>
        </is>
      </c>
      <c r="K291" s="245" t="inlineStr">
        <is>
          <t>10IN GREEN TEA MF MATTRESS QN</t>
        </is>
      </c>
      <c r="L291" s="245" t="inlineStr">
        <is>
          <t>ZU-MFMA1ZZI-10Q</t>
        </is>
      </c>
      <c r="M291" s="248" t="inlineStr">
        <is>
          <t>76KMV1YP</t>
        </is>
      </c>
      <c r="N291" s="245" t="inlineStr">
        <is>
          <t>F.MFM.10Q.007.AD</t>
        </is>
      </c>
      <c r="O291" s="249" t="n">
        <v>96532.8</v>
      </c>
      <c r="P291" s="249" t="n">
        <v>84934.72</v>
      </c>
      <c r="Q291" s="250">
        <f>R291/H291</f>
        <v/>
      </c>
      <c r="R291" s="251" t="n">
        <v>232951.68</v>
      </c>
      <c r="S291" s="249" t="n">
        <v>17707</v>
      </c>
      <c r="T291" s="252">
        <f>S291*R291</f>
        <v/>
      </c>
      <c r="U291" s="245" t="inlineStr">
        <is>
          <t>040300/KPPBC</t>
        </is>
      </c>
      <c r="V291" s="245" t="inlineStr">
        <is>
          <t>TG. PRIOK</t>
        </is>
      </c>
      <c r="W291" s="245" t="inlineStr">
        <is>
          <t>LONG BEACH, US</t>
        </is>
      </c>
      <c r="X291" s="245" t="inlineStr">
        <is>
          <t>AMAZON.COM SERVICES LLC</t>
        </is>
      </c>
      <c r="Y291" s="245" t="inlineStr">
        <is>
          <t>MEDUKU737640</t>
        </is>
      </c>
      <c r="Z291" s="246" t="n">
        <v>46288</v>
      </c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5" t="n"/>
      <c r="I292" s="245" t="inlineStr">
        <is>
          <t>MSBU8041689</t>
        </is>
      </c>
      <c r="J292" s="245" t="inlineStr">
        <is>
          <t>40FT</t>
        </is>
      </c>
      <c r="K292" s="245" t="n"/>
      <c r="L292" s="245" t="n"/>
      <c r="M292" s="245" t="n"/>
      <c r="N292" s="245" t="n"/>
      <c r="O292" s="245" t="n"/>
      <c r="P292" s="245" t="n"/>
      <c r="Q292" s="245" t="n"/>
      <c r="R292" s="245" t="n"/>
      <c r="S292" s="245" t="n"/>
      <c r="T292" s="245" t="n"/>
      <c r="U292" s="245" t="n"/>
      <c r="V292" s="245" t="n"/>
      <c r="W292" s="245" t="inlineStr">
        <is>
          <t>ETD : 30-09-2026</t>
        </is>
      </c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5" t="n"/>
      <c r="I293" s="245" t="inlineStr">
        <is>
          <t>MSMU7049544</t>
        </is>
      </c>
      <c r="J293" s="245" t="inlineStr">
        <is>
          <t>40FT</t>
        </is>
      </c>
      <c r="K293" s="245" t="n"/>
      <c r="L293" s="245" t="n"/>
      <c r="M293" s="245" t="n"/>
      <c r="N293" s="245" t="n"/>
      <c r="O293" s="245" t="n"/>
      <c r="P293" s="245" t="n"/>
      <c r="Q293" s="245" t="n"/>
      <c r="R293" s="245" t="n"/>
      <c r="S293" s="245" t="n"/>
      <c r="T293" s="245" t="n"/>
      <c r="U293" s="245" t="n"/>
      <c r="V293" s="245" t="n"/>
      <c r="W293" s="245" t="n"/>
      <c r="X293" s="245" t="n"/>
      <c r="Y293" s="245" t="n"/>
      <c r="Z293" s="245" t="n"/>
    </row>
    <row r="294" ht="16.5" customHeight="1" s="202">
      <c r="A294" s="245" t="n"/>
      <c r="B294" s="245" t="n"/>
      <c r="C294" s="245" t="n"/>
      <c r="D294" s="245" t="n"/>
      <c r="E294" s="245" t="n"/>
      <c r="F294" s="245" t="n"/>
      <c r="G294" s="245" t="n"/>
      <c r="H294" s="245" t="n"/>
      <c r="I294" s="245" t="inlineStr">
        <is>
          <t>GAOU6717900</t>
        </is>
      </c>
      <c r="J294" s="245" t="inlineStr">
        <is>
          <t>40FT</t>
        </is>
      </c>
      <c r="K294" s="245" t="n"/>
      <c r="L294" s="245" t="n"/>
      <c r="M294" s="245" t="n"/>
      <c r="N294" s="245" t="n"/>
      <c r="O294" s="245" t="n"/>
      <c r="P294" s="245" t="n"/>
      <c r="Q294" s="245" t="n"/>
      <c r="R294" s="245" t="n"/>
      <c r="S294" s="245" t="n"/>
      <c r="T294" s="245" t="n"/>
      <c r="U294" s="245" t="n"/>
      <c r="V294" s="245" t="n"/>
      <c r="W294" s="245" t="n"/>
      <c r="X294" s="245" t="n"/>
      <c r="Y294" s="245" t="n"/>
      <c r="Z294" s="245" t="n"/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5" t="n"/>
      <c r="I295" s="245" t="inlineStr">
        <is>
          <t>TRHU7101183</t>
        </is>
      </c>
      <c r="J295" s="245" t="inlineStr">
        <is>
          <t>40FT</t>
        </is>
      </c>
      <c r="K295" s="245" t="n"/>
      <c r="L295" s="245" t="n"/>
      <c r="M295" s="245" t="n"/>
      <c r="N295" s="245" t="n"/>
      <c r="O295" s="245" t="n"/>
      <c r="P295" s="245" t="n"/>
      <c r="Q295" s="245" t="n"/>
      <c r="R295" s="245" t="n"/>
      <c r="S295" s="245" t="n"/>
      <c r="T295" s="245" t="n"/>
      <c r="U295" s="245" t="n"/>
      <c r="V295" s="245" t="n"/>
      <c r="W295" s="245" t="n"/>
      <c r="X295" s="245" t="n"/>
      <c r="Y295" s="245" t="n"/>
      <c r="Z295" s="245" t="n"/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5" t="n"/>
      <c r="I296" s="245" t="inlineStr">
        <is>
          <t>TIIU4637795</t>
        </is>
      </c>
      <c r="J296" s="245" t="inlineStr">
        <is>
          <t>40FT</t>
        </is>
      </c>
      <c r="K296" s="245" t="n"/>
      <c r="L296" s="245" t="n"/>
      <c r="M296" s="245" t="n"/>
      <c r="N296" s="245" t="n"/>
      <c r="O296" s="245" t="n"/>
      <c r="P296" s="245" t="n"/>
      <c r="Q296" s="245" t="n"/>
      <c r="R296" s="245" t="n"/>
      <c r="S296" s="245" t="n"/>
      <c r="T296" s="245" t="n"/>
      <c r="U296" s="245" t="n"/>
      <c r="V296" s="245" t="n"/>
      <c r="W296" s="245" t="n"/>
      <c r="X296" s="245" t="n"/>
      <c r="Y296" s="245" t="n"/>
      <c r="Z296" s="245" t="n"/>
    </row>
    <row r="297" ht="16.5" customHeight="1" s="202">
      <c r="A297" s="245" t="n"/>
      <c r="B297" s="245" t="n"/>
      <c r="C297" s="245" t="n"/>
      <c r="D297" s="245" t="n"/>
      <c r="E297" s="245" t="n"/>
      <c r="F297" s="245" t="n"/>
      <c r="G297" s="245" t="n"/>
      <c r="H297" s="245" t="n"/>
      <c r="I297" s="245" t="inlineStr">
        <is>
          <t>CAAU5907101</t>
        </is>
      </c>
      <c r="J297" s="245" t="inlineStr">
        <is>
          <t>40FT</t>
        </is>
      </c>
      <c r="K297" s="245" t="n"/>
      <c r="L297" s="245" t="n"/>
      <c r="M297" s="245" t="n"/>
      <c r="N297" s="245" t="n"/>
      <c r="O297" s="245" t="n"/>
      <c r="P297" s="245" t="n"/>
      <c r="Q297" s="245" t="n"/>
      <c r="R297" s="245" t="n"/>
      <c r="S297" s="245" t="n"/>
      <c r="T297" s="245" t="n"/>
      <c r="U297" s="245" t="n"/>
      <c r="V297" s="245" t="n"/>
      <c r="W297" s="245" t="n"/>
      <c r="X297" s="245" t="n"/>
      <c r="Y297" s="245" t="n"/>
      <c r="Z297" s="245" t="n"/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5" t="n"/>
      <c r="I298" s="245" t="inlineStr">
        <is>
          <t>TXGU4259024</t>
        </is>
      </c>
      <c r="J298" s="245" t="inlineStr">
        <is>
          <t>40FT</t>
        </is>
      </c>
      <c r="K298" s="245" t="n"/>
      <c r="L298" s="245" t="n"/>
      <c r="M298" s="245" t="n"/>
      <c r="N298" s="245" t="n"/>
      <c r="O298" s="245" t="n"/>
      <c r="P298" s="245" t="n"/>
      <c r="Q298" s="245" t="n"/>
      <c r="R298" s="245" t="n"/>
      <c r="S298" s="245" t="n"/>
      <c r="T298" s="245" t="n"/>
      <c r="U298" s="245" t="n"/>
      <c r="V298" s="245" t="n"/>
      <c r="W298" s="245" t="n"/>
      <c r="X298" s="245" t="n"/>
      <c r="Y298" s="245" t="n"/>
      <c r="Z298" s="245" t="n"/>
    </row>
    <row r="299" ht="17.1" customHeight="1" s="202">
      <c r="A299" s="254" t="n"/>
      <c r="B299" s="254" t="n"/>
      <c r="C299" s="254" t="n"/>
      <c r="D299" s="254" t="n"/>
      <c r="E299" s="254" t="n"/>
      <c r="F299" s="254" t="n"/>
      <c r="G299" s="254" t="n"/>
      <c r="H299" s="255">
        <f>SUM(H291:H298)</f>
        <v/>
      </c>
      <c r="I299" s="254">
        <f>COUNTA(I291:I298)</f>
        <v/>
      </c>
      <c r="J299" s="254" t="n"/>
      <c r="K299" s="254" t="n"/>
      <c r="L299" s="254" t="n"/>
      <c r="M299" s="254" t="n"/>
      <c r="N299" s="254" t="n"/>
      <c r="O299" s="256">
        <f>SUM(O291:O298)</f>
        <v/>
      </c>
      <c r="P299" s="256">
        <f>SUM(P291:P298)</f>
        <v/>
      </c>
      <c r="Q299" s="254" t="n"/>
      <c r="R299" s="257">
        <f>SUM(R291:R298)</f>
        <v/>
      </c>
      <c r="S299" s="254" t="n"/>
      <c r="T299" s="258">
        <f>SUM(T291:T298)</f>
        <v/>
      </c>
      <c r="U299" s="254" t="n"/>
      <c r="V299" s="254" t="n"/>
      <c r="W299" s="254" t="n"/>
      <c r="X299" s="254" t="n"/>
      <c r="Y299" s="254" t="n"/>
      <c r="Z299" s="254" t="n"/>
    </row>
    <row r="300" ht="16.5" customHeight="1" s="202">
      <c r="A300" s="245" t="n">
        <v>54</v>
      </c>
      <c r="B300" s="245" t="inlineStr">
        <is>
          <t>000030ZIK48020260922000837</t>
        </is>
      </c>
      <c r="C300" s="245" t="n">
        <v>603472</v>
      </c>
      <c r="D300" s="245" t="n">
        <v>603407</v>
      </c>
      <c r="E300" s="246" t="n">
        <v>46288</v>
      </c>
      <c r="F300" s="245" t="inlineStr">
        <is>
          <t>ID2609-8551</t>
        </is>
      </c>
      <c r="G300" s="246" t="n">
        <v>46287</v>
      </c>
      <c r="H300" s="247" t="n">
        <v>405</v>
      </c>
      <c r="I300" s="245" t="inlineStr">
        <is>
          <t>MEDU7997854</t>
        </is>
      </c>
      <c r="J300" s="245" t="inlineStr">
        <is>
          <t>40FT</t>
        </is>
      </c>
      <c r="K300" s="245" t="inlineStr">
        <is>
          <t>6IN GREEN TEA MF MATTRESS QN</t>
        </is>
      </c>
      <c r="L300" s="245" t="inlineStr">
        <is>
          <t>ZU-MFMA1ZZI-06Q</t>
        </is>
      </c>
      <c r="M300" s="248" t="inlineStr">
        <is>
          <t>76KMV1YP</t>
        </is>
      </c>
      <c r="N300" s="245" t="inlineStr">
        <is>
          <t>F.MFM.06Q.007.AD</t>
        </is>
      </c>
      <c r="O300" s="249" t="n">
        <v>95695.78999999999</v>
      </c>
      <c r="P300" s="249" t="n">
        <v>83175.86</v>
      </c>
      <c r="Q300" s="250">
        <f>R300/H300</f>
        <v/>
      </c>
      <c r="R300" s="251" t="n">
        <v>18431.55</v>
      </c>
      <c r="S300" s="249" t="n">
        <v>17707</v>
      </c>
      <c r="T300" s="252">
        <f>S300*R300</f>
        <v/>
      </c>
      <c r="U300" s="245" t="inlineStr">
        <is>
          <t>040300/KPPBC</t>
        </is>
      </c>
      <c r="V300" s="245" t="inlineStr">
        <is>
          <t>TG. PRIOK</t>
        </is>
      </c>
      <c r="W300" s="245" t="inlineStr">
        <is>
          <t>LONG BEACH, US</t>
        </is>
      </c>
      <c r="X300" s="245" t="inlineStr">
        <is>
          <t>AMAZON.COM SERVICES LLC</t>
        </is>
      </c>
      <c r="Y300" s="245" t="inlineStr">
        <is>
          <t>MEDUKU737905</t>
        </is>
      </c>
      <c r="Z300" s="246" t="n">
        <v>46288</v>
      </c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7" t="n">
        <v>2159</v>
      </c>
      <c r="I301" s="245" t="inlineStr">
        <is>
          <t>MEDU4368204</t>
        </is>
      </c>
      <c r="J301" s="245" t="inlineStr">
        <is>
          <t>40FT</t>
        </is>
      </c>
      <c r="K301" s="245" t="inlineStr">
        <is>
          <t>8IN GREEN TEA MF MATTRESS FL</t>
        </is>
      </c>
      <c r="L301" s="245" t="inlineStr">
        <is>
          <t>ZU-MFMA1ZZI-08F</t>
        </is>
      </c>
      <c r="M301" s="248" t="inlineStr">
        <is>
          <t>76KMV1YP</t>
        </is>
      </c>
      <c r="N301" s="245" t="inlineStr">
        <is>
          <t>F.MFM.08F.008.AD</t>
        </is>
      </c>
      <c r="O301" s="245" t="n"/>
      <c r="P301" s="245" t="n"/>
      <c r="Q301" s="250">
        <f>R301/H301</f>
        <v/>
      </c>
      <c r="R301" s="251" t="n">
        <v>120882.41</v>
      </c>
      <c r="S301" s="249" t="n">
        <v>17707</v>
      </c>
      <c r="T301" s="252">
        <f>S301*R301</f>
        <v/>
      </c>
      <c r="U301" s="245" t="n"/>
      <c r="V301" s="245" t="n"/>
      <c r="W301" s="245" t="inlineStr">
        <is>
          <t>ETD : 30-09-2026</t>
        </is>
      </c>
      <c r="X301" s="245" t="n"/>
      <c r="Y301" s="245" t="n"/>
      <c r="Z301" s="245" t="n"/>
    </row>
    <row r="302" ht="16.5" customHeight="1" s="202">
      <c r="A302" s="245" t="n"/>
      <c r="B302" s="245" t="n"/>
      <c r="C302" s="245" t="n"/>
      <c r="D302" s="245" t="n"/>
      <c r="E302" s="245" t="n"/>
      <c r="F302" s="245" t="n"/>
      <c r="G302" s="245" t="n"/>
      <c r="H302" s="247" t="n">
        <v>180</v>
      </c>
      <c r="I302" s="245" t="inlineStr">
        <is>
          <t>MSMU8435449</t>
        </is>
      </c>
      <c r="J302" s="245" t="inlineStr">
        <is>
          <t>40FT</t>
        </is>
      </c>
      <c r="K302" s="245" t="inlineStr">
        <is>
          <t>8IN GREEN TEA MF MATTRESS TW</t>
        </is>
      </c>
      <c r="L302" s="245" t="inlineStr">
        <is>
          <t>ZU-MFMA1ZZI-08T</t>
        </is>
      </c>
      <c r="M302" s="248" t="inlineStr">
        <is>
          <t>76KMV1YP</t>
        </is>
      </c>
      <c r="N302" s="245" t="inlineStr">
        <is>
          <t>F.MFM.08T.008.AD</t>
        </is>
      </c>
      <c r="O302" s="245" t="n"/>
      <c r="P302" s="245" t="n"/>
      <c r="Q302" s="250">
        <f>R302/H302</f>
        <v/>
      </c>
      <c r="R302" s="251" t="n">
        <v>6467.4</v>
      </c>
      <c r="S302" s="249" t="n">
        <v>17707</v>
      </c>
      <c r="T302" s="252">
        <f>S302*R302</f>
        <v/>
      </c>
      <c r="U302" s="245" t="n"/>
      <c r="V302" s="245" t="n"/>
      <c r="W302" s="245" t="n"/>
      <c r="X302" s="245" t="n"/>
      <c r="Y302" s="245" t="n"/>
      <c r="Z302" s="245" t="n"/>
    </row>
    <row r="303" ht="16.5" customHeight="1" s="202">
      <c r="A303" s="245" t="n"/>
      <c r="B303" s="245" t="n"/>
      <c r="C303" s="245" t="n"/>
      <c r="D303" s="245" t="n"/>
      <c r="E303" s="245" t="n"/>
      <c r="F303" s="245" t="n"/>
      <c r="G303" s="245" t="n"/>
      <c r="H303" s="247" t="n">
        <v>935</v>
      </c>
      <c r="I303" s="245" t="inlineStr">
        <is>
          <t>BMOU6787960</t>
        </is>
      </c>
      <c r="J303" s="245" t="inlineStr">
        <is>
          <t>40FT</t>
        </is>
      </c>
      <c r="K303" s="245" t="inlineStr">
        <is>
          <t>10IN GREEN TEA MF MATTRESS QN</t>
        </is>
      </c>
      <c r="L303" s="245" t="inlineStr">
        <is>
          <t>ZU-MFMA1ZZI-10Q</t>
        </is>
      </c>
      <c r="M303" s="248" t="inlineStr">
        <is>
          <t>76KMV1YP</t>
        </is>
      </c>
      <c r="N303" s="245" t="inlineStr">
        <is>
          <t>F.MFM.10Q.007.AD</t>
        </is>
      </c>
      <c r="O303" s="245" t="n"/>
      <c r="P303" s="245" t="n"/>
      <c r="Q303" s="250">
        <f>R303/H303</f>
        <v/>
      </c>
      <c r="R303" s="251" t="n">
        <v>61597.8</v>
      </c>
      <c r="S303" s="249" t="n">
        <v>17707</v>
      </c>
      <c r="T303" s="252">
        <f>S303*R303</f>
        <v/>
      </c>
      <c r="U303" s="245" t="n"/>
      <c r="V303" s="245" t="n"/>
      <c r="W303" s="245" t="n"/>
      <c r="X303" s="245" t="n"/>
      <c r="Y303" s="245" t="n"/>
      <c r="Z303" s="245" t="n"/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7" t="n">
        <v>465</v>
      </c>
      <c r="I304" s="245" t="inlineStr">
        <is>
          <t>CAIU7010363</t>
        </is>
      </c>
      <c r="J304" s="245" t="inlineStr">
        <is>
          <t>40FT</t>
        </is>
      </c>
      <c r="K304" s="245" t="inlineStr">
        <is>
          <t>12IN GREEN TEA MF MATTRESS CK</t>
        </is>
      </c>
      <c r="L304" s="245" t="inlineStr">
        <is>
          <t>ZU-MFMA1ZZI-12C</t>
        </is>
      </c>
      <c r="M304" s="248" t="inlineStr">
        <is>
          <t>76KMV1YP</t>
        </is>
      </c>
      <c r="N304" s="245" t="inlineStr">
        <is>
          <t>F.MFM.12C.006.AD</t>
        </is>
      </c>
      <c r="O304" s="245" t="n"/>
      <c r="P304" s="245" t="n"/>
      <c r="Q304" s="250">
        <f>R304/H304</f>
        <v/>
      </c>
      <c r="R304" s="251" t="n">
        <v>46741.8</v>
      </c>
      <c r="S304" s="249" t="n">
        <v>17707</v>
      </c>
      <c r="T304" s="252">
        <f>S304*R304</f>
        <v/>
      </c>
      <c r="U304" s="245" t="n"/>
      <c r="V304" s="245" t="n"/>
      <c r="W304" s="245" t="n"/>
      <c r="X304" s="245" t="n"/>
      <c r="Y304" s="245" t="n"/>
      <c r="Z304" s="245" t="n"/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5" t="n"/>
      <c r="I305" s="245" t="inlineStr">
        <is>
          <t>MSMU8616154</t>
        </is>
      </c>
      <c r="J305" s="245" t="inlineStr">
        <is>
          <t>40FT</t>
        </is>
      </c>
      <c r="K305" s="245" t="n"/>
      <c r="L305" s="245" t="n"/>
      <c r="M305" s="245" t="n"/>
      <c r="N305" s="245" t="n"/>
      <c r="O305" s="245" t="n"/>
      <c r="P305" s="245" t="n"/>
      <c r="Q305" s="245" t="n"/>
      <c r="R305" s="245" t="n"/>
      <c r="S305" s="245" t="n"/>
      <c r="T305" s="245" t="n"/>
      <c r="U305" s="245" t="n"/>
      <c r="V305" s="245" t="n"/>
      <c r="W305" s="245" t="n"/>
      <c r="X305" s="245" t="n"/>
      <c r="Y305" s="245" t="n"/>
      <c r="Z305" s="245" t="n"/>
    </row>
    <row r="306" ht="16.5" customHeight="1" s="202">
      <c r="A306" s="245" t="n"/>
      <c r="B306" s="245" t="n"/>
      <c r="C306" s="245" t="n"/>
      <c r="D306" s="245" t="n"/>
      <c r="E306" s="245" t="n"/>
      <c r="F306" s="245" t="n"/>
      <c r="G306" s="245" t="n"/>
      <c r="H306" s="245" t="n"/>
      <c r="I306" s="245" t="inlineStr">
        <is>
          <t>MEDU8459046</t>
        </is>
      </c>
      <c r="J306" s="245" t="inlineStr">
        <is>
          <t>40FT</t>
        </is>
      </c>
      <c r="K306" s="245" t="n"/>
      <c r="L306" s="245" t="n"/>
      <c r="M306" s="245" t="n"/>
      <c r="N306" s="245" t="n"/>
      <c r="O306" s="245" t="n"/>
      <c r="P306" s="245" t="n"/>
      <c r="Q306" s="245" t="n"/>
      <c r="R306" s="245" t="n"/>
      <c r="S306" s="245" t="n"/>
      <c r="T306" s="245" t="n"/>
      <c r="U306" s="245" t="n"/>
      <c r="V306" s="245" t="n"/>
      <c r="W306" s="245" t="n"/>
      <c r="X306" s="245" t="n"/>
      <c r="Y306" s="245" t="n"/>
      <c r="Z306" s="245" t="n"/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5" t="n"/>
      <c r="I307" s="245" t="inlineStr">
        <is>
          <t>BMOU6587880</t>
        </is>
      </c>
      <c r="J307" s="245" t="inlineStr">
        <is>
          <t>40FT</t>
        </is>
      </c>
      <c r="K307" s="245" t="n"/>
      <c r="L307" s="245" t="n"/>
      <c r="M307" s="245" t="n"/>
      <c r="N307" s="245" t="n"/>
      <c r="O307" s="245" t="n"/>
      <c r="P307" s="245" t="n"/>
      <c r="Q307" s="245" t="n"/>
      <c r="R307" s="245" t="n"/>
      <c r="S307" s="245" t="n"/>
      <c r="T307" s="245" t="n"/>
      <c r="U307" s="245" t="n"/>
      <c r="V307" s="245" t="n"/>
      <c r="W307" s="245" t="n"/>
      <c r="X307" s="245" t="n"/>
      <c r="Y307" s="245" t="n"/>
      <c r="Z307" s="245" t="n"/>
    </row>
    <row r="308" ht="17.1" customHeight="1" s="202">
      <c r="A308" s="254" t="n"/>
      <c r="B308" s="254" t="n"/>
      <c r="C308" s="254" t="n"/>
      <c r="D308" s="254" t="n"/>
      <c r="E308" s="254" t="n"/>
      <c r="F308" s="254" t="n"/>
      <c r="G308" s="254" t="n"/>
      <c r="H308" s="255">
        <f>SUM(H300:H307)</f>
        <v/>
      </c>
      <c r="I308" s="254">
        <f>COUNTA(I300:I307)</f>
        <v/>
      </c>
      <c r="J308" s="254" t="n"/>
      <c r="K308" s="254" t="n"/>
      <c r="L308" s="254" t="n"/>
      <c r="M308" s="254" t="n"/>
      <c r="N308" s="254" t="n"/>
      <c r="O308" s="256">
        <f>SUM(O300:O307)</f>
        <v/>
      </c>
      <c r="P308" s="256">
        <f>SUM(P300:P307)</f>
        <v/>
      </c>
      <c r="Q308" s="254" t="n"/>
      <c r="R308" s="257">
        <f>SUM(R300:R307)</f>
        <v/>
      </c>
      <c r="S308" s="254" t="n"/>
      <c r="T308" s="258">
        <f>SUM(T300:T307)</f>
        <v/>
      </c>
      <c r="U308" s="254" t="n"/>
      <c r="V308" s="254" t="n"/>
      <c r="W308" s="254" t="n"/>
      <c r="X308" s="254" t="n"/>
      <c r="Y308" s="254" t="n"/>
      <c r="Z308" s="254" t="n"/>
    </row>
    <row r="309" ht="16.5" customHeight="1" s="202">
      <c r="A309" s="245" t="n">
        <v>55</v>
      </c>
      <c r="B309" s="245" t="inlineStr">
        <is>
          <t>000030ZIK48020260923000838</t>
        </is>
      </c>
      <c r="C309" s="245" t="n">
        <v>605516</v>
      </c>
      <c r="D309" s="245" t="n">
        <v>605447</v>
      </c>
      <c r="E309" s="246" t="n">
        <v>46288</v>
      </c>
      <c r="F309" s="245" t="inlineStr">
        <is>
          <t>ID2609-8552</t>
        </is>
      </c>
      <c r="G309" s="246" t="n">
        <v>46288</v>
      </c>
      <c r="H309" s="247" t="n">
        <v>998</v>
      </c>
      <c r="I309" s="245" t="inlineStr">
        <is>
          <t>MSCU5196850</t>
        </is>
      </c>
      <c r="J309" s="245" t="inlineStr">
        <is>
          <t>40FT</t>
        </is>
      </c>
      <c r="K309" s="245" t="inlineStr">
        <is>
          <t>12IN MYGEL FOAM MATTRESS QN</t>
        </is>
      </c>
      <c r="L309" s="245" t="inlineStr">
        <is>
          <t>ZU-MFGN1YZI-12Q</t>
        </is>
      </c>
      <c r="M309" s="248" t="inlineStr">
        <is>
          <t>623J68CJ</t>
        </is>
      </c>
      <c r="N309" s="245" t="inlineStr">
        <is>
          <t>F.MFG.12Q.002.AD</t>
        </is>
      </c>
      <c r="O309" s="249" t="n">
        <v>91393.52</v>
      </c>
      <c r="P309" s="249" t="n">
        <v>80636.5</v>
      </c>
      <c r="Q309" s="250">
        <f>R309/H309</f>
        <v/>
      </c>
      <c r="R309" s="251" t="n">
        <v>82135.39999999999</v>
      </c>
      <c r="S309" s="249" t="n">
        <v>17707</v>
      </c>
      <c r="T309" s="252">
        <f>S309*R309</f>
        <v/>
      </c>
      <c r="U309" s="245" t="inlineStr">
        <is>
          <t>040300/KPPBC</t>
        </is>
      </c>
      <c r="V309" s="245" t="inlineStr">
        <is>
          <t>TG. PRIOK</t>
        </is>
      </c>
      <c r="W309" s="245" t="inlineStr">
        <is>
          <t>LONG BEACH, US</t>
        </is>
      </c>
      <c r="X309" s="245" t="inlineStr">
        <is>
          <t>AMAZON.COM SERVICES LLC</t>
        </is>
      </c>
      <c r="Y309" s="245" t="inlineStr">
        <is>
          <t>MEDUKU853157</t>
        </is>
      </c>
      <c r="Z309" s="246" t="n">
        <v>46288</v>
      </c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79</v>
      </c>
      <c r="I310" s="245" t="inlineStr">
        <is>
          <t>MSBU8027016</t>
        </is>
      </c>
      <c r="J310" s="245" t="inlineStr">
        <is>
          <t>40FT</t>
        </is>
      </c>
      <c r="K310" s="245" t="inlineStr">
        <is>
          <t>12IN QUADCOOL MF MATTRESS EK</t>
        </is>
      </c>
      <c r="L310" s="245" t="inlineStr">
        <is>
          <t>ZU-MFGNU2ZU-12K</t>
        </is>
      </c>
      <c r="M310" s="248" t="inlineStr">
        <is>
          <t>623J68CJ</t>
        </is>
      </c>
      <c r="N310" s="245" t="inlineStr">
        <is>
          <t>F.MFG.12K.000.AD</t>
        </is>
      </c>
      <c r="O310" s="245" t="n"/>
      <c r="P310" s="245" t="n"/>
      <c r="Q310" s="250">
        <f>R310/H310</f>
        <v/>
      </c>
      <c r="R310" s="251" t="n">
        <v>10209.17</v>
      </c>
      <c r="S310" s="249" t="n">
        <v>17707</v>
      </c>
      <c r="T310" s="252">
        <f>S310*R310</f>
        <v/>
      </c>
      <c r="U310" s="245" t="n"/>
      <c r="V310" s="245" t="n"/>
      <c r="W310" s="245" t="inlineStr">
        <is>
          <t>ETD : 30-09-2026</t>
        </is>
      </c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205</v>
      </c>
      <c r="I311" s="245" t="inlineStr">
        <is>
          <t>MSNU7067963</t>
        </is>
      </c>
      <c r="J311" s="245" t="inlineStr">
        <is>
          <t>40FT</t>
        </is>
      </c>
      <c r="K311" s="245" t="inlineStr">
        <is>
          <t>12IN QUADCOOL MF MATTRESS QN</t>
        </is>
      </c>
      <c r="L311" s="245" t="inlineStr">
        <is>
          <t>ZU-MFGNU2ZU-12Q</t>
        </is>
      </c>
      <c r="M311" s="248" t="inlineStr">
        <is>
          <t>623J68CJ</t>
        </is>
      </c>
      <c r="N311" s="245" t="inlineStr">
        <is>
          <t>F.MFG.12Q.000.AD</t>
        </is>
      </c>
      <c r="O311" s="245" t="n"/>
      <c r="P311" s="245" t="n"/>
      <c r="Q311" s="250">
        <f>R311/H311</f>
        <v/>
      </c>
      <c r="R311" s="251" t="n">
        <v>21777.15</v>
      </c>
      <c r="S311" s="249" t="n">
        <v>17707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84</v>
      </c>
      <c r="I312" s="245" t="inlineStr">
        <is>
          <t>MSMU7137265</t>
        </is>
      </c>
      <c r="J312" s="245" t="inlineStr">
        <is>
          <t>40FT</t>
        </is>
      </c>
      <c r="K312" s="245" t="inlineStr">
        <is>
          <t>6IN GREEN TEA MF MATTRESS FL</t>
        </is>
      </c>
      <c r="L312" s="245" t="inlineStr">
        <is>
          <t>ZU-MFMA1FZI-06F</t>
        </is>
      </c>
      <c r="M312" s="248" t="inlineStr">
        <is>
          <t>623J68CJ</t>
        </is>
      </c>
      <c r="N312" s="245" t="inlineStr">
        <is>
          <t>F.MFM.06F.006.AD</t>
        </is>
      </c>
      <c r="O312" s="245" t="n"/>
      <c r="P312" s="245" t="n"/>
      <c r="Q312" s="250">
        <f>R312/H312</f>
        <v/>
      </c>
      <c r="R312" s="251" t="n">
        <v>3549.84</v>
      </c>
      <c r="S312" s="249" t="n">
        <v>17707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2</v>
      </c>
      <c r="I313" s="245" t="inlineStr">
        <is>
          <t>MSNU6013134</t>
        </is>
      </c>
      <c r="J313" s="245" t="inlineStr">
        <is>
          <t>40FT</t>
        </is>
      </c>
      <c r="K313" s="245" t="inlineStr">
        <is>
          <t>6IN GREEN TEA MF MATTRESS QN</t>
        </is>
      </c>
      <c r="L313" s="245" t="inlineStr">
        <is>
          <t>ZU-MFMA1FZI-06Q</t>
        </is>
      </c>
      <c r="M313" s="248" t="inlineStr">
        <is>
          <t>623J68CJ</t>
        </is>
      </c>
      <c r="N313" s="245" t="inlineStr">
        <is>
          <t>F.MFM.06Q.006.AD</t>
        </is>
      </c>
      <c r="O313" s="245" t="n"/>
      <c r="P313" s="245" t="n"/>
      <c r="Q313" s="250">
        <f>R313/H313</f>
        <v/>
      </c>
      <c r="R313" s="251" t="n">
        <v>97.56</v>
      </c>
      <c r="S313" s="249" t="n">
        <v>17707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53</v>
      </c>
      <c r="I314" s="245" t="inlineStr">
        <is>
          <t>UETU6490566</t>
        </is>
      </c>
      <c r="J314" s="245" t="inlineStr">
        <is>
          <t>40FT</t>
        </is>
      </c>
      <c r="K314" s="245" t="inlineStr">
        <is>
          <t>8IN OPP HD QN</t>
        </is>
      </c>
      <c r="L314" s="245" t="inlineStr">
        <is>
          <t>ZU-MFMA1OZI-08Q</t>
        </is>
      </c>
      <c r="M314" s="248" t="inlineStr">
        <is>
          <t>623J68CJ</t>
        </is>
      </c>
      <c r="N314" s="245" t="inlineStr">
        <is>
          <t>F.MFM.08Q.013.AD</t>
        </is>
      </c>
      <c r="O314" s="245" t="n"/>
      <c r="P314" s="245" t="n"/>
      <c r="Q314" s="250">
        <f>R314/H314</f>
        <v/>
      </c>
      <c r="R314" s="251" t="n">
        <v>2975.42</v>
      </c>
      <c r="S314" s="249" t="n">
        <v>17707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869</v>
      </c>
      <c r="I315" s="245" t="inlineStr">
        <is>
          <t>MSDU5183286</t>
        </is>
      </c>
      <c r="J315" s="245" t="inlineStr">
        <is>
          <t>40FT</t>
        </is>
      </c>
      <c r="K315" s="245" t="inlineStr">
        <is>
          <t>8IN OPP HD TW</t>
        </is>
      </c>
      <c r="L315" s="245" t="inlineStr">
        <is>
          <t>ZU-MFMA1OZI-08T</t>
        </is>
      </c>
      <c r="M315" s="248" t="inlineStr">
        <is>
          <t>623J68CJ</t>
        </is>
      </c>
      <c r="N315" s="245" t="inlineStr">
        <is>
          <t>F.MFM.08T.013.AD</t>
        </is>
      </c>
      <c r="O315" s="245" t="n"/>
      <c r="P315" s="245" t="n"/>
      <c r="Q315" s="250">
        <f>R315/H315</f>
        <v/>
      </c>
      <c r="R315" s="251" t="n">
        <v>26017.86</v>
      </c>
      <c r="S315" s="249" t="n">
        <v>17707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500</v>
      </c>
      <c r="I316" s="245" t="inlineStr"/>
      <c r="J316" s="245" t="inlineStr"/>
      <c r="K316" s="245" t="inlineStr">
        <is>
          <t>12IN OPP HD QN</t>
        </is>
      </c>
      <c r="L316" s="245" t="inlineStr">
        <is>
          <t>ZU-MFMA1OZI-12Q</t>
        </is>
      </c>
      <c r="M316" s="248" t="inlineStr">
        <is>
          <t>623J68CJ</t>
        </is>
      </c>
      <c r="N316" s="245" t="inlineStr">
        <is>
          <t>F.MFM.12Q.010.AD</t>
        </is>
      </c>
      <c r="O316" s="245" t="n"/>
      <c r="P316" s="245" t="n"/>
      <c r="Q316" s="250">
        <f>R316/H316</f>
        <v/>
      </c>
      <c r="R316" s="251" t="n">
        <v>33785</v>
      </c>
      <c r="S316" s="249" t="n">
        <v>17707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712</v>
      </c>
      <c r="I317" s="245" t="inlineStr"/>
      <c r="J317" s="245" t="inlineStr"/>
      <c r="K317" s="245" t="inlineStr">
        <is>
          <t>10IN AIRFLOW GEL FOAM MATT QN</t>
        </is>
      </c>
      <c r="L317" s="245" t="inlineStr">
        <is>
          <t>ZU-MFMA1RZI-10Q</t>
        </is>
      </c>
      <c r="M317" s="248" t="inlineStr">
        <is>
          <t>623J68CJ</t>
        </is>
      </c>
      <c r="N317" s="245" t="inlineStr">
        <is>
          <t>F.MFM.10Q.014.AD</t>
        </is>
      </c>
      <c r="O317" s="245" t="n"/>
      <c r="P317" s="245" t="n"/>
      <c r="Q317" s="250">
        <f>R317/H317</f>
        <v/>
      </c>
      <c r="R317" s="251" t="n">
        <v>38376.8</v>
      </c>
      <c r="S317" s="249" t="n">
        <v>17707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7.1" customHeight="1" s="202">
      <c r="A318" s="254" t="n"/>
      <c r="B318" s="254" t="n"/>
      <c r="C318" s="254" t="n"/>
      <c r="D318" s="254" t="n"/>
      <c r="E318" s="254" t="n"/>
      <c r="F318" s="254" t="n"/>
      <c r="G318" s="254" t="n"/>
      <c r="H318" s="255">
        <f>SUM(H309:H317)</f>
        <v/>
      </c>
      <c r="I318" s="254">
        <f>COUNTA(I309:I317)</f>
        <v/>
      </c>
      <c r="J318" s="254" t="n"/>
      <c r="K318" s="254" t="n"/>
      <c r="L318" s="254" t="n"/>
      <c r="M318" s="254" t="n"/>
      <c r="N318" s="254" t="n"/>
      <c r="O318" s="256">
        <f>SUM(O309:O317)</f>
        <v/>
      </c>
      <c r="P318" s="256">
        <f>SUM(P309:P317)</f>
        <v/>
      </c>
      <c r="Q318" s="254" t="n"/>
      <c r="R318" s="257">
        <f>SUM(R309:R317)</f>
        <v/>
      </c>
      <c r="S318" s="254" t="n"/>
      <c r="T318" s="258">
        <f>SUM(T309:T317)</f>
        <v/>
      </c>
      <c r="U318" s="254" t="n"/>
      <c r="V318" s="254" t="n"/>
      <c r="W318" s="254" t="n"/>
      <c r="X318" s="254" t="n"/>
      <c r="Y318" s="254" t="n"/>
      <c r="Z318" s="254" t="n"/>
    </row>
    <row r="319" ht="16.5" customHeight="1" s="202">
      <c r="A319" s="245" t="n">
        <v>56</v>
      </c>
      <c r="B319" s="245" t="inlineStr">
        <is>
          <t>000030ZIK48020260923000839</t>
        </is>
      </c>
      <c r="C319" s="245" t="n">
        <v>487180</v>
      </c>
      <c r="D319" s="245" t="n">
        <v>486917</v>
      </c>
      <c r="E319" s="246" t="n">
        <v>46288</v>
      </c>
      <c r="F319" s="245" t="inlineStr">
        <is>
          <t>SAMPLE-ZIID26-0083-NCV</t>
        </is>
      </c>
      <c r="G319" s="246" t="n">
        <v>46286</v>
      </c>
      <c r="H319" s="247" t="n">
        <v>1</v>
      </c>
      <c r="I319" s="245" t="inlineStr"/>
      <c r="J319" s="245" t="inlineStr"/>
      <c r="K319" s="245" t="inlineStr">
        <is>
          <t>FOAM MATTRESS</t>
        </is>
      </c>
      <c r="L319" s="245" t="inlineStr">
        <is>
          <t>*SAMPLE*</t>
        </is>
      </c>
      <c r="M319" s="248" t="inlineStr"/>
      <c r="N319" s="245" t="inlineStr">
        <is>
          <t>F.MFM.SAMP</t>
        </is>
      </c>
      <c r="O319" s="249" t="n">
        <v>65.5</v>
      </c>
      <c r="P319" s="249" t="n">
        <v>61.94</v>
      </c>
      <c r="Q319" s="250">
        <f>R319/H319</f>
        <v/>
      </c>
      <c r="R319" s="251" t="n">
        <v>20</v>
      </c>
      <c r="S319" s="249" t="n">
        <v>17707</v>
      </c>
      <c r="T319" s="252">
        <f>S319*R319</f>
        <v/>
      </c>
      <c r="U319" s="245" t="inlineStr">
        <is>
          <t>050100/KPPBC</t>
        </is>
      </c>
      <c r="V319" s="245" t="inlineStr">
        <is>
          <t>S. HATTA</t>
        </is>
      </c>
      <c r="W319" s="245" t="inlineStr">
        <is>
          <t>OAKLAND, US</t>
        </is>
      </c>
      <c r="X319" s="245" t="inlineStr">
        <is>
          <t>ZINUS, INC. (TRACY)</t>
        </is>
      </c>
      <c r="Y319" s="245" t="inlineStr">
        <is>
          <t>877619519867</t>
        </is>
      </c>
      <c r="Z319" s="246" t="n">
        <v>46288</v>
      </c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1</v>
      </c>
      <c r="I320" s="245" t="inlineStr"/>
      <c r="J320" s="245" t="inlineStr"/>
      <c r="K320" s="245" t="inlineStr">
        <is>
          <t>FOAM MATTRESS</t>
        </is>
      </c>
      <c r="L320" s="245" t="inlineStr">
        <is>
          <t>*SAMPLE*</t>
        </is>
      </c>
      <c r="M320" s="248" t="inlineStr"/>
      <c r="N320" s="245" t="inlineStr">
        <is>
          <t>F.MFM.SAMP</t>
        </is>
      </c>
      <c r="O320" s="245" t="n"/>
      <c r="P320" s="245" t="n"/>
      <c r="Q320" s="250">
        <f>R320/H320</f>
        <v/>
      </c>
      <c r="R320" s="251" t="n">
        <v>20</v>
      </c>
      <c r="S320" s="249" t="n">
        <v>17707</v>
      </c>
      <c r="T320" s="252">
        <f>S320*R320</f>
        <v/>
      </c>
      <c r="U320" s="245" t="n"/>
      <c r="V320" s="245" t="n"/>
      <c r="W320" s="245" t="inlineStr">
        <is>
          <t>ETD : 30-09-2026</t>
        </is>
      </c>
      <c r="X320" s="245" t="n"/>
      <c r="Y320" s="245" t="n"/>
      <c r="Z320" s="245" t="n"/>
    </row>
    <row r="321" ht="17.1" customHeight="1" s="202">
      <c r="A321" s="254" t="n"/>
      <c r="B321" s="254" t="n"/>
      <c r="C321" s="254" t="n"/>
      <c r="D321" s="254" t="n"/>
      <c r="E321" s="254" t="n"/>
      <c r="F321" s="254" t="n"/>
      <c r="G321" s="254" t="n"/>
      <c r="H321" s="255">
        <f>SUM(H319:H320)</f>
        <v/>
      </c>
      <c r="I321" s="254">
        <f>COUNTA(I319:I320)</f>
        <v/>
      </c>
      <c r="J321" s="254" t="n"/>
      <c r="K321" s="254" t="n"/>
      <c r="L321" s="254" t="n"/>
      <c r="M321" s="254" t="n"/>
      <c r="N321" s="254" t="n"/>
      <c r="O321" s="256">
        <f>SUM(O319:O320)</f>
        <v/>
      </c>
      <c r="P321" s="256">
        <f>SUM(P319:P320)</f>
        <v/>
      </c>
      <c r="Q321" s="254" t="n"/>
      <c r="R321" s="257">
        <f>SUM(R319:R320)</f>
        <v/>
      </c>
      <c r="S321" s="254" t="n"/>
      <c r="T321" s="258">
        <f>SUM(T319:T320)</f>
        <v/>
      </c>
      <c r="U321" s="254" t="n"/>
      <c r="V321" s="254" t="n"/>
      <c r="W321" s="254" t="n"/>
      <c r="X321" s="254" t="n"/>
      <c r="Y321" s="254" t="n"/>
      <c r="Z321" s="254" t="n"/>
    </row>
    <row r="322" ht="16.5" customHeight="1" s="202">
      <c r="A322" s="245" t="n">
        <v>57</v>
      </c>
      <c r="B322" s="245" t="inlineStr">
        <is>
          <t>000030ZIK48020260923000840</t>
        </is>
      </c>
      <c r="C322" s="245" t="n">
        <v>487298</v>
      </c>
      <c r="D322" s="245" t="n">
        <v>487031</v>
      </c>
      <c r="E322" s="246" t="n">
        <v>46288</v>
      </c>
      <c r="F322" s="245" t="inlineStr">
        <is>
          <t>SAMPLE-ZIID26-0084-NCV</t>
        </is>
      </c>
      <c r="G322" s="246" t="n">
        <v>46286</v>
      </c>
      <c r="H322" s="247" t="n">
        <v>1</v>
      </c>
      <c r="I322" s="245" t="inlineStr"/>
      <c r="J322" s="245" t="inlineStr"/>
      <c r="K322" s="245" t="inlineStr">
        <is>
          <t>FOAM MATTRESS</t>
        </is>
      </c>
      <c r="L322" s="245" t="inlineStr">
        <is>
          <t>*SAMPLE*</t>
        </is>
      </c>
      <c r="M322" s="248" t="inlineStr"/>
      <c r="N322" s="245" t="inlineStr">
        <is>
          <t>F.MFM.SAMP</t>
        </is>
      </c>
      <c r="O322" s="249" t="n">
        <v>167.68</v>
      </c>
      <c r="P322" s="249" t="n">
        <v>161.16</v>
      </c>
      <c r="Q322" s="250">
        <f>R322/H322</f>
        <v/>
      </c>
      <c r="R322" s="251" t="n">
        <v>20</v>
      </c>
      <c r="S322" s="249" t="n">
        <v>17707</v>
      </c>
      <c r="T322" s="252">
        <f>S322*R322</f>
        <v/>
      </c>
      <c r="U322" s="245" t="inlineStr">
        <is>
          <t>050100/KPPBC</t>
        </is>
      </c>
      <c r="V322" s="245" t="inlineStr">
        <is>
          <t>S. HATTA</t>
        </is>
      </c>
      <c r="W322" s="245" t="inlineStr">
        <is>
          <t>OAKLAND, US</t>
        </is>
      </c>
      <c r="X322" s="245" t="inlineStr">
        <is>
          <t>ZINUS, INC. (TRACY)</t>
        </is>
      </c>
      <c r="Y322" s="245" t="inlineStr">
        <is>
          <t>877620993698</t>
        </is>
      </c>
      <c r="Z322" s="246" t="n">
        <v>46288</v>
      </c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1</v>
      </c>
      <c r="I323" s="245" t="inlineStr"/>
      <c r="J323" s="245" t="inlineStr"/>
      <c r="K323" s="245" t="inlineStr">
        <is>
          <t>FOAM MATTRESS</t>
        </is>
      </c>
      <c r="L323" s="245" t="inlineStr">
        <is>
          <t>*SAMPLE*</t>
        </is>
      </c>
      <c r="M323" s="248" t="inlineStr"/>
      <c r="N323" s="245" t="inlineStr">
        <is>
          <t>F.MFM.SAMP</t>
        </is>
      </c>
      <c r="O323" s="245" t="n"/>
      <c r="P323" s="245" t="n"/>
      <c r="Q323" s="250">
        <f>R323/H323</f>
        <v/>
      </c>
      <c r="R323" s="251" t="n">
        <v>20</v>
      </c>
      <c r="S323" s="249" t="n">
        <v>17707</v>
      </c>
      <c r="T323" s="252">
        <f>S323*R323</f>
        <v/>
      </c>
      <c r="U323" s="245" t="n"/>
      <c r="V323" s="245" t="n"/>
      <c r="W323" s="245" t="inlineStr">
        <is>
          <t>ETD : 30-09-2026</t>
        </is>
      </c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1</v>
      </c>
      <c r="I324" s="245" t="inlineStr"/>
      <c r="J324" s="245" t="inlineStr"/>
      <c r="K324" s="245" t="inlineStr">
        <is>
          <t>FOAM MATTRESS</t>
        </is>
      </c>
      <c r="L324" s="245" t="inlineStr">
        <is>
          <t>*SAMPLE*</t>
        </is>
      </c>
      <c r="M324" s="248" t="inlineStr"/>
      <c r="N324" s="245" t="inlineStr">
        <is>
          <t>F.MFM.SAMP</t>
        </is>
      </c>
      <c r="O324" s="245" t="n"/>
      <c r="P324" s="245" t="n"/>
      <c r="Q324" s="250">
        <f>R324/H324</f>
        <v/>
      </c>
      <c r="R324" s="251" t="n">
        <v>20</v>
      </c>
      <c r="S324" s="249" t="n">
        <v>17707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1</v>
      </c>
      <c r="I325" s="245" t="inlineStr"/>
      <c r="J325" s="245" t="inlineStr"/>
      <c r="K325" s="245" t="inlineStr">
        <is>
          <t>FOAM MATTRESS</t>
        </is>
      </c>
      <c r="L325" s="245" t="inlineStr">
        <is>
          <t>*SAMPLE*</t>
        </is>
      </c>
      <c r="M325" s="248" t="inlineStr"/>
      <c r="N325" s="245" t="inlineStr">
        <is>
          <t>F.MFM.SAMP</t>
        </is>
      </c>
      <c r="O325" s="245" t="n"/>
      <c r="P325" s="245" t="n"/>
      <c r="Q325" s="250">
        <f>R325/H325</f>
        <v/>
      </c>
      <c r="R325" s="251" t="n">
        <v>20</v>
      </c>
      <c r="S325" s="249" t="n">
        <v>17707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1</v>
      </c>
      <c r="I326" s="245" t="inlineStr"/>
      <c r="J326" s="245" t="inlineStr"/>
      <c r="K326" s="245" t="inlineStr">
        <is>
          <t>FOAM MATTRESS</t>
        </is>
      </c>
      <c r="L326" s="245" t="inlineStr">
        <is>
          <t>*SAMPLE*</t>
        </is>
      </c>
      <c r="M326" s="248" t="inlineStr"/>
      <c r="N326" s="245" t="inlineStr">
        <is>
          <t>F.MFM.SAMP</t>
        </is>
      </c>
      <c r="O326" s="245" t="n"/>
      <c r="P326" s="245" t="n"/>
      <c r="Q326" s="250">
        <f>R326/H326</f>
        <v/>
      </c>
      <c r="R326" s="251" t="n">
        <v>20</v>
      </c>
      <c r="S326" s="249" t="n">
        <v>17707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1</v>
      </c>
      <c r="I327" s="245" t="inlineStr"/>
      <c r="J327" s="245" t="inlineStr"/>
      <c r="K327" s="245" t="inlineStr">
        <is>
          <t>FOAM MATTRESS</t>
        </is>
      </c>
      <c r="L327" s="245" t="inlineStr">
        <is>
          <t>*SAMPLE*</t>
        </is>
      </c>
      <c r="M327" s="248" t="inlineStr"/>
      <c r="N327" s="245" t="inlineStr">
        <is>
          <t>F.MFM.SAMP</t>
        </is>
      </c>
      <c r="O327" s="245" t="n"/>
      <c r="P327" s="245" t="n"/>
      <c r="Q327" s="250">
        <f>R327/H327</f>
        <v/>
      </c>
      <c r="R327" s="251" t="n">
        <v>20</v>
      </c>
      <c r="S327" s="249" t="n">
        <v>17707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7.1" customHeight="1" s="202">
      <c r="A328" s="254" t="n"/>
      <c r="B328" s="254" t="n"/>
      <c r="C328" s="254" t="n"/>
      <c r="D328" s="254" t="n"/>
      <c r="E328" s="254" t="n"/>
      <c r="F328" s="254" t="n"/>
      <c r="G328" s="254" t="n"/>
      <c r="H328" s="255">
        <f>SUM(H322:H327)</f>
        <v/>
      </c>
      <c r="I328" s="254">
        <f>COUNTA(I322:I327)</f>
        <v/>
      </c>
      <c r="J328" s="254" t="n"/>
      <c r="K328" s="254" t="n"/>
      <c r="L328" s="254" t="n"/>
      <c r="M328" s="254" t="n"/>
      <c r="N328" s="254" t="n"/>
      <c r="O328" s="256">
        <f>SUM(O322:O327)</f>
        <v/>
      </c>
      <c r="P328" s="256">
        <f>SUM(P322:P327)</f>
        <v/>
      </c>
      <c r="Q328" s="254" t="n"/>
      <c r="R328" s="257">
        <f>SUM(R322:R327)</f>
        <v/>
      </c>
      <c r="S328" s="254" t="n"/>
      <c r="T328" s="258">
        <f>SUM(T322:T327)</f>
        <v/>
      </c>
      <c r="U328" s="254" t="n"/>
      <c r="V328" s="254" t="n"/>
      <c r="W328" s="254" t="n"/>
      <c r="X328" s="254" t="n"/>
      <c r="Y328" s="254" t="n"/>
      <c r="Z328" s="254" t="n"/>
    </row>
    <row r="329" ht="16.5" customHeight="1" s="202">
      <c r="A329" s="245" t="n">
        <v>58</v>
      </c>
      <c r="B329" s="245" t="inlineStr">
        <is>
          <t>000030ZIK48020260923000841</t>
        </is>
      </c>
      <c r="C329" s="245" t="n">
        <v>607482</v>
      </c>
      <c r="D329" s="245" t="n">
        <v>607415</v>
      </c>
      <c r="E329" s="246" t="n">
        <v>46289</v>
      </c>
      <c r="F329" s="245" t="inlineStr">
        <is>
          <t>ID2609-8555</t>
        </is>
      </c>
      <c r="G329" s="246" t="n">
        <v>46288</v>
      </c>
      <c r="H329" s="247" t="n">
        <v>225</v>
      </c>
      <c r="I329" s="245" t="inlineStr">
        <is>
          <t>MSMU5724983</t>
        </is>
      </c>
      <c r="J329" s="245" t="inlineStr">
        <is>
          <t>40FT</t>
        </is>
      </c>
      <c r="K329" s="245" t="inlineStr">
        <is>
          <t>10IN GREEN TEA MF MATTRESS TW</t>
        </is>
      </c>
      <c r="L329" s="245" t="inlineStr">
        <is>
          <t>ZU-MFMA1ZZI-10T</t>
        </is>
      </c>
      <c r="M329" s="248" t="inlineStr">
        <is>
          <t>18ZLQ6LE</t>
        </is>
      </c>
      <c r="N329" s="245" t="inlineStr">
        <is>
          <t>F.MFM.10T.007.AD</t>
        </is>
      </c>
      <c r="O329" s="249" t="n">
        <v>76491.38</v>
      </c>
      <c r="P329" s="249" t="n">
        <v>69291.63</v>
      </c>
      <c r="Q329" s="250">
        <f>R329/H329</f>
        <v/>
      </c>
      <c r="R329" s="251" t="n">
        <v>12429</v>
      </c>
      <c r="S329" s="249" t="n">
        <v>17707</v>
      </c>
      <c r="T329" s="252">
        <f>S329*R329</f>
        <v/>
      </c>
      <c r="U329" s="245" t="inlineStr">
        <is>
          <t>040300/KPPBC</t>
        </is>
      </c>
      <c r="V329" s="245" t="inlineStr">
        <is>
          <t>TG. PRIOK</t>
        </is>
      </c>
      <c r="W329" s="245" t="inlineStr">
        <is>
          <t>LONG BEACH, US</t>
        </is>
      </c>
      <c r="X329" s="245" t="inlineStr">
        <is>
          <t>AMAZON.COM SERVICES LLC</t>
        </is>
      </c>
      <c r="Y329" s="245" t="inlineStr">
        <is>
          <t>MEDUKU853462</t>
        </is>
      </c>
      <c r="Z329" s="246" t="n">
        <v>46289</v>
      </c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490</v>
      </c>
      <c r="I330" s="245" t="inlineStr">
        <is>
          <t>MSMU6827224</t>
        </is>
      </c>
      <c r="J330" s="245" t="inlineStr">
        <is>
          <t>40FT</t>
        </is>
      </c>
      <c r="K330" s="245" t="inlineStr">
        <is>
          <t>10IN GREEN TEA MF MATTRESS QN</t>
        </is>
      </c>
      <c r="L330" s="245" t="inlineStr">
        <is>
          <t>ZU-MFMA1ZZI-10Q</t>
        </is>
      </c>
      <c r="M330" s="248" t="inlineStr">
        <is>
          <t>2F7226LG</t>
        </is>
      </c>
      <c r="N330" s="245" t="inlineStr">
        <is>
          <t>F.MFM.10Q.007.AD</t>
        </is>
      </c>
      <c r="O330" s="245" t="n"/>
      <c r="P330" s="245" t="n"/>
      <c r="Q330" s="250">
        <f>R330/H330</f>
        <v/>
      </c>
      <c r="R330" s="251" t="n">
        <v>32281.2</v>
      </c>
      <c r="S330" s="249" t="n">
        <v>17707</v>
      </c>
      <c r="T330" s="252">
        <f>S330*R330</f>
        <v/>
      </c>
      <c r="U330" s="245" t="n"/>
      <c r="V330" s="245" t="n"/>
      <c r="W330" s="245" t="inlineStr">
        <is>
          <t>ETD : 01-10-2026</t>
        </is>
      </c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1</v>
      </c>
      <c r="I331" s="245" t="inlineStr">
        <is>
          <t>MSNU5655572</t>
        </is>
      </c>
      <c r="J331" s="245" t="inlineStr">
        <is>
          <t>40FT</t>
        </is>
      </c>
      <c r="K331" s="245" t="inlineStr">
        <is>
          <t>12IN GREEN TEA MF MATTRESS TW</t>
        </is>
      </c>
      <c r="L331" s="245" t="inlineStr">
        <is>
          <t>ZU-MFMA1ZZI-12T</t>
        </is>
      </c>
      <c r="M331" s="248" t="inlineStr">
        <is>
          <t>2F7226LG</t>
        </is>
      </c>
      <c r="N331" s="245" t="inlineStr">
        <is>
          <t>F.MFM.12T.006.AD</t>
        </is>
      </c>
      <c r="O331" s="245" t="n"/>
      <c r="P331" s="245" t="n"/>
      <c r="Q331" s="250">
        <f>R331/H331</f>
        <v/>
      </c>
      <c r="R331" s="251" t="n">
        <v>63.2</v>
      </c>
      <c r="S331" s="249" t="n">
        <v>17707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320</v>
      </c>
      <c r="I332" s="245" t="inlineStr">
        <is>
          <t>UETU7660754</t>
        </is>
      </c>
      <c r="J332" s="245" t="inlineStr">
        <is>
          <t>40FT</t>
        </is>
      </c>
      <c r="K332" s="245" t="inlineStr">
        <is>
          <t>10IN GREEN TEA MF MATTRESS QN</t>
        </is>
      </c>
      <c r="L332" s="245" t="inlineStr">
        <is>
          <t>ZU-MFMA1ZZI-10Q</t>
        </is>
      </c>
      <c r="M332" s="248" t="inlineStr">
        <is>
          <t>33JRNYHX</t>
        </is>
      </c>
      <c r="N332" s="245" t="inlineStr">
        <is>
          <t>F.MFM.10Q.007.AD</t>
        </is>
      </c>
      <c r="O332" s="245" t="n"/>
      <c r="P332" s="245" t="n"/>
      <c r="Q332" s="250">
        <f>R332/H332</f>
        <v/>
      </c>
      <c r="R332" s="251" t="n">
        <v>21081.6</v>
      </c>
      <c r="S332" s="249" t="n">
        <v>17707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14</v>
      </c>
      <c r="I333" s="245" t="inlineStr">
        <is>
          <t>MSMU4742410</t>
        </is>
      </c>
      <c r="J333" s="245" t="inlineStr">
        <is>
          <t>40FT</t>
        </is>
      </c>
      <c r="K333" s="245" t="inlineStr">
        <is>
          <t>10IN GREEN TEA MF MATTRESS QN</t>
        </is>
      </c>
      <c r="L333" s="245" t="inlineStr">
        <is>
          <t>ZU-MFMA1ZZI-10Q</t>
        </is>
      </c>
      <c r="M333" s="248" t="inlineStr">
        <is>
          <t>3JVTY6QZ</t>
        </is>
      </c>
      <c r="N333" s="245" t="inlineStr">
        <is>
          <t>F.MFM.10Q.007.AD</t>
        </is>
      </c>
      <c r="O333" s="245" t="n"/>
      <c r="P333" s="245" t="n"/>
      <c r="Q333" s="250">
        <f>R333/H333</f>
        <v/>
      </c>
      <c r="R333" s="251" t="n">
        <v>922.3200000000001</v>
      </c>
      <c r="S333" s="249" t="n">
        <v>17707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396</v>
      </c>
      <c r="I334" s="245" t="inlineStr">
        <is>
          <t>MSCU5376189</t>
        </is>
      </c>
      <c r="J334" s="245" t="inlineStr">
        <is>
          <t>40FT</t>
        </is>
      </c>
      <c r="K334" s="245" t="inlineStr">
        <is>
          <t>12IN GREEN TEA MF MATTRESS EK</t>
        </is>
      </c>
      <c r="L334" s="245" t="inlineStr">
        <is>
          <t>ZU-MFMA1ZZI-12K</t>
        </is>
      </c>
      <c r="M334" s="248" t="inlineStr">
        <is>
          <t>3ODCW2NJ</t>
        </is>
      </c>
      <c r="N334" s="245" t="inlineStr">
        <is>
          <t>F.MFM.12K.006.AD</t>
        </is>
      </c>
      <c r="O334" s="245" t="n"/>
      <c r="P334" s="245" t="n"/>
      <c r="Q334" s="250">
        <f>R334/H334</f>
        <v/>
      </c>
      <c r="R334" s="251" t="n">
        <v>40380.12</v>
      </c>
      <c r="S334" s="249" t="n">
        <v>17707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96</v>
      </c>
      <c r="I335" s="245" t="inlineStr"/>
      <c r="J335" s="245" t="inlineStr"/>
      <c r="K335" s="245" t="inlineStr">
        <is>
          <t>12IN GREEN TEA MF MATTRESS EK</t>
        </is>
      </c>
      <c r="L335" s="245" t="inlineStr">
        <is>
          <t>ZU-MFMA1ZZI-12K</t>
        </is>
      </c>
      <c r="M335" s="248" t="inlineStr">
        <is>
          <t>3XWX2EEJ</t>
        </is>
      </c>
      <c r="N335" s="245" t="inlineStr">
        <is>
          <t>F.MFM.12K.006.AD</t>
        </is>
      </c>
      <c r="O335" s="245" t="n"/>
      <c r="P335" s="245" t="n"/>
      <c r="Q335" s="250">
        <f>R335/H335</f>
        <v/>
      </c>
      <c r="R335" s="251" t="n">
        <v>9789.120000000001</v>
      </c>
      <c r="S335" s="249" t="n">
        <v>17707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21</v>
      </c>
      <c r="I336" s="245" t="inlineStr"/>
      <c r="J336" s="245" t="inlineStr"/>
      <c r="K336" s="245" t="inlineStr">
        <is>
          <t>12IN GREEN TEA MF MATTRESS EK</t>
        </is>
      </c>
      <c r="L336" s="245" t="inlineStr">
        <is>
          <t>ZU-MFMA1ZZI-12K</t>
        </is>
      </c>
      <c r="M336" s="248" t="inlineStr">
        <is>
          <t>5YM5L4LY</t>
        </is>
      </c>
      <c r="N336" s="245" t="inlineStr">
        <is>
          <t>F.MFM.12K.006.AD</t>
        </is>
      </c>
      <c r="O336" s="245" t="n"/>
      <c r="P336" s="245" t="n"/>
      <c r="Q336" s="250">
        <f>R336/H336</f>
        <v/>
      </c>
      <c r="R336" s="251" t="n">
        <v>2141.37</v>
      </c>
      <c r="S336" s="249" t="n">
        <v>17707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499</v>
      </c>
      <c r="I337" s="245" t="inlineStr"/>
      <c r="J337" s="245" t="inlineStr"/>
      <c r="K337" s="245" t="inlineStr">
        <is>
          <t>10IN GREEN TEA MF MATTRESS QN</t>
        </is>
      </c>
      <c r="L337" s="245" t="inlineStr">
        <is>
          <t>ZU-MFMA1ZZI-10Q</t>
        </is>
      </c>
      <c r="M337" s="248" t="inlineStr">
        <is>
          <t>6G91L1OX</t>
        </is>
      </c>
      <c r="N337" s="245" t="inlineStr">
        <is>
          <t>F.MFM.10Q.007.AD</t>
        </is>
      </c>
      <c r="O337" s="245" t="n"/>
      <c r="P337" s="245" t="n"/>
      <c r="Q337" s="250">
        <f>R337/H337</f>
        <v/>
      </c>
      <c r="R337" s="251" t="n">
        <v>32874.12</v>
      </c>
      <c r="S337" s="249" t="n">
        <v>17707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240</v>
      </c>
      <c r="I338" s="245" t="inlineStr"/>
      <c r="J338" s="245" t="inlineStr"/>
      <c r="K338" s="245" t="inlineStr">
        <is>
          <t>10IN GREEN TEA MF MATTRESS QN</t>
        </is>
      </c>
      <c r="L338" s="245" t="inlineStr">
        <is>
          <t>ZU-MFMA1ZZI-10Q</t>
        </is>
      </c>
      <c r="M338" s="248" t="inlineStr">
        <is>
          <t>6XYMVH2L</t>
        </is>
      </c>
      <c r="N338" s="245" t="inlineStr">
        <is>
          <t>F.MFM.10Q.007.AD</t>
        </is>
      </c>
      <c r="O338" s="245" t="n"/>
      <c r="P338" s="245" t="n"/>
      <c r="Q338" s="250">
        <f>R338/H338</f>
        <v/>
      </c>
      <c r="R338" s="251" t="n">
        <v>15811.2</v>
      </c>
      <c r="S338" s="249" t="n">
        <v>17707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2</v>
      </c>
      <c r="I339" s="245" t="inlineStr"/>
      <c r="J339" s="245" t="inlineStr"/>
      <c r="K339" s="245" t="inlineStr">
        <is>
          <t>10IN GREEN TEA MF MATTRESS FL</t>
        </is>
      </c>
      <c r="L339" s="245" t="inlineStr">
        <is>
          <t>ZU-MFMA1ZZI-10F</t>
        </is>
      </c>
      <c r="M339" s="248" t="inlineStr">
        <is>
          <t>6YAF19IO</t>
        </is>
      </c>
      <c r="N339" s="245" t="inlineStr">
        <is>
          <t>F.MFM.10F.007.AD</t>
        </is>
      </c>
      <c r="O339" s="245" t="n"/>
      <c r="P339" s="245" t="n"/>
      <c r="Q339" s="250">
        <f>R339/H339</f>
        <v/>
      </c>
      <c r="R339" s="251" t="n">
        <v>124.12</v>
      </c>
      <c r="S339" s="249" t="n">
        <v>17707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244</v>
      </c>
      <c r="I340" s="245" t="inlineStr"/>
      <c r="J340" s="245" t="inlineStr"/>
      <c r="K340" s="245" t="inlineStr">
        <is>
          <t>12IN GREEN TEA MF MATTRESS EK</t>
        </is>
      </c>
      <c r="L340" s="245" t="inlineStr">
        <is>
          <t>ZU-MFMA1ZZI-12K</t>
        </is>
      </c>
      <c r="M340" s="248" t="inlineStr">
        <is>
          <t>6YAF19IO</t>
        </is>
      </c>
      <c r="N340" s="245" t="inlineStr">
        <is>
          <t>F.MFM.12K.006.AD</t>
        </is>
      </c>
      <c r="O340" s="245" t="n"/>
      <c r="P340" s="245" t="n"/>
      <c r="Q340" s="250">
        <f>R340/H340</f>
        <v/>
      </c>
      <c r="R340" s="251" t="n">
        <v>24880.68</v>
      </c>
      <c r="S340" s="249" t="n">
        <v>17707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7.1" customHeight="1" s="202">
      <c r="A341" s="254" t="n"/>
      <c r="B341" s="254" t="n"/>
      <c r="C341" s="254" t="n"/>
      <c r="D341" s="254" t="n"/>
      <c r="E341" s="254" t="n"/>
      <c r="F341" s="254" t="n"/>
      <c r="G341" s="254" t="n"/>
      <c r="H341" s="255">
        <f>SUM(H329:H340)</f>
        <v/>
      </c>
      <c r="I341" s="254">
        <f>COUNTA(I329:I340)</f>
        <v/>
      </c>
      <c r="J341" s="254" t="n"/>
      <c r="K341" s="254" t="n"/>
      <c r="L341" s="254" t="n"/>
      <c r="M341" s="254" t="n"/>
      <c r="N341" s="254" t="n"/>
      <c r="O341" s="256">
        <f>SUM(O329:O340)</f>
        <v/>
      </c>
      <c r="P341" s="256">
        <f>SUM(P329:P340)</f>
        <v/>
      </c>
      <c r="Q341" s="254" t="n"/>
      <c r="R341" s="257">
        <f>SUM(R329:R340)</f>
        <v/>
      </c>
      <c r="S341" s="254" t="n"/>
      <c r="T341" s="258">
        <f>SUM(T329:T340)</f>
        <v/>
      </c>
      <c r="U341" s="254" t="n"/>
      <c r="V341" s="254" t="n"/>
      <c r="W341" s="254" t="n"/>
      <c r="X341" s="254" t="n"/>
      <c r="Y341" s="254" t="n"/>
      <c r="Z341" s="254" t="n"/>
    </row>
    <row r="342" ht="16.5" customHeight="1" s="202">
      <c r="A342" s="245" t="n">
        <v>59</v>
      </c>
      <c r="B342" s="245" t="inlineStr">
        <is>
          <t>000030ZIK48020260923000842</t>
        </is>
      </c>
      <c r="C342" s="245" t="n">
        <v>607449</v>
      </c>
      <c r="D342" s="245" t="n">
        <v>607382</v>
      </c>
      <c r="E342" s="246" t="n">
        <v>46289</v>
      </c>
      <c r="F342" s="245" t="inlineStr">
        <is>
          <t>ID2609-8557</t>
        </is>
      </c>
      <c r="G342" s="246" t="n">
        <v>46288</v>
      </c>
      <c r="H342" s="247" t="n">
        <v>624</v>
      </c>
      <c r="I342" s="245" t="inlineStr">
        <is>
          <t>FFAU2039410</t>
        </is>
      </c>
      <c r="J342" s="245" t="inlineStr">
        <is>
          <t>40FT</t>
        </is>
      </c>
      <c r="K342" s="245" t="inlineStr">
        <is>
          <t>10IN GREEN TEA MF MATTRESS FL</t>
        </is>
      </c>
      <c r="L342" s="245" t="inlineStr">
        <is>
          <t>ZU-MFMA1ZZI-10F</t>
        </is>
      </c>
      <c r="M342" s="248" t="inlineStr">
        <is>
          <t>228PTELF</t>
        </is>
      </c>
      <c r="N342" s="245" t="inlineStr">
        <is>
          <t>F.MFM.10F.007.AD</t>
        </is>
      </c>
      <c r="O342" s="249" t="n">
        <v>67711.92</v>
      </c>
      <c r="P342" s="249" t="n">
        <v>62720.47</v>
      </c>
      <c r="Q342" s="250">
        <f>R342/H342</f>
        <v/>
      </c>
      <c r="R342" s="251" t="n">
        <v>38725.44</v>
      </c>
      <c r="S342" s="249" t="n">
        <v>17707</v>
      </c>
      <c r="T342" s="252">
        <f>S342*R342</f>
        <v/>
      </c>
      <c r="U342" s="245" t="inlineStr">
        <is>
          <t>040300/KPPBC</t>
        </is>
      </c>
      <c r="V342" s="245" t="inlineStr">
        <is>
          <t>TG. PRIOK</t>
        </is>
      </c>
      <c r="W342" s="245" t="inlineStr">
        <is>
          <t>LONG BEACH, US</t>
        </is>
      </c>
      <c r="X342" s="245" t="inlineStr">
        <is>
          <t>AMAZON.COM SERVICES LLC</t>
        </is>
      </c>
      <c r="Y342" s="245" t="inlineStr">
        <is>
          <t>MEDUKU853256</t>
        </is>
      </c>
      <c r="Z342" s="246" t="n">
        <v>46289</v>
      </c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47</v>
      </c>
      <c r="I343" s="245" t="inlineStr">
        <is>
          <t>CAAU7114766</t>
        </is>
      </c>
      <c r="J343" s="245" t="inlineStr">
        <is>
          <t>40FT</t>
        </is>
      </c>
      <c r="K343" s="245" t="inlineStr">
        <is>
          <t>12IN GREEN TEA MF MATTRESS EK</t>
        </is>
      </c>
      <c r="L343" s="245" t="inlineStr">
        <is>
          <t>ZU-MFMA1ZZI-12K</t>
        </is>
      </c>
      <c r="M343" s="248" t="inlineStr">
        <is>
          <t>35UQUY3P</t>
        </is>
      </c>
      <c r="N343" s="245" t="inlineStr">
        <is>
          <t>F.MFM.12K.006.AD</t>
        </is>
      </c>
      <c r="O343" s="245" t="n"/>
      <c r="P343" s="245" t="n"/>
      <c r="Q343" s="250">
        <f>R343/H343</f>
        <v/>
      </c>
      <c r="R343" s="251" t="n">
        <v>4792.59</v>
      </c>
      <c r="S343" s="249" t="n">
        <v>17707</v>
      </c>
      <c r="T343" s="252">
        <f>S343*R343</f>
        <v/>
      </c>
      <c r="U343" s="245" t="n"/>
      <c r="V343" s="245" t="n"/>
      <c r="W343" s="245" t="inlineStr">
        <is>
          <t>ETD : 01-10-2026</t>
        </is>
      </c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96</v>
      </c>
      <c r="I344" s="245" t="inlineStr">
        <is>
          <t>MSDU8752072</t>
        </is>
      </c>
      <c r="J344" s="245" t="inlineStr">
        <is>
          <t>40FT</t>
        </is>
      </c>
      <c r="K344" s="245" t="inlineStr">
        <is>
          <t>10IN GREEN TEA MF MATTRESS QN</t>
        </is>
      </c>
      <c r="L344" s="245" t="inlineStr">
        <is>
          <t>ZU-MFMA1ZZI-10Q</t>
        </is>
      </c>
      <c r="M344" s="248" t="inlineStr">
        <is>
          <t>55H7J8MV</t>
        </is>
      </c>
      <c r="N344" s="245" t="inlineStr">
        <is>
          <t>F.MFM.10Q.007.AD</t>
        </is>
      </c>
      <c r="O344" s="245" t="n"/>
      <c r="P344" s="245" t="n"/>
      <c r="Q344" s="250">
        <f>R344/H344</f>
        <v/>
      </c>
      <c r="R344" s="251" t="n">
        <v>6324.48</v>
      </c>
      <c r="S344" s="249" t="n">
        <v>17707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316</v>
      </c>
      <c r="I345" s="245" t="inlineStr">
        <is>
          <t>FFAU2397944</t>
        </is>
      </c>
      <c r="J345" s="245" t="inlineStr">
        <is>
          <t>40FT</t>
        </is>
      </c>
      <c r="K345" s="245" t="inlineStr">
        <is>
          <t>12IN GREEN TEA MF MATTRESS EK</t>
        </is>
      </c>
      <c r="L345" s="245" t="inlineStr">
        <is>
          <t>ZU-MFMA1ZZI-12K</t>
        </is>
      </c>
      <c r="M345" s="248" t="inlineStr">
        <is>
          <t>55H7J8MV</t>
        </is>
      </c>
      <c r="N345" s="245" t="inlineStr">
        <is>
          <t>F.MFM.12K.006.AD</t>
        </is>
      </c>
      <c r="O345" s="245" t="n"/>
      <c r="P345" s="245" t="n"/>
      <c r="Q345" s="250">
        <f>R345/H345</f>
        <v/>
      </c>
      <c r="R345" s="251" t="n">
        <v>32222.52</v>
      </c>
      <c r="S345" s="249" t="n">
        <v>17707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61</v>
      </c>
      <c r="I346" s="245" t="inlineStr">
        <is>
          <t>MSDU5947620</t>
        </is>
      </c>
      <c r="J346" s="245" t="inlineStr">
        <is>
          <t>40FT</t>
        </is>
      </c>
      <c r="K346" s="245" t="inlineStr">
        <is>
          <t>12IN GREEN TEA MF MATTRESS TW</t>
        </is>
      </c>
      <c r="L346" s="245" t="inlineStr">
        <is>
          <t>ZU-MFMA1ZZI-12T</t>
        </is>
      </c>
      <c r="M346" s="248" t="inlineStr">
        <is>
          <t>5BC9HCNR</t>
        </is>
      </c>
      <c r="N346" s="245" t="inlineStr">
        <is>
          <t>F.MFM.12T.006.AD</t>
        </is>
      </c>
      <c r="O346" s="245" t="n"/>
      <c r="P346" s="245" t="n"/>
      <c r="Q346" s="250">
        <f>R346/H346</f>
        <v/>
      </c>
      <c r="R346" s="251" t="n">
        <v>3855.2</v>
      </c>
      <c r="S346" s="249" t="n">
        <v>17707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9</v>
      </c>
      <c r="I347" s="245" t="inlineStr"/>
      <c r="J347" s="245" t="inlineStr"/>
      <c r="K347" s="245" t="inlineStr">
        <is>
          <t>10IN GREEN TEA MF MATTRESS TW</t>
        </is>
      </c>
      <c r="L347" s="245" t="inlineStr">
        <is>
          <t>ZU-MFMA1ZZI-10T</t>
        </is>
      </c>
      <c r="M347" s="248" t="inlineStr">
        <is>
          <t>5GKR5VRH</t>
        </is>
      </c>
      <c r="N347" s="245" t="inlineStr">
        <is>
          <t>F.MFM.10T.007.AD</t>
        </is>
      </c>
      <c r="O347" s="245" t="n"/>
      <c r="P347" s="245" t="n"/>
      <c r="Q347" s="250">
        <f>R347/H347</f>
        <v/>
      </c>
      <c r="R347" s="251" t="n">
        <v>497.16</v>
      </c>
      <c r="S347" s="249" t="n">
        <v>17707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354</v>
      </c>
      <c r="I348" s="245" t="inlineStr"/>
      <c r="J348" s="245" t="inlineStr"/>
      <c r="K348" s="245" t="inlineStr">
        <is>
          <t>12IN GREEN TEA MF MATTRESS EK</t>
        </is>
      </c>
      <c r="L348" s="245" t="inlineStr">
        <is>
          <t>ZU-MFMA1ZZI-12K</t>
        </is>
      </c>
      <c r="M348" s="248" t="inlineStr">
        <is>
          <t>5GKR5VRH</t>
        </is>
      </c>
      <c r="N348" s="245" t="inlineStr">
        <is>
          <t>F.MFM.12K.006.AD</t>
        </is>
      </c>
      <c r="O348" s="245" t="n"/>
      <c r="P348" s="245" t="n"/>
      <c r="Q348" s="250">
        <f>R348/H348</f>
        <v/>
      </c>
      <c r="R348" s="251" t="n">
        <v>36097.38</v>
      </c>
      <c r="S348" s="249" t="n">
        <v>17707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70</v>
      </c>
      <c r="I349" s="245" t="inlineStr"/>
      <c r="J349" s="245" t="inlineStr"/>
      <c r="K349" s="245" t="inlineStr">
        <is>
          <t>10IN GREEN TEA MF MATTRESS QN</t>
        </is>
      </c>
      <c r="L349" s="245" t="inlineStr">
        <is>
          <t>ZU-MFMA1ZZI-10Q</t>
        </is>
      </c>
      <c r="M349" s="248" t="inlineStr">
        <is>
          <t>65WGP1QR</t>
        </is>
      </c>
      <c r="N349" s="245" t="inlineStr">
        <is>
          <t>F.MFM.10Q.007.AD</t>
        </is>
      </c>
      <c r="O349" s="245" t="n"/>
      <c r="P349" s="245" t="n"/>
      <c r="Q349" s="250">
        <f>R349/H349</f>
        <v/>
      </c>
      <c r="R349" s="251" t="n">
        <v>4611.6</v>
      </c>
      <c r="S349" s="249" t="n">
        <v>17707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342</v>
      </c>
      <c r="I350" s="245" t="inlineStr"/>
      <c r="J350" s="245" t="inlineStr"/>
      <c r="K350" s="245" t="inlineStr">
        <is>
          <t>12IN GREEN TEA MF MATTRESS EK</t>
        </is>
      </c>
      <c r="L350" s="245" t="inlineStr">
        <is>
          <t>ZU-MFMA1ZZI-12K</t>
        </is>
      </c>
      <c r="M350" s="248" t="inlineStr">
        <is>
          <t>65WGP1QR</t>
        </is>
      </c>
      <c r="N350" s="245" t="inlineStr">
        <is>
          <t>F.MFM.12K.006.AD</t>
        </is>
      </c>
      <c r="O350" s="245" t="n"/>
      <c r="P350" s="245" t="n"/>
      <c r="Q350" s="250">
        <f>R350/H350</f>
        <v/>
      </c>
      <c r="R350" s="251" t="n">
        <v>34873.74</v>
      </c>
      <c r="S350" s="249" t="n">
        <v>17707</v>
      </c>
      <c r="T350" s="252">
        <f>S350*R350</f>
        <v/>
      </c>
      <c r="U350" s="245" t="n"/>
      <c r="V350" s="245" t="n"/>
      <c r="W350" s="245" t="n"/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138</v>
      </c>
      <c r="I351" s="245" t="inlineStr"/>
      <c r="J351" s="245" t="inlineStr"/>
      <c r="K351" s="245" t="inlineStr">
        <is>
          <t>12IN GREEN TEA MF MATTRESS EK</t>
        </is>
      </c>
      <c r="L351" s="245" t="inlineStr">
        <is>
          <t>ZU-MFMA1ZZI-12K</t>
        </is>
      </c>
      <c r="M351" s="248" t="inlineStr">
        <is>
          <t>6F69PL1O</t>
        </is>
      </c>
      <c r="N351" s="245" t="inlineStr">
        <is>
          <t>F.MFM.12K.006.AD</t>
        </is>
      </c>
      <c r="O351" s="245" t="n"/>
      <c r="P351" s="245" t="n"/>
      <c r="Q351" s="250">
        <f>R351/H351</f>
        <v/>
      </c>
      <c r="R351" s="251" t="n">
        <v>14071.86</v>
      </c>
      <c r="S351" s="249" t="n">
        <v>17707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7.1" customHeight="1" s="202">
      <c r="A352" s="254" t="n"/>
      <c r="B352" s="254" t="n"/>
      <c r="C352" s="254" t="n"/>
      <c r="D352" s="254" t="n"/>
      <c r="E352" s="254" t="n"/>
      <c r="F352" s="254" t="n"/>
      <c r="G352" s="254" t="n"/>
      <c r="H352" s="255">
        <f>SUM(H342:H351)</f>
        <v/>
      </c>
      <c r="I352" s="254">
        <f>COUNTA(I342:I351)</f>
        <v/>
      </c>
      <c r="J352" s="254" t="n"/>
      <c r="K352" s="254" t="n"/>
      <c r="L352" s="254" t="n"/>
      <c r="M352" s="254" t="n"/>
      <c r="N352" s="254" t="n"/>
      <c r="O352" s="256">
        <f>SUM(O342:O351)</f>
        <v/>
      </c>
      <c r="P352" s="256">
        <f>SUM(P342:P351)</f>
        <v/>
      </c>
      <c r="Q352" s="254" t="n"/>
      <c r="R352" s="257">
        <f>SUM(R342:R351)</f>
        <v/>
      </c>
      <c r="S352" s="254" t="n"/>
      <c r="T352" s="258">
        <f>SUM(T342:T351)</f>
        <v/>
      </c>
      <c r="U352" s="254" t="n"/>
      <c r="V352" s="254" t="n"/>
      <c r="W352" s="254" t="n"/>
      <c r="X352" s="254" t="n"/>
      <c r="Y352" s="254" t="n"/>
      <c r="Z352" s="254" t="n"/>
    </row>
    <row r="353" ht="16.5" customHeight="1" s="202">
      <c r="A353" s="245" t="n">
        <v>60</v>
      </c>
      <c r="B353" s="245" t="inlineStr">
        <is>
          <t>000030ZIK48020260923000843</t>
        </is>
      </c>
      <c r="C353" s="245" t="n">
        <v>606882</v>
      </c>
      <c r="D353" s="245" t="n">
        <v>606817</v>
      </c>
      <c r="E353" s="246" t="n">
        <v>46289</v>
      </c>
      <c r="F353" s="245" t="inlineStr">
        <is>
          <t>ID2609-8558</t>
        </is>
      </c>
      <c r="G353" s="246" t="n">
        <v>46288</v>
      </c>
      <c r="H353" s="247" t="n">
        <v>442</v>
      </c>
      <c r="I353" s="245" t="inlineStr">
        <is>
          <t>TLLU5061432</t>
        </is>
      </c>
      <c r="J353" s="245" t="inlineStr">
        <is>
          <t>40FT</t>
        </is>
      </c>
      <c r="K353" s="245" t="inlineStr">
        <is>
          <t>10IN GREEN TEA MF MATTRESS QN</t>
        </is>
      </c>
      <c r="L353" s="245" t="inlineStr">
        <is>
          <t>ZU-MFMA1ZZI-10Q</t>
        </is>
      </c>
      <c r="M353" s="248" t="inlineStr">
        <is>
          <t>2DHM4QWU</t>
        </is>
      </c>
      <c r="N353" s="245" t="inlineStr">
        <is>
          <t>F.MFM.10Q.007.AD</t>
        </is>
      </c>
      <c r="O353" s="249" t="n">
        <v>64497.58</v>
      </c>
      <c r="P353" s="249" t="n">
        <v>58266.43</v>
      </c>
      <c r="Q353" s="250">
        <f>R353/H353</f>
        <v/>
      </c>
      <c r="R353" s="251" t="n">
        <v>29118.96</v>
      </c>
      <c r="S353" s="249" t="n">
        <v>17707</v>
      </c>
      <c r="T353" s="252">
        <f>S353*R353</f>
        <v/>
      </c>
      <c r="U353" s="245" t="inlineStr">
        <is>
          <t>040300/KPPBC</t>
        </is>
      </c>
      <c r="V353" s="245" t="inlineStr">
        <is>
          <t>TG. PRIOK</t>
        </is>
      </c>
      <c r="W353" s="245" t="inlineStr">
        <is>
          <t>LONG BEACH, US</t>
        </is>
      </c>
      <c r="X353" s="245" t="inlineStr">
        <is>
          <t>AMAZON.COM SERVICES LLC</t>
        </is>
      </c>
      <c r="Y353" s="245" t="inlineStr">
        <is>
          <t>MEDUKU853801</t>
        </is>
      </c>
      <c r="Z353" s="246" t="n">
        <v>46289</v>
      </c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85</v>
      </c>
      <c r="I354" s="245" t="inlineStr">
        <is>
          <t>TCNU1367022</t>
        </is>
      </c>
      <c r="J354" s="245" t="inlineStr">
        <is>
          <t>40FT</t>
        </is>
      </c>
      <c r="K354" s="245" t="inlineStr">
        <is>
          <t>10IN GREEN TEA MF MATTRESS FL</t>
        </is>
      </c>
      <c r="L354" s="245" t="inlineStr">
        <is>
          <t>ZU-MFMA1ZZI-10F</t>
        </is>
      </c>
      <c r="M354" s="248" t="inlineStr">
        <is>
          <t>2G9SWM9P</t>
        </is>
      </c>
      <c r="N354" s="245" t="inlineStr">
        <is>
          <t>F.MFM.10F.007.AD</t>
        </is>
      </c>
      <c r="O354" s="245" t="n"/>
      <c r="P354" s="245" t="n"/>
      <c r="Q354" s="250">
        <f>R354/H354</f>
        <v/>
      </c>
      <c r="R354" s="251" t="n">
        <v>5275.1</v>
      </c>
      <c r="S354" s="249" t="n">
        <v>17707</v>
      </c>
      <c r="T354" s="252">
        <f>S354*R354</f>
        <v/>
      </c>
      <c r="U354" s="245" t="n"/>
      <c r="V354" s="245" t="n"/>
      <c r="W354" s="245" t="inlineStr">
        <is>
          <t>ETD : 01-10-2026</t>
        </is>
      </c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162</v>
      </c>
      <c r="I355" s="245" t="inlineStr">
        <is>
          <t>MSCU7222541</t>
        </is>
      </c>
      <c r="J355" s="245" t="inlineStr">
        <is>
          <t>40FT</t>
        </is>
      </c>
      <c r="K355" s="245" t="inlineStr">
        <is>
          <t>10IN GREEN TEA MF MATTRESS QN</t>
        </is>
      </c>
      <c r="L355" s="245" t="inlineStr">
        <is>
          <t>ZU-MFMA1ZZI-10Q</t>
        </is>
      </c>
      <c r="M355" s="248" t="inlineStr">
        <is>
          <t>2G9SWM9P</t>
        </is>
      </c>
      <c r="N355" s="245" t="inlineStr">
        <is>
          <t>F.MFM.10Q.007.AD</t>
        </is>
      </c>
      <c r="O355" s="245" t="n"/>
      <c r="P355" s="245" t="n"/>
      <c r="Q355" s="250">
        <f>R355/H355</f>
        <v/>
      </c>
      <c r="R355" s="251" t="n">
        <v>10672.56</v>
      </c>
      <c r="S355" s="249" t="n">
        <v>17707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3</v>
      </c>
      <c r="I356" s="245" t="inlineStr">
        <is>
          <t>CXDU1950483</t>
        </is>
      </c>
      <c r="J356" s="245" t="inlineStr">
        <is>
          <t>40FT</t>
        </is>
      </c>
      <c r="K356" s="245" t="inlineStr">
        <is>
          <t>10IN GREEN TEA MF MATTRESS FL</t>
        </is>
      </c>
      <c r="L356" s="245" t="inlineStr">
        <is>
          <t>ZU-MFMA1ZZI-10F</t>
        </is>
      </c>
      <c r="M356" s="248" t="inlineStr">
        <is>
          <t>3GNJCTRY</t>
        </is>
      </c>
      <c r="N356" s="245" t="inlineStr">
        <is>
          <t>F.MFM.10F.007.AD</t>
        </is>
      </c>
      <c r="O356" s="245" t="n"/>
      <c r="P356" s="245" t="n"/>
      <c r="Q356" s="250">
        <f>R356/H356</f>
        <v/>
      </c>
      <c r="R356" s="251" t="n">
        <v>186.18</v>
      </c>
      <c r="S356" s="249" t="n">
        <v>17707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387</v>
      </c>
      <c r="I357" s="245" t="inlineStr">
        <is>
          <t>TCNU5772316</t>
        </is>
      </c>
      <c r="J357" s="245" t="inlineStr">
        <is>
          <t>40FT</t>
        </is>
      </c>
      <c r="K357" s="245" t="inlineStr">
        <is>
          <t>12IN GREEN TEA MF MATTRESS EK</t>
        </is>
      </c>
      <c r="L357" s="245" t="inlineStr">
        <is>
          <t>ZU-MFMA1ZZI-12K</t>
        </is>
      </c>
      <c r="M357" s="248" t="inlineStr">
        <is>
          <t>3GNJCTRY</t>
        </is>
      </c>
      <c r="N357" s="245" t="inlineStr">
        <is>
          <t>F.MFM.12K.006.AD</t>
        </is>
      </c>
      <c r="O357" s="245" t="n"/>
      <c r="P357" s="245" t="n"/>
      <c r="Q357" s="250">
        <f>R357/H357</f>
        <v/>
      </c>
      <c r="R357" s="251" t="n">
        <v>39462.39</v>
      </c>
      <c r="S357" s="249" t="n">
        <v>17707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100</v>
      </c>
      <c r="I358" s="245" t="inlineStr"/>
      <c r="J358" s="245" t="inlineStr"/>
      <c r="K358" s="245" t="inlineStr">
        <is>
          <t>10IN GREEN TEA MF MATTRESS TW</t>
        </is>
      </c>
      <c r="L358" s="245" t="inlineStr">
        <is>
          <t>ZU-MFMA1ZZI-10T</t>
        </is>
      </c>
      <c r="M358" s="248" t="inlineStr">
        <is>
          <t>3VB6PMCO</t>
        </is>
      </c>
      <c r="N358" s="245" t="inlineStr">
        <is>
          <t>F.MFM.10T.007.AD</t>
        </is>
      </c>
      <c r="O358" s="245" t="n"/>
      <c r="P358" s="245" t="n"/>
      <c r="Q358" s="250">
        <f>R358/H358</f>
        <v/>
      </c>
      <c r="R358" s="251" t="n">
        <v>5524</v>
      </c>
      <c r="S358" s="249" t="n">
        <v>17707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21</v>
      </c>
      <c r="I359" s="245" t="inlineStr"/>
      <c r="J359" s="245" t="inlineStr"/>
      <c r="K359" s="245" t="inlineStr">
        <is>
          <t>12IN GREEN TEA MF MATTRESS CK</t>
        </is>
      </c>
      <c r="L359" s="245" t="inlineStr">
        <is>
          <t>ZU-MFMA1ZZI-12C</t>
        </is>
      </c>
      <c r="M359" s="248" t="inlineStr">
        <is>
          <t>3VB6PMCO</t>
        </is>
      </c>
      <c r="N359" s="245" t="inlineStr">
        <is>
          <t>F.MFM.12C.006.AD</t>
        </is>
      </c>
      <c r="O359" s="245" t="n"/>
      <c r="P359" s="245" t="n"/>
      <c r="Q359" s="250">
        <f>R359/H359</f>
        <v/>
      </c>
      <c r="R359" s="251" t="n">
        <v>2110.92</v>
      </c>
      <c r="S359" s="249" t="n">
        <v>17707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255</v>
      </c>
      <c r="I360" s="245" t="inlineStr"/>
      <c r="J360" s="245" t="inlineStr"/>
      <c r="K360" s="245" t="inlineStr">
        <is>
          <t>10IN GREEN TEA MF MATTRESS FL</t>
        </is>
      </c>
      <c r="L360" s="245" t="inlineStr">
        <is>
          <t>ZU-MFMA1ZZI-10F</t>
        </is>
      </c>
      <c r="M360" s="248" t="inlineStr">
        <is>
          <t>59HHV8SC</t>
        </is>
      </c>
      <c r="N360" s="245" t="inlineStr">
        <is>
          <t>F.MFM.10F.007.AD</t>
        </is>
      </c>
      <c r="O360" s="245" t="n"/>
      <c r="P360" s="245" t="n"/>
      <c r="Q360" s="250">
        <f>R360/H360</f>
        <v/>
      </c>
      <c r="R360" s="251" t="n">
        <v>15825.3</v>
      </c>
      <c r="S360" s="249" t="n">
        <v>17707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1</v>
      </c>
      <c r="I361" s="245" t="inlineStr"/>
      <c r="J361" s="245" t="inlineStr"/>
      <c r="K361" s="245" t="inlineStr">
        <is>
          <t>12IN GREEN TEA MF MATTRESS EK</t>
        </is>
      </c>
      <c r="L361" s="245" t="inlineStr">
        <is>
          <t>ZU-MFMA1ZZI-12K</t>
        </is>
      </c>
      <c r="M361" s="248" t="inlineStr">
        <is>
          <t>59HHV8SC</t>
        </is>
      </c>
      <c r="N361" s="245" t="inlineStr">
        <is>
          <t>F.MFM.12K.006.AD</t>
        </is>
      </c>
      <c r="O361" s="245" t="n"/>
      <c r="P361" s="245" t="n"/>
      <c r="Q361" s="250">
        <f>R361/H361</f>
        <v/>
      </c>
      <c r="R361" s="251" t="n">
        <v>101.97</v>
      </c>
      <c r="S361" s="249" t="n">
        <v>17707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109</v>
      </c>
      <c r="I362" s="245" t="inlineStr"/>
      <c r="J362" s="245" t="inlineStr"/>
      <c r="K362" s="245" t="inlineStr">
        <is>
          <t>10IN GREEN TEA MF MATTRESS TW</t>
        </is>
      </c>
      <c r="L362" s="245" t="inlineStr">
        <is>
          <t>ZU-MFMA1ZZI-10T</t>
        </is>
      </c>
      <c r="M362" s="248" t="inlineStr">
        <is>
          <t>5D713GIG</t>
        </is>
      </c>
      <c r="N362" s="245" t="inlineStr">
        <is>
          <t>F.MFM.10T.007.AD</t>
        </is>
      </c>
      <c r="O362" s="245" t="n"/>
      <c r="P362" s="245" t="n"/>
      <c r="Q362" s="250">
        <f>R362/H362</f>
        <v/>
      </c>
      <c r="R362" s="251" t="n">
        <v>6021.16</v>
      </c>
      <c r="S362" s="249" t="n">
        <v>17707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6.5" customHeight="1" s="202">
      <c r="A363" s="245" t="n"/>
      <c r="B363" s="245" t="n"/>
      <c r="C363" s="245" t="n"/>
      <c r="D363" s="245" t="n"/>
      <c r="E363" s="245" t="n"/>
      <c r="F363" s="245" t="n"/>
      <c r="G363" s="245" t="n"/>
      <c r="H363" s="247" t="n">
        <v>208</v>
      </c>
      <c r="I363" s="245" t="inlineStr"/>
      <c r="J363" s="245" t="inlineStr"/>
      <c r="K363" s="245" t="inlineStr">
        <is>
          <t>12IN GREEN TEA MF MATTRESS EK</t>
        </is>
      </c>
      <c r="L363" s="245" t="inlineStr">
        <is>
          <t>ZU-MFMA1ZZI-12K</t>
        </is>
      </c>
      <c r="M363" s="248" t="inlineStr">
        <is>
          <t>5D713GIG</t>
        </is>
      </c>
      <c r="N363" s="245" t="inlineStr">
        <is>
          <t>F.MFM.12K.006.AD</t>
        </is>
      </c>
      <c r="O363" s="245" t="n"/>
      <c r="P363" s="245" t="n"/>
      <c r="Q363" s="250">
        <f>R363/H363</f>
        <v/>
      </c>
      <c r="R363" s="251" t="n">
        <v>21209.76</v>
      </c>
      <c r="S363" s="249" t="n">
        <v>17707</v>
      </c>
      <c r="T363" s="252">
        <f>S363*R363</f>
        <v/>
      </c>
      <c r="U363" s="245" t="n"/>
      <c r="V363" s="245" t="n"/>
      <c r="W363" s="245" t="n"/>
      <c r="X363" s="245" t="n"/>
      <c r="Y363" s="245" t="n"/>
      <c r="Z363" s="245" t="n"/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7" t="n">
        <v>442</v>
      </c>
      <c r="I364" s="245" t="inlineStr"/>
      <c r="J364" s="245" t="inlineStr"/>
      <c r="K364" s="245" t="inlineStr">
        <is>
          <t>10IN GREEN TEA MF MATTRESS QN</t>
        </is>
      </c>
      <c r="L364" s="245" t="inlineStr">
        <is>
          <t>ZU-MFMA1ZZI-10Q</t>
        </is>
      </c>
      <c r="M364" s="248" t="inlineStr">
        <is>
          <t>5IFIQZMW</t>
        </is>
      </c>
      <c r="N364" s="245" t="inlineStr">
        <is>
          <t>F.MFM.10Q.007.AD</t>
        </is>
      </c>
      <c r="O364" s="245" t="n"/>
      <c r="P364" s="245" t="n"/>
      <c r="Q364" s="250">
        <f>R364/H364</f>
        <v/>
      </c>
      <c r="R364" s="251" t="n">
        <v>29118.96</v>
      </c>
      <c r="S364" s="249" t="n">
        <v>17707</v>
      </c>
      <c r="T364" s="252">
        <f>S364*R364</f>
        <v/>
      </c>
      <c r="U364" s="245" t="n"/>
      <c r="V364" s="245" t="n"/>
      <c r="W364" s="245" t="n"/>
      <c r="X364" s="245" t="n"/>
      <c r="Y364" s="245" t="n"/>
      <c r="Z364" s="245" t="n"/>
    </row>
    <row r="365" ht="17.1" customHeight="1" s="202">
      <c r="A365" s="254" t="n"/>
      <c r="B365" s="254" t="n"/>
      <c r="C365" s="254" t="n"/>
      <c r="D365" s="254" t="n"/>
      <c r="E365" s="254" t="n"/>
      <c r="F365" s="254" t="n"/>
      <c r="G365" s="254" t="n"/>
      <c r="H365" s="255">
        <f>SUM(H353:H364)</f>
        <v/>
      </c>
      <c r="I365" s="254">
        <f>COUNTA(I353:I364)</f>
        <v/>
      </c>
      <c r="J365" s="254" t="n"/>
      <c r="K365" s="254" t="n"/>
      <c r="L365" s="254" t="n"/>
      <c r="M365" s="254" t="n"/>
      <c r="N365" s="254" t="n"/>
      <c r="O365" s="256">
        <f>SUM(O353:O364)</f>
        <v/>
      </c>
      <c r="P365" s="256">
        <f>SUM(P353:P364)</f>
        <v/>
      </c>
      <c r="Q365" s="254" t="n"/>
      <c r="R365" s="257">
        <f>SUM(R353:R364)</f>
        <v/>
      </c>
      <c r="S365" s="254" t="n"/>
      <c r="T365" s="258">
        <f>SUM(T353:T364)</f>
        <v/>
      </c>
      <c r="U365" s="254" t="n"/>
      <c r="V365" s="254" t="n"/>
      <c r="W365" s="254" t="n"/>
      <c r="X365" s="254" t="n"/>
      <c r="Y365" s="254" t="n"/>
      <c r="Z365" s="254" t="n"/>
    </row>
    <row r="366" ht="16.5" customHeight="1" s="202">
      <c r="A366" s="245" t="n">
        <v>61</v>
      </c>
      <c r="B366" s="245" t="inlineStr">
        <is>
          <t>000030ZIK48020260923000844</t>
        </is>
      </c>
      <c r="C366" s="245" t="n">
        <v>606385</v>
      </c>
      <c r="D366" s="245" t="n">
        <v>606317</v>
      </c>
      <c r="E366" s="246" t="n">
        <v>46289</v>
      </c>
      <c r="F366" s="245" t="inlineStr">
        <is>
          <t>ID2609-8527</t>
        </is>
      </c>
      <c r="G366" s="246" t="n">
        <v>46286</v>
      </c>
      <c r="H366" s="247" t="n">
        <v>507</v>
      </c>
      <c r="I366" s="245" t="inlineStr">
        <is>
          <t>CAAU6444824</t>
        </is>
      </c>
      <c r="J366" s="245" t="inlineStr">
        <is>
          <t>40FT</t>
        </is>
      </c>
      <c r="K366" s="245" t="inlineStr">
        <is>
          <t>12IN GREEN TEA MF MATTRESS QN</t>
        </is>
      </c>
      <c r="L366" s="245" t="inlineStr">
        <is>
          <t>ZU-MFMA1ZZI-12Q</t>
        </is>
      </c>
      <c r="M366" s="248" t="inlineStr">
        <is>
          <t>17Z3PWNL</t>
        </is>
      </c>
      <c r="N366" s="245" t="inlineStr">
        <is>
          <t>F.MFM.12Q.006.AD</t>
        </is>
      </c>
      <c r="O366" s="249" t="n">
        <v>79006.97</v>
      </c>
      <c r="P366" s="249" t="n">
        <v>70259.81</v>
      </c>
      <c r="Q366" s="250">
        <f>R366/H366</f>
        <v/>
      </c>
      <c r="R366" s="251" t="n">
        <v>42481.53</v>
      </c>
      <c r="S366" s="249" t="n">
        <v>17707</v>
      </c>
      <c r="T366" s="252">
        <f>S366*R366</f>
        <v/>
      </c>
      <c r="U366" s="245" t="inlineStr">
        <is>
          <t>040300/KPPBC</t>
        </is>
      </c>
      <c r="V366" s="245" t="inlineStr">
        <is>
          <t>TG. PRIOK</t>
        </is>
      </c>
      <c r="W366" s="245" t="inlineStr">
        <is>
          <t>NORFOLK, US</t>
        </is>
      </c>
      <c r="X366" s="245" t="inlineStr">
        <is>
          <t>AMAZON.COM SERVICES LLC</t>
        </is>
      </c>
      <c r="Y366" s="245" t="inlineStr">
        <is>
          <t>MAEU276427748</t>
        </is>
      </c>
      <c r="Z366" s="246" t="n">
        <v>46289</v>
      </c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7" t="n">
        <v>520</v>
      </c>
      <c r="I367" s="245" t="inlineStr">
        <is>
          <t>MIEU3043015</t>
        </is>
      </c>
      <c r="J367" s="245" t="inlineStr">
        <is>
          <t>40FT</t>
        </is>
      </c>
      <c r="K367" s="245" t="inlineStr">
        <is>
          <t>12IN GREEN TEA MF MATTRESS FL</t>
        </is>
      </c>
      <c r="L367" s="245" t="inlineStr">
        <is>
          <t>ZU-MFMA1ZZI-12F</t>
        </is>
      </c>
      <c r="M367" s="248" t="inlineStr">
        <is>
          <t>49GQAB4F</t>
        </is>
      </c>
      <c r="N367" s="245" t="inlineStr">
        <is>
          <t>F.MFM.12F.006.AD</t>
        </is>
      </c>
      <c r="O367" s="245" t="n"/>
      <c r="P367" s="245" t="n"/>
      <c r="Q367" s="250">
        <f>R367/H367</f>
        <v/>
      </c>
      <c r="R367" s="251" t="n">
        <v>36899.2</v>
      </c>
      <c r="S367" s="249" t="n">
        <v>17707</v>
      </c>
      <c r="T367" s="252">
        <f>S367*R367</f>
        <v/>
      </c>
      <c r="U367" s="245" t="n"/>
      <c r="V367" s="245" t="n"/>
      <c r="W367" s="245" t="inlineStr">
        <is>
          <t>ETD : 30-09-2026</t>
        </is>
      </c>
      <c r="X367" s="245" t="n"/>
      <c r="Y367" s="245" t="n"/>
      <c r="Z367" s="245" t="n"/>
    </row>
    <row r="368" ht="16.5" customHeight="1" s="202">
      <c r="A368" s="245" t="n"/>
      <c r="B368" s="245" t="n"/>
      <c r="C368" s="245" t="n"/>
      <c r="D368" s="245" t="n"/>
      <c r="E368" s="245" t="n"/>
      <c r="F368" s="245" t="n"/>
      <c r="G368" s="245" t="n"/>
      <c r="H368" s="247" t="n">
        <v>170</v>
      </c>
      <c r="I368" s="245" t="inlineStr">
        <is>
          <t>MSKU1588548</t>
        </is>
      </c>
      <c r="J368" s="245" t="inlineStr">
        <is>
          <t>40FT</t>
        </is>
      </c>
      <c r="K368" s="245" t="inlineStr">
        <is>
          <t>10IN AIRFLOW GEL FOAM MATT TW</t>
        </is>
      </c>
      <c r="L368" s="245" t="inlineStr">
        <is>
          <t>ZU-MFMA1RZI-10T</t>
        </is>
      </c>
      <c r="M368" s="248" t="inlineStr">
        <is>
          <t>4WAES7BJ</t>
        </is>
      </c>
      <c r="N368" s="245" t="inlineStr">
        <is>
          <t>F.MFM.10T.014.AD</t>
        </is>
      </c>
      <c r="O368" s="245" t="n"/>
      <c r="P368" s="245" t="n"/>
      <c r="Q368" s="250">
        <f>R368/H368</f>
        <v/>
      </c>
      <c r="R368" s="251" t="n">
        <v>6618.1</v>
      </c>
      <c r="S368" s="249" t="n">
        <v>17707</v>
      </c>
      <c r="T368" s="252">
        <f>S368*R368</f>
        <v/>
      </c>
      <c r="U368" s="245" t="n"/>
      <c r="V368" s="245" t="n"/>
      <c r="W368" s="245" t="n"/>
      <c r="X368" s="245" t="n"/>
      <c r="Y368" s="245" t="n"/>
      <c r="Z368" s="245" t="n"/>
    </row>
    <row r="369" ht="16.5" customHeight="1" s="202">
      <c r="A369" s="245" t="n"/>
      <c r="B369" s="245" t="n"/>
      <c r="C369" s="245" t="n"/>
      <c r="D369" s="245" t="n"/>
      <c r="E369" s="245" t="n"/>
      <c r="F369" s="245" t="n"/>
      <c r="G369" s="245" t="n"/>
      <c r="H369" s="247" t="n">
        <v>101</v>
      </c>
      <c r="I369" s="245" t="inlineStr">
        <is>
          <t>MRKU2194552</t>
        </is>
      </c>
      <c r="J369" s="245" t="inlineStr">
        <is>
          <t>40FT</t>
        </is>
      </c>
      <c r="K369" s="245" t="inlineStr">
        <is>
          <t>10IN MYGEL FOAM MATTRESS TW</t>
        </is>
      </c>
      <c r="L369" s="245" t="inlineStr">
        <is>
          <t>ZU-MFGN1YZI-10T</t>
        </is>
      </c>
      <c r="M369" s="248" t="inlineStr">
        <is>
          <t>5PXZZMMG</t>
        </is>
      </c>
      <c r="N369" s="245" t="inlineStr">
        <is>
          <t>F.MFG.10T.002.AD</t>
        </is>
      </c>
      <c r="O369" s="245" t="n"/>
      <c r="P369" s="245" t="n"/>
      <c r="Q369" s="250">
        <f>R369/H369</f>
        <v/>
      </c>
      <c r="R369" s="251" t="n">
        <v>5329.77</v>
      </c>
      <c r="S369" s="249" t="n">
        <v>17707</v>
      </c>
      <c r="T369" s="252">
        <f>S369*R369</f>
        <v/>
      </c>
      <c r="U369" s="245" t="n"/>
      <c r="V369" s="245" t="n"/>
      <c r="W369" s="245" t="n"/>
      <c r="X369" s="245" t="n"/>
      <c r="Y369" s="245" t="n"/>
      <c r="Z369" s="245" t="n"/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7" t="n">
        <v>44</v>
      </c>
      <c r="I370" s="245" t="inlineStr">
        <is>
          <t>MRKU4997682</t>
        </is>
      </c>
      <c r="J370" s="245" t="inlineStr">
        <is>
          <t>40FT</t>
        </is>
      </c>
      <c r="K370" s="245" t="inlineStr">
        <is>
          <t>12IN AIRFLOW GEL FOAM MATT TW</t>
        </is>
      </c>
      <c r="L370" s="245" t="inlineStr">
        <is>
          <t>ZU-MFMA1RZI-12T</t>
        </is>
      </c>
      <c r="M370" s="248" t="inlineStr">
        <is>
          <t>5PXZZMMG</t>
        </is>
      </c>
      <c r="N370" s="245" t="inlineStr">
        <is>
          <t>F.MFM.12T.011.AD</t>
        </is>
      </c>
      <c r="O370" s="245" t="n"/>
      <c r="P370" s="245" t="n"/>
      <c r="Q370" s="250">
        <f>R370/H370</f>
        <v/>
      </c>
      <c r="R370" s="251" t="n">
        <v>1844.48</v>
      </c>
      <c r="S370" s="249" t="n">
        <v>17707</v>
      </c>
      <c r="T370" s="252">
        <f>S370*R370</f>
        <v/>
      </c>
      <c r="U370" s="245" t="n"/>
      <c r="V370" s="245" t="n"/>
      <c r="W370" s="245" t="n"/>
      <c r="X370" s="245" t="n"/>
      <c r="Y370" s="245" t="n"/>
      <c r="Z370" s="245" t="n"/>
    </row>
    <row r="371" ht="16.5" customHeight="1" s="202">
      <c r="A371" s="245" t="n"/>
      <c r="B371" s="245" t="n"/>
      <c r="C371" s="245" t="n"/>
      <c r="D371" s="245" t="n"/>
      <c r="E371" s="245" t="n"/>
      <c r="F371" s="245" t="n"/>
      <c r="G371" s="245" t="n"/>
      <c r="H371" s="247" t="n">
        <v>165</v>
      </c>
      <c r="I371" s="245" t="inlineStr">
        <is>
          <t>MRKU4191038</t>
        </is>
      </c>
      <c r="J371" s="245" t="inlineStr">
        <is>
          <t>40FT</t>
        </is>
      </c>
      <c r="K371" s="245" t="inlineStr">
        <is>
          <t>6IN GREEN TEA MF MATTRESS NT</t>
        </is>
      </c>
      <c r="L371" s="245" t="inlineStr">
        <is>
          <t>ZU-MFMA1ZZI-06N</t>
        </is>
      </c>
      <c r="M371" s="248" t="inlineStr">
        <is>
          <t>5PXZZMMG</t>
        </is>
      </c>
      <c r="N371" s="245" t="inlineStr">
        <is>
          <t>F.MFM.06N.007.AD</t>
        </is>
      </c>
      <c r="O371" s="245" t="n"/>
      <c r="P371" s="245" t="n"/>
      <c r="Q371" s="250">
        <f>R371/H371</f>
        <v/>
      </c>
      <c r="R371" s="251" t="n">
        <v>4139.85</v>
      </c>
      <c r="S371" s="249" t="n">
        <v>17707</v>
      </c>
      <c r="T371" s="252">
        <f>S371*R371</f>
        <v/>
      </c>
      <c r="U371" s="245" t="n"/>
      <c r="V371" s="245" t="n"/>
      <c r="W371" s="245" t="n"/>
      <c r="X371" s="245" t="n"/>
      <c r="Y371" s="245" t="n"/>
      <c r="Z371" s="245" t="n"/>
    </row>
    <row r="372" ht="16.5" customHeight="1" s="202">
      <c r="A372" s="245" t="n"/>
      <c r="B372" s="245" t="n"/>
      <c r="C372" s="245" t="n"/>
      <c r="D372" s="245" t="n"/>
      <c r="E372" s="245" t="n"/>
      <c r="F372" s="245" t="n"/>
      <c r="G372" s="245" t="n"/>
      <c r="H372" s="247" t="n">
        <v>455</v>
      </c>
      <c r="I372" s="245" t="inlineStr"/>
      <c r="J372" s="245" t="inlineStr"/>
      <c r="K372" s="245" t="inlineStr">
        <is>
          <t>10IN GREEN TEA MF MATTRESS FL</t>
        </is>
      </c>
      <c r="L372" s="245" t="inlineStr">
        <is>
          <t>ZU-MFMA1ZZI-10F</t>
        </is>
      </c>
      <c r="M372" s="248" t="inlineStr">
        <is>
          <t>5PXZZMMG</t>
        </is>
      </c>
      <c r="N372" s="245" t="inlineStr">
        <is>
          <t>F.MFM.10F.007.AD</t>
        </is>
      </c>
      <c r="O372" s="245" t="n"/>
      <c r="P372" s="245" t="n"/>
      <c r="Q372" s="250">
        <f>R372/H372</f>
        <v/>
      </c>
      <c r="R372" s="251" t="n">
        <v>28237.3</v>
      </c>
      <c r="S372" s="249" t="n">
        <v>17707</v>
      </c>
      <c r="T372" s="252">
        <f>S372*R372</f>
        <v/>
      </c>
      <c r="U372" s="245" t="n"/>
      <c r="V372" s="245" t="n"/>
      <c r="W372" s="245" t="n"/>
      <c r="X372" s="245" t="n"/>
      <c r="Y372" s="245" t="n"/>
      <c r="Z372" s="245" t="n"/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7" t="n">
        <v>788</v>
      </c>
      <c r="I373" s="245" t="inlineStr"/>
      <c r="J373" s="245" t="inlineStr"/>
      <c r="K373" s="245" t="inlineStr">
        <is>
          <t>6IN GREEN TEA MF MATTRESS QN</t>
        </is>
      </c>
      <c r="L373" s="245" t="inlineStr">
        <is>
          <t>ZU-MFMA1ZZI-06Q</t>
        </is>
      </c>
      <c r="M373" s="248" t="inlineStr">
        <is>
          <t>7BX1JFHI</t>
        </is>
      </c>
      <c r="N373" s="245" t="inlineStr">
        <is>
          <t>F.MFM.06Q.007.AD</t>
        </is>
      </c>
      <c r="O373" s="245" t="n"/>
      <c r="P373" s="245" t="n"/>
      <c r="Q373" s="250">
        <f>R373/H373</f>
        <v/>
      </c>
      <c r="R373" s="251" t="n">
        <v>35861.88</v>
      </c>
      <c r="S373" s="249" t="n">
        <v>17707</v>
      </c>
      <c r="T373" s="252">
        <f>S373*R373</f>
        <v/>
      </c>
      <c r="U373" s="245" t="n"/>
      <c r="V373" s="245" t="n"/>
      <c r="W373" s="245" t="n"/>
      <c r="X373" s="245" t="n"/>
      <c r="Y373" s="245" t="n"/>
      <c r="Z373" s="245" t="n"/>
    </row>
    <row r="374" ht="16.5" customHeight="1" s="202">
      <c r="A374" s="245" t="n"/>
      <c r="B374" s="245" t="n"/>
      <c r="C374" s="245" t="n"/>
      <c r="D374" s="245" t="n"/>
      <c r="E374" s="245" t="n"/>
      <c r="F374" s="245" t="n"/>
      <c r="G374" s="245" t="n"/>
      <c r="H374" s="247" t="n">
        <v>14</v>
      </c>
      <c r="I374" s="245" t="inlineStr"/>
      <c r="J374" s="245" t="inlineStr"/>
      <c r="K374" s="245" t="inlineStr">
        <is>
          <t>14IN GREEN TEA FOAM MATTRESS K</t>
        </is>
      </c>
      <c r="L374" s="245" t="inlineStr">
        <is>
          <t>ZU-MFMA1ZZI-14K</t>
        </is>
      </c>
      <c r="M374" s="248" t="inlineStr">
        <is>
          <t>7BX1JFHI</t>
        </is>
      </c>
      <c r="N374" s="245" t="inlineStr">
        <is>
          <t>F.MFM.14K.000.AD</t>
        </is>
      </c>
      <c r="O374" s="245" t="n"/>
      <c r="P374" s="245" t="n"/>
      <c r="Q374" s="250">
        <f>R374/H374</f>
        <v/>
      </c>
      <c r="R374" s="251" t="n">
        <v>1810.48</v>
      </c>
      <c r="S374" s="249" t="n">
        <v>17707</v>
      </c>
      <c r="T374" s="252">
        <f>S374*R374</f>
        <v/>
      </c>
      <c r="U374" s="245" t="n"/>
      <c r="V374" s="245" t="n"/>
      <c r="W374" s="245" t="n"/>
      <c r="X374" s="245" t="n"/>
      <c r="Y374" s="245" t="n"/>
      <c r="Z374" s="245" t="n"/>
    </row>
    <row r="375" ht="16.5" customHeight="1" s="202">
      <c r="A375" s="245" t="n"/>
      <c r="B375" s="245" t="n"/>
      <c r="C375" s="245" t="n"/>
      <c r="D375" s="245" t="n"/>
      <c r="E375" s="245" t="n"/>
      <c r="F375" s="245" t="n"/>
      <c r="G375" s="245" t="n"/>
      <c r="H375" s="247" t="n">
        <v>506</v>
      </c>
      <c r="I375" s="245" t="inlineStr"/>
      <c r="J375" s="245" t="inlineStr"/>
      <c r="K375" s="245" t="inlineStr">
        <is>
          <t>12IN GREEN TEA MF MATTRESS QN</t>
        </is>
      </c>
      <c r="L375" s="245" t="inlineStr">
        <is>
          <t>ZU-MFMA1ZZI-12Q</t>
        </is>
      </c>
      <c r="M375" s="248" t="inlineStr">
        <is>
          <t>8R9FB6FB</t>
        </is>
      </c>
      <c r="N375" s="245" t="inlineStr">
        <is>
          <t>F.MFM.12Q.006.AD</t>
        </is>
      </c>
      <c r="O375" s="245" t="n"/>
      <c r="P375" s="245" t="n"/>
      <c r="Q375" s="250">
        <f>R375/H375</f>
        <v/>
      </c>
      <c r="R375" s="251" t="n">
        <v>42397.74</v>
      </c>
      <c r="S375" s="249" t="n">
        <v>17707</v>
      </c>
      <c r="T375" s="252">
        <f>S375*R375</f>
        <v/>
      </c>
      <c r="U375" s="245" t="n"/>
      <c r="V375" s="245" t="n"/>
      <c r="W375" s="245" t="n"/>
      <c r="X375" s="245" t="n"/>
      <c r="Y375" s="245" t="n"/>
      <c r="Z375" s="245" t="n"/>
    </row>
    <row r="376" ht="17.1" customHeight="1" s="202">
      <c r="A376" s="254" t="n"/>
      <c r="B376" s="254" t="n"/>
      <c r="C376" s="254" t="n"/>
      <c r="D376" s="254" t="n"/>
      <c r="E376" s="254" t="n"/>
      <c r="F376" s="254" t="n"/>
      <c r="G376" s="254" t="n"/>
      <c r="H376" s="255">
        <f>SUM(H366:H375)</f>
        <v/>
      </c>
      <c r="I376" s="254">
        <f>COUNTA(I366:I375)</f>
        <v/>
      </c>
      <c r="J376" s="254" t="n"/>
      <c r="K376" s="254" t="n"/>
      <c r="L376" s="254" t="n"/>
      <c r="M376" s="254" t="n"/>
      <c r="N376" s="254" t="n"/>
      <c r="O376" s="256">
        <f>SUM(O366:O375)</f>
        <v/>
      </c>
      <c r="P376" s="256">
        <f>SUM(P366:P375)</f>
        <v/>
      </c>
      <c r="Q376" s="254" t="n"/>
      <c r="R376" s="257">
        <f>SUM(R366:R375)</f>
        <v/>
      </c>
      <c r="S376" s="254" t="n"/>
      <c r="T376" s="258">
        <f>SUM(T366:T375)</f>
        <v/>
      </c>
      <c r="U376" s="254" t="n"/>
      <c r="V376" s="254" t="n"/>
      <c r="W376" s="254" t="n"/>
      <c r="X376" s="254" t="n"/>
      <c r="Y376" s="254" t="n"/>
      <c r="Z376" s="254" t="n"/>
    </row>
    <row r="377" ht="16.5" customHeight="1" s="202">
      <c r="A377" s="245" t="n">
        <v>62</v>
      </c>
      <c r="B377" s="245" t="inlineStr">
        <is>
          <t>000030ZIK48020260923000845</t>
        </is>
      </c>
      <c r="C377" s="245" t="n">
        <v>606937</v>
      </c>
      <c r="D377" s="245" t="n">
        <v>606872</v>
      </c>
      <c r="E377" s="246" t="n">
        <v>46289</v>
      </c>
      <c r="F377" s="245" t="inlineStr">
        <is>
          <t>ID2609-8529</t>
        </is>
      </c>
      <c r="G377" s="246" t="n">
        <v>46286</v>
      </c>
      <c r="H377" s="247" t="n">
        <v>184</v>
      </c>
      <c r="I377" s="245" t="inlineStr">
        <is>
          <t>MSKU1588281</t>
        </is>
      </c>
      <c r="J377" s="245" t="inlineStr">
        <is>
          <t>40FT</t>
        </is>
      </c>
      <c r="K377" s="245" t="inlineStr">
        <is>
          <t>8IN OPP HD TW</t>
        </is>
      </c>
      <c r="L377" s="245" t="inlineStr">
        <is>
          <t>ZU-MFMA1OZI-08T</t>
        </is>
      </c>
      <c r="M377" s="248" t="inlineStr">
        <is>
          <t>62FX2TCU</t>
        </is>
      </c>
      <c r="N377" s="245" t="inlineStr">
        <is>
          <t>F.MFM.08T.013.AD</t>
        </is>
      </c>
      <c r="O377" s="249" t="n">
        <v>81307.08</v>
      </c>
      <c r="P377" s="249" t="n">
        <v>69194.00999999999</v>
      </c>
      <c r="Q377" s="250">
        <f>R377/H377</f>
        <v/>
      </c>
      <c r="R377" s="251" t="n">
        <v>5508.96</v>
      </c>
      <c r="S377" s="249" t="n">
        <v>17707</v>
      </c>
      <c r="T377" s="252">
        <f>S377*R377</f>
        <v/>
      </c>
      <c r="U377" s="245" t="inlineStr">
        <is>
          <t>040300/KPPBC</t>
        </is>
      </c>
      <c r="V377" s="245" t="inlineStr">
        <is>
          <t>TG. PRIOK</t>
        </is>
      </c>
      <c r="W377" s="245" t="inlineStr">
        <is>
          <t>NORFOLK, US</t>
        </is>
      </c>
      <c r="X377" s="245" t="inlineStr">
        <is>
          <t>AMAZON.COM SERVICES LLC</t>
        </is>
      </c>
      <c r="Y377" s="245" t="inlineStr">
        <is>
          <t>MAEU276536057</t>
        </is>
      </c>
      <c r="Z377" s="246" t="n">
        <v>46289</v>
      </c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250</v>
      </c>
      <c r="I378" s="245" t="inlineStr">
        <is>
          <t>MSKU0733683</t>
        </is>
      </c>
      <c r="J378" s="245" t="inlineStr">
        <is>
          <t>40FT</t>
        </is>
      </c>
      <c r="K378" s="245" t="inlineStr">
        <is>
          <t>10IN AIRFLOW GEL FOAM MATT QN</t>
        </is>
      </c>
      <c r="L378" s="245" t="inlineStr">
        <is>
          <t>ZU-MFMA1RZI-10Q</t>
        </is>
      </c>
      <c r="M378" s="248" t="inlineStr">
        <is>
          <t>62FX2TCU</t>
        </is>
      </c>
      <c r="N378" s="245" t="inlineStr">
        <is>
          <t>F.MFM.10Q.014.AD</t>
        </is>
      </c>
      <c r="O378" s="245" t="n"/>
      <c r="P378" s="245" t="n"/>
      <c r="Q378" s="250">
        <f>R378/H378</f>
        <v/>
      </c>
      <c r="R378" s="251" t="n">
        <v>13475</v>
      </c>
      <c r="S378" s="249" t="n">
        <v>17707</v>
      </c>
      <c r="T378" s="252">
        <f>S378*R378</f>
        <v/>
      </c>
      <c r="U378" s="245" t="n"/>
      <c r="V378" s="245" t="n"/>
      <c r="W378" s="245" t="inlineStr">
        <is>
          <t>ETD : 30-09-2026</t>
        </is>
      </c>
      <c r="X378" s="245" t="n"/>
      <c r="Y378" s="245" t="n"/>
      <c r="Z378" s="245" t="n"/>
    </row>
    <row r="379" ht="16.5" customHeight="1" s="202">
      <c r="A379" s="245" t="n"/>
      <c r="B379" s="245" t="n"/>
      <c r="C379" s="245" t="n"/>
      <c r="D379" s="245" t="n"/>
      <c r="E379" s="245" t="n"/>
      <c r="F379" s="245" t="n"/>
      <c r="G379" s="245" t="n"/>
      <c r="H379" s="247" t="n">
        <v>57</v>
      </c>
      <c r="I379" s="245" t="inlineStr">
        <is>
          <t>MRKU3894864</t>
        </is>
      </c>
      <c r="J379" s="245" t="inlineStr">
        <is>
          <t>40FT</t>
        </is>
      </c>
      <c r="K379" s="245" t="inlineStr">
        <is>
          <t>10IN AIRFLOW GEL FOAM MATT TW</t>
        </is>
      </c>
      <c r="L379" s="245" t="inlineStr">
        <is>
          <t>ZU-MFMA1RZI-10T</t>
        </is>
      </c>
      <c r="M379" s="248" t="inlineStr">
        <is>
          <t>62FX2TCU</t>
        </is>
      </c>
      <c r="N379" s="245" t="inlineStr">
        <is>
          <t>F.MFM.10T.014.AD</t>
        </is>
      </c>
      <c r="O379" s="245" t="n"/>
      <c r="P379" s="245" t="n"/>
      <c r="Q379" s="250">
        <f>R379/H379</f>
        <v/>
      </c>
      <c r="R379" s="251" t="n">
        <v>2219.01</v>
      </c>
      <c r="S379" s="249" t="n">
        <v>17707</v>
      </c>
      <c r="T379" s="252">
        <f>S379*R379</f>
        <v/>
      </c>
      <c r="U379" s="245" t="n"/>
      <c r="V379" s="245" t="n"/>
      <c r="W379" s="245" t="n"/>
      <c r="X379" s="245" t="n"/>
      <c r="Y379" s="245" t="n"/>
      <c r="Z379" s="245" t="n"/>
    </row>
    <row r="380" ht="16.5" customHeight="1" s="202">
      <c r="A380" s="245" t="n"/>
      <c r="B380" s="245" t="n"/>
      <c r="C380" s="245" t="n"/>
      <c r="D380" s="245" t="n"/>
      <c r="E380" s="245" t="n"/>
      <c r="F380" s="245" t="n"/>
      <c r="G380" s="245" t="n"/>
      <c r="H380" s="247" t="n">
        <v>78</v>
      </c>
      <c r="I380" s="245" t="inlineStr">
        <is>
          <t>MIEU3020703</t>
        </is>
      </c>
      <c r="J380" s="245" t="inlineStr">
        <is>
          <t>40FT</t>
        </is>
      </c>
      <c r="K380" s="245" t="inlineStr">
        <is>
          <t>12IN GREEN TEA MF MATTRESS TX</t>
        </is>
      </c>
      <c r="L380" s="245" t="inlineStr">
        <is>
          <t>ZU-MFMA1ZZI-12X</t>
        </is>
      </c>
      <c r="M380" s="248" t="inlineStr">
        <is>
          <t>62FX2TCU</t>
        </is>
      </c>
      <c r="N380" s="245" t="inlineStr">
        <is>
          <t>F.MFM.12X.006.AD</t>
        </is>
      </c>
      <c r="O380" s="245" t="n"/>
      <c r="P380" s="245" t="n"/>
      <c r="Q380" s="250">
        <f>R380/H380</f>
        <v/>
      </c>
      <c r="R380" s="251" t="n">
        <v>4547.4</v>
      </c>
      <c r="S380" s="249" t="n">
        <v>17707</v>
      </c>
      <c r="T380" s="252">
        <f>S380*R380</f>
        <v/>
      </c>
      <c r="U380" s="245" t="n"/>
      <c r="V380" s="245" t="n"/>
      <c r="W380" s="245" t="n"/>
      <c r="X380" s="245" t="n"/>
      <c r="Y380" s="245" t="n"/>
      <c r="Z380" s="245" t="n"/>
    </row>
    <row r="381" ht="16.5" customHeight="1" s="202">
      <c r="A381" s="245" t="n"/>
      <c r="B381" s="245" t="n"/>
      <c r="C381" s="245" t="n"/>
      <c r="D381" s="245" t="n"/>
      <c r="E381" s="245" t="n"/>
      <c r="F381" s="245" t="n"/>
      <c r="G381" s="245" t="n"/>
      <c r="H381" s="247" t="n">
        <v>188</v>
      </c>
      <c r="I381" s="245" t="inlineStr">
        <is>
          <t>MRKU3513016</t>
        </is>
      </c>
      <c r="J381" s="245" t="inlineStr">
        <is>
          <t>40FT</t>
        </is>
      </c>
      <c r="K381" s="245" t="inlineStr">
        <is>
          <t>8IN GREEN TEA MF MATTRESS SQ</t>
        </is>
      </c>
      <c r="L381" s="245" t="inlineStr">
        <is>
          <t>ZU-MFMA1FZI-08S</t>
        </is>
      </c>
      <c r="M381" s="248" t="inlineStr">
        <is>
          <t>6DJHOHHG</t>
        </is>
      </c>
      <c r="N381" s="245" t="inlineStr">
        <is>
          <t>F.MFM.08S.012.AD</t>
        </is>
      </c>
      <c r="O381" s="245" t="n"/>
      <c r="P381" s="245" t="n"/>
      <c r="Q381" s="250">
        <f>R381/H381</f>
        <v/>
      </c>
      <c r="R381" s="251" t="n">
        <v>11684.2</v>
      </c>
      <c r="S381" s="249" t="n">
        <v>17707</v>
      </c>
      <c r="T381" s="252">
        <f>S381*R381</f>
        <v/>
      </c>
      <c r="U381" s="245" t="n"/>
      <c r="V381" s="245" t="n"/>
      <c r="W381" s="245" t="n"/>
      <c r="X381" s="245" t="n"/>
      <c r="Y381" s="245" t="n"/>
      <c r="Z381" s="245" t="n"/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7" t="n">
        <v>580</v>
      </c>
      <c r="I382" s="245" t="inlineStr">
        <is>
          <t>MRKU3824506</t>
        </is>
      </c>
      <c r="J382" s="245" t="inlineStr">
        <is>
          <t>40FT</t>
        </is>
      </c>
      <c r="K382" s="245" t="inlineStr">
        <is>
          <t>6IN GREEN TEA MF MATTRESS TW</t>
        </is>
      </c>
      <c r="L382" s="245" t="inlineStr">
        <is>
          <t>ZU-MFMA1ZZI-06T</t>
        </is>
      </c>
      <c r="M382" s="248" t="inlineStr">
        <is>
          <t>6DJHOHHG</t>
        </is>
      </c>
      <c r="N382" s="245" t="inlineStr">
        <is>
          <t>F.MFM.06T.007.AD</t>
        </is>
      </c>
      <c r="O382" s="245" t="n"/>
      <c r="P382" s="245" t="n"/>
      <c r="Q382" s="250">
        <f>R382/H382</f>
        <v/>
      </c>
      <c r="R382" s="251" t="n">
        <v>17695.8</v>
      </c>
      <c r="S382" s="249" t="n">
        <v>17707</v>
      </c>
      <c r="T382" s="252">
        <f>S382*R382</f>
        <v/>
      </c>
      <c r="U382" s="245" t="n"/>
      <c r="V382" s="245" t="n"/>
      <c r="W382" s="245" t="n"/>
      <c r="X382" s="245" t="n"/>
      <c r="Y382" s="245" t="n"/>
      <c r="Z382" s="245" t="n"/>
    </row>
    <row r="383" ht="16.5" customHeight="1" s="202">
      <c r="A383" s="245" t="n"/>
      <c r="B383" s="245" t="n"/>
      <c r="C383" s="245" t="n"/>
      <c r="D383" s="245" t="n"/>
      <c r="E383" s="245" t="n"/>
      <c r="F383" s="245" t="n"/>
      <c r="G383" s="245" t="n"/>
      <c r="H383" s="247" t="n">
        <v>2</v>
      </c>
      <c r="I383" s="245" t="inlineStr">
        <is>
          <t>MSKU1064221</t>
        </is>
      </c>
      <c r="J383" s="245" t="inlineStr">
        <is>
          <t>40FT</t>
        </is>
      </c>
      <c r="K383" s="245" t="inlineStr">
        <is>
          <t>6IN MYGEL FOAM MATTRESS TW</t>
        </is>
      </c>
      <c r="L383" s="245" t="inlineStr">
        <is>
          <t>ZU-MFGN1YZI-06T</t>
        </is>
      </c>
      <c r="M383" s="248" t="inlineStr">
        <is>
          <t>6RVCWHLT</t>
        </is>
      </c>
      <c r="N383" s="245" t="inlineStr">
        <is>
          <t>F.MFG.06T.002.AD</t>
        </is>
      </c>
      <c r="O383" s="245" t="n"/>
      <c r="P383" s="245" t="n"/>
      <c r="Q383" s="250">
        <f>R383/H383</f>
        <v/>
      </c>
      <c r="R383" s="251" t="n">
        <v>66.34</v>
      </c>
      <c r="S383" s="249" t="n">
        <v>17707</v>
      </c>
      <c r="T383" s="252">
        <f>S383*R383</f>
        <v/>
      </c>
      <c r="U383" s="245" t="n"/>
      <c r="V383" s="245" t="n"/>
      <c r="W383" s="245" t="n"/>
      <c r="X383" s="245" t="n"/>
      <c r="Y383" s="245" t="n"/>
      <c r="Z383" s="245" t="n"/>
    </row>
    <row r="384" ht="16.5" customHeight="1" s="202">
      <c r="A384" s="245" t="n"/>
      <c r="B384" s="245" t="n"/>
      <c r="C384" s="245" t="n"/>
      <c r="D384" s="245" t="n"/>
      <c r="E384" s="245" t="n"/>
      <c r="F384" s="245" t="n"/>
      <c r="G384" s="245" t="n"/>
      <c r="H384" s="247" t="n">
        <v>18</v>
      </c>
      <c r="I384" s="245" t="inlineStr"/>
      <c r="J384" s="245" t="inlineStr"/>
      <c r="K384" s="245" t="inlineStr">
        <is>
          <t>8IN MYGEL FOAM MATTRESS SQ</t>
        </is>
      </c>
      <c r="L384" s="245" t="inlineStr">
        <is>
          <t>ZU-MFGN1YZI-08S</t>
        </is>
      </c>
      <c r="M384" s="248" t="inlineStr">
        <is>
          <t>6RVCWHLT</t>
        </is>
      </c>
      <c r="N384" s="245" t="inlineStr">
        <is>
          <t>F.MFG.08S.003.AD</t>
        </is>
      </c>
      <c r="O384" s="245" t="n"/>
      <c r="P384" s="245" t="n"/>
      <c r="Q384" s="250">
        <f>R384/H384</f>
        <v/>
      </c>
      <c r="R384" s="251" t="n">
        <v>1063.08</v>
      </c>
      <c r="S384" s="249" t="n">
        <v>17707</v>
      </c>
      <c r="T384" s="252">
        <f>S384*R384</f>
        <v/>
      </c>
      <c r="U384" s="245" t="n"/>
      <c r="V384" s="245" t="n"/>
      <c r="W384" s="245" t="n"/>
      <c r="X384" s="245" t="n"/>
      <c r="Y384" s="245" t="n"/>
      <c r="Z384" s="245" t="n"/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12</v>
      </c>
      <c r="I385" s="245" t="inlineStr"/>
      <c r="J385" s="245" t="inlineStr"/>
      <c r="K385" s="245" t="inlineStr">
        <is>
          <t>12IN MYGEL FOAM MATTRESS QN</t>
        </is>
      </c>
      <c r="L385" s="245" t="inlineStr">
        <is>
          <t>ZU-MFGN1YZI-12Q</t>
        </is>
      </c>
      <c r="M385" s="248" t="inlineStr">
        <is>
          <t>6RVCWHLT</t>
        </is>
      </c>
      <c r="N385" s="245" t="inlineStr">
        <is>
          <t>F.MFG.12Q.002.AD</t>
        </is>
      </c>
      <c r="O385" s="245" t="n"/>
      <c r="P385" s="245" t="n"/>
      <c r="Q385" s="250">
        <f>R385/H385</f>
        <v/>
      </c>
      <c r="R385" s="251" t="n">
        <v>987.6</v>
      </c>
      <c r="S385" s="249" t="n">
        <v>17707</v>
      </c>
      <c r="T385" s="252">
        <f>S385*R385</f>
        <v/>
      </c>
      <c r="U385" s="245" t="n"/>
      <c r="V385" s="245" t="n"/>
      <c r="W385" s="245" t="n"/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4</v>
      </c>
      <c r="I386" s="245" t="inlineStr"/>
      <c r="J386" s="245" t="inlineStr"/>
      <c r="K386" s="245" t="inlineStr">
        <is>
          <t>12IN QUADCOOL MF MATTRESS EK</t>
        </is>
      </c>
      <c r="L386" s="245" t="inlineStr">
        <is>
          <t>ZU-MFGNU2ZU-12K</t>
        </is>
      </c>
      <c r="M386" s="248" t="inlineStr">
        <is>
          <t>6RVCWHLT</t>
        </is>
      </c>
      <c r="N386" s="245" t="inlineStr">
        <is>
          <t>F.MFG.12K.000.AD</t>
        </is>
      </c>
      <c r="O386" s="245" t="n"/>
      <c r="P386" s="245" t="n"/>
      <c r="Q386" s="250">
        <f>R386/H386</f>
        <v/>
      </c>
      <c r="R386" s="251" t="n">
        <v>516.92</v>
      </c>
      <c r="S386" s="249" t="n">
        <v>17707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66</v>
      </c>
      <c r="I387" s="245" t="inlineStr"/>
      <c r="J387" s="245" t="inlineStr"/>
      <c r="K387" s="245" t="inlineStr">
        <is>
          <t>8IN GREEN TEA MF MATTRESS SQ</t>
        </is>
      </c>
      <c r="L387" s="245" t="inlineStr">
        <is>
          <t>ZU-MFMA1FZI-08S</t>
        </is>
      </c>
      <c r="M387" s="248" t="inlineStr">
        <is>
          <t>6RVCWHLT</t>
        </is>
      </c>
      <c r="N387" s="245" t="inlineStr">
        <is>
          <t>F.MFM.08S.012.AD</t>
        </is>
      </c>
      <c r="O387" s="245" t="n"/>
      <c r="P387" s="245" t="n"/>
      <c r="Q387" s="250">
        <f>R387/H387</f>
        <v/>
      </c>
      <c r="R387" s="251" t="n">
        <v>4101.9</v>
      </c>
      <c r="S387" s="249" t="n">
        <v>17707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12</v>
      </c>
      <c r="I388" s="245" t="inlineStr"/>
      <c r="J388" s="245" t="inlineStr"/>
      <c r="K388" s="245" t="inlineStr">
        <is>
          <t>6IN OPP HD FL</t>
        </is>
      </c>
      <c r="L388" s="245" t="inlineStr">
        <is>
          <t>ZU-MFMA1OZI-06F</t>
        </is>
      </c>
      <c r="M388" s="248" t="inlineStr">
        <is>
          <t>6RVCWHLT</t>
        </is>
      </c>
      <c r="N388" s="245" t="inlineStr">
        <is>
          <t>F.MFM.06F.008.AD</t>
        </is>
      </c>
      <c r="O388" s="245" t="n"/>
      <c r="P388" s="245" t="n"/>
      <c r="Q388" s="250">
        <f>R388/H388</f>
        <v/>
      </c>
      <c r="R388" s="251" t="n">
        <v>461.4</v>
      </c>
      <c r="S388" s="249" t="n">
        <v>17707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152</v>
      </c>
      <c r="I389" s="245" t="inlineStr"/>
      <c r="J389" s="245" t="inlineStr"/>
      <c r="K389" s="245" t="inlineStr">
        <is>
          <t>8IN OPP HD TW</t>
        </is>
      </c>
      <c r="L389" s="245" t="inlineStr">
        <is>
          <t>ZU-MFMA1OZI-08T</t>
        </is>
      </c>
      <c r="M389" s="248" t="inlineStr">
        <is>
          <t>6RVCWHLT</t>
        </is>
      </c>
      <c r="N389" s="245" t="inlineStr">
        <is>
          <t>F.MFM.08T.013.AD</t>
        </is>
      </c>
      <c r="O389" s="245" t="n"/>
      <c r="P389" s="245" t="n"/>
      <c r="Q389" s="250">
        <f>R389/H389</f>
        <v/>
      </c>
      <c r="R389" s="251" t="n">
        <v>4550.88</v>
      </c>
      <c r="S389" s="249" t="n">
        <v>17707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9</v>
      </c>
      <c r="I390" s="245" t="inlineStr"/>
      <c r="J390" s="245" t="inlineStr"/>
      <c r="K390" s="245" t="inlineStr">
        <is>
          <t>10IN OPP HD EK</t>
        </is>
      </c>
      <c r="L390" s="245" t="inlineStr">
        <is>
          <t>ZU-MFMA1OZI-10K</t>
        </is>
      </c>
      <c r="M390" s="248" t="inlineStr">
        <is>
          <t>6RVCWHLT</t>
        </is>
      </c>
      <c r="N390" s="245" t="inlineStr">
        <is>
          <t>F.MFM.10K.013.AD</t>
        </is>
      </c>
      <c r="O390" s="245" t="n"/>
      <c r="P390" s="245" t="n"/>
      <c r="Q390" s="250">
        <f>R390/H390</f>
        <v/>
      </c>
      <c r="R390" s="251" t="n">
        <v>592.92</v>
      </c>
      <c r="S390" s="249" t="n">
        <v>17707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6.5" customHeight="1" s="202">
      <c r="A391" s="245" t="n"/>
      <c r="B391" s="245" t="n"/>
      <c r="C391" s="245" t="n"/>
      <c r="D391" s="245" t="n"/>
      <c r="E391" s="245" t="n"/>
      <c r="F391" s="245" t="n"/>
      <c r="G391" s="245" t="n"/>
      <c r="H391" s="247" t="n">
        <v>1</v>
      </c>
      <c r="I391" s="245" t="inlineStr"/>
      <c r="J391" s="245" t="inlineStr"/>
      <c r="K391" s="245" t="inlineStr">
        <is>
          <t>10IN OPP HD TW</t>
        </is>
      </c>
      <c r="L391" s="245" t="inlineStr">
        <is>
          <t>ZU-MFMA1OZI-10T</t>
        </is>
      </c>
      <c r="M391" s="248" t="inlineStr">
        <is>
          <t>6RVCWHLT</t>
        </is>
      </c>
      <c r="N391" s="245" t="inlineStr">
        <is>
          <t>F.MFM.10T.013.AD</t>
        </is>
      </c>
      <c r="O391" s="245" t="n"/>
      <c r="P391" s="245" t="n"/>
      <c r="Q391" s="250">
        <f>R391/H391</f>
        <v/>
      </c>
      <c r="R391" s="251" t="n">
        <v>38.93</v>
      </c>
      <c r="S391" s="249" t="n">
        <v>17707</v>
      </c>
      <c r="T391" s="252">
        <f>S391*R391</f>
        <v/>
      </c>
      <c r="U391" s="245" t="n"/>
      <c r="V391" s="245" t="n"/>
      <c r="W391" s="245" t="n"/>
      <c r="X391" s="245" t="n"/>
      <c r="Y391" s="245" t="n"/>
      <c r="Z391" s="245" t="n"/>
    </row>
    <row r="392" ht="16.5" customHeight="1" s="202">
      <c r="A392" s="245" t="n"/>
      <c r="B392" s="245" t="n"/>
      <c r="C392" s="245" t="n"/>
      <c r="D392" s="245" t="n"/>
      <c r="E392" s="245" t="n"/>
      <c r="F392" s="245" t="n"/>
      <c r="G392" s="245" t="n"/>
      <c r="H392" s="247" t="n">
        <v>5</v>
      </c>
      <c r="I392" s="245" t="inlineStr"/>
      <c r="J392" s="245" t="inlineStr"/>
      <c r="K392" s="245" t="inlineStr">
        <is>
          <t>12IN OPP HD FL</t>
        </is>
      </c>
      <c r="L392" s="245" t="inlineStr">
        <is>
          <t>ZU-MFMA1OZI-12F</t>
        </is>
      </c>
      <c r="M392" s="248" t="inlineStr">
        <is>
          <t>6RVCWHLT</t>
        </is>
      </c>
      <c r="N392" s="245" t="inlineStr">
        <is>
          <t>F.MFM.12F.010.AD</t>
        </is>
      </c>
      <c r="O392" s="245" t="n"/>
      <c r="P392" s="245" t="n"/>
      <c r="Q392" s="250">
        <f>R392/H392</f>
        <v/>
      </c>
      <c r="R392" s="251" t="n">
        <v>323.15</v>
      </c>
      <c r="S392" s="249" t="n">
        <v>17707</v>
      </c>
      <c r="T392" s="252">
        <f>S392*R392</f>
        <v/>
      </c>
      <c r="U392" s="245" t="n"/>
      <c r="V392" s="245" t="n"/>
      <c r="W392" s="245" t="n"/>
      <c r="X392" s="245" t="n"/>
      <c r="Y392" s="245" t="n"/>
      <c r="Z392" s="245" t="n"/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8</v>
      </c>
      <c r="I393" s="245" t="inlineStr"/>
      <c r="J393" s="245" t="inlineStr"/>
      <c r="K393" s="245" t="inlineStr">
        <is>
          <t>10IN AIRFLOW GEL FOAM MATT FL</t>
        </is>
      </c>
      <c r="L393" s="245" t="inlineStr">
        <is>
          <t>ZU-MFMA1RZI-10F</t>
        </is>
      </c>
      <c r="M393" s="248" t="inlineStr">
        <is>
          <t>6RVCWHLT</t>
        </is>
      </c>
      <c r="N393" s="245" t="inlineStr">
        <is>
          <t>F.MFM.10F.014.AD</t>
        </is>
      </c>
      <c r="O393" s="245" t="n"/>
      <c r="P393" s="245" t="n"/>
      <c r="Q393" s="250">
        <f>R393/H393</f>
        <v/>
      </c>
      <c r="R393" s="251" t="n">
        <v>383.28</v>
      </c>
      <c r="S393" s="249" t="n">
        <v>17707</v>
      </c>
      <c r="T393" s="252">
        <f>S393*R393</f>
        <v/>
      </c>
      <c r="U393" s="245" t="n"/>
      <c r="V393" s="245" t="n"/>
      <c r="W393" s="245" t="n"/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105</v>
      </c>
      <c r="I394" s="245" t="inlineStr"/>
      <c r="J394" s="245" t="inlineStr"/>
      <c r="K394" s="245" t="inlineStr">
        <is>
          <t>10IN AIRFLOW GEL FOAM MATT QN</t>
        </is>
      </c>
      <c r="L394" s="245" t="inlineStr">
        <is>
          <t>ZU-MFMA1RZI-10Q</t>
        </is>
      </c>
      <c r="M394" s="248" t="inlineStr">
        <is>
          <t>6RVCWHLT</t>
        </is>
      </c>
      <c r="N394" s="245" t="inlineStr">
        <is>
          <t>F.MFM.10Q.014.AD</t>
        </is>
      </c>
      <c r="O394" s="245" t="n"/>
      <c r="P394" s="245" t="n"/>
      <c r="Q394" s="250">
        <f>R394/H394</f>
        <v/>
      </c>
      <c r="R394" s="251" t="n">
        <v>5659.5</v>
      </c>
      <c r="S394" s="249" t="n">
        <v>17707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1</v>
      </c>
      <c r="I395" s="245" t="inlineStr"/>
      <c r="J395" s="245" t="inlineStr"/>
      <c r="K395" s="245" t="inlineStr">
        <is>
          <t>10IN AIRFLOW GEL FOAM MATT TW</t>
        </is>
      </c>
      <c r="L395" s="245" t="inlineStr">
        <is>
          <t>ZU-MFMA1RZI-10T</t>
        </is>
      </c>
      <c r="M395" s="248" t="inlineStr">
        <is>
          <t>6RVCWHLT</t>
        </is>
      </c>
      <c r="N395" s="245" t="inlineStr">
        <is>
          <t>F.MFM.10T.014.AD</t>
        </is>
      </c>
      <c r="O395" s="245" t="n"/>
      <c r="P395" s="245" t="n"/>
      <c r="Q395" s="250">
        <f>R395/H395</f>
        <v/>
      </c>
      <c r="R395" s="251" t="n">
        <v>38.93</v>
      </c>
      <c r="S395" s="249" t="n">
        <v>17707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102</v>
      </c>
      <c r="I396" s="245" t="inlineStr"/>
      <c r="J396" s="245" t="inlineStr"/>
      <c r="K396" s="245" t="inlineStr">
        <is>
          <t>6IN GREEN TEA MF MATTRESS TW</t>
        </is>
      </c>
      <c r="L396" s="245" t="inlineStr">
        <is>
          <t>ZU-MFMA1ZZI-06T</t>
        </is>
      </c>
      <c r="M396" s="248" t="inlineStr">
        <is>
          <t>6RVCWHLT</t>
        </is>
      </c>
      <c r="N396" s="245" t="inlineStr">
        <is>
          <t>F.MFM.06T.007.AD</t>
        </is>
      </c>
      <c r="O396" s="245" t="n"/>
      <c r="P396" s="245" t="n"/>
      <c r="Q396" s="250">
        <f>R396/H396</f>
        <v/>
      </c>
      <c r="R396" s="251" t="n">
        <v>3112.02</v>
      </c>
      <c r="S396" s="249" t="n">
        <v>17707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7</v>
      </c>
      <c r="I397" s="245" t="inlineStr"/>
      <c r="J397" s="245" t="inlineStr"/>
      <c r="K397" s="245" t="inlineStr">
        <is>
          <t>8IN GREEN TEA MF MATTRESS FL</t>
        </is>
      </c>
      <c r="L397" s="245" t="inlineStr">
        <is>
          <t>ZU-MFMA1ZZI-08F</t>
        </is>
      </c>
      <c r="M397" s="248" t="inlineStr">
        <is>
          <t>6RVCWHLT</t>
        </is>
      </c>
      <c r="N397" s="245" t="inlineStr">
        <is>
          <t>F.MFM.08F.008.AD</t>
        </is>
      </c>
      <c r="O397" s="245" t="n"/>
      <c r="P397" s="245" t="n"/>
      <c r="Q397" s="250">
        <f>R397/H397</f>
        <v/>
      </c>
      <c r="R397" s="251" t="n">
        <v>391.93</v>
      </c>
      <c r="S397" s="249" t="n">
        <v>17707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6.5" customHeight="1" s="202">
      <c r="A398" s="245" t="n"/>
      <c r="B398" s="245" t="n"/>
      <c r="C398" s="245" t="n"/>
      <c r="D398" s="245" t="n"/>
      <c r="E398" s="245" t="n"/>
      <c r="F398" s="245" t="n"/>
      <c r="G398" s="245" t="n"/>
      <c r="H398" s="247" t="n">
        <v>8</v>
      </c>
      <c r="I398" s="245" t="inlineStr"/>
      <c r="J398" s="245" t="inlineStr"/>
      <c r="K398" s="245" t="inlineStr">
        <is>
          <t>12IN GREEN TEA MF MATTRESS CK</t>
        </is>
      </c>
      <c r="L398" s="245" t="inlineStr">
        <is>
          <t>ZU-MFMA1ZZI-12C</t>
        </is>
      </c>
      <c r="M398" s="248" t="inlineStr">
        <is>
          <t>6RVCWHLT</t>
        </is>
      </c>
      <c r="N398" s="245" t="inlineStr">
        <is>
          <t>F.MFM.12C.006.AD</t>
        </is>
      </c>
      <c r="O398" s="245" t="n"/>
      <c r="P398" s="245" t="n"/>
      <c r="Q398" s="250">
        <f>R398/H398</f>
        <v/>
      </c>
      <c r="R398" s="251" t="n">
        <v>804.16</v>
      </c>
      <c r="S398" s="249" t="n">
        <v>17707</v>
      </c>
      <c r="T398" s="252">
        <f>S398*R398</f>
        <v/>
      </c>
      <c r="U398" s="245" t="n"/>
      <c r="V398" s="245" t="n"/>
      <c r="W398" s="245" t="n"/>
      <c r="X398" s="245" t="n"/>
      <c r="Y398" s="245" t="n"/>
      <c r="Z398" s="245" t="n"/>
    </row>
    <row r="399" ht="16.5" customHeight="1" s="202">
      <c r="A399" s="245" t="n"/>
      <c r="B399" s="245" t="n"/>
      <c r="C399" s="245" t="n"/>
      <c r="D399" s="245" t="n"/>
      <c r="E399" s="245" t="n"/>
      <c r="F399" s="245" t="n"/>
      <c r="G399" s="245" t="n"/>
      <c r="H399" s="247" t="n">
        <v>6</v>
      </c>
      <c r="I399" s="245" t="inlineStr"/>
      <c r="J399" s="245" t="inlineStr"/>
      <c r="K399" s="245" t="inlineStr">
        <is>
          <t>12IN GREEN TEA MF MATTRESS TW</t>
        </is>
      </c>
      <c r="L399" s="245" t="inlineStr">
        <is>
          <t>ZU-MFMA1ZZI-12T</t>
        </is>
      </c>
      <c r="M399" s="248" t="inlineStr">
        <is>
          <t>6RVCWHLT</t>
        </is>
      </c>
      <c r="N399" s="245" t="inlineStr">
        <is>
          <t>F.MFM.12T.006.AD</t>
        </is>
      </c>
      <c r="O399" s="245" t="n"/>
      <c r="P399" s="245" t="n"/>
      <c r="Q399" s="250">
        <f>R399/H399</f>
        <v/>
      </c>
      <c r="R399" s="251" t="n">
        <v>379.2</v>
      </c>
      <c r="S399" s="249" t="n">
        <v>17707</v>
      </c>
      <c r="T399" s="252">
        <f>S399*R399</f>
        <v/>
      </c>
      <c r="U399" s="245" t="n"/>
      <c r="V399" s="245" t="n"/>
      <c r="W399" s="245" t="n"/>
      <c r="X399" s="245" t="n"/>
      <c r="Y399" s="245" t="n"/>
      <c r="Z399" s="245" t="n"/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4</v>
      </c>
      <c r="I400" s="245" t="inlineStr"/>
      <c r="J400" s="245" t="inlineStr"/>
      <c r="K400" s="245" t="inlineStr">
        <is>
          <t>12IN GREEN TEA MF MATTRESS TX</t>
        </is>
      </c>
      <c r="L400" s="245" t="inlineStr">
        <is>
          <t>ZU-MFMA1ZZI-12X</t>
        </is>
      </c>
      <c r="M400" s="248" t="inlineStr">
        <is>
          <t>6RVCWHLT</t>
        </is>
      </c>
      <c r="N400" s="245" t="inlineStr">
        <is>
          <t>F.MFM.12X.006.AD</t>
        </is>
      </c>
      <c r="O400" s="245" t="n"/>
      <c r="P400" s="245" t="n"/>
      <c r="Q400" s="250">
        <f>R400/H400</f>
        <v/>
      </c>
      <c r="R400" s="251" t="n">
        <v>233.2</v>
      </c>
      <c r="S400" s="249" t="n">
        <v>17707</v>
      </c>
      <c r="T400" s="252">
        <f>S400*R400</f>
        <v/>
      </c>
      <c r="U400" s="245" t="n"/>
      <c r="V400" s="245" t="n"/>
      <c r="W400" s="245" t="n"/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102</v>
      </c>
      <c r="I401" s="245" t="inlineStr"/>
      <c r="J401" s="245" t="inlineStr"/>
      <c r="K401" s="245" t="inlineStr">
        <is>
          <t>8IN OPP HD TW</t>
        </is>
      </c>
      <c r="L401" s="245" t="inlineStr">
        <is>
          <t>ZU-MFMA1OZI-08T</t>
        </is>
      </c>
      <c r="M401" s="248" t="inlineStr">
        <is>
          <t>7DNJIBUK</t>
        </is>
      </c>
      <c r="N401" s="245" t="inlineStr">
        <is>
          <t>F.MFM.08T.013.AD</t>
        </is>
      </c>
      <c r="O401" s="245" t="n"/>
      <c r="P401" s="245" t="n"/>
      <c r="Q401" s="250">
        <f>R401/H401</f>
        <v/>
      </c>
      <c r="R401" s="251" t="n">
        <v>3053.88</v>
      </c>
      <c r="S401" s="249" t="n">
        <v>17707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28</v>
      </c>
      <c r="I402" s="245" t="inlineStr"/>
      <c r="J402" s="245" t="inlineStr"/>
      <c r="K402" s="245" t="inlineStr">
        <is>
          <t>10IN OPP HD EK</t>
        </is>
      </c>
      <c r="L402" s="245" t="inlineStr">
        <is>
          <t>ZU-MFMA1OZI-10K</t>
        </is>
      </c>
      <c r="M402" s="248" t="inlineStr">
        <is>
          <t>7DNJIBUK</t>
        </is>
      </c>
      <c r="N402" s="245" t="inlineStr">
        <is>
          <t>F.MFM.10K.013.AD</t>
        </is>
      </c>
      <c r="O402" s="245" t="n"/>
      <c r="P402" s="245" t="n"/>
      <c r="Q402" s="250">
        <f>R402/H402</f>
        <v/>
      </c>
      <c r="R402" s="251" t="n">
        <v>1844.64</v>
      </c>
      <c r="S402" s="249" t="n">
        <v>17707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6.5" customHeight="1" s="202">
      <c r="A403" s="245" t="n"/>
      <c r="B403" s="245" t="n"/>
      <c r="C403" s="245" t="n"/>
      <c r="D403" s="245" t="n"/>
      <c r="E403" s="245" t="n"/>
      <c r="F403" s="245" t="n"/>
      <c r="G403" s="245" t="n"/>
      <c r="H403" s="247" t="n">
        <v>470</v>
      </c>
      <c r="I403" s="245" t="inlineStr"/>
      <c r="J403" s="245" t="inlineStr"/>
      <c r="K403" s="245" t="inlineStr">
        <is>
          <t>8IN GREEN TEA MF MATTRESS FL</t>
        </is>
      </c>
      <c r="L403" s="245" t="inlineStr">
        <is>
          <t>ZU-MFMA1ZZI-08F</t>
        </is>
      </c>
      <c r="M403" s="248" t="inlineStr">
        <is>
          <t>7DNJIBUK</t>
        </is>
      </c>
      <c r="N403" s="245" t="inlineStr">
        <is>
          <t>F.MFM.08F.008.AD</t>
        </is>
      </c>
      <c r="O403" s="245" t="n"/>
      <c r="P403" s="245" t="n"/>
      <c r="Q403" s="250">
        <f>R403/H403</f>
        <v/>
      </c>
      <c r="R403" s="251" t="n">
        <v>26315.3</v>
      </c>
      <c r="S403" s="249" t="n">
        <v>17707</v>
      </c>
      <c r="T403" s="252">
        <f>S403*R403</f>
        <v/>
      </c>
      <c r="U403" s="245" t="n"/>
      <c r="V403" s="245" t="n"/>
      <c r="W403" s="245" t="n"/>
      <c r="X403" s="245" t="n"/>
      <c r="Y403" s="245" t="n"/>
      <c r="Z403" s="245" t="n"/>
    </row>
    <row r="404" ht="16.5" customHeight="1" s="202">
      <c r="A404" s="245" t="n"/>
      <c r="B404" s="245" t="n"/>
      <c r="C404" s="245" t="n"/>
      <c r="D404" s="245" t="n"/>
      <c r="E404" s="245" t="n"/>
      <c r="F404" s="245" t="n"/>
      <c r="G404" s="245" t="n"/>
      <c r="H404" s="247" t="n">
        <v>51</v>
      </c>
      <c r="I404" s="245" t="inlineStr"/>
      <c r="J404" s="245" t="inlineStr"/>
      <c r="K404" s="245" t="inlineStr">
        <is>
          <t>8IN MYGEL FOAM MATTRESS SQ</t>
        </is>
      </c>
      <c r="L404" s="245" t="inlineStr">
        <is>
          <t>ZU-MFGN1YZI-08S</t>
        </is>
      </c>
      <c r="M404" s="248" t="inlineStr">
        <is>
          <t>8P5G2ATH</t>
        </is>
      </c>
      <c r="N404" s="245" t="inlineStr">
        <is>
          <t>F.MFG.08S.003.AD</t>
        </is>
      </c>
      <c r="O404" s="245" t="n"/>
      <c r="P404" s="245" t="n"/>
      <c r="Q404" s="250">
        <f>R404/H404</f>
        <v/>
      </c>
      <c r="R404" s="251" t="n">
        <v>3012.06</v>
      </c>
      <c r="S404" s="249" t="n">
        <v>17707</v>
      </c>
      <c r="T404" s="252">
        <f>S404*R404</f>
        <v/>
      </c>
      <c r="U404" s="245" t="n"/>
      <c r="V404" s="245" t="n"/>
      <c r="W404" s="245" t="n"/>
      <c r="X404" s="245" t="n"/>
      <c r="Y404" s="245" t="n"/>
      <c r="Z404" s="245" t="n"/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61</v>
      </c>
      <c r="I405" s="245" t="inlineStr"/>
      <c r="J405" s="245" t="inlineStr"/>
      <c r="K405" s="245" t="inlineStr">
        <is>
          <t>12IN MYGEL FOAM MATTRESS QN</t>
        </is>
      </c>
      <c r="L405" s="245" t="inlineStr">
        <is>
          <t>ZU-MFGN1YZI-12Q</t>
        </is>
      </c>
      <c r="M405" s="248" t="inlineStr">
        <is>
          <t>8P5G2ATH</t>
        </is>
      </c>
      <c r="N405" s="245" t="inlineStr">
        <is>
          <t>F.MFG.12Q.002.AD</t>
        </is>
      </c>
      <c r="O405" s="245" t="n"/>
      <c r="P405" s="245" t="n"/>
      <c r="Q405" s="250">
        <f>R405/H405</f>
        <v/>
      </c>
      <c r="R405" s="251" t="n">
        <v>5020.3</v>
      </c>
      <c r="S405" s="249" t="n">
        <v>17707</v>
      </c>
      <c r="T405" s="252">
        <f>S405*R405</f>
        <v/>
      </c>
      <c r="U405" s="245" t="n"/>
      <c r="V405" s="245" t="n"/>
      <c r="W405" s="245" t="n"/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1</v>
      </c>
      <c r="I406" s="245" t="inlineStr"/>
      <c r="J406" s="245" t="inlineStr"/>
      <c r="K406" s="245" t="inlineStr">
        <is>
          <t>8IN GREEN TEA MF MATTRESS SQ</t>
        </is>
      </c>
      <c r="L406" s="245" t="inlineStr">
        <is>
          <t>ZU-MFMA1FZI-08S</t>
        </is>
      </c>
      <c r="M406" s="248" t="inlineStr">
        <is>
          <t>8P5G2ATH</t>
        </is>
      </c>
      <c r="N406" s="245" t="inlineStr">
        <is>
          <t>F.MFM.08S.012.AD</t>
        </is>
      </c>
      <c r="O406" s="245" t="n"/>
      <c r="P406" s="245" t="n"/>
      <c r="Q406" s="250">
        <f>R406/H406</f>
        <v/>
      </c>
      <c r="R406" s="251" t="n">
        <v>62.15</v>
      </c>
      <c r="S406" s="249" t="n">
        <v>17707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6.5" customHeight="1" s="202">
      <c r="A407" s="245" t="n"/>
      <c r="B407" s="245" t="n"/>
      <c r="C407" s="245" t="n"/>
      <c r="D407" s="245" t="n"/>
      <c r="E407" s="245" t="n"/>
      <c r="F407" s="245" t="n"/>
      <c r="G407" s="245" t="n"/>
      <c r="H407" s="247" t="n">
        <v>29</v>
      </c>
      <c r="I407" s="245" t="inlineStr"/>
      <c r="J407" s="245" t="inlineStr"/>
      <c r="K407" s="245" t="inlineStr">
        <is>
          <t>10IN AIRFLOW GEL FOAM MATT FL</t>
        </is>
      </c>
      <c r="L407" s="245" t="inlineStr">
        <is>
          <t>ZU-MFMA1RZI-10F</t>
        </is>
      </c>
      <c r="M407" s="248" t="inlineStr">
        <is>
          <t>8P5G2ATH</t>
        </is>
      </c>
      <c r="N407" s="245" t="inlineStr">
        <is>
          <t>F.MFM.10F.014.AD</t>
        </is>
      </c>
      <c r="O407" s="245" t="n"/>
      <c r="P407" s="245" t="n"/>
      <c r="Q407" s="250">
        <f>R407/H407</f>
        <v/>
      </c>
      <c r="R407" s="251" t="n">
        <v>1389.39</v>
      </c>
      <c r="S407" s="249" t="n">
        <v>17707</v>
      </c>
      <c r="T407" s="252">
        <f>S407*R407</f>
        <v/>
      </c>
      <c r="U407" s="245" t="n"/>
      <c r="V407" s="245" t="n"/>
      <c r="W407" s="245" t="n"/>
      <c r="X407" s="245" t="n"/>
      <c r="Y407" s="245" t="n"/>
      <c r="Z407" s="245" t="n"/>
    </row>
    <row r="408" ht="16.5" customHeight="1" s="202">
      <c r="A408" s="245" t="n"/>
      <c r="B408" s="245" t="n"/>
      <c r="C408" s="245" t="n"/>
      <c r="D408" s="245" t="n"/>
      <c r="E408" s="245" t="n"/>
      <c r="F408" s="245" t="n"/>
      <c r="G408" s="245" t="n"/>
      <c r="H408" s="247" t="n">
        <v>317</v>
      </c>
      <c r="I408" s="245" t="inlineStr"/>
      <c r="J408" s="245" t="inlineStr"/>
      <c r="K408" s="245" t="inlineStr">
        <is>
          <t>8IN GREEN TEA MF MATTRESS FL</t>
        </is>
      </c>
      <c r="L408" s="245" t="inlineStr">
        <is>
          <t>ZU-MFMA1ZZI-08F</t>
        </is>
      </c>
      <c r="M408" s="248" t="inlineStr">
        <is>
          <t>8P5G2ATH</t>
        </is>
      </c>
      <c r="N408" s="245" t="inlineStr">
        <is>
          <t>F.MFM.08F.008.AD</t>
        </is>
      </c>
      <c r="O408" s="245" t="n"/>
      <c r="P408" s="245" t="n"/>
      <c r="Q408" s="250">
        <f>R408/H408</f>
        <v/>
      </c>
      <c r="R408" s="251" t="n">
        <v>17748.83</v>
      </c>
      <c r="S408" s="249" t="n">
        <v>17707</v>
      </c>
      <c r="T408" s="252">
        <f>S408*R408</f>
        <v/>
      </c>
      <c r="U408" s="245" t="n"/>
      <c r="V408" s="245" t="n"/>
      <c r="W408" s="245" t="n"/>
      <c r="X408" s="245" t="n"/>
      <c r="Y408" s="245" t="n"/>
      <c r="Z408" s="245" t="n"/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28</v>
      </c>
      <c r="I409" s="245" t="inlineStr"/>
      <c r="J409" s="245" t="inlineStr"/>
      <c r="K409" s="245" t="inlineStr">
        <is>
          <t>12IN GREEN TEA MF MATTRESS CK</t>
        </is>
      </c>
      <c r="L409" s="245" t="inlineStr">
        <is>
          <t>ZU-MFMA1ZZI-12C</t>
        </is>
      </c>
      <c r="M409" s="248" t="inlineStr">
        <is>
          <t>8P5G2ATH</t>
        </is>
      </c>
      <c r="N409" s="245" t="inlineStr">
        <is>
          <t>F.MFM.12C.006.AD</t>
        </is>
      </c>
      <c r="O409" s="245" t="n"/>
      <c r="P409" s="245" t="n"/>
      <c r="Q409" s="250">
        <f>R409/H409</f>
        <v/>
      </c>
      <c r="R409" s="251" t="n">
        <v>2814.56</v>
      </c>
      <c r="S409" s="249" t="n">
        <v>17707</v>
      </c>
      <c r="T409" s="252">
        <f>S409*R409</f>
        <v/>
      </c>
      <c r="U409" s="245" t="n"/>
      <c r="V409" s="245" t="n"/>
      <c r="W409" s="245" t="n"/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24</v>
      </c>
      <c r="I410" s="245" t="inlineStr"/>
      <c r="J410" s="245" t="inlineStr"/>
      <c r="K410" s="245" t="inlineStr">
        <is>
          <t>6IN OPP HD QN</t>
        </is>
      </c>
      <c r="L410" s="245" t="inlineStr">
        <is>
          <t>ZU-MFMA1OZI-06Q</t>
        </is>
      </c>
      <c r="M410" s="248" t="inlineStr">
        <is>
          <t>8SJ74Q3I</t>
        </is>
      </c>
      <c r="N410" s="245" t="inlineStr">
        <is>
          <t>F.MFM.06Q.008.AD</t>
        </is>
      </c>
      <c r="O410" s="245" t="n"/>
      <c r="P410" s="245" t="n"/>
      <c r="Q410" s="250">
        <f>R410/H410</f>
        <v/>
      </c>
      <c r="R410" s="251" t="n">
        <v>1099.44</v>
      </c>
      <c r="S410" s="249" t="n">
        <v>17707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9</v>
      </c>
      <c r="I411" s="245" t="inlineStr"/>
      <c r="J411" s="245" t="inlineStr"/>
      <c r="K411" s="245" t="inlineStr">
        <is>
          <t>10IN OPP HD EK</t>
        </is>
      </c>
      <c r="L411" s="245" t="inlineStr">
        <is>
          <t>ZU-MFMA1OZI-10K</t>
        </is>
      </c>
      <c r="M411" s="248" t="inlineStr">
        <is>
          <t>8SJ74Q3I</t>
        </is>
      </c>
      <c r="N411" s="245" t="inlineStr">
        <is>
          <t>F.MFM.10K.013.AD</t>
        </is>
      </c>
      <c r="O411" s="245" t="n"/>
      <c r="P411" s="245" t="n"/>
      <c r="Q411" s="250">
        <f>R411/H411</f>
        <v/>
      </c>
      <c r="R411" s="251" t="n">
        <v>592.92</v>
      </c>
      <c r="S411" s="249" t="n">
        <v>17707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675</v>
      </c>
      <c r="I412" s="245" t="inlineStr"/>
      <c r="J412" s="245" t="inlineStr"/>
      <c r="K412" s="245" t="inlineStr">
        <is>
          <t>6IN GREEN TEA MF MATTRESS TW</t>
        </is>
      </c>
      <c r="L412" s="245" t="inlineStr">
        <is>
          <t>ZU-MFMA1ZZI-06T</t>
        </is>
      </c>
      <c r="M412" s="248" t="inlineStr">
        <is>
          <t>8SJ74Q3I</t>
        </is>
      </c>
      <c r="N412" s="245" t="inlineStr">
        <is>
          <t>F.MFM.06T.007.AD</t>
        </is>
      </c>
      <c r="O412" s="245" t="n"/>
      <c r="P412" s="245" t="n"/>
      <c r="Q412" s="250">
        <f>R412/H412</f>
        <v/>
      </c>
      <c r="R412" s="251" t="n">
        <v>20594.25</v>
      </c>
      <c r="S412" s="249" t="n">
        <v>17707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6.5" customHeight="1" s="202">
      <c r="A413" s="245" t="n"/>
      <c r="B413" s="245" t="n"/>
      <c r="C413" s="245" t="n"/>
      <c r="D413" s="245" t="n"/>
      <c r="E413" s="245" t="n"/>
      <c r="F413" s="245" t="n"/>
      <c r="G413" s="245" t="n"/>
      <c r="H413" s="247" t="n">
        <v>106</v>
      </c>
      <c r="I413" s="245" t="inlineStr"/>
      <c r="J413" s="245" t="inlineStr"/>
      <c r="K413" s="245" t="inlineStr">
        <is>
          <t>12IN MYGEL FOAM MATTRESS QN</t>
        </is>
      </c>
      <c r="L413" s="245" t="inlineStr">
        <is>
          <t>ZU-MFGN1YZI-12Q</t>
        </is>
      </c>
      <c r="M413" s="248" t="inlineStr">
        <is>
          <t>8TWQ4Y7U</t>
        </is>
      </c>
      <c r="N413" s="245" t="inlineStr">
        <is>
          <t>F.MFG.12Q.002.AD</t>
        </is>
      </c>
      <c r="O413" s="245" t="n"/>
      <c r="P413" s="245" t="n"/>
      <c r="Q413" s="250">
        <f>R413/H413</f>
        <v/>
      </c>
      <c r="R413" s="251" t="n">
        <v>8723.799999999999</v>
      </c>
      <c r="S413" s="249" t="n">
        <v>17707</v>
      </c>
      <c r="T413" s="252">
        <f>S413*R413</f>
        <v/>
      </c>
      <c r="U413" s="245" t="n"/>
      <c r="V413" s="245" t="n"/>
      <c r="W413" s="245" t="n"/>
      <c r="X413" s="245" t="n"/>
      <c r="Y413" s="245" t="n"/>
      <c r="Z413" s="245" t="n"/>
    </row>
    <row r="414" ht="16.5" customHeight="1" s="202">
      <c r="A414" s="245" t="n"/>
      <c r="B414" s="245" t="n"/>
      <c r="C414" s="245" t="n"/>
      <c r="D414" s="245" t="n"/>
      <c r="E414" s="245" t="n"/>
      <c r="F414" s="245" t="n"/>
      <c r="G414" s="245" t="n"/>
      <c r="H414" s="247" t="n">
        <v>582</v>
      </c>
      <c r="I414" s="245" t="inlineStr"/>
      <c r="J414" s="245" t="inlineStr"/>
      <c r="K414" s="245" t="inlineStr">
        <is>
          <t>8IN OPP HD TW</t>
        </is>
      </c>
      <c r="L414" s="245" t="inlineStr">
        <is>
          <t>ZU-MFMA1OZI-08T</t>
        </is>
      </c>
      <c r="M414" s="248" t="inlineStr">
        <is>
          <t>8TWQ4Y7U</t>
        </is>
      </c>
      <c r="N414" s="245" t="inlineStr">
        <is>
          <t>F.MFM.08T.013.AD</t>
        </is>
      </c>
      <c r="O414" s="245" t="n"/>
      <c r="P414" s="245" t="n"/>
      <c r="Q414" s="250">
        <f>R414/H414</f>
        <v/>
      </c>
      <c r="R414" s="251" t="n">
        <v>17425.08</v>
      </c>
      <c r="S414" s="249" t="n">
        <v>17707</v>
      </c>
      <c r="T414" s="252">
        <f>S414*R414</f>
        <v/>
      </c>
      <c r="U414" s="245" t="n"/>
      <c r="V414" s="245" t="n"/>
      <c r="W414" s="245" t="n"/>
      <c r="X414" s="245" t="n"/>
      <c r="Y414" s="245" t="n"/>
      <c r="Z414" s="245" t="n"/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3</v>
      </c>
      <c r="I415" s="245" t="inlineStr"/>
      <c r="J415" s="245" t="inlineStr"/>
      <c r="K415" s="245" t="inlineStr">
        <is>
          <t>6IN TIGHT TOP BONNEL NT</t>
        </is>
      </c>
      <c r="L415" s="245" t="inlineStr">
        <is>
          <t>ZU-MSSA2BZI-06N</t>
        </is>
      </c>
      <c r="M415" s="248" t="inlineStr">
        <is>
          <t>6DJHOHHG</t>
        </is>
      </c>
      <c r="N415" s="245" t="inlineStr">
        <is>
          <t>F.MSS.06N.007.AD</t>
        </is>
      </c>
      <c r="O415" s="245" t="n"/>
      <c r="P415" s="245" t="n"/>
      <c r="Q415" s="250">
        <f>R415/H415</f>
        <v/>
      </c>
      <c r="R415" s="251" t="n">
        <v>73.59</v>
      </c>
      <c r="S415" s="249" t="n">
        <v>17707</v>
      </c>
      <c r="T415" s="252">
        <f>S415*R415</f>
        <v/>
      </c>
      <c r="U415" s="245" t="n"/>
      <c r="V415" s="245" t="n"/>
      <c r="W415" s="245" t="n"/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13</v>
      </c>
      <c r="I416" s="245" t="inlineStr"/>
      <c r="J416" s="245" t="inlineStr"/>
      <c r="K416" s="245" t="inlineStr">
        <is>
          <t>6IN TIGHT TOP BONNEL NT</t>
        </is>
      </c>
      <c r="L416" s="245" t="inlineStr">
        <is>
          <t>ZU-MSSA2BZI-06N</t>
        </is>
      </c>
      <c r="M416" s="248" t="inlineStr">
        <is>
          <t>6RVCWHLT</t>
        </is>
      </c>
      <c r="N416" s="245" t="inlineStr">
        <is>
          <t>F.MSS.06N.007.AD</t>
        </is>
      </c>
      <c r="O416" s="245" t="n"/>
      <c r="P416" s="245" t="n"/>
      <c r="Q416" s="250">
        <f>R416/H416</f>
        <v/>
      </c>
      <c r="R416" s="251" t="n">
        <v>318.89</v>
      </c>
      <c r="S416" s="249" t="n">
        <v>17707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1</v>
      </c>
      <c r="I417" s="245" t="inlineStr"/>
      <c r="J417" s="245" t="inlineStr"/>
      <c r="K417" s="245" t="inlineStr">
        <is>
          <t>6IN TIGHT TOP BONNEL TX</t>
        </is>
      </c>
      <c r="L417" s="245" t="inlineStr">
        <is>
          <t>ZU-MSSA2BZI-06X</t>
        </is>
      </c>
      <c r="M417" s="248" t="inlineStr">
        <is>
          <t>6RVCWHLT</t>
        </is>
      </c>
      <c r="N417" s="245" t="inlineStr">
        <is>
          <t>F.MSS.06X.007.AD</t>
        </is>
      </c>
      <c r="O417" s="245" t="n"/>
      <c r="P417" s="245" t="n"/>
      <c r="Q417" s="250">
        <f>R417/H417</f>
        <v/>
      </c>
      <c r="R417" s="251" t="n">
        <v>27.75</v>
      </c>
      <c r="S417" s="249" t="n">
        <v>17707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42</v>
      </c>
      <c r="I418" s="245" t="inlineStr"/>
      <c r="J418" s="245" t="inlineStr"/>
      <c r="K418" s="245" t="inlineStr">
        <is>
          <t>8IN TIGHT TOP BONNEL FL</t>
        </is>
      </c>
      <c r="L418" s="245" t="inlineStr">
        <is>
          <t>ZU-MSSA2BZI-08F</t>
        </is>
      </c>
      <c r="M418" s="248" t="inlineStr">
        <is>
          <t>6RVCWHLT</t>
        </is>
      </c>
      <c r="N418" s="245" t="inlineStr">
        <is>
          <t>F.MSS.08F.009.AD</t>
        </is>
      </c>
      <c r="O418" s="245" t="n"/>
      <c r="P418" s="245" t="n"/>
      <c r="Q418" s="250">
        <f>R418/H418</f>
        <v/>
      </c>
      <c r="R418" s="251" t="n">
        <v>1811.46</v>
      </c>
      <c r="S418" s="249" t="n">
        <v>17707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6.5" customHeight="1" s="202">
      <c r="A419" s="245" t="n"/>
      <c r="B419" s="245" t="n"/>
      <c r="C419" s="245" t="n"/>
      <c r="D419" s="245" t="n"/>
      <c r="E419" s="245" t="n"/>
      <c r="F419" s="245" t="n"/>
      <c r="G419" s="245" t="n"/>
      <c r="H419" s="247" t="n">
        <v>21</v>
      </c>
      <c r="I419" s="245" t="inlineStr"/>
      <c r="J419" s="245" t="inlineStr"/>
      <c r="K419" s="245" t="inlineStr">
        <is>
          <t>10IN TIGHT TOP BONNEL FL</t>
        </is>
      </c>
      <c r="L419" s="245" t="inlineStr">
        <is>
          <t>ZU-MSSA2BZI-10F</t>
        </is>
      </c>
      <c r="M419" s="248" t="inlineStr">
        <is>
          <t>6RVCWHLT</t>
        </is>
      </c>
      <c r="N419" s="245" t="inlineStr">
        <is>
          <t>F.MSS.10F.009.AD</t>
        </is>
      </c>
      <c r="O419" s="245" t="n"/>
      <c r="P419" s="245" t="n"/>
      <c r="Q419" s="250">
        <f>R419/H419</f>
        <v/>
      </c>
      <c r="R419" s="251" t="n">
        <v>1163.19</v>
      </c>
      <c r="S419" s="249" t="n">
        <v>17707</v>
      </c>
      <c r="T419" s="252">
        <f>S419*R419</f>
        <v/>
      </c>
      <c r="U419" s="245" t="n"/>
      <c r="V419" s="245" t="n"/>
      <c r="W419" s="245" t="n"/>
      <c r="X419" s="245" t="n"/>
      <c r="Y419" s="245" t="n"/>
      <c r="Z419" s="245" t="n"/>
    </row>
    <row r="420" ht="16.5" customHeight="1" s="202">
      <c r="A420" s="245" t="n"/>
      <c r="B420" s="245" t="n"/>
      <c r="C420" s="245" t="n"/>
      <c r="D420" s="245" t="n"/>
      <c r="E420" s="245" t="n"/>
      <c r="F420" s="245" t="n"/>
      <c r="G420" s="245" t="n"/>
      <c r="H420" s="247" t="n">
        <v>36</v>
      </c>
      <c r="I420" s="245" t="inlineStr"/>
      <c r="J420" s="245" t="inlineStr"/>
      <c r="K420" s="245" t="inlineStr">
        <is>
          <t>10IN TIGHT TOP BONNEL FL</t>
        </is>
      </c>
      <c r="L420" s="245" t="inlineStr">
        <is>
          <t>ZU-MSSA2BZI-10F</t>
        </is>
      </c>
      <c r="M420" s="248" t="inlineStr">
        <is>
          <t>8P5G2ATH</t>
        </is>
      </c>
      <c r="N420" s="245" t="inlineStr">
        <is>
          <t>F.MSS.10F.009.AD</t>
        </is>
      </c>
      <c r="O420" s="245" t="n"/>
      <c r="P420" s="245" t="n"/>
      <c r="Q420" s="250">
        <f>R420/H420</f>
        <v/>
      </c>
      <c r="R420" s="251" t="n">
        <v>1994.04</v>
      </c>
      <c r="S420" s="249" t="n">
        <v>17707</v>
      </c>
      <c r="T420" s="252">
        <f>S420*R420</f>
        <v/>
      </c>
      <c r="U420" s="245" t="n"/>
      <c r="V420" s="245" t="n"/>
      <c r="W420" s="245" t="n"/>
      <c r="X420" s="245" t="n"/>
      <c r="Y420" s="245" t="n"/>
      <c r="Z420" s="245" t="n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105</v>
      </c>
      <c r="I421" s="245" t="inlineStr"/>
      <c r="J421" s="245" t="inlineStr"/>
      <c r="K421" s="245" t="inlineStr">
        <is>
          <t>6IN TIGHT TOP BONNEL NT</t>
        </is>
      </c>
      <c r="L421" s="245" t="inlineStr">
        <is>
          <t>ZU-MSSA2BZI-06N</t>
        </is>
      </c>
      <c r="M421" s="248" t="inlineStr">
        <is>
          <t>8SJ74Q3I</t>
        </is>
      </c>
      <c r="N421" s="245" t="inlineStr">
        <is>
          <t>F.MSS.06N.007.AD</t>
        </is>
      </c>
      <c r="O421" s="245" t="n"/>
      <c r="P421" s="245" t="n"/>
      <c r="Q421" s="250">
        <f>R421/H421</f>
        <v/>
      </c>
      <c r="R421" s="251" t="n">
        <v>2575.65</v>
      </c>
      <c r="S421" s="249" t="n">
        <v>17707</v>
      </c>
      <c r="T421" s="252">
        <f>S421*R421</f>
        <v/>
      </c>
      <c r="U421" s="245" t="n"/>
      <c r="V421" s="245" t="n"/>
      <c r="W421" s="245" t="n"/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100</v>
      </c>
      <c r="I422" s="245" t="inlineStr"/>
      <c r="J422" s="245" t="inlineStr"/>
      <c r="K422" s="245" t="inlineStr">
        <is>
          <t>6IN TIGHT TOP BONNEL TX</t>
        </is>
      </c>
      <c r="L422" s="245" t="inlineStr">
        <is>
          <t>ZU-MSSA2BZI-06X</t>
        </is>
      </c>
      <c r="M422" s="248" t="inlineStr">
        <is>
          <t>8SJ74Q3I</t>
        </is>
      </c>
      <c r="N422" s="245" t="inlineStr">
        <is>
          <t>F.MSS.06X.007.AD</t>
        </is>
      </c>
      <c r="O422" s="245" t="n"/>
      <c r="P422" s="245" t="n"/>
      <c r="Q422" s="250">
        <f>R422/H422</f>
        <v/>
      </c>
      <c r="R422" s="251" t="n">
        <v>2775</v>
      </c>
      <c r="S422" s="249" t="n">
        <v>17707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7.1" customHeight="1" s="202">
      <c r="A423" s="254" t="n"/>
      <c r="B423" s="254" t="n"/>
      <c r="C423" s="254" t="n"/>
      <c r="D423" s="254" t="n"/>
      <c r="E423" s="254" t="n"/>
      <c r="F423" s="254" t="n"/>
      <c r="G423" s="254" t="n"/>
      <c r="H423" s="255">
        <f>SUM(H377:H422)</f>
        <v/>
      </c>
      <c r="I423" s="254">
        <f>COUNTA(I377:I422)</f>
        <v/>
      </c>
      <c r="J423" s="254" t="n"/>
      <c r="K423" s="254" t="n"/>
      <c r="L423" s="254" t="n"/>
      <c r="M423" s="254" t="n"/>
      <c r="N423" s="254" t="n"/>
      <c r="O423" s="256">
        <f>SUM(O377:O422)</f>
        <v/>
      </c>
      <c r="P423" s="256">
        <f>SUM(P377:P422)</f>
        <v/>
      </c>
      <c r="Q423" s="254" t="n"/>
      <c r="R423" s="257">
        <f>SUM(R377:R422)</f>
        <v/>
      </c>
      <c r="S423" s="254" t="n"/>
      <c r="T423" s="258">
        <f>SUM(T377:T422)</f>
        <v/>
      </c>
      <c r="U423" s="254" t="n"/>
      <c r="V423" s="254" t="n"/>
      <c r="W423" s="254" t="n"/>
      <c r="X423" s="254" t="n"/>
      <c r="Y423" s="254" t="n"/>
      <c r="Z423" s="254" t="n"/>
    </row>
    <row r="424" ht="16.5" customHeight="1" s="202">
      <c r="A424" s="245" t="n">
        <v>63</v>
      </c>
      <c r="B424" s="245" t="inlineStr">
        <is>
          <t>000030ZIK48020260923000846</t>
        </is>
      </c>
      <c r="C424" s="245" t="n">
        <v>607156</v>
      </c>
      <c r="D424" s="245" t="n">
        <v>607089</v>
      </c>
      <c r="E424" s="246" t="n">
        <v>46289</v>
      </c>
      <c r="F424" s="245" t="inlineStr">
        <is>
          <t>ID2609-8545</t>
        </is>
      </c>
      <c r="G424" s="246" t="n">
        <v>46287</v>
      </c>
      <c r="H424" s="247" t="n">
        <v>900</v>
      </c>
      <c r="I424" s="245" t="inlineStr">
        <is>
          <t>HLBU2469579</t>
        </is>
      </c>
      <c r="J424" s="245" t="inlineStr">
        <is>
          <t>40FT</t>
        </is>
      </c>
      <c r="K424" s="245" t="inlineStr">
        <is>
          <t>8IN GREEN TEA MF MATTRESS QN</t>
        </is>
      </c>
      <c r="L424" s="245" t="inlineStr">
        <is>
          <t>SCF-STR-800Q</t>
        </is>
      </c>
      <c r="M424" s="248" t="inlineStr">
        <is>
          <t>0993630540</t>
        </is>
      </c>
      <c r="N424" s="245" t="inlineStr">
        <is>
          <t>F.MFM.08Q.000.WS</t>
        </is>
      </c>
      <c r="O424" s="249" t="n">
        <v>21510</v>
      </c>
      <c r="P424" s="249" t="n">
        <v>19188</v>
      </c>
      <c r="Q424" s="250">
        <f>R424/H424</f>
        <v/>
      </c>
      <c r="R424" s="251" t="n">
        <v>84573</v>
      </c>
      <c r="S424" s="249" t="n">
        <v>17707</v>
      </c>
      <c r="T424" s="252">
        <f>S424*R424</f>
        <v/>
      </c>
      <c r="U424" s="245" t="inlineStr">
        <is>
          <t>040300/KPPBC</t>
        </is>
      </c>
      <c r="V424" s="245" t="inlineStr">
        <is>
          <t>TG. PRIOK</t>
        </is>
      </c>
      <c r="W424" s="245" t="inlineStr">
        <is>
          <t>LOS ANGELES, US</t>
        </is>
      </c>
      <c r="X424" s="245" t="inlineStr">
        <is>
          <t>WALMART, INC.</t>
        </is>
      </c>
      <c r="Y424" s="245" t="inlineStr">
        <is>
          <t>HLCUJK1260925247</t>
        </is>
      </c>
      <c r="Z424" s="246" t="n">
        <v>46289</v>
      </c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5" t="n"/>
      <c r="I425" s="245" t="inlineStr">
        <is>
          <t>HAMU1942218</t>
        </is>
      </c>
      <c r="J425" s="245" t="inlineStr">
        <is>
          <t>40FT</t>
        </is>
      </c>
      <c r="K425" s="245" t="n"/>
      <c r="L425" s="245" t="n"/>
      <c r="M425" s="245" t="n"/>
      <c r="N425" s="245" t="n"/>
      <c r="O425" s="245" t="n"/>
      <c r="P425" s="245" t="n"/>
      <c r="Q425" s="245" t="n"/>
      <c r="R425" s="245" t="n"/>
      <c r="S425" s="245" t="n"/>
      <c r="T425" s="245" t="n"/>
      <c r="U425" s="245" t="n"/>
      <c r="V425" s="245" t="n"/>
      <c r="W425" s="245" t="inlineStr">
        <is>
          <t>ETD : 30-09-2026</t>
        </is>
      </c>
      <c r="X425" s="245" t="n"/>
      <c r="Y425" s="245" t="n"/>
      <c r="Z425" s="245" t="n"/>
    </row>
    <row r="426" ht="17.1" customHeight="1" s="202">
      <c r="A426" s="254" t="n"/>
      <c r="B426" s="254" t="n"/>
      <c r="C426" s="254" t="n"/>
      <c r="D426" s="254" t="n"/>
      <c r="E426" s="254" t="n"/>
      <c r="F426" s="254" t="n"/>
      <c r="G426" s="254" t="n"/>
      <c r="H426" s="255">
        <f>SUM(H424:H425)</f>
        <v/>
      </c>
      <c r="I426" s="254">
        <f>COUNTA(I424:I425)</f>
        <v/>
      </c>
      <c r="J426" s="254" t="n"/>
      <c r="K426" s="254" t="n"/>
      <c r="L426" s="254" t="n"/>
      <c r="M426" s="254" t="n"/>
      <c r="N426" s="254" t="n"/>
      <c r="O426" s="256">
        <f>SUM(O424:O425)</f>
        <v/>
      </c>
      <c r="P426" s="256">
        <f>SUM(P424:P425)</f>
        <v/>
      </c>
      <c r="Q426" s="254" t="n"/>
      <c r="R426" s="257">
        <f>SUM(R424:R425)</f>
        <v/>
      </c>
      <c r="S426" s="254" t="n"/>
      <c r="T426" s="258">
        <f>SUM(T424:T425)</f>
        <v/>
      </c>
      <c r="U426" s="254" t="n"/>
      <c r="V426" s="254" t="n"/>
      <c r="W426" s="254" t="n"/>
      <c r="X426" s="254" t="n"/>
      <c r="Y426" s="254" t="n"/>
      <c r="Z426" s="254" t="n"/>
    </row>
    <row r="427" ht="16.5" customHeight="1" s="202">
      <c r="A427" s="245" t="n">
        <v>64</v>
      </c>
      <c r="B427" s="245" t="inlineStr">
        <is>
          <t>000030ZIK48020260923000847</t>
        </is>
      </c>
      <c r="C427" s="245" t="n">
        <v>606848</v>
      </c>
      <c r="D427" s="245" t="n">
        <v>606783</v>
      </c>
      <c r="E427" s="246" t="n">
        <v>46289</v>
      </c>
      <c r="F427" s="245" t="inlineStr">
        <is>
          <t>ID2609-8553</t>
        </is>
      </c>
      <c r="G427" s="246" t="n">
        <v>46288</v>
      </c>
      <c r="H427" s="247" t="n">
        <v>1040</v>
      </c>
      <c r="I427" s="245" t="inlineStr">
        <is>
          <t>FFAU5217033</t>
        </is>
      </c>
      <c r="J427" s="245" t="inlineStr">
        <is>
          <t>40FT</t>
        </is>
      </c>
      <c r="K427" s="245" t="inlineStr">
        <is>
          <t>8IN GREEN TEA MF MATTRESS FL</t>
        </is>
      </c>
      <c r="L427" s="245" t="inlineStr">
        <is>
          <t>SCF-STR-800F</t>
        </is>
      </c>
      <c r="M427" s="248" t="inlineStr">
        <is>
          <t>0993630630</t>
        </is>
      </c>
      <c r="N427" s="245" t="inlineStr">
        <is>
          <t>F.MFM.08F.000.WS</t>
        </is>
      </c>
      <c r="O427" s="249" t="n">
        <v>21236.8</v>
      </c>
      <c r="P427" s="249" t="n">
        <v>18740.8</v>
      </c>
      <c r="Q427" s="250">
        <f>R427/H427</f>
        <v/>
      </c>
      <c r="R427" s="251" t="n">
        <v>82960.8</v>
      </c>
      <c r="S427" s="249" t="n">
        <v>17707</v>
      </c>
      <c r="T427" s="252">
        <f>S427*R427</f>
        <v/>
      </c>
      <c r="U427" s="245" t="inlineStr">
        <is>
          <t>040300/KPPBC</t>
        </is>
      </c>
      <c r="V427" s="245" t="inlineStr">
        <is>
          <t>TG. PRIOK</t>
        </is>
      </c>
      <c r="W427" s="245" t="inlineStr">
        <is>
          <t>CHARLESTON, US</t>
        </is>
      </c>
      <c r="X427" s="245" t="inlineStr">
        <is>
          <t>WALMART, INC.</t>
        </is>
      </c>
      <c r="Y427" s="245" t="inlineStr">
        <is>
          <t>HLCUJK1260940235</t>
        </is>
      </c>
      <c r="Z427" s="246" t="n">
        <v>46289</v>
      </c>
    </row>
    <row r="428" ht="16.5" customHeight="1" s="202">
      <c r="A428" s="245" t="n"/>
      <c r="B428" s="245" t="n"/>
      <c r="C428" s="245" t="n"/>
      <c r="D428" s="245" t="n"/>
      <c r="E428" s="245" t="n"/>
      <c r="F428" s="245" t="n"/>
      <c r="G428" s="245" t="n"/>
      <c r="H428" s="245" t="n"/>
      <c r="I428" s="245" t="inlineStr">
        <is>
          <t>HLXU8348123</t>
        </is>
      </c>
      <c r="J428" s="245" t="inlineStr">
        <is>
          <t>40FT</t>
        </is>
      </c>
      <c r="K428" s="245" t="n"/>
      <c r="L428" s="245" t="n"/>
      <c r="M428" s="245" t="n"/>
      <c r="N428" s="245" t="n"/>
      <c r="O428" s="245" t="n"/>
      <c r="P428" s="245" t="n"/>
      <c r="Q428" s="245" t="n"/>
      <c r="R428" s="245" t="n"/>
      <c r="S428" s="245" t="n"/>
      <c r="T428" s="245" t="n"/>
      <c r="U428" s="245" t="n"/>
      <c r="V428" s="245" t="n"/>
      <c r="W428" s="245" t="inlineStr">
        <is>
          <t>ETD : 30-09-2026</t>
        </is>
      </c>
      <c r="X428" s="245" t="n"/>
      <c r="Y428" s="245" t="n"/>
      <c r="Z428" s="245" t="n"/>
    </row>
    <row r="429" ht="17.1" customHeight="1" s="202">
      <c r="A429" s="254" t="n"/>
      <c r="B429" s="254" t="n"/>
      <c r="C429" s="254" t="n"/>
      <c r="D429" s="254" t="n"/>
      <c r="E429" s="254" t="n"/>
      <c r="F429" s="254" t="n"/>
      <c r="G429" s="254" t="n"/>
      <c r="H429" s="255">
        <f>SUM(H427:H428)</f>
        <v/>
      </c>
      <c r="I429" s="254">
        <f>COUNTA(I427:I428)</f>
        <v/>
      </c>
      <c r="J429" s="254" t="n"/>
      <c r="K429" s="254" t="n"/>
      <c r="L429" s="254" t="n"/>
      <c r="M429" s="254" t="n"/>
      <c r="N429" s="254" t="n"/>
      <c r="O429" s="256">
        <f>SUM(O427:O428)</f>
        <v/>
      </c>
      <c r="P429" s="256">
        <f>SUM(P427:P428)</f>
        <v/>
      </c>
      <c r="Q429" s="254" t="n"/>
      <c r="R429" s="257">
        <f>SUM(R427:R428)</f>
        <v/>
      </c>
      <c r="S429" s="254" t="n"/>
      <c r="T429" s="258">
        <f>SUM(T427:T428)</f>
        <v/>
      </c>
      <c r="U429" s="254" t="n"/>
      <c r="V429" s="254" t="n"/>
      <c r="W429" s="254" t="n"/>
      <c r="X429" s="254" t="n"/>
      <c r="Y429" s="254" t="n"/>
      <c r="Z429" s="254" t="n"/>
    </row>
    <row r="430" ht="8.1" customHeight="1" s="202"/>
    <row r="431" ht="20.1" customHeight="1" s="202">
      <c r="A431" s="259">
        <f>COUNT(A12:A430)</f>
        <v/>
      </c>
      <c r="B431" s="260" t="n"/>
      <c r="C431" s="260" t="n"/>
      <c r="D431" s="260" t="n"/>
      <c r="E431" s="260" t="n"/>
      <c r="F431" s="260" t="n"/>
      <c r="G431" s="260" t="n"/>
      <c r="H431" s="261">
        <f>SUM(H32,H35,H38,H41,H45,H48,H55,H58,H62,H65,H68,H71,H74,H78,H81,H84,H87,H90,H94,H101,H110,H115,H123,H132,H145,H148,H151,H154,H157,H164,H167,H170,H173,H216,H219,H224,H228,H231,H235,H238,H241,H244,H247,H250,H253,H260,H269,H278,H281,H284,H287,H290,H299,H308,H318,H321,H328,H341,H352,H365,H376,H423,H426,H429)</f>
        <v/>
      </c>
      <c r="I431" s="261">
        <f>SUM(I32,I35,I38,I41,I45,I48,I55,I58,I62,I65,I68,I71,I74,I78,I81,I84,I87,I90,I94,I101,I110,I115,I123,I132,I145,I148,I151,I154,I157,I164,I167,I170,I173,I216,I219,I224,I228,I231,I235,I238,I241,I244,I247,I250,I253,I260,I269,I278,I281,I284,I287,I290,I299,I308,I318,I321,I328,I341,I352,I365,I376,I423,I426,I429)</f>
        <v/>
      </c>
      <c r="J431" s="260" t="n"/>
      <c r="K431" s="260" t="n"/>
      <c r="L431" s="260" t="n"/>
      <c r="M431" s="260" t="n"/>
      <c r="N431" s="260" t="n"/>
      <c r="O431" s="262">
        <f>SUM(O32,O35,O38,O41,O45,O48,O55,O58,O62,O65,O68,O71,O74,O78,O81,O84,O87,O90,O94,O101,O110,O115,O123,O132,O145,O148,O151,O154,O157,O164,O167,O170,O173,O216,O219,O224,O228,O231,O235,O238,O241,O244,O247,O250,O253,O260,O269,O278,O281,O284,O287,O290,O299,O308,O318,O321,O328,O341,O352,O365,O376,O423,O426,O429)</f>
        <v/>
      </c>
      <c r="P431" s="262">
        <f>SUM(P32,P35,P38,P41,P45,P48,P55,P58,P62,P65,P68,P71,P74,P78,P81,P84,P87,P90,P94,P101,P110,P115,P123,P132,P145,P148,P151,P154,P157,P164,P167,P170,P173,P216,P219,P224,P228,P231,P235,P238,P241,P244,P247,P250,P253,P260,P269,P278,P281,P284,P287,P290,P299,P308,P318,P321,P328,P341,P352,P365,P376,P423,P426,P429)</f>
        <v/>
      </c>
      <c r="Q431" s="260" t="n"/>
      <c r="R431" s="263">
        <f>SUM(R32,R35,R38,R41,R45,R48,R55,R58,R62,R65,R68,R71,R74,R78,R81,R84,R87,R90,R94,R101,R110,R115,R123,R132,R145,R148,R151,R154,R157,R164,R167,R170,R173,R216,R219,R224,R228,R231,R235,R238,R241,R244,R247,R250,R253,R260,R269,R278,R281,R284,R287,R290,R299,R308,R318,R321,R328,R341,R352,R365,R376,R423,R426,R429)</f>
        <v/>
      </c>
      <c r="S431" s="260" t="n"/>
      <c r="T431" s="264">
        <f>SUM(T32,T35,T38,T41,T45,T48,T55,T58,T62,T65,T68,T71,T74,T78,T81,T84,T87,T90,T94,T101,T110,T115,T123,T132,T145,T148,T151,T154,T157,T164,T167,T170,T173,T216,T219,T224,T228,T231,T235,T238,T241,T244,T247,T250,T253,T260,T269,T278,T281,T284,T287,T290,T299,T308,T318,T321,T328,T341,T352,T365,T376,T423,T426,T429)</f>
        <v/>
      </c>
      <c r="U431" s="260" t="n"/>
      <c r="V431" s="260" t="n"/>
      <c r="W431" s="260" t="n"/>
      <c r="X431" s="260" t="n"/>
      <c r="Y431" s="260" t="n"/>
      <c r="Z431" s="260" t="n"/>
    </row>
    <row r="432" ht="17.1" customHeight="1" s="202"/>
    <row r="433" ht="17.1" customHeight="1" s="202">
      <c r="B433" s="265" t="inlineStr">
        <is>
          <t>Total Qty Export :</t>
        </is>
      </c>
      <c r="C433" s="266">
        <f>H431-C434</f>
        <v/>
      </c>
    </row>
    <row r="434" ht="17.1" customHeight="1" s="202">
      <c r="B434" s="267" t="inlineStr">
        <is>
          <t>Total Qty Export Sample :</t>
        </is>
      </c>
      <c r="C434" s="268" t="inlineStr"/>
    </row>
    <row r="436" ht="17.1" customHeight="1" s="202">
      <c r="A436" s="269" t="n"/>
      <c r="B436" s="270" t="n"/>
      <c r="C436" s="270" t="n"/>
      <c r="D436" s="271" t="n"/>
      <c r="U436" s="272" t="inlineStr">
        <is>
          <t>Tangerang, 24 September 2026</t>
        </is>
      </c>
    </row>
    <row r="437" ht="17.1" customHeight="1" s="202">
      <c r="A437" s="273" t="inlineStr">
        <is>
          <t>Total Document</t>
        </is>
      </c>
      <c r="C437" s="274">
        <f>A431</f>
        <v/>
      </c>
      <c r="D437" s="275" t="n"/>
      <c r="U437" s="272" t="inlineStr">
        <is>
          <t>Kasubsi Hanggar Pabean dan Cukai</t>
        </is>
      </c>
    </row>
    <row r="438" ht="17.1" customHeight="1" s="202">
      <c r="A438" s="273" t="inlineStr">
        <is>
          <t>Gross Weight</t>
        </is>
      </c>
      <c r="C438" s="276">
        <f>O431</f>
        <v/>
      </c>
      <c r="D438" s="275" t="n"/>
    </row>
    <row r="439" ht="17.1" customHeight="1" s="202">
      <c r="A439" s="273" t="inlineStr">
        <is>
          <t>Nett Weight</t>
        </is>
      </c>
      <c r="C439" s="276">
        <f>P431</f>
        <v/>
      </c>
      <c r="D439" s="275" t="n"/>
    </row>
    <row r="440" ht="17.1" customHeight="1" s="202">
      <c r="A440" s="273" t="inlineStr">
        <is>
          <t>Amount</t>
        </is>
      </c>
      <c r="C440" s="277">
        <f>R431</f>
        <v/>
      </c>
      <c r="D440" s="275" t="n"/>
    </row>
    <row r="441" ht="17.1" customHeight="1" s="202">
      <c r="A441" s="273" t="inlineStr">
        <is>
          <t>Jumlah Container</t>
        </is>
      </c>
      <c r="C441" s="278">
        <f>I431-C442</f>
        <v/>
      </c>
      <c r="D441" s="275" t="n"/>
    </row>
    <row r="442" ht="17.1" customHeight="1" s="202">
      <c r="A442" s="279" t="n"/>
      <c r="C442" s="280" t="inlineStr"/>
      <c r="D442" s="275" t="n"/>
    </row>
    <row r="443" ht="17.1" customHeight="1" s="202">
      <c r="A443" s="279" t="n"/>
      <c r="C443" s="281">
        <f>C441*2+C442</f>
        <v/>
      </c>
      <c r="D443" s="275" t="n"/>
    </row>
    <row r="444" ht="16.2" customHeight="1" s="202">
      <c r="A444" s="282" t="n"/>
      <c r="B444" s="283" t="n"/>
      <c r="C444" s="283" t="n"/>
      <c r="D444" s="284" t="n"/>
    </row>
  </sheetData>
  <autoFilter ref="A10:Z11">
    <filterColumn colId="2" hiddenButton="0" showButton="0"/>
    <filterColumn colId="8" hiddenButton="0" showButton="0"/>
  </autoFilter>
  <mergeCells count="26">
    <mergeCell ref="C440:D440"/>
    <mergeCell ref="E10:E11"/>
    <mergeCell ref="G10:G11"/>
    <mergeCell ref="M10:M11"/>
    <mergeCell ref="Y10:Y11"/>
    <mergeCell ref="Q10:Q11"/>
    <mergeCell ref="C10:D10"/>
    <mergeCell ref="C441:D441"/>
    <mergeCell ref="I10:J11"/>
    <mergeCell ref="A6:Z6"/>
    <mergeCell ref="B10:B11"/>
    <mergeCell ref="A7:Z7"/>
    <mergeCell ref="L10:L11"/>
    <mergeCell ref="X10:X11"/>
    <mergeCell ref="N10:N11"/>
    <mergeCell ref="Z10:Z11"/>
    <mergeCell ref="C439:D439"/>
    <mergeCell ref="C443:D443"/>
    <mergeCell ref="A10:A11"/>
    <mergeCell ref="K10:K11"/>
    <mergeCell ref="C442:D442"/>
    <mergeCell ref="A8:Z8"/>
    <mergeCell ref="C437:D437"/>
    <mergeCell ref="F10:F11"/>
    <mergeCell ref="C438:D438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2026-09-24T11:11:00Z</dcterms:modified>
  <cp:lastModifiedBy>Chiswa Dian Hermansyah(ZINUS ZDI)</cp:lastModifiedBy>
</cp:coreProperties>
</file>