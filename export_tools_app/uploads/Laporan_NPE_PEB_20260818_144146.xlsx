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  <numFmt numFmtId="180" formatCode="dd-mm-yyyy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80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000030ZIK48020260812000613</t>
        </is>
      </c>
      <c r="C12" s="245" t="n">
        <v>511328</v>
      </c>
      <c r="D12" s="245" t="n">
        <v>511272</v>
      </c>
      <c r="E12" s="246" t="n">
        <v>46247</v>
      </c>
      <c r="F12" s="245" t="inlineStr">
        <is>
          <t>ID2608-8027</t>
        </is>
      </c>
      <c r="G12" s="246" t="n">
        <v>46238</v>
      </c>
      <c r="H12" s="247" t="n">
        <v>128</v>
      </c>
      <c r="I12" s="245" t="inlineStr">
        <is>
          <t>CAIU7581871</t>
        </is>
      </c>
      <c r="J12" s="245" t="inlineStr">
        <is>
          <t>40FT</t>
        </is>
      </c>
      <c r="K12" s="245" t="inlineStr">
        <is>
          <t>6IN MYGEL FOAM MATTRESS FL</t>
        </is>
      </c>
      <c r="L12" s="245" t="inlineStr">
        <is>
          <t>ZU-MFGN1YZI-06F</t>
        </is>
      </c>
      <c r="M12" s="248" t="inlineStr">
        <is>
          <t>26J2NCYH</t>
        </is>
      </c>
      <c r="N12" s="245" t="inlineStr">
        <is>
          <t>F.MFG.06F.002.AD</t>
        </is>
      </c>
      <c r="O12" s="249" t="n">
        <v>85384.84</v>
      </c>
      <c r="P12" s="249" t="n">
        <v>75881.24000000001</v>
      </c>
      <c r="Q12" s="250">
        <f>R12/H12</f>
        <v/>
      </c>
      <c r="R12" s="251" t="n">
        <v>4983.04</v>
      </c>
      <c r="S12" s="249" t="n">
        <v>17960</v>
      </c>
      <c r="T12" s="252">
        <f>S12*R12</f>
        <v/>
      </c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LONG BEACH, US</t>
        </is>
      </c>
      <c r="X12" s="245" t="inlineStr">
        <is>
          <t>AMAZON.COM SERVICES LLC</t>
        </is>
      </c>
      <c r="Y12" s="245" t="inlineStr">
        <is>
          <t>MEDUKU519832</t>
        </is>
      </c>
      <c r="Z12" s="246" t="n">
        <v>46247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7" t="n">
        <v>165</v>
      </c>
      <c r="I13" s="245" t="inlineStr">
        <is>
          <t>CAIU8186660</t>
        </is>
      </c>
      <c r="J13" s="245" t="inlineStr">
        <is>
          <t>40FT</t>
        </is>
      </c>
      <c r="K13" s="245" t="inlineStr">
        <is>
          <t>6IN OPP HD TW</t>
        </is>
      </c>
      <c r="L13" s="245" t="inlineStr">
        <is>
          <t>ZU-MFMA1OZI-06T</t>
        </is>
      </c>
      <c r="M13" s="248" t="inlineStr">
        <is>
          <t>26J2NCYH</t>
        </is>
      </c>
      <c r="N13" s="245" t="inlineStr">
        <is>
          <t>F.MFM.06T.008.AD</t>
        </is>
      </c>
      <c r="O13" s="245" t="n"/>
      <c r="P13" s="245" t="n"/>
      <c r="Q13" s="250">
        <f>R13/H13</f>
        <v/>
      </c>
      <c r="R13" s="251" t="n">
        <v>4446.75</v>
      </c>
      <c r="S13" s="249" t="n">
        <v>17960</v>
      </c>
      <c r="T13" s="252">
        <f>S13*R13</f>
        <v/>
      </c>
      <c r="U13" s="245" t="n"/>
      <c r="V13" s="245" t="n"/>
      <c r="W13" s="245" t="inlineStr">
        <is>
          <t>ETD : 20-08-2026</t>
        </is>
      </c>
      <c r="X13" s="245" t="n"/>
      <c r="Y13" s="245" t="n"/>
      <c r="Z13" s="245" t="n"/>
    </row>
    <row r="14" ht="16.5" customFormat="1" customHeight="1" s="244">
      <c r="A14" s="245" t="n"/>
      <c r="B14" s="245" t="n"/>
      <c r="C14" s="245" t="n"/>
      <c r="D14" s="245" t="n"/>
      <c r="E14" s="245" t="n"/>
      <c r="F14" s="245" t="n"/>
      <c r="G14" s="245" t="n"/>
      <c r="H14" s="247" t="n">
        <v>63</v>
      </c>
      <c r="I14" s="245" t="inlineStr">
        <is>
          <t>DFSU7107463</t>
        </is>
      </c>
      <c r="J14" s="245" t="inlineStr">
        <is>
          <t>40FT</t>
        </is>
      </c>
      <c r="K14" s="245" t="inlineStr">
        <is>
          <t>6IN GREEN TEA MF MATTRESS QN</t>
        </is>
      </c>
      <c r="L14" s="245" t="inlineStr">
        <is>
          <t>ZU-MFMA1ZZI-06Q</t>
        </is>
      </c>
      <c r="M14" s="248" t="inlineStr">
        <is>
          <t>26J2NCYH</t>
        </is>
      </c>
      <c r="N14" s="245" t="inlineStr">
        <is>
          <t>F.MFM.06Q.007.AD</t>
        </is>
      </c>
      <c r="O14" s="245" t="n"/>
      <c r="P14" s="245" t="n"/>
      <c r="Q14" s="250">
        <f>R14/H14</f>
        <v/>
      </c>
      <c r="R14" s="251" t="n">
        <v>2867.13</v>
      </c>
      <c r="S14" s="249" t="n">
        <v>17960</v>
      </c>
      <c r="T14" s="252">
        <f>S14*R14</f>
        <v/>
      </c>
      <c r="U14" s="245" t="n"/>
      <c r="V14" s="245" t="n"/>
      <c r="W14" s="245" t="n"/>
      <c r="X14" s="245" t="n"/>
      <c r="Y14" s="245" t="n"/>
      <c r="Z14" s="245" t="n"/>
    </row>
    <row r="15" ht="16.5" customFormat="1" customHeight="1" s="244">
      <c r="A15" s="245" t="n"/>
      <c r="B15" s="245" t="n"/>
      <c r="C15" s="245" t="n"/>
      <c r="D15" s="245" t="n"/>
      <c r="E15" s="245" t="n"/>
      <c r="F15" s="245" t="n"/>
      <c r="G15" s="245" t="n"/>
      <c r="H15" s="247" t="n">
        <v>398</v>
      </c>
      <c r="I15" s="245" t="inlineStr">
        <is>
          <t>BEAU5658671</t>
        </is>
      </c>
      <c r="J15" s="245" t="inlineStr">
        <is>
          <t>40FT</t>
        </is>
      </c>
      <c r="K15" s="245" t="inlineStr">
        <is>
          <t>6IN GREEN TEA MF MATTRESS TW</t>
        </is>
      </c>
      <c r="L15" s="245" t="inlineStr">
        <is>
          <t>ZU-MFMA1ZZI-06T</t>
        </is>
      </c>
      <c r="M15" s="248" t="inlineStr">
        <is>
          <t>26J2NCYH</t>
        </is>
      </c>
      <c r="N15" s="245" t="inlineStr">
        <is>
          <t>F.MFM.06T.007.AD</t>
        </is>
      </c>
      <c r="O15" s="245" t="n"/>
      <c r="P15" s="245" t="n"/>
      <c r="Q15" s="250">
        <f>R15/H15</f>
        <v/>
      </c>
      <c r="R15" s="251" t="n">
        <v>12142.98</v>
      </c>
      <c r="S15" s="249" t="n">
        <v>17960</v>
      </c>
      <c r="T15" s="252">
        <f>S15*R15</f>
        <v/>
      </c>
      <c r="U15" s="245" t="n"/>
      <c r="V15" s="245" t="n"/>
      <c r="W15" s="245" t="n"/>
      <c r="X15" s="245" t="n"/>
      <c r="Y15" s="245" t="n"/>
      <c r="Z15" s="245" t="n"/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7" t="n">
        <v>162</v>
      </c>
      <c r="I16" s="245" t="inlineStr">
        <is>
          <t>TCNU1310958</t>
        </is>
      </c>
      <c r="J16" s="245" t="inlineStr">
        <is>
          <t>40FT</t>
        </is>
      </c>
      <c r="K16" s="245" t="inlineStr">
        <is>
          <t>8IN GREEN TEA MF MATTRESS TW</t>
        </is>
      </c>
      <c r="L16" s="245" t="inlineStr">
        <is>
          <t>ZU-MFMA1ZZI-08T</t>
        </is>
      </c>
      <c r="M16" s="248" t="inlineStr">
        <is>
          <t>26J2NCYH</t>
        </is>
      </c>
      <c r="N16" s="245" t="inlineStr">
        <is>
          <t>F.MFM.08T.008.AD</t>
        </is>
      </c>
      <c r="O16" s="245" t="n"/>
      <c r="P16" s="245" t="n"/>
      <c r="Q16" s="250">
        <f>R16/H16</f>
        <v/>
      </c>
      <c r="R16" s="251" t="n">
        <v>5820.66</v>
      </c>
      <c r="S16" s="249" t="n">
        <v>17960</v>
      </c>
      <c r="T16" s="252">
        <f>S16*R16</f>
        <v/>
      </c>
      <c r="U16" s="245" t="n"/>
      <c r="V16" s="245" t="n"/>
      <c r="W16" s="245" t="n"/>
      <c r="X16" s="245" t="n"/>
      <c r="Y16" s="245" t="n"/>
      <c r="Z16" s="245" t="n"/>
    </row>
    <row r="17" ht="16.5" customFormat="1" customHeight="1" s="253">
      <c r="A17" s="245" t="n"/>
      <c r="B17" s="245" t="n"/>
      <c r="C17" s="245" t="n"/>
      <c r="D17" s="245" t="n"/>
      <c r="E17" s="245" t="n"/>
      <c r="F17" s="245" t="n"/>
      <c r="G17" s="245" t="n"/>
      <c r="H17" s="247" t="n">
        <v>65</v>
      </c>
      <c r="I17" s="245" t="inlineStr">
        <is>
          <t>MSMU5123621</t>
        </is>
      </c>
      <c r="J17" s="245" t="inlineStr">
        <is>
          <t>40FT</t>
        </is>
      </c>
      <c r="K17" s="245" t="inlineStr">
        <is>
          <t>12IN GREEN TEA MF MATTRESS TW</t>
        </is>
      </c>
      <c r="L17" s="245" t="inlineStr">
        <is>
          <t>ZU-MFMA1ZZI-12T</t>
        </is>
      </c>
      <c r="M17" s="248" t="inlineStr">
        <is>
          <t>26J2NCYH</t>
        </is>
      </c>
      <c r="N17" s="245" t="inlineStr">
        <is>
          <t>F.MFM.12T.006.AD</t>
        </is>
      </c>
      <c r="O17" s="245" t="n"/>
      <c r="P17" s="245" t="n"/>
      <c r="Q17" s="250">
        <f>R17/H17</f>
        <v/>
      </c>
      <c r="R17" s="251" t="n">
        <v>4108</v>
      </c>
      <c r="S17" s="249" t="n">
        <v>17960</v>
      </c>
      <c r="T17" s="252">
        <f>S17*R17</f>
        <v/>
      </c>
      <c r="U17" s="245" t="n"/>
      <c r="V17" s="245" t="n"/>
      <c r="W17" s="245" t="n"/>
      <c r="X17" s="245" t="n"/>
      <c r="Y17" s="245" t="n"/>
      <c r="Z17" s="245" t="n"/>
    </row>
    <row r="18" ht="16.5" customHeight="1" s="202" thickBot="1">
      <c r="A18" s="245" t="n"/>
      <c r="B18" s="245" t="n"/>
      <c r="C18" s="245" t="n"/>
      <c r="D18" s="245" t="n"/>
      <c r="E18" s="245" t="n"/>
      <c r="F18" s="245" t="n"/>
      <c r="G18" s="245" t="n"/>
      <c r="H18" s="247" t="n">
        <v>32</v>
      </c>
      <c r="I18" s="245" t="inlineStr">
        <is>
          <t>SEGU6226910</t>
        </is>
      </c>
      <c r="J18" s="245" t="inlineStr">
        <is>
          <t>40FT</t>
        </is>
      </c>
      <c r="K18" s="245" t="inlineStr">
        <is>
          <t>6IN MYGEL FOAM MATTRESS QN</t>
        </is>
      </c>
      <c r="L18" s="245" t="inlineStr">
        <is>
          <t>ZU-MFGN1YZI-06Q</t>
        </is>
      </c>
      <c r="M18" s="248" t="inlineStr">
        <is>
          <t>2RHYK5BW</t>
        </is>
      </c>
      <c r="N18" s="245" t="inlineStr">
        <is>
          <t>F.MFG.06Q.002.AD</t>
        </is>
      </c>
      <c r="O18" s="245" t="n"/>
      <c r="P18" s="245" t="n"/>
      <c r="Q18" s="250">
        <f>R18/H18</f>
        <v/>
      </c>
      <c r="R18" s="251" t="n">
        <v>1533.12</v>
      </c>
      <c r="S18" s="249" t="n">
        <v>17960</v>
      </c>
      <c r="T18" s="252">
        <f>S18*R18</f>
        <v/>
      </c>
      <c r="U18" s="245" t="n"/>
      <c r="V18" s="245" t="n"/>
      <c r="W18" s="245" t="n"/>
      <c r="X18" s="245" t="n"/>
      <c r="Y18" s="245" t="n"/>
      <c r="Z18" s="245" t="n"/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7" t="n">
        <v>237</v>
      </c>
      <c r="I19" s="245" t="inlineStr"/>
      <c r="J19" s="245" t="inlineStr"/>
      <c r="K19" s="245" t="inlineStr">
        <is>
          <t>8IN MYGEL FOAM MATTRESS TW</t>
        </is>
      </c>
      <c r="L19" s="245" t="inlineStr">
        <is>
          <t>ZU-MFGN1YZI-08T</t>
        </is>
      </c>
      <c r="M19" s="248" t="inlineStr">
        <is>
          <t>2RHYK5BW</t>
        </is>
      </c>
      <c r="N19" s="245" t="inlineStr">
        <is>
          <t>F.MFG.08T.003.AD</t>
        </is>
      </c>
      <c r="O19" s="245" t="n"/>
      <c r="P19" s="245" t="n"/>
      <c r="Q19" s="250">
        <f>R19/H19</f>
        <v/>
      </c>
      <c r="R19" s="251" t="n">
        <v>8515.41</v>
      </c>
      <c r="S19" s="249" t="n">
        <v>17960</v>
      </c>
      <c r="T19" s="252">
        <f>S19*R19</f>
        <v/>
      </c>
      <c r="U19" s="245" t="n"/>
      <c r="V19" s="245" t="n"/>
      <c r="W19" s="245" t="n"/>
      <c r="X19" s="245" t="n"/>
      <c r="Y19" s="245" t="n"/>
      <c r="Z19" s="245" t="n"/>
    </row>
    <row r="20" ht="16.5" customHeight="1" s="202">
      <c r="A20" s="245" t="n"/>
      <c r="B20" s="245" t="n"/>
      <c r="C20" s="245" t="n"/>
      <c r="D20" s="245" t="n"/>
      <c r="E20" s="245" t="n"/>
      <c r="F20" s="245" t="n"/>
      <c r="G20" s="245" t="n"/>
      <c r="H20" s="247" t="n">
        <v>41</v>
      </c>
      <c r="I20" s="245" t="inlineStr"/>
      <c r="J20" s="245" t="inlineStr"/>
      <c r="K20" s="245" t="inlineStr">
        <is>
          <t>8IN GREEN TEA MF MATTRESS SQ</t>
        </is>
      </c>
      <c r="L20" s="245" t="inlineStr">
        <is>
          <t>ZU-MFMA1FZI-08S</t>
        </is>
      </c>
      <c r="M20" s="248" t="inlineStr">
        <is>
          <t>2RHYK5BW</t>
        </is>
      </c>
      <c r="N20" s="245" t="inlineStr">
        <is>
          <t>F.MFM.08S.012.AD</t>
        </is>
      </c>
      <c r="O20" s="245" t="n"/>
      <c r="P20" s="245" t="n"/>
      <c r="Q20" s="250">
        <f>R20/H20</f>
        <v/>
      </c>
      <c r="R20" s="251" t="n">
        <v>2548.15</v>
      </c>
      <c r="S20" s="249" t="n">
        <v>17960</v>
      </c>
      <c r="T20" s="252">
        <f>S20*R20</f>
        <v/>
      </c>
      <c r="U20" s="245" t="n"/>
      <c r="V20" s="245" t="n"/>
      <c r="W20" s="245" t="n"/>
      <c r="X20" s="245" t="n"/>
      <c r="Y20" s="245" t="n"/>
      <c r="Z20" s="245" t="n"/>
    </row>
    <row r="21" ht="16.5" customHeight="1" s="202">
      <c r="A21" s="245" t="n"/>
      <c r="B21" s="245" t="n"/>
      <c r="C21" s="245" t="n"/>
      <c r="D21" s="245" t="n"/>
      <c r="E21" s="245" t="n"/>
      <c r="F21" s="245" t="n"/>
      <c r="G21" s="245" t="n"/>
      <c r="H21" s="247" t="n">
        <v>5</v>
      </c>
      <c r="I21" s="245" t="inlineStr"/>
      <c r="J21" s="245" t="inlineStr"/>
      <c r="K21" s="245" t="inlineStr">
        <is>
          <t>10IN GREEN TEA MF MATTRESS FL</t>
        </is>
      </c>
      <c r="L21" s="245" t="inlineStr">
        <is>
          <t>ZU-MFMA1FZI-10F</t>
        </is>
      </c>
      <c r="M21" s="248" t="inlineStr">
        <is>
          <t>2RHYK5BW</t>
        </is>
      </c>
      <c r="N21" s="245" t="inlineStr">
        <is>
          <t>F.MFM.10F.009.AD</t>
        </is>
      </c>
      <c r="O21" s="245" t="n"/>
      <c r="P21" s="245" t="n"/>
      <c r="Q21" s="250">
        <f>R21/H21</f>
        <v/>
      </c>
      <c r="R21" s="251" t="n">
        <v>326.25</v>
      </c>
      <c r="S21" s="249" t="n">
        <v>17960</v>
      </c>
      <c r="T21" s="252">
        <f>S21*R21</f>
        <v/>
      </c>
      <c r="U21" s="245" t="n"/>
      <c r="V21" s="245" t="n"/>
      <c r="W21" s="245" t="n"/>
      <c r="X21" s="245" t="n"/>
      <c r="Y21" s="245" t="n"/>
      <c r="Z21" s="245" t="n"/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7" t="n">
        <v>18</v>
      </c>
      <c r="I22" s="245" t="inlineStr"/>
      <c r="J22" s="245" t="inlineStr"/>
      <c r="K22" s="245" t="inlineStr">
        <is>
          <t>6IN OPP HD TW</t>
        </is>
      </c>
      <c r="L22" s="245" t="inlineStr">
        <is>
          <t>ZU-MFMA1OZI-06T</t>
        </is>
      </c>
      <c r="M22" s="248" t="inlineStr">
        <is>
          <t>2RHYK5BW</t>
        </is>
      </c>
      <c r="N22" s="245" t="inlineStr">
        <is>
          <t>F.MFM.06T.008.AD</t>
        </is>
      </c>
      <c r="O22" s="245" t="n"/>
      <c r="P22" s="245" t="n"/>
      <c r="Q22" s="250">
        <f>R22/H22</f>
        <v/>
      </c>
      <c r="R22" s="251" t="n">
        <v>485.1</v>
      </c>
      <c r="S22" s="249" t="n">
        <v>17960</v>
      </c>
      <c r="T22" s="252">
        <f>S22*R22</f>
        <v/>
      </c>
      <c r="U22" s="245" t="n"/>
      <c r="V22" s="245" t="n"/>
      <c r="W22" s="245" t="n"/>
      <c r="X22" s="245" t="n"/>
      <c r="Y22" s="245" t="n"/>
      <c r="Z22" s="245" t="n"/>
    </row>
    <row r="23" ht="16.5" customHeight="1" s="202" thickBot="1">
      <c r="A23" s="245" t="n"/>
      <c r="B23" s="245" t="n"/>
      <c r="C23" s="245" t="n"/>
      <c r="D23" s="245" t="n"/>
      <c r="E23" s="245" t="n"/>
      <c r="F23" s="245" t="n"/>
      <c r="G23" s="245" t="n"/>
      <c r="H23" s="247" t="n">
        <v>8</v>
      </c>
      <c r="I23" s="245" t="inlineStr"/>
      <c r="J23" s="245" t="inlineStr"/>
      <c r="K23" s="245" t="inlineStr">
        <is>
          <t>10IN OPP HD FL</t>
        </is>
      </c>
      <c r="L23" s="245" t="inlineStr">
        <is>
          <t>ZU-MFMA1OZI-10F</t>
        </is>
      </c>
      <c r="M23" s="248" t="inlineStr">
        <is>
          <t>2RHYK5BW</t>
        </is>
      </c>
      <c r="N23" s="245" t="inlineStr">
        <is>
          <t>F.MFM.10F.013.AD</t>
        </is>
      </c>
      <c r="O23" s="245" t="n"/>
      <c r="P23" s="245" t="n"/>
      <c r="Q23" s="250">
        <f>R23/H23</f>
        <v/>
      </c>
      <c r="R23" s="251" t="n">
        <v>383.28</v>
      </c>
      <c r="S23" s="249" t="n">
        <v>17960</v>
      </c>
      <c r="T23" s="252">
        <f>S23*R23</f>
        <v/>
      </c>
      <c r="U23" s="245" t="n"/>
      <c r="V23" s="245" t="n"/>
      <c r="W23" s="245" t="n"/>
      <c r="X23" s="245" t="n"/>
      <c r="Y23" s="245" t="n"/>
      <c r="Z23" s="245" t="n"/>
    </row>
    <row r="24" ht="16.5" customHeight="1" s="202" thickTop="1">
      <c r="A24" s="245" t="n"/>
      <c r="B24" s="245" t="n"/>
      <c r="C24" s="245" t="n"/>
      <c r="D24" s="245" t="n"/>
      <c r="E24" s="245" t="n"/>
      <c r="F24" s="245" t="n"/>
      <c r="G24" s="245" t="n"/>
      <c r="H24" s="247" t="n">
        <v>45</v>
      </c>
      <c r="I24" s="245" t="inlineStr"/>
      <c r="J24" s="245" t="inlineStr"/>
      <c r="K24" s="245" t="inlineStr">
        <is>
          <t>12IN AIRFLOW GEL FOAM MATT TW</t>
        </is>
      </c>
      <c r="L24" s="245" t="inlineStr">
        <is>
          <t>ZU-MFMA1RZI-12T</t>
        </is>
      </c>
      <c r="M24" s="248" t="inlineStr">
        <is>
          <t>2RHYK5BW</t>
        </is>
      </c>
      <c r="N24" s="245" t="inlineStr">
        <is>
          <t>F.MFM.12T.011.AD</t>
        </is>
      </c>
      <c r="O24" s="245" t="n"/>
      <c r="P24" s="245" t="n"/>
      <c r="Q24" s="250">
        <f>R24/H24</f>
        <v/>
      </c>
      <c r="R24" s="251" t="n">
        <v>1886.4</v>
      </c>
      <c r="S24" s="249" t="n">
        <v>17960</v>
      </c>
      <c r="T24" s="252">
        <f>S24*R24</f>
        <v/>
      </c>
      <c r="U24" s="245" t="n"/>
      <c r="V24" s="245" t="n"/>
      <c r="W24" s="245" t="n"/>
      <c r="X24" s="245" t="n"/>
      <c r="Y24" s="245" t="n"/>
      <c r="Z24" s="245" t="n"/>
    </row>
    <row r="25" ht="16.5" customHeight="1" s="202">
      <c r="A25" s="245" t="n"/>
      <c r="B25" s="245" t="n"/>
      <c r="C25" s="245" t="n"/>
      <c r="D25" s="245" t="n"/>
      <c r="E25" s="245" t="n"/>
      <c r="F25" s="245" t="n"/>
      <c r="G25" s="245" t="n"/>
      <c r="H25" s="247" t="n">
        <v>320</v>
      </c>
      <c r="I25" s="245" t="inlineStr"/>
      <c r="J25" s="245" t="inlineStr"/>
      <c r="K25" s="245" t="inlineStr">
        <is>
          <t>6IN GREEN TEA MF MATTRESS FL</t>
        </is>
      </c>
      <c r="L25" s="245" t="inlineStr">
        <is>
          <t>ZU-MFMA1ZZI-06F</t>
        </is>
      </c>
      <c r="M25" s="248" t="inlineStr">
        <is>
          <t>2RHYK5BW</t>
        </is>
      </c>
      <c r="N25" s="245" t="inlineStr">
        <is>
          <t>F.MFM.06F.007.AD</t>
        </is>
      </c>
      <c r="O25" s="245" t="n"/>
      <c r="P25" s="245" t="n"/>
      <c r="Q25" s="250">
        <f>R25/H25</f>
        <v/>
      </c>
      <c r="R25" s="251" t="n">
        <v>12265.6</v>
      </c>
      <c r="S25" s="249" t="n">
        <v>17960</v>
      </c>
      <c r="T25" s="252">
        <f>S25*R25</f>
        <v/>
      </c>
      <c r="U25" s="245" t="n"/>
      <c r="V25" s="245" t="n"/>
      <c r="W25" s="245" t="n"/>
      <c r="X25" s="245" t="n"/>
      <c r="Y25" s="245" t="n"/>
      <c r="Z25" s="245" t="n"/>
    </row>
    <row r="26" ht="16.5" customHeight="1" s="202">
      <c r="A26" s="245" t="n"/>
      <c r="B26" s="245" t="n"/>
      <c r="C26" s="245" t="n"/>
      <c r="D26" s="245" t="n"/>
      <c r="E26" s="245" t="n"/>
      <c r="F26" s="245" t="n"/>
      <c r="G26" s="245" t="n"/>
      <c r="H26" s="247" t="n">
        <v>1</v>
      </c>
      <c r="I26" s="245" t="inlineStr"/>
      <c r="J26" s="245" t="inlineStr"/>
      <c r="K26" s="245" t="inlineStr">
        <is>
          <t>8IN GREEN TEA MF MATTRESS SQ</t>
        </is>
      </c>
      <c r="L26" s="245" t="inlineStr">
        <is>
          <t>ZU-MFMA1ZZI-08S</t>
        </is>
      </c>
      <c r="M26" s="248" t="inlineStr">
        <is>
          <t>2RHYK5BW</t>
        </is>
      </c>
      <c r="N26" s="245" t="inlineStr">
        <is>
          <t>F.MFM.08S.011.AD</t>
        </is>
      </c>
      <c r="O26" s="245" t="n"/>
      <c r="P26" s="245" t="n"/>
      <c r="Q26" s="250">
        <f>R26/H26</f>
        <v/>
      </c>
      <c r="R26" s="251" t="n">
        <v>59.1</v>
      </c>
      <c r="S26" s="249" t="n">
        <v>17960</v>
      </c>
      <c r="T26" s="252">
        <f>S26*R26</f>
        <v/>
      </c>
      <c r="U26" s="245" t="n"/>
      <c r="V26" s="245" t="n"/>
      <c r="W26" s="245" t="n"/>
      <c r="X26" s="245" t="n"/>
      <c r="Y26" s="245" t="n"/>
      <c r="Z26" s="245" t="n"/>
    </row>
    <row r="27" ht="16.5" customHeight="1" s="202">
      <c r="A27" s="245" t="n"/>
      <c r="B27" s="245" t="n"/>
      <c r="C27" s="245" t="n"/>
      <c r="D27" s="245" t="n"/>
      <c r="E27" s="245" t="n"/>
      <c r="F27" s="245" t="n"/>
      <c r="G27" s="245" t="n"/>
      <c r="H27" s="247" t="n">
        <v>97</v>
      </c>
      <c r="I27" s="245" t="inlineStr"/>
      <c r="J27" s="245" t="inlineStr"/>
      <c r="K27" s="245" t="inlineStr">
        <is>
          <t>10IN GREEN TEA MF MATTRESS TW</t>
        </is>
      </c>
      <c r="L27" s="245" t="inlineStr">
        <is>
          <t>ZU-MFMA1ZZI-10T</t>
        </is>
      </c>
      <c r="M27" s="248" t="inlineStr">
        <is>
          <t>2RHYK5BW</t>
        </is>
      </c>
      <c r="N27" s="245" t="inlineStr">
        <is>
          <t>F.MFM.10T.007.AD</t>
        </is>
      </c>
      <c r="O27" s="245" t="n"/>
      <c r="P27" s="245" t="n"/>
      <c r="Q27" s="250">
        <f>R27/H27</f>
        <v/>
      </c>
      <c r="R27" s="251" t="n">
        <v>5358.28</v>
      </c>
      <c r="S27" s="249" t="n">
        <v>17960</v>
      </c>
      <c r="T27" s="252">
        <f>S27*R27</f>
        <v/>
      </c>
      <c r="U27" s="245" t="n"/>
      <c r="V27" s="245" t="n"/>
      <c r="W27" s="245" t="n"/>
      <c r="X27" s="245" t="n"/>
      <c r="Y27" s="245" t="n"/>
      <c r="Z27" s="245" t="n"/>
    </row>
    <row r="28" ht="16.5" customHeight="1" s="202">
      <c r="A28" s="245" t="n"/>
      <c r="B28" s="245" t="n"/>
      <c r="C28" s="245" t="n"/>
      <c r="D28" s="245" t="n"/>
      <c r="E28" s="245" t="n"/>
      <c r="F28" s="245" t="n"/>
      <c r="G28" s="245" t="n"/>
      <c r="H28" s="247" t="n">
        <v>28</v>
      </c>
      <c r="I28" s="245" t="inlineStr"/>
      <c r="J28" s="245" t="inlineStr"/>
      <c r="K28" s="245" t="inlineStr">
        <is>
          <t>10IN GREEN TEA MF MATTRESS TX</t>
        </is>
      </c>
      <c r="L28" s="245" t="inlineStr">
        <is>
          <t>ZU-MFMA1ZZI-10X</t>
        </is>
      </c>
      <c r="M28" s="248" t="inlineStr">
        <is>
          <t>2RHYK5BW</t>
        </is>
      </c>
      <c r="N28" s="245" t="inlineStr">
        <is>
          <t>F.MFM.10X.007.AD</t>
        </is>
      </c>
      <c r="O28" s="245" t="n"/>
      <c r="P28" s="245" t="n"/>
      <c r="Q28" s="250">
        <f>R28/H28</f>
        <v/>
      </c>
      <c r="R28" s="251" t="n">
        <v>1409.8</v>
      </c>
      <c r="S28" s="249" t="n">
        <v>17960</v>
      </c>
      <c r="T28" s="252">
        <f>S28*R28</f>
        <v/>
      </c>
      <c r="U28" s="245" t="n"/>
      <c r="V28" s="245" t="n"/>
      <c r="W28" s="245" t="n"/>
      <c r="X28" s="245" t="n"/>
      <c r="Y28" s="245" t="n"/>
      <c r="Z28" s="245" t="n"/>
    </row>
    <row r="29" ht="16.5" customHeight="1" s="202">
      <c r="A29" s="245" t="n"/>
      <c r="B29" s="245" t="n"/>
      <c r="C29" s="245" t="n"/>
      <c r="D29" s="245" t="n"/>
      <c r="E29" s="245" t="n"/>
      <c r="F29" s="245" t="n"/>
      <c r="G29" s="245" t="n"/>
      <c r="H29" s="247" t="n">
        <v>13</v>
      </c>
      <c r="I29" s="245" t="inlineStr"/>
      <c r="J29" s="245" t="inlineStr"/>
      <c r="K29" s="245" t="inlineStr">
        <is>
          <t>12IN GREEN TEA MF MATTRESS FL</t>
        </is>
      </c>
      <c r="L29" s="245" t="inlineStr">
        <is>
          <t>ZU-MFMA1ZZI-12F</t>
        </is>
      </c>
      <c r="M29" s="248" t="inlineStr">
        <is>
          <t>2RHYK5BW</t>
        </is>
      </c>
      <c r="N29" s="245" t="inlineStr">
        <is>
          <t>F.MFM.12F.006.AD</t>
        </is>
      </c>
      <c r="O29" s="245" t="n"/>
      <c r="P29" s="245" t="n"/>
      <c r="Q29" s="250">
        <f>R29/H29</f>
        <v/>
      </c>
      <c r="R29" s="251" t="n">
        <v>922.48</v>
      </c>
      <c r="S29" s="249" t="n">
        <v>17960</v>
      </c>
      <c r="T29" s="252">
        <f>S29*R29</f>
        <v/>
      </c>
      <c r="U29" s="245" t="n"/>
      <c r="V29" s="245" t="n"/>
      <c r="W29" s="245" t="n"/>
      <c r="X29" s="245" t="n"/>
      <c r="Y29" s="245" t="n"/>
      <c r="Z29" s="245" t="n"/>
    </row>
    <row r="30" ht="16.5" customHeight="1" s="202">
      <c r="A30" s="245" t="n"/>
      <c r="B30" s="245" t="n"/>
      <c r="C30" s="245" t="n"/>
      <c r="D30" s="245" t="n"/>
      <c r="E30" s="245" t="n"/>
      <c r="F30" s="245" t="n"/>
      <c r="G30" s="245" t="n"/>
      <c r="H30" s="247" t="n">
        <v>17</v>
      </c>
      <c r="I30" s="245" t="inlineStr"/>
      <c r="J30" s="245" t="inlineStr"/>
      <c r="K30" s="245" t="inlineStr">
        <is>
          <t>12IN MYGEL FOAM MATTRESS FL</t>
        </is>
      </c>
      <c r="L30" s="245" t="inlineStr">
        <is>
          <t>ZU-MFGN1YZI-12F</t>
        </is>
      </c>
      <c r="M30" s="248" t="inlineStr">
        <is>
          <t>3D9MUIEU</t>
        </is>
      </c>
      <c r="N30" s="245" t="inlineStr">
        <is>
          <t>F.MFG.12F.002.AD</t>
        </is>
      </c>
      <c r="O30" s="245" t="n"/>
      <c r="P30" s="245" t="n"/>
      <c r="Q30" s="250">
        <f>R30/H30</f>
        <v/>
      </c>
      <c r="R30" s="251" t="n">
        <v>1203.77</v>
      </c>
      <c r="S30" s="249" t="n">
        <v>17960</v>
      </c>
      <c r="T30" s="252">
        <f>S30*R30</f>
        <v/>
      </c>
      <c r="U30" s="245" t="n"/>
      <c r="V30" s="245" t="n"/>
      <c r="W30" s="245" t="n"/>
      <c r="X30" s="245" t="n"/>
      <c r="Y30" s="245" t="n"/>
      <c r="Z30" s="245" t="n"/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7" t="n">
        <v>12</v>
      </c>
      <c r="I31" s="245" t="inlineStr"/>
      <c r="J31" s="245" t="inlineStr"/>
      <c r="K31" s="245" t="inlineStr">
        <is>
          <t>12IN GREEN TEA MF MATTRESS QN</t>
        </is>
      </c>
      <c r="L31" s="245" t="inlineStr">
        <is>
          <t>ZU-MFMA1FZI-12Q</t>
        </is>
      </c>
      <c r="M31" s="248" t="inlineStr">
        <is>
          <t>3D9MUIEU</t>
        </is>
      </c>
      <c r="N31" s="245" t="inlineStr">
        <is>
          <t>F.MFM.12Q.008.AD</t>
        </is>
      </c>
      <c r="O31" s="245" t="n"/>
      <c r="P31" s="245" t="n"/>
      <c r="Q31" s="250">
        <f>R31/H31</f>
        <v/>
      </c>
      <c r="R31" s="251" t="n">
        <v>1118.64</v>
      </c>
      <c r="S31" s="249" t="n">
        <v>17960</v>
      </c>
      <c r="T31" s="252">
        <f>S31*R31</f>
        <v/>
      </c>
      <c r="U31" s="245" t="n"/>
      <c r="V31" s="245" t="n"/>
      <c r="W31" s="245" t="n"/>
      <c r="X31" s="245" t="n"/>
      <c r="Y31" s="245" t="n"/>
      <c r="Z31" s="245" t="n"/>
    </row>
    <row r="32" ht="16.5" customHeight="1" s="202" thickBot="1">
      <c r="A32" s="245" t="n"/>
      <c r="B32" s="245" t="n"/>
      <c r="C32" s="245" t="n"/>
      <c r="D32" s="245" t="n"/>
      <c r="E32" s="245" t="n"/>
      <c r="F32" s="245" t="n"/>
      <c r="G32" s="245" t="n"/>
      <c r="H32" s="247" t="n">
        <v>78</v>
      </c>
      <c r="I32" s="245" t="inlineStr"/>
      <c r="J32" s="245" t="inlineStr"/>
      <c r="K32" s="245" t="inlineStr">
        <is>
          <t>12IN OPP HD QN</t>
        </is>
      </c>
      <c r="L32" s="245" t="inlineStr">
        <is>
          <t>ZU-MFMA1OZI-12Q</t>
        </is>
      </c>
      <c r="M32" s="248" t="inlineStr">
        <is>
          <t>3D9MUIEU</t>
        </is>
      </c>
      <c r="N32" s="245" t="inlineStr">
        <is>
          <t>F.MFM.12Q.010.AD</t>
        </is>
      </c>
      <c r="O32" s="245" t="n"/>
      <c r="P32" s="245" t="n"/>
      <c r="Q32" s="250">
        <f>R32/H32</f>
        <v/>
      </c>
      <c r="R32" s="251" t="n">
        <v>5270.46</v>
      </c>
      <c r="S32" s="249" t="n">
        <v>17960</v>
      </c>
      <c r="T32" s="252">
        <f>S32*R32</f>
        <v/>
      </c>
      <c r="U32" s="245" t="n"/>
      <c r="V32" s="245" t="n"/>
      <c r="W32" s="245" t="n"/>
      <c r="X32" s="245" t="n"/>
      <c r="Y32" s="245" t="n"/>
      <c r="Z32" s="245" t="n"/>
    </row>
    <row r="33" ht="16.5" customFormat="1" customHeight="1" s="17" thickTop="1">
      <c r="A33" s="245" t="n"/>
      <c r="B33" s="245" t="n"/>
      <c r="C33" s="245" t="n"/>
      <c r="D33" s="245" t="n"/>
      <c r="E33" s="245" t="n"/>
      <c r="F33" s="245" t="n"/>
      <c r="G33" s="245" t="n"/>
      <c r="H33" s="247" t="n">
        <v>14</v>
      </c>
      <c r="I33" s="245" t="inlineStr"/>
      <c r="J33" s="245" t="inlineStr"/>
      <c r="K33" s="245" t="inlineStr">
        <is>
          <t>8IN AIRFLOW GEL FOAM MATT QN</t>
        </is>
      </c>
      <c r="L33" s="245" t="inlineStr">
        <is>
          <t>ZU-MFMA1RZI-08Q</t>
        </is>
      </c>
      <c r="M33" s="248" t="inlineStr">
        <is>
          <t>3D9MUIEU</t>
        </is>
      </c>
      <c r="N33" s="245" t="inlineStr">
        <is>
          <t>F.MFM.08Q.014.AD</t>
        </is>
      </c>
      <c r="O33" s="245" t="n"/>
      <c r="P33" s="245" t="n"/>
      <c r="Q33" s="250">
        <f>R33/H33</f>
        <v/>
      </c>
      <c r="R33" s="251" t="n">
        <v>628.74</v>
      </c>
      <c r="S33" s="249" t="n">
        <v>17960</v>
      </c>
      <c r="T33" s="252">
        <f>S33*R33</f>
        <v/>
      </c>
      <c r="U33" s="245" t="n"/>
      <c r="V33" s="245" t="n"/>
      <c r="W33" s="245" t="n"/>
      <c r="X33" s="245" t="n"/>
      <c r="Y33" s="245" t="n"/>
      <c r="Z33" s="245" t="n"/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7" t="n">
        <v>2</v>
      </c>
      <c r="I34" s="245" t="inlineStr"/>
      <c r="J34" s="245" t="inlineStr"/>
      <c r="K34" s="245" t="inlineStr">
        <is>
          <t>12IN AIRFLOW GEL FOAM MATT EK</t>
        </is>
      </c>
      <c r="L34" s="245" t="inlineStr">
        <is>
          <t>ZU-MFMA1RZI-12K</t>
        </is>
      </c>
      <c r="M34" s="248" t="inlineStr">
        <is>
          <t>3D9MUIEU</t>
        </is>
      </c>
      <c r="N34" s="245" t="inlineStr">
        <is>
          <t>F.MFM.12K.011.AD</t>
        </is>
      </c>
      <c r="O34" s="245" t="n"/>
      <c r="P34" s="245" t="n"/>
      <c r="Q34" s="250">
        <f>R34/H34</f>
        <v/>
      </c>
      <c r="R34" s="251" t="n">
        <v>149.72</v>
      </c>
      <c r="S34" s="249" t="n">
        <v>17960</v>
      </c>
      <c r="T34" s="252">
        <f>S34*R34</f>
        <v/>
      </c>
      <c r="U34" s="245" t="n"/>
      <c r="V34" s="245" t="n"/>
      <c r="W34" s="245" t="n"/>
      <c r="X34" s="245" t="n"/>
      <c r="Y34" s="245" t="n"/>
      <c r="Z34" s="245" t="n"/>
    </row>
    <row r="35" ht="16.5" customHeight="1" s="202">
      <c r="A35" s="245" t="n"/>
      <c r="B35" s="245" t="n"/>
      <c r="C35" s="245" t="n"/>
      <c r="D35" s="245" t="n"/>
      <c r="E35" s="245" t="n"/>
      <c r="F35" s="245" t="n"/>
      <c r="G35" s="245" t="n"/>
      <c r="H35" s="247" t="n">
        <v>1</v>
      </c>
      <c r="I35" s="245" t="inlineStr"/>
      <c r="J35" s="245" t="inlineStr"/>
      <c r="K35" s="245" t="inlineStr">
        <is>
          <t>8IN GREEN TEA MF MATTRESS SQ</t>
        </is>
      </c>
      <c r="L35" s="245" t="inlineStr">
        <is>
          <t>ZU-MFMA1ZZI-08S</t>
        </is>
      </c>
      <c r="M35" s="248" t="inlineStr">
        <is>
          <t>3D9MUIEU</t>
        </is>
      </c>
      <c r="N35" s="245" t="inlineStr">
        <is>
          <t>F.MFM.08S.011.AD</t>
        </is>
      </c>
      <c r="O35" s="245" t="n"/>
      <c r="P35" s="245" t="n"/>
      <c r="Q35" s="250">
        <f>R35/H35</f>
        <v/>
      </c>
      <c r="R35" s="251" t="n">
        <v>59.1</v>
      </c>
      <c r="S35" s="249" t="n">
        <v>17960</v>
      </c>
      <c r="T35" s="252">
        <f>S35*R35</f>
        <v/>
      </c>
      <c r="U35" s="245" t="n"/>
      <c r="V35" s="245" t="n"/>
      <c r="W35" s="245" t="n"/>
      <c r="X35" s="245" t="n"/>
      <c r="Y35" s="245" t="n"/>
      <c r="Z35" s="245" t="n"/>
    </row>
    <row r="36" ht="16.5" customHeight="1" s="202">
      <c r="A36" s="245" t="n"/>
      <c r="B36" s="245" t="n"/>
      <c r="C36" s="245" t="n"/>
      <c r="D36" s="245" t="n"/>
      <c r="E36" s="245" t="n"/>
      <c r="F36" s="245" t="n"/>
      <c r="G36" s="245" t="n"/>
      <c r="H36" s="247" t="n">
        <v>140</v>
      </c>
      <c r="I36" s="245" t="inlineStr"/>
      <c r="J36" s="245" t="inlineStr"/>
      <c r="K36" s="245" t="inlineStr">
        <is>
          <t>10IN GREEN TEA MF MATTRESS EK</t>
        </is>
      </c>
      <c r="L36" s="245" t="inlineStr">
        <is>
          <t>ZU-MFMA1ZZI-10K</t>
        </is>
      </c>
      <c r="M36" s="248" t="inlineStr">
        <is>
          <t>3D9MUIEU</t>
        </is>
      </c>
      <c r="N36" s="245" t="inlineStr">
        <is>
          <t>F.MFM.10K.007.AD</t>
        </is>
      </c>
      <c r="O36" s="245" t="n"/>
      <c r="P36" s="245" t="n"/>
      <c r="Q36" s="250">
        <f>R36/H36</f>
        <v/>
      </c>
      <c r="R36" s="251" t="n">
        <v>13595.4</v>
      </c>
      <c r="S36" s="249" t="n">
        <v>17960</v>
      </c>
      <c r="T36" s="252">
        <f>S36*R36</f>
        <v/>
      </c>
      <c r="U36" s="245" t="n"/>
      <c r="V36" s="245" t="n"/>
      <c r="W36" s="245" t="n"/>
      <c r="X36" s="245" t="n"/>
      <c r="Y36" s="245" t="n"/>
      <c r="Z36" s="245" t="n"/>
    </row>
    <row r="37" ht="16.5" customHeight="1" s="202">
      <c r="A37" s="245" t="n"/>
      <c r="B37" s="245" t="n"/>
      <c r="C37" s="245" t="n"/>
      <c r="D37" s="245" t="n"/>
      <c r="E37" s="245" t="n"/>
      <c r="F37" s="245" t="n"/>
      <c r="G37" s="245" t="n"/>
      <c r="H37" s="247" t="n">
        <v>188</v>
      </c>
      <c r="I37" s="245" t="inlineStr"/>
      <c r="J37" s="245" t="inlineStr"/>
      <c r="K37" s="245" t="inlineStr">
        <is>
          <t>12IN GREEN TEA MF MATTRESS EK</t>
        </is>
      </c>
      <c r="L37" s="245" t="inlineStr">
        <is>
          <t>ZU-MFMA1ZZI-12K</t>
        </is>
      </c>
      <c r="M37" s="248" t="inlineStr">
        <is>
          <t>3D9MUIEU</t>
        </is>
      </c>
      <c r="N37" s="245" t="inlineStr">
        <is>
          <t>F.MFM.12K.006.AD</t>
        </is>
      </c>
      <c r="O37" s="245" t="n"/>
      <c r="P37" s="245" t="n"/>
      <c r="Q37" s="250">
        <f>R37/H37</f>
        <v/>
      </c>
      <c r="R37" s="251" t="n">
        <v>19170.36</v>
      </c>
      <c r="S37" s="249" t="n">
        <v>17960</v>
      </c>
      <c r="T37" s="252">
        <f>S37*R37</f>
        <v/>
      </c>
      <c r="U37" s="245" t="n"/>
      <c r="V37" s="245" t="n"/>
      <c r="W37" s="245" t="n"/>
      <c r="X37" s="245" t="n"/>
      <c r="Y37" s="245" t="n"/>
      <c r="Z37" s="245" t="n"/>
    </row>
    <row r="38" ht="16.5" customHeight="1" s="202">
      <c r="A38" s="245" t="n"/>
      <c r="B38" s="245" t="n"/>
      <c r="C38" s="245" t="n"/>
      <c r="D38" s="245" t="n"/>
      <c r="E38" s="245" t="n"/>
      <c r="F38" s="245" t="n"/>
      <c r="G38" s="245" t="n"/>
      <c r="H38" s="247" t="n">
        <v>175</v>
      </c>
      <c r="I38" s="245" t="inlineStr"/>
      <c r="J38" s="245" t="inlineStr"/>
      <c r="K38" s="245" t="inlineStr">
        <is>
          <t>12IN OPP HD QN</t>
        </is>
      </c>
      <c r="L38" s="245" t="inlineStr">
        <is>
          <t>ZU-MFMA1OZI-12Q</t>
        </is>
      </c>
      <c r="M38" s="248" t="inlineStr">
        <is>
          <t>43SJ894J</t>
        </is>
      </c>
      <c r="N38" s="245" t="inlineStr">
        <is>
          <t>F.MFM.12Q.010.AD</t>
        </is>
      </c>
      <c r="O38" s="245" t="n"/>
      <c r="P38" s="245" t="n"/>
      <c r="Q38" s="250">
        <f>R38/H38</f>
        <v/>
      </c>
      <c r="R38" s="251" t="n">
        <v>11824.75</v>
      </c>
      <c r="S38" s="249" t="n">
        <v>17960</v>
      </c>
      <c r="T38" s="252">
        <f>S38*R38</f>
        <v/>
      </c>
      <c r="U38" s="245" t="n"/>
      <c r="V38" s="245" t="n"/>
      <c r="W38" s="245" t="n"/>
      <c r="X38" s="245" t="n"/>
      <c r="Y38" s="245" t="n"/>
      <c r="Z38" s="245" t="n"/>
    </row>
    <row r="39" ht="16.5" customHeight="1" s="202">
      <c r="A39" s="245" t="n"/>
      <c r="B39" s="245" t="n"/>
      <c r="C39" s="245" t="n"/>
      <c r="D39" s="245" t="n"/>
      <c r="E39" s="245" t="n"/>
      <c r="F39" s="245" t="n"/>
      <c r="G39" s="245" t="n"/>
      <c r="H39" s="247" t="n">
        <v>31</v>
      </c>
      <c r="I39" s="245" t="inlineStr"/>
      <c r="J39" s="245" t="inlineStr"/>
      <c r="K39" s="245" t="inlineStr">
        <is>
          <t>5IN GREEN TEA MF MATTRESS TW</t>
        </is>
      </c>
      <c r="L39" s="245" t="inlineStr">
        <is>
          <t>ZU-MFMA1ZZI-05T</t>
        </is>
      </c>
      <c r="M39" s="248" t="inlineStr">
        <is>
          <t>43SJ894J</t>
        </is>
      </c>
      <c r="N39" s="245" t="inlineStr">
        <is>
          <t>F.MFM.05T.007.AD</t>
        </is>
      </c>
      <c r="O39" s="245" t="n"/>
      <c r="P39" s="245" t="n"/>
      <c r="Q39" s="250">
        <f>R39/H39</f>
        <v/>
      </c>
      <c r="R39" s="251" t="n">
        <v>733.46</v>
      </c>
      <c r="S39" s="249" t="n">
        <v>17960</v>
      </c>
      <c r="T39" s="252">
        <f>S39*R39</f>
        <v/>
      </c>
      <c r="U39" s="245" t="n"/>
      <c r="V39" s="245" t="n"/>
      <c r="W39" s="245" t="n"/>
      <c r="X39" s="245" t="n"/>
      <c r="Y39" s="245" t="n"/>
      <c r="Z39" s="245" t="n"/>
    </row>
    <row r="40" ht="16.5" customHeight="1" s="202">
      <c r="A40" s="245" t="n"/>
      <c r="B40" s="245" t="n"/>
      <c r="C40" s="245" t="n"/>
      <c r="D40" s="245" t="n"/>
      <c r="E40" s="245" t="n"/>
      <c r="F40" s="245" t="n"/>
      <c r="G40" s="245" t="n"/>
      <c r="H40" s="247" t="n">
        <v>3</v>
      </c>
      <c r="I40" s="245" t="inlineStr"/>
      <c r="J40" s="245" t="inlineStr"/>
      <c r="K40" s="245" t="inlineStr">
        <is>
          <t>8IN GREEN TEA MF MATTRESS SQ</t>
        </is>
      </c>
      <c r="L40" s="245" t="inlineStr">
        <is>
          <t>ZU-MFMA1ZZI-08S</t>
        </is>
      </c>
      <c r="M40" s="248" t="inlineStr">
        <is>
          <t>43SJ894J</t>
        </is>
      </c>
      <c r="N40" s="245" t="inlineStr">
        <is>
          <t>F.MFM.08S.011.AD</t>
        </is>
      </c>
      <c r="O40" s="245" t="n"/>
      <c r="P40" s="245" t="n"/>
      <c r="Q40" s="250">
        <f>R40/H40</f>
        <v/>
      </c>
      <c r="R40" s="251" t="n">
        <v>177.3</v>
      </c>
      <c r="S40" s="249" t="n">
        <v>17960</v>
      </c>
      <c r="T40" s="252">
        <f>S40*R40</f>
        <v/>
      </c>
      <c r="U40" s="245" t="n"/>
      <c r="V40" s="245" t="n"/>
      <c r="W40" s="245" t="n"/>
      <c r="X40" s="245" t="n"/>
      <c r="Y40" s="245" t="n"/>
      <c r="Z40" s="245" t="n"/>
    </row>
    <row r="41" ht="16.5" customHeight="1" s="202">
      <c r="A41" s="245" t="n"/>
      <c r="B41" s="245" t="n"/>
      <c r="C41" s="245" t="n"/>
      <c r="D41" s="245" t="n"/>
      <c r="E41" s="245" t="n"/>
      <c r="F41" s="245" t="n"/>
      <c r="G41" s="245" t="n"/>
      <c r="H41" s="247" t="n">
        <v>24</v>
      </c>
      <c r="I41" s="245" t="inlineStr"/>
      <c r="J41" s="245" t="inlineStr"/>
      <c r="K41" s="245" t="inlineStr">
        <is>
          <t>12IN GREEN TEA MF MATTRESS FL</t>
        </is>
      </c>
      <c r="L41" s="245" t="inlineStr">
        <is>
          <t>ZU-MFMA1ZZI-12F</t>
        </is>
      </c>
      <c r="M41" s="248" t="inlineStr">
        <is>
          <t>43SJ894J</t>
        </is>
      </c>
      <c r="N41" s="245" t="inlineStr">
        <is>
          <t>F.MFM.12F.006.AD</t>
        </is>
      </c>
      <c r="O41" s="245" t="n"/>
      <c r="P41" s="245" t="n"/>
      <c r="Q41" s="250">
        <f>R41/H41</f>
        <v/>
      </c>
      <c r="R41" s="251" t="n">
        <v>1703.04</v>
      </c>
      <c r="S41" s="249" t="n">
        <v>17960</v>
      </c>
      <c r="T41" s="252">
        <f>S41*R41</f>
        <v/>
      </c>
      <c r="U41" s="245" t="n"/>
      <c r="V41" s="245" t="n"/>
      <c r="W41" s="245" t="n"/>
      <c r="X41" s="245" t="n"/>
      <c r="Y41" s="245" t="n"/>
      <c r="Z41" s="245" t="n"/>
    </row>
    <row r="42" ht="16.5" customHeight="1" s="202">
      <c r="A42" s="245" t="n"/>
      <c r="B42" s="245" t="n"/>
      <c r="C42" s="245" t="n"/>
      <c r="D42" s="245" t="n"/>
      <c r="E42" s="245" t="n"/>
      <c r="F42" s="245" t="n"/>
      <c r="G42" s="245" t="n"/>
      <c r="H42" s="247" t="n">
        <v>238</v>
      </c>
      <c r="I42" s="245" t="inlineStr"/>
      <c r="J42" s="245" t="inlineStr"/>
      <c r="K42" s="245" t="inlineStr">
        <is>
          <t>12IN GREEN TEA MF MATTRESS EK</t>
        </is>
      </c>
      <c r="L42" s="245" t="inlineStr">
        <is>
          <t>ZU-MFMA1ZZI-12K</t>
        </is>
      </c>
      <c r="M42" s="248" t="inlineStr">
        <is>
          <t>43SJ894J</t>
        </is>
      </c>
      <c r="N42" s="245" t="inlineStr">
        <is>
          <t>F.MFM.12K.006.AD</t>
        </is>
      </c>
      <c r="O42" s="245" t="n"/>
      <c r="P42" s="245" t="n"/>
      <c r="Q42" s="250">
        <f>R42/H42</f>
        <v/>
      </c>
      <c r="R42" s="251" t="n">
        <v>24268.86</v>
      </c>
      <c r="S42" s="249" t="n">
        <v>17960</v>
      </c>
      <c r="T42" s="252">
        <f>S42*R42</f>
        <v/>
      </c>
      <c r="U42" s="245" t="n"/>
      <c r="V42" s="245" t="n"/>
      <c r="W42" s="245" t="n"/>
      <c r="X42" s="245" t="n"/>
      <c r="Y42" s="245" t="n"/>
      <c r="Z42" s="245" t="n"/>
    </row>
    <row r="43" ht="16.5" customHeight="1" s="202">
      <c r="A43" s="245" t="n"/>
      <c r="B43" s="245" t="n"/>
      <c r="C43" s="245" t="n"/>
      <c r="D43" s="245" t="n"/>
      <c r="E43" s="245" t="n"/>
      <c r="F43" s="245" t="n"/>
      <c r="G43" s="245" t="n"/>
      <c r="H43" s="247" t="n">
        <v>11</v>
      </c>
      <c r="I43" s="245" t="inlineStr"/>
      <c r="J43" s="245" t="inlineStr"/>
      <c r="K43" s="245" t="inlineStr">
        <is>
          <t>12IN OPP HD QN</t>
        </is>
      </c>
      <c r="L43" s="245" t="inlineStr">
        <is>
          <t>ZU-MFMA1OZI-12Q</t>
        </is>
      </c>
      <c r="M43" s="248" t="inlineStr">
        <is>
          <t>4MLWE55G</t>
        </is>
      </c>
      <c r="N43" s="245" t="inlineStr">
        <is>
          <t>F.MFM.12Q.010.AD</t>
        </is>
      </c>
      <c r="O43" s="245" t="n"/>
      <c r="P43" s="245" t="n"/>
      <c r="Q43" s="250">
        <f>R43/H43</f>
        <v/>
      </c>
      <c r="R43" s="251" t="n">
        <v>743.27</v>
      </c>
      <c r="S43" s="249" t="n">
        <v>17960</v>
      </c>
      <c r="T43" s="252">
        <f>S43*R43</f>
        <v/>
      </c>
      <c r="U43" s="245" t="n"/>
      <c r="V43" s="245" t="n"/>
      <c r="W43" s="245" t="n"/>
      <c r="X43" s="245" t="n"/>
      <c r="Y43" s="245" t="n"/>
      <c r="Z43" s="245" t="n"/>
    </row>
    <row r="44" ht="16.5" customHeight="1" s="202">
      <c r="A44" s="245" t="n"/>
      <c r="B44" s="245" t="n"/>
      <c r="C44" s="245" t="n"/>
      <c r="D44" s="245" t="n"/>
      <c r="E44" s="245" t="n"/>
      <c r="F44" s="245" t="n"/>
      <c r="G44" s="245" t="n"/>
      <c r="H44" s="247" t="n">
        <v>1</v>
      </c>
      <c r="I44" s="245" t="inlineStr"/>
      <c r="J44" s="245" t="inlineStr"/>
      <c r="K44" s="245" t="inlineStr">
        <is>
          <t>8IN AIRFLOW GEL FOAM MATT QN</t>
        </is>
      </c>
      <c r="L44" s="245" t="inlineStr">
        <is>
          <t>ZU-MFMA1RZI-08Q</t>
        </is>
      </c>
      <c r="M44" s="248" t="inlineStr">
        <is>
          <t>4MLWE55G</t>
        </is>
      </c>
      <c r="N44" s="245" t="inlineStr">
        <is>
          <t>F.MFM.08Q.014.AD</t>
        </is>
      </c>
      <c r="O44" s="245" t="n"/>
      <c r="P44" s="245" t="n"/>
      <c r="Q44" s="250">
        <f>R44/H44</f>
        <v/>
      </c>
      <c r="R44" s="251" t="n">
        <v>44.91</v>
      </c>
      <c r="S44" s="249" t="n">
        <v>17960</v>
      </c>
      <c r="T44" s="252">
        <f>S44*R44</f>
        <v/>
      </c>
      <c r="U44" s="245" t="n"/>
      <c r="V44" s="245" t="n"/>
      <c r="W44" s="245" t="n"/>
      <c r="X44" s="245" t="n"/>
      <c r="Y44" s="245" t="n"/>
      <c r="Z44" s="245" t="n"/>
    </row>
    <row r="45" ht="16.5" customHeight="1" s="202">
      <c r="A45" s="245" t="n"/>
      <c r="B45" s="245" t="n"/>
      <c r="C45" s="245" t="n"/>
      <c r="D45" s="245" t="n"/>
      <c r="E45" s="245" t="n"/>
      <c r="F45" s="245" t="n"/>
      <c r="G45" s="245" t="n"/>
      <c r="H45" s="247" t="n">
        <v>913</v>
      </c>
      <c r="I45" s="245" t="inlineStr"/>
      <c r="J45" s="245" t="inlineStr"/>
      <c r="K45" s="245" t="inlineStr">
        <is>
          <t>5IN GREEN TEA MF MATTRESS TW</t>
        </is>
      </c>
      <c r="L45" s="245" t="inlineStr">
        <is>
          <t>ZU-MFMA1ZZI-05T</t>
        </is>
      </c>
      <c r="M45" s="248" t="inlineStr">
        <is>
          <t>4MLWE55G</t>
        </is>
      </c>
      <c r="N45" s="245" t="inlineStr">
        <is>
          <t>F.MFM.05T.007.AD</t>
        </is>
      </c>
      <c r="O45" s="245" t="n"/>
      <c r="P45" s="245" t="n"/>
      <c r="Q45" s="250">
        <f>R45/H45</f>
        <v/>
      </c>
      <c r="R45" s="251" t="n">
        <v>21601.58</v>
      </c>
      <c r="S45" s="249" t="n">
        <v>17960</v>
      </c>
      <c r="T45" s="252">
        <f>S45*R45</f>
        <v/>
      </c>
      <c r="U45" s="245" t="n"/>
      <c r="V45" s="245" t="n"/>
      <c r="W45" s="245" t="n"/>
      <c r="X45" s="245" t="n"/>
      <c r="Y45" s="245" t="n"/>
      <c r="Z45" s="245" t="n"/>
    </row>
    <row r="46" ht="16.5" customHeight="1" s="202">
      <c r="A46" s="245" t="n"/>
      <c r="B46" s="245" t="n"/>
      <c r="C46" s="245" t="n"/>
      <c r="D46" s="245" t="n"/>
      <c r="E46" s="245" t="n"/>
      <c r="F46" s="245" t="n"/>
      <c r="G46" s="245" t="n"/>
      <c r="H46" s="247" t="n">
        <v>132</v>
      </c>
      <c r="I46" s="245" t="inlineStr"/>
      <c r="J46" s="245" t="inlineStr"/>
      <c r="K46" s="245" t="inlineStr">
        <is>
          <t>6IN GREEN TEA MF MATTRESS NT</t>
        </is>
      </c>
      <c r="L46" s="245" t="inlineStr">
        <is>
          <t>ZU-MFMA1ZZI-06N</t>
        </is>
      </c>
      <c r="M46" s="248" t="inlineStr">
        <is>
          <t>4MLWE55G</t>
        </is>
      </c>
      <c r="N46" s="245" t="inlineStr">
        <is>
          <t>F.MFM.06N.007.AD</t>
        </is>
      </c>
      <c r="O46" s="245" t="n"/>
      <c r="P46" s="245" t="n"/>
      <c r="Q46" s="250">
        <f>R46/H46</f>
        <v/>
      </c>
      <c r="R46" s="251" t="n">
        <v>3311.88</v>
      </c>
      <c r="S46" s="249" t="n">
        <v>17960</v>
      </c>
      <c r="T46" s="252">
        <f>S46*R46</f>
        <v/>
      </c>
      <c r="U46" s="245" t="n"/>
      <c r="V46" s="245" t="n"/>
      <c r="W46" s="245" t="n"/>
      <c r="X46" s="245" t="n"/>
      <c r="Y46" s="245" t="n"/>
      <c r="Z46" s="245" t="n"/>
    </row>
    <row r="47" ht="16.5" customHeight="1" s="202">
      <c r="A47" s="245" t="n"/>
      <c r="B47" s="245" t="n"/>
      <c r="C47" s="245" t="n"/>
      <c r="D47" s="245" t="n"/>
      <c r="E47" s="245" t="n"/>
      <c r="F47" s="245" t="n"/>
      <c r="G47" s="245" t="n"/>
      <c r="H47" s="247" t="n">
        <v>57</v>
      </c>
      <c r="I47" s="245" t="inlineStr"/>
      <c r="J47" s="245" t="inlineStr"/>
      <c r="K47" s="245" t="inlineStr">
        <is>
          <t>12IN GREEN TEA MF MATTRESS TX</t>
        </is>
      </c>
      <c r="L47" s="245" t="inlineStr">
        <is>
          <t>ZU-MFMA1ZZI-12X</t>
        </is>
      </c>
      <c r="M47" s="248" t="inlineStr">
        <is>
          <t>4MLWE55G</t>
        </is>
      </c>
      <c r="N47" s="245" t="inlineStr">
        <is>
          <t>F.MFM.12X.006.AD</t>
        </is>
      </c>
      <c r="O47" s="245" t="n"/>
      <c r="P47" s="245" t="n"/>
      <c r="Q47" s="250">
        <f>R47/H47</f>
        <v/>
      </c>
      <c r="R47" s="251" t="n">
        <v>3323.1</v>
      </c>
      <c r="S47" s="249" t="n">
        <v>17960</v>
      </c>
      <c r="T47" s="252">
        <f>S47*R47</f>
        <v/>
      </c>
      <c r="U47" s="245" t="n"/>
      <c r="V47" s="245" t="n"/>
      <c r="W47" s="245" t="n"/>
      <c r="X47" s="245" t="n"/>
      <c r="Y47" s="245" t="n"/>
      <c r="Z47" s="245" t="n"/>
    </row>
    <row r="48" ht="16.5" customHeight="1" s="202">
      <c r="A48" s="245" t="n"/>
      <c r="B48" s="245" t="n"/>
      <c r="C48" s="245" t="n"/>
      <c r="D48" s="245" t="n"/>
      <c r="E48" s="245" t="n"/>
      <c r="F48" s="245" t="n"/>
      <c r="G48" s="245" t="n"/>
      <c r="H48" s="247" t="n">
        <v>77</v>
      </c>
      <c r="I48" s="245" t="inlineStr"/>
      <c r="J48" s="245" t="inlineStr"/>
      <c r="K48" s="245" t="inlineStr">
        <is>
          <t>6IN OPP HD TW</t>
        </is>
      </c>
      <c r="L48" s="245" t="inlineStr">
        <is>
          <t>ZU-MFMA1OZI-06T</t>
        </is>
      </c>
      <c r="M48" s="248" t="inlineStr">
        <is>
          <t>4YS8V8XB</t>
        </is>
      </c>
      <c r="N48" s="245" t="inlineStr">
        <is>
          <t>F.MFM.06T.008.AD</t>
        </is>
      </c>
      <c r="O48" s="245" t="n"/>
      <c r="P48" s="245" t="n"/>
      <c r="Q48" s="250">
        <f>R48/H48</f>
        <v/>
      </c>
      <c r="R48" s="251" t="n">
        <v>2075.15</v>
      </c>
      <c r="S48" s="249" t="n">
        <v>17960</v>
      </c>
      <c r="T48" s="252">
        <f>S48*R48</f>
        <v/>
      </c>
      <c r="U48" s="245" t="n"/>
      <c r="V48" s="245" t="n"/>
      <c r="W48" s="245" t="n"/>
      <c r="X48" s="245" t="n"/>
      <c r="Y48" s="245" t="n"/>
      <c r="Z48" s="245" t="n"/>
    </row>
    <row r="49" ht="16.5" customHeight="1" s="202">
      <c r="A49" s="245" t="n"/>
      <c r="B49" s="245" t="n"/>
      <c r="C49" s="245" t="n"/>
      <c r="D49" s="245" t="n"/>
      <c r="E49" s="245" t="n"/>
      <c r="F49" s="245" t="n"/>
      <c r="G49" s="245" t="n"/>
      <c r="H49" s="247" t="n">
        <v>68</v>
      </c>
      <c r="I49" s="245" t="inlineStr"/>
      <c r="J49" s="245" t="inlineStr"/>
      <c r="K49" s="245" t="inlineStr">
        <is>
          <t>10IN OPP HD QN</t>
        </is>
      </c>
      <c r="L49" s="245" t="inlineStr">
        <is>
          <t>ZU-MFMA1OZI-10Q</t>
        </is>
      </c>
      <c r="M49" s="248" t="inlineStr">
        <is>
          <t>4YS8V8XB</t>
        </is>
      </c>
      <c r="N49" s="245" t="inlineStr">
        <is>
          <t>F.MFM.10Q.013.AD</t>
        </is>
      </c>
      <c r="O49" s="245" t="n"/>
      <c r="P49" s="245" t="n"/>
      <c r="Q49" s="250">
        <f>R49/H49</f>
        <v/>
      </c>
      <c r="R49" s="251" t="n">
        <v>3665.2</v>
      </c>
      <c r="S49" s="249" t="n">
        <v>17960</v>
      </c>
      <c r="T49" s="252">
        <f>S49*R49</f>
        <v/>
      </c>
      <c r="U49" s="245" t="n"/>
      <c r="V49" s="245" t="n"/>
      <c r="W49" s="245" t="n"/>
      <c r="X49" s="245" t="n"/>
      <c r="Y49" s="245" t="n"/>
      <c r="Z49" s="245" t="n"/>
    </row>
    <row r="50" ht="16.5" customHeight="1" s="202">
      <c r="A50" s="245" t="n"/>
      <c r="B50" s="245" t="n"/>
      <c r="C50" s="245" t="n"/>
      <c r="D50" s="245" t="n"/>
      <c r="E50" s="245" t="n"/>
      <c r="F50" s="245" t="n"/>
      <c r="G50" s="245" t="n"/>
      <c r="H50" s="247" t="n">
        <v>8</v>
      </c>
      <c r="I50" s="245" t="inlineStr"/>
      <c r="J50" s="245" t="inlineStr"/>
      <c r="K50" s="245" t="inlineStr">
        <is>
          <t>10IN OPP HD TW</t>
        </is>
      </c>
      <c r="L50" s="245" t="inlineStr">
        <is>
          <t>ZU-MFMA1OZI-10T</t>
        </is>
      </c>
      <c r="M50" s="248" t="inlineStr">
        <is>
          <t>4YS8V8XB</t>
        </is>
      </c>
      <c r="N50" s="245" t="inlineStr">
        <is>
          <t>F.MFM.10T.013.AD</t>
        </is>
      </c>
      <c r="O50" s="245" t="n"/>
      <c r="P50" s="245" t="n"/>
      <c r="Q50" s="250">
        <f>R50/H50</f>
        <v/>
      </c>
      <c r="R50" s="251" t="n">
        <v>311.44</v>
      </c>
      <c r="S50" s="249" t="n">
        <v>17960</v>
      </c>
      <c r="T50" s="252">
        <f>S50*R50</f>
        <v/>
      </c>
      <c r="U50" s="245" t="n"/>
      <c r="V50" s="245" t="n"/>
      <c r="W50" s="245" t="n"/>
      <c r="X50" s="245" t="n"/>
      <c r="Y50" s="245" t="n"/>
      <c r="Z50" s="245" t="n"/>
    </row>
    <row r="51" ht="16.5" customHeight="1" s="202">
      <c r="A51" s="245" t="n"/>
      <c r="B51" s="245" t="n"/>
      <c r="C51" s="245" t="n"/>
      <c r="D51" s="245" t="n"/>
      <c r="E51" s="245" t="n"/>
      <c r="F51" s="245" t="n"/>
      <c r="G51" s="245" t="n"/>
      <c r="H51" s="247" t="n">
        <v>1</v>
      </c>
      <c r="I51" s="245" t="inlineStr"/>
      <c r="J51" s="245" t="inlineStr"/>
      <c r="K51" s="245" t="inlineStr">
        <is>
          <t>10IN AIRFLOW GEL FOAM MATT EK</t>
        </is>
      </c>
      <c r="L51" s="245" t="inlineStr">
        <is>
          <t>ZU-MFMA1RZI-10K</t>
        </is>
      </c>
      <c r="M51" s="248" t="inlineStr">
        <is>
          <t>4YS8V8XB</t>
        </is>
      </c>
      <c r="N51" s="245" t="inlineStr">
        <is>
          <t>F.MFM.10K.014.AD</t>
        </is>
      </c>
      <c r="O51" s="245" t="n"/>
      <c r="P51" s="245" t="n"/>
      <c r="Q51" s="250">
        <f>R51/H51</f>
        <v/>
      </c>
      <c r="R51" s="251" t="n">
        <v>65.88</v>
      </c>
      <c r="S51" s="249" t="n">
        <v>17960</v>
      </c>
      <c r="T51" s="252">
        <f>S51*R51</f>
        <v/>
      </c>
      <c r="U51" s="245" t="n"/>
      <c r="V51" s="245" t="n"/>
      <c r="W51" s="245" t="n"/>
      <c r="X51" s="245" t="n"/>
      <c r="Y51" s="245" t="n"/>
      <c r="Z51" s="245" t="n"/>
    </row>
    <row r="52" ht="16.5" customHeight="1" s="202">
      <c r="A52" s="245" t="n"/>
      <c r="B52" s="245" t="n"/>
      <c r="C52" s="245" t="n"/>
      <c r="D52" s="245" t="n"/>
      <c r="E52" s="245" t="n"/>
      <c r="F52" s="245" t="n"/>
      <c r="G52" s="245" t="n"/>
      <c r="H52" s="247" t="n">
        <v>205</v>
      </c>
      <c r="I52" s="245" t="inlineStr"/>
      <c r="J52" s="245" t="inlineStr"/>
      <c r="K52" s="245" t="inlineStr">
        <is>
          <t>5IN GREEN TEA MF MATTRESS TW</t>
        </is>
      </c>
      <c r="L52" s="245" t="inlineStr">
        <is>
          <t>ZU-MFMA1ZZI-05T</t>
        </is>
      </c>
      <c r="M52" s="248" t="inlineStr">
        <is>
          <t>4YS8V8XB</t>
        </is>
      </c>
      <c r="N52" s="245" t="inlineStr">
        <is>
          <t>F.MFM.05T.007.AD</t>
        </is>
      </c>
      <c r="O52" s="245" t="n"/>
      <c r="P52" s="245" t="n"/>
      <c r="Q52" s="250">
        <f>R52/H52</f>
        <v/>
      </c>
      <c r="R52" s="251" t="n">
        <v>4850.3</v>
      </c>
      <c r="S52" s="249" t="n">
        <v>17960</v>
      </c>
      <c r="T52" s="252">
        <f>S52*R52</f>
        <v/>
      </c>
      <c r="U52" s="245" t="n"/>
      <c r="V52" s="245" t="n"/>
      <c r="W52" s="245" t="n"/>
      <c r="X52" s="245" t="n"/>
      <c r="Y52" s="245" t="n"/>
      <c r="Z52" s="245" t="n"/>
    </row>
    <row r="53" ht="16.5" customHeight="1" s="202">
      <c r="A53" s="245" t="n"/>
      <c r="B53" s="245" t="n"/>
      <c r="C53" s="245" t="n"/>
      <c r="D53" s="245" t="n"/>
      <c r="E53" s="245" t="n"/>
      <c r="F53" s="245" t="n"/>
      <c r="G53" s="245" t="n"/>
      <c r="H53" s="247" t="n">
        <v>132</v>
      </c>
      <c r="I53" s="245" t="inlineStr"/>
      <c r="J53" s="245" t="inlineStr"/>
      <c r="K53" s="245" t="inlineStr">
        <is>
          <t>6IN GREEN TEA MF MATTRESS FL</t>
        </is>
      </c>
      <c r="L53" s="245" t="inlineStr">
        <is>
          <t>ZU-MFMA1ZZI-06F</t>
        </is>
      </c>
      <c r="M53" s="248" t="inlineStr">
        <is>
          <t>4YS8V8XB</t>
        </is>
      </c>
      <c r="N53" s="245" t="inlineStr">
        <is>
          <t>F.MFM.06F.007.AD</t>
        </is>
      </c>
      <c r="O53" s="245" t="n"/>
      <c r="P53" s="245" t="n"/>
      <c r="Q53" s="250">
        <f>R53/H53</f>
        <v/>
      </c>
      <c r="R53" s="251" t="n">
        <v>5059.56</v>
      </c>
      <c r="S53" s="249" t="n">
        <v>17960</v>
      </c>
      <c r="T53" s="252">
        <f>S53*R53</f>
        <v/>
      </c>
      <c r="U53" s="245" t="n"/>
      <c r="V53" s="245" t="n"/>
      <c r="W53" s="245" t="n"/>
      <c r="X53" s="245" t="n"/>
      <c r="Y53" s="245" t="n"/>
      <c r="Z53" s="245" t="n"/>
    </row>
    <row r="54" ht="16.5" customHeight="1" s="202">
      <c r="A54" s="245" t="n"/>
      <c r="B54" s="245" t="n"/>
      <c r="C54" s="245" t="n"/>
      <c r="D54" s="245" t="n"/>
      <c r="E54" s="245" t="n"/>
      <c r="F54" s="245" t="n"/>
      <c r="G54" s="245" t="n"/>
      <c r="H54" s="247" t="n">
        <v>36</v>
      </c>
      <c r="I54" s="245" t="inlineStr"/>
      <c r="J54" s="245" t="inlineStr"/>
      <c r="K54" s="245" t="inlineStr">
        <is>
          <t>8IN GREEN TEA MF MATTRESS TW</t>
        </is>
      </c>
      <c r="L54" s="245" t="inlineStr">
        <is>
          <t>ZU-MFMA1ZZI-08T</t>
        </is>
      </c>
      <c r="M54" s="248" t="inlineStr">
        <is>
          <t>4YS8V8XB</t>
        </is>
      </c>
      <c r="N54" s="245" t="inlineStr">
        <is>
          <t>F.MFM.08T.008.AD</t>
        </is>
      </c>
      <c r="O54" s="245" t="n"/>
      <c r="P54" s="245" t="n"/>
      <c r="Q54" s="250">
        <f>R54/H54</f>
        <v/>
      </c>
      <c r="R54" s="251" t="n">
        <v>1293.48</v>
      </c>
      <c r="S54" s="249" t="n">
        <v>17960</v>
      </c>
      <c r="T54" s="252">
        <f>S54*R54</f>
        <v/>
      </c>
      <c r="U54" s="245" t="n"/>
      <c r="V54" s="245" t="n"/>
      <c r="W54" s="245" t="n"/>
      <c r="X54" s="245" t="n"/>
      <c r="Y54" s="245" t="n"/>
      <c r="Z54" s="245" t="n"/>
    </row>
    <row r="55" ht="16.5" customHeight="1" s="202">
      <c r="A55" s="245" t="n"/>
      <c r="B55" s="245" t="n"/>
      <c r="C55" s="245" t="n"/>
      <c r="D55" s="245" t="n"/>
      <c r="E55" s="245" t="n"/>
      <c r="F55" s="245" t="n"/>
      <c r="G55" s="245" t="n"/>
      <c r="H55" s="247" t="n">
        <v>37</v>
      </c>
      <c r="I55" s="245" t="inlineStr"/>
      <c r="J55" s="245" t="inlineStr"/>
      <c r="K55" s="245" t="inlineStr">
        <is>
          <t>10IN GREEN TEA MF MATTRESS QN</t>
        </is>
      </c>
      <c r="L55" s="245" t="inlineStr">
        <is>
          <t>ZU-MFMA1ZZI-10Q</t>
        </is>
      </c>
      <c r="M55" s="248" t="inlineStr">
        <is>
          <t>4YS8V8XB</t>
        </is>
      </c>
      <c r="N55" s="245" t="inlineStr">
        <is>
          <t>F.MFM.10Q.007.AD</t>
        </is>
      </c>
      <c r="O55" s="245" t="n"/>
      <c r="P55" s="245" t="n"/>
      <c r="Q55" s="250">
        <f>R55/H55</f>
        <v/>
      </c>
      <c r="R55" s="251" t="n">
        <v>2437.56</v>
      </c>
      <c r="S55" s="249" t="n">
        <v>17960</v>
      </c>
      <c r="T55" s="252">
        <f>S55*R55</f>
        <v/>
      </c>
      <c r="U55" s="245" t="n"/>
      <c r="V55" s="245" t="n"/>
      <c r="W55" s="245" t="n"/>
      <c r="X55" s="245" t="n"/>
      <c r="Y55" s="245" t="n"/>
      <c r="Z55" s="245" t="n"/>
    </row>
    <row r="56" ht="16.5" customHeight="1" s="202">
      <c r="A56" s="245" t="n"/>
      <c r="B56" s="245" t="n"/>
      <c r="C56" s="245" t="n"/>
      <c r="D56" s="245" t="n"/>
      <c r="E56" s="245" t="n"/>
      <c r="F56" s="245" t="n"/>
      <c r="G56" s="245" t="n"/>
      <c r="H56" s="247" t="n">
        <v>194</v>
      </c>
      <c r="I56" s="245" t="inlineStr"/>
      <c r="J56" s="245" t="inlineStr"/>
      <c r="K56" s="245" t="inlineStr">
        <is>
          <t>12IN GREEN TEA MF MATTRESS FL</t>
        </is>
      </c>
      <c r="L56" s="245" t="inlineStr">
        <is>
          <t>ZU-MFMA1ZZI-12F</t>
        </is>
      </c>
      <c r="M56" s="248" t="inlineStr">
        <is>
          <t>4YS8V8XB</t>
        </is>
      </c>
      <c r="N56" s="245" t="inlineStr">
        <is>
          <t>F.MFM.12F.006.AD</t>
        </is>
      </c>
      <c r="O56" s="245" t="n"/>
      <c r="P56" s="245" t="n"/>
      <c r="Q56" s="250">
        <f>R56/H56</f>
        <v/>
      </c>
      <c r="R56" s="251" t="n">
        <v>13766.24</v>
      </c>
      <c r="S56" s="249" t="n">
        <v>17960</v>
      </c>
      <c r="T56" s="252">
        <f>S56*R56</f>
        <v/>
      </c>
      <c r="U56" s="245" t="n"/>
      <c r="V56" s="245" t="n"/>
      <c r="W56" s="245" t="n"/>
      <c r="X56" s="245" t="n"/>
      <c r="Y56" s="245" t="n"/>
      <c r="Z56" s="245" t="n"/>
    </row>
    <row r="57" ht="16.5" customHeight="1" s="202">
      <c r="A57" s="245" t="n"/>
      <c r="B57" s="245" t="n"/>
      <c r="C57" s="245" t="n"/>
      <c r="D57" s="245" t="n"/>
      <c r="E57" s="245" t="n"/>
      <c r="F57" s="245" t="n"/>
      <c r="G57" s="245" t="n"/>
      <c r="H57" s="247" t="n">
        <v>2</v>
      </c>
      <c r="I57" s="245" t="inlineStr"/>
      <c r="J57" s="245" t="inlineStr"/>
      <c r="K57" s="245" t="inlineStr">
        <is>
          <t>12IN GREEN TEA MF MATTRESS TW</t>
        </is>
      </c>
      <c r="L57" s="245" t="inlineStr">
        <is>
          <t>ZU-MFMA1ZZI-12T</t>
        </is>
      </c>
      <c r="M57" s="248" t="inlineStr">
        <is>
          <t>4YS8V8XB</t>
        </is>
      </c>
      <c r="N57" s="245" t="inlineStr">
        <is>
          <t>F.MFM.12T.006.AD</t>
        </is>
      </c>
      <c r="O57" s="245" t="n"/>
      <c r="P57" s="245" t="n"/>
      <c r="Q57" s="250">
        <f>R57/H57</f>
        <v/>
      </c>
      <c r="R57" s="251" t="n">
        <v>126.4</v>
      </c>
      <c r="S57" s="249" t="n">
        <v>17960</v>
      </c>
      <c r="T57" s="252">
        <f>S57*R57</f>
        <v/>
      </c>
      <c r="U57" s="245" t="n"/>
      <c r="V57" s="245" t="n"/>
      <c r="W57" s="245" t="n"/>
      <c r="X57" s="245" t="n"/>
      <c r="Y57" s="245" t="n"/>
      <c r="Z57" s="245" t="n"/>
    </row>
    <row r="58" ht="17.1" customHeight="1" s="202">
      <c r="A58" s="254" t="n"/>
      <c r="B58" s="254" t="n"/>
      <c r="C58" s="254" t="n"/>
      <c r="D58" s="254" t="n"/>
      <c r="E58" s="254" t="n"/>
      <c r="F58" s="254" t="n"/>
      <c r="G58" s="254" t="n"/>
      <c r="H58" s="255">
        <f>SUM(H12:H57)</f>
        <v/>
      </c>
      <c r="I58" s="254">
        <f>COUNTA(I12:I57)</f>
        <v/>
      </c>
      <c r="J58" s="254" t="n"/>
      <c r="K58" s="254" t="n"/>
      <c r="L58" s="254" t="n"/>
      <c r="M58" s="254" t="n"/>
      <c r="N58" s="254" t="n"/>
      <c r="O58" s="256">
        <f>SUM(O12:O57)</f>
        <v/>
      </c>
      <c r="P58" s="256">
        <f>SUM(P12:P57)</f>
        <v/>
      </c>
      <c r="Q58" s="254" t="n"/>
      <c r="R58" s="257">
        <f>SUM(R12:R57)</f>
        <v/>
      </c>
      <c r="S58" s="254" t="n"/>
      <c r="T58" s="258">
        <f>SUM(T12:T57)</f>
        <v/>
      </c>
      <c r="U58" s="254" t="n"/>
      <c r="V58" s="254" t="n"/>
      <c r="W58" s="254" t="n"/>
      <c r="X58" s="254" t="n"/>
      <c r="Y58" s="254" t="n"/>
      <c r="Z58" s="254" t="n"/>
    </row>
    <row r="59" ht="16.5" customHeight="1" s="202">
      <c r="A59" s="245" t="n">
        <v>2</v>
      </c>
      <c r="B59" s="245" t="inlineStr">
        <is>
          <t>000030ZIK48020260812000614</t>
        </is>
      </c>
      <c r="C59" s="245" t="n">
        <v>508209</v>
      </c>
      <c r="D59" s="245" t="n">
        <v>508155</v>
      </c>
      <c r="E59" s="246" t="n">
        <v>46247</v>
      </c>
      <c r="F59" s="245" t="inlineStr">
        <is>
          <t>ID2608-8111</t>
        </is>
      </c>
      <c r="G59" s="246" t="n">
        <v>46246</v>
      </c>
      <c r="H59" s="247" t="n">
        <v>85</v>
      </c>
      <c r="I59" s="245" t="inlineStr">
        <is>
          <t>MSMU6064647</t>
        </is>
      </c>
      <c r="J59" s="245" t="inlineStr">
        <is>
          <t>40FT</t>
        </is>
      </c>
      <c r="K59" s="245" t="inlineStr">
        <is>
          <t>10IN MEDIUM MFM FL</t>
        </is>
      </c>
      <c r="L59" s="245" t="inlineStr">
        <is>
          <t>WA-MMF-10F-IN</t>
        </is>
      </c>
      <c r="M59" s="248" t="inlineStr">
        <is>
          <t>MIWU00195</t>
        </is>
      </c>
      <c r="N59" s="245" t="inlineStr">
        <is>
          <t>F.MFM.10F.005.BU</t>
        </is>
      </c>
      <c r="O59" s="249" t="n">
        <v>12481.8</v>
      </c>
      <c r="P59" s="249" t="n">
        <v>11286.5</v>
      </c>
      <c r="Q59" s="250">
        <f>R59/H59</f>
        <v/>
      </c>
      <c r="R59" s="251" t="n">
        <v>5132.3</v>
      </c>
      <c r="S59" s="249" t="n">
        <v>17960</v>
      </c>
      <c r="T59" s="252">
        <f>S59*R59</f>
        <v/>
      </c>
      <c r="U59" s="245" t="inlineStr">
        <is>
          <t>040300/KPPBC</t>
        </is>
      </c>
      <c r="V59" s="245" t="inlineStr">
        <is>
          <t>TG. PRIOK</t>
        </is>
      </c>
      <c r="W59" s="245" t="inlineStr">
        <is>
          <t>NEW YORK, US</t>
        </is>
      </c>
      <c r="X59" s="245" t="inlineStr">
        <is>
          <t>MELLOW INC</t>
        </is>
      </c>
      <c r="Y59" s="245" t="inlineStr">
        <is>
          <t>MEDUKU572294</t>
        </is>
      </c>
      <c r="Z59" s="246" t="n">
        <v>46247</v>
      </c>
    </row>
    <row r="60" ht="16.5" customHeight="1" s="202">
      <c r="A60" s="245" t="n"/>
      <c r="B60" s="245" t="n"/>
      <c r="C60" s="245" t="n"/>
      <c r="D60" s="245" t="n"/>
      <c r="E60" s="245" t="n"/>
      <c r="F60" s="245" t="n"/>
      <c r="G60" s="245" t="n"/>
      <c r="H60" s="247" t="n">
        <v>60</v>
      </c>
      <c r="I60" s="245" t="inlineStr"/>
      <c r="J60" s="245" t="inlineStr"/>
      <c r="K60" s="245" t="inlineStr">
        <is>
          <t>10IN MEDIUM MFM EK</t>
        </is>
      </c>
      <c r="L60" s="245" t="inlineStr">
        <is>
          <t>WA-MMF-10K-IN</t>
        </is>
      </c>
      <c r="M60" s="248" t="inlineStr">
        <is>
          <t>MIWU00195</t>
        </is>
      </c>
      <c r="N60" s="245" t="inlineStr">
        <is>
          <t>F.MFM.10K.005.BU</t>
        </is>
      </c>
      <c r="O60" s="245" t="n"/>
      <c r="P60" s="245" t="n"/>
      <c r="Q60" s="250">
        <f>R60/H60</f>
        <v/>
      </c>
      <c r="R60" s="251" t="n">
        <v>5248.2</v>
      </c>
      <c r="S60" s="249" t="n">
        <v>17960</v>
      </c>
      <c r="T60" s="252">
        <f>S60*R60</f>
        <v/>
      </c>
      <c r="U60" s="245" t="n"/>
      <c r="V60" s="245" t="n"/>
      <c r="W60" s="245" t="inlineStr">
        <is>
          <t>ETD : 20-08-2026</t>
        </is>
      </c>
      <c r="X60" s="245" t="n"/>
      <c r="Y60" s="245" t="n"/>
      <c r="Z60" s="245" t="n"/>
    </row>
    <row r="61" ht="16.5" customHeight="1" s="202">
      <c r="A61" s="245" t="n"/>
      <c r="B61" s="245" t="n"/>
      <c r="C61" s="245" t="n"/>
      <c r="D61" s="245" t="n"/>
      <c r="E61" s="245" t="n"/>
      <c r="F61" s="245" t="n"/>
      <c r="G61" s="245" t="n"/>
      <c r="H61" s="247" t="n">
        <v>82</v>
      </c>
      <c r="I61" s="245" t="inlineStr"/>
      <c r="J61" s="245" t="inlineStr"/>
      <c r="K61" s="245" t="inlineStr">
        <is>
          <t>10IN MEDIUM MFM QN</t>
        </is>
      </c>
      <c r="L61" s="245" t="inlineStr">
        <is>
          <t>WA-MMF-10Q-IN</t>
        </is>
      </c>
      <c r="M61" s="248" t="inlineStr">
        <is>
          <t>MIWU00195</t>
        </is>
      </c>
      <c r="N61" s="245" t="inlineStr">
        <is>
          <t>F.MFM.10Q.005.BU</t>
        </is>
      </c>
      <c r="O61" s="245" t="n"/>
      <c r="P61" s="245" t="n"/>
      <c r="Q61" s="250">
        <f>R61/H61</f>
        <v/>
      </c>
      <c r="R61" s="251" t="n">
        <v>5867.92</v>
      </c>
      <c r="S61" s="249" t="n">
        <v>17960</v>
      </c>
      <c r="T61" s="252">
        <f>S61*R61</f>
        <v/>
      </c>
      <c r="U61" s="245" t="n"/>
      <c r="V61" s="245" t="n"/>
      <c r="W61" s="245" t="n"/>
      <c r="X61" s="245" t="n"/>
      <c r="Y61" s="245" t="n"/>
      <c r="Z61" s="245" t="n"/>
    </row>
    <row r="62" ht="16.5" customHeight="1" s="202">
      <c r="A62" s="245" t="n"/>
      <c r="B62" s="245" t="n"/>
      <c r="C62" s="245" t="n"/>
      <c r="D62" s="245" t="n"/>
      <c r="E62" s="245" t="n"/>
      <c r="F62" s="245" t="n"/>
      <c r="G62" s="245" t="n"/>
      <c r="H62" s="247" t="n">
        <v>72</v>
      </c>
      <c r="I62" s="245" t="inlineStr"/>
      <c r="J62" s="245" t="inlineStr"/>
      <c r="K62" s="245" t="inlineStr">
        <is>
          <t>10IN MEDIUM MFM TW</t>
        </is>
      </c>
      <c r="L62" s="245" t="inlineStr">
        <is>
          <t>WA-MMF-10T-IN</t>
        </is>
      </c>
      <c r="M62" s="248" t="inlineStr">
        <is>
          <t>MIWU00195</t>
        </is>
      </c>
      <c r="N62" s="245" t="inlineStr">
        <is>
          <t>F.MFM.10T.005.BU</t>
        </is>
      </c>
      <c r="O62" s="245" t="n"/>
      <c r="P62" s="245" t="n"/>
      <c r="Q62" s="250">
        <f>R62/H62</f>
        <v/>
      </c>
      <c r="R62" s="251" t="n">
        <v>3313.44</v>
      </c>
      <c r="S62" s="249" t="n">
        <v>17960</v>
      </c>
      <c r="T62" s="252">
        <f>S62*R62</f>
        <v/>
      </c>
      <c r="U62" s="245" t="n"/>
      <c r="V62" s="245" t="n"/>
      <c r="W62" s="245" t="n"/>
      <c r="X62" s="245" t="n"/>
      <c r="Y62" s="245" t="n"/>
      <c r="Z62" s="245" t="n"/>
    </row>
    <row r="63" ht="16.5" customHeight="1" s="202">
      <c r="A63" s="245" t="n"/>
      <c r="B63" s="245" t="n"/>
      <c r="C63" s="245" t="n"/>
      <c r="D63" s="245" t="n"/>
      <c r="E63" s="245" t="n"/>
      <c r="F63" s="245" t="n"/>
      <c r="G63" s="245" t="n"/>
      <c r="H63" s="247" t="n">
        <v>20</v>
      </c>
      <c r="I63" s="245" t="inlineStr"/>
      <c r="J63" s="245" t="inlineStr"/>
      <c r="K63" s="245" t="inlineStr">
        <is>
          <t>12IN MEDIUM MFM FL</t>
        </is>
      </c>
      <c r="L63" s="245" t="inlineStr">
        <is>
          <t>WA-MMF-12F-IN</t>
        </is>
      </c>
      <c r="M63" s="248" t="inlineStr">
        <is>
          <t>MIWU00195</t>
        </is>
      </c>
      <c r="N63" s="245" t="inlineStr">
        <is>
          <t>F.MFM.12F.005.BU</t>
        </is>
      </c>
      <c r="O63" s="245" t="n"/>
      <c r="P63" s="245" t="n"/>
      <c r="Q63" s="250">
        <f>R63/H63</f>
        <v/>
      </c>
      <c r="R63" s="251" t="n">
        <v>1393</v>
      </c>
      <c r="S63" s="249" t="n">
        <v>17960</v>
      </c>
      <c r="T63" s="252">
        <f>S63*R63</f>
        <v/>
      </c>
      <c r="U63" s="245" t="n"/>
      <c r="V63" s="245" t="n"/>
      <c r="W63" s="245" t="n"/>
      <c r="X63" s="245" t="n"/>
      <c r="Y63" s="245" t="n"/>
      <c r="Z63" s="245" t="n"/>
    </row>
    <row r="64" ht="16.5" customHeight="1" s="202">
      <c r="A64" s="245" t="n"/>
      <c r="B64" s="245" t="n"/>
      <c r="C64" s="245" t="n"/>
      <c r="D64" s="245" t="n"/>
      <c r="E64" s="245" t="n"/>
      <c r="F64" s="245" t="n"/>
      <c r="G64" s="245" t="n"/>
      <c r="H64" s="247" t="n">
        <v>52</v>
      </c>
      <c r="I64" s="245" t="inlineStr"/>
      <c r="J64" s="245" t="inlineStr"/>
      <c r="K64" s="245" t="inlineStr">
        <is>
          <t>12IN MEDIUM MFM QN</t>
        </is>
      </c>
      <c r="L64" s="245" t="inlineStr">
        <is>
          <t>WA-MMF-12Q-IN</t>
        </is>
      </c>
      <c r="M64" s="248" t="inlineStr">
        <is>
          <t>MIWU00195</t>
        </is>
      </c>
      <c r="N64" s="245" t="inlineStr">
        <is>
          <t>F.MFM.12Q.005.BU</t>
        </is>
      </c>
      <c r="O64" s="245" t="n"/>
      <c r="P64" s="245" t="n"/>
      <c r="Q64" s="250">
        <f>R64/H64</f>
        <v/>
      </c>
      <c r="R64" s="251" t="n">
        <v>4210.44</v>
      </c>
      <c r="S64" s="249" t="n">
        <v>17960</v>
      </c>
      <c r="T64" s="252">
        <f>S64*R64</f>
        <v/>
      </c>
      <c r="U64" s="245" t="n"/>
      <c r="V64" s="245" t="n"/>
      <c r="W64" s="245" t="n"/>
      <c r="X64" s="245" t="n"/>
      <c r="Y64" s="245" t="n"/>
      <c r="Z64" s="245" t="n"/>
    </row>
    <row r="65" ht="16.5" customHeight="1" s="202">
      <c r="A65" s="245" t="n"/>
      <c r="B65" s="245" t="n"/>
      <c r="C65" s="245" t="n"/>
      <c r="D65" s="245" t="n"/>
      <c r="E65" s="245" t="n"/>
      <c r="F65" s="245" t="n"/>
      <c r="G65" s="245" t="n"/>
      <c r="H65" s="247" t="n">
        <v>50</v>
      </c>
      <c r="I65" s="245" t="inlineStr"/>
      <c r="J65" s="245" t="inlineStr"/>
      <c r="K65" s="245" t="inlineStr">
        <is>
          <t>12IN MEDIUM MFM TW</t>
        </is>
      </c>
      <c r="L65" s="245" t="inlineStr">
        <is>
          <t>WA-MMF-12T-IN</t>
        </is>
      </c>
      <c r="M65" s="248" t="inlineStr">
        <is>
          <t>MIWU00195</t>
        </is>
      </c>
      <c r="N65" s="245" t="inlineStr">
        <is>
          <t>F.MFM.12T.005.BU</t>
        </is>
      </c>
      <c r="O65" s="245" t="n"/>
      <c r="P65" s="245" t="n"/>
      <c r="Q65" s="250">
        <f>R65/H65</f>
        <v/>
      </c>
      <c r="R65" s="251" t="n">
        <v>2605</v>
      </c>
      <c r="S65" s="249" t="n">
        <v>17960</v>
      </c>
      <c r="T65" s="252">
        <f>S65*R65</f>
        <v/>
      </c>
      <c r="U65" s="245" t="n"/>
      <c r="V65" s="245" t="n"/>
      <c r="W65" s="245" t="n"/>
      <c r="X65" s="245" t="n"/>
      <c r="Y65" s="245" t="n"/>
      <c r="Z65" s="245" t="n"/>
    </row>
    <row r="66" ht="16.5" customHeight="1" s="202">
      <c r="A66" s="245" t="n"/>
      <c r="B66" s="245" t="n"/>
      <c r="C66" s="245" t="n"/>
      <c r="D66" s="245" t="n"/>
      <c r="E66" s="245" t="n"/>
      <c r="F66" s="245" t="n"/>
      <c r="G66" s="245" t="n"/>
      <c r="H66" s="247" t="n">
        <v>20</v>
      </c>
      <c r="I66" s="245" t="inlineStr"/>
      <c r="J66" s="245" t="inlineStr"/>
      <c r="K66" s="245" t="inlineStr">
        <is>
          <t>14IN MEDIUM MFM FL</t>
        </is>
      </c>
      <c r="L66" s="245" t="inlineStr">
        <is>
          <t>WA-MMF-14F-IN</t>
        </is>
      </c>
      <c r="M66" s="248" t="inlineStr">
        <is>
          <t>MIWU00195</t>
        </is>
      </c>
      <c r="N66" s="245" t="inlineStr">
        <is>
          <t>F.MFM.14F.000.BU</t>
        </is>
      </c>
      <c r="O66" s="245" t="n"/>
      <c r="P66" s="245" t="n"/>
      <c r="Q66" s="250">
        <f>R66/H66</f>
        <v/>
      </c>
      <c r="R66" s="251" t="n">
        <v>1559.2</v>
      </c>
      <c r="S66" s="249" t="n">
        <v>17960</v>
      </c>
      <c r="T66" s="252">
        <f>S66*R66</f>
        <v/>
      </c>
      <c r="U66" s="245" t="n"/>
      <c r="V66" s="245" t="n"/>
      <c r="W66" s="245" t="n"/>
      <c r="X66" s="245" t="n"/>
      <c r="Y66" s="245" t="n"/>
      <c r="Z66" s="245" t="n"/>
    </row>
    <row r="67" ht="16.5" customHeight="1" s="202">
      <c r="A67" s="245" t="n"/>
      <c r="B67" s="245" t="n"/>
      <c r="C67" s="245" t="n"/>
      <c r="D67" s="245" t="n"/>
      <c r="E67" s="245" t="n"/>
      <c r="F67" s="245" t="n"/>
      <c r="G67" s="245" t="n"/>
      <c r="H67" s="247" t="n">
        <v>65</v>
      </c>
      <c r="I67" s="245" t="inlineStr"/>
      <c r="J67" s="245" t="inlineStr"/>
      <c r="K67" s="245" t="inlineStr">
        <is>
          <t>6IN MEDIUM MFM TW</t>
        </is>
      </c>
      <c r="L67" s="245" t="inlineStr">
        <is>
          <t>WA-MMF-6T-IN</t>
        </is>
      </c>
      <c r="M67" s="248" t="inlineStr">
        <is>
          <t>MIWU00195</t>
        </is>
      </c>
      <c r="N67" s="245" t="inlineStr">
        <is>
          <t>F.MFM.06T.002.BU</t>
        </is>
      </c>
      <c r="O67" s="245" t="n"/>
      <c r="P67" s="245" t="n"/>
      <c r="Q67" s="250">
        <f>R67/H67</f>
        <v/>
      </c>
      <c r="R67" s="251" t="n">
        <v>2086.5</v>
      </c>
      <c r="S67" s="249" t="n">
        <v>17960</v>
      </c>
      <c r="T67" s="252">
        <f>S67*R67</f>
        <v/>
      </c>
      <c r="U67" s="245" t="n"/>
      <c r="V67" s="245" t="n"/>
      <c r="W67" s="245" t="n"/>
      <c r="X67" s="245" t="n"/>
      <c r="Y67" s="245" t="n"/>
      <c r="Z67" s="245" t="n"/>
    </row>
    <row r="68" ht="16.5" customHeight="1" s="202">
      <c r="A68" s="245" t="n"/>
      <c r="B68" s="245" t="n"/>
      <c r="C68" s="245" t="n"/>
      <c r="D68" s="245" t="n"/>
      <c r="E68" s="245" t="n"/>
      <c r="F68" s="245" t="n"/>
      <c r="G68" s="245" t="n"/>
      <c r="H68" s="247" t="n">
        <v>70</v>
      </c>
      <c r="I68" s="245" t="inlineStr"/>
      <c r="J68" s="245" t="inlineStr"/>
      <c r="K68" s="245" t="inlineStr">
        <is>
          <t>8IN MEDIUM MFM TW</t>
        </is>
      </c>
      <c r="L68" s="245" t="inlineStr">
        <is>
          <t>WA-MMF-8T-IN</t>
        </is>
      </c>
      <c r="M68" s="248" t="inlineStr">
        <is>
          <t>MIWU00195</t>
        </is>
      </c>
      <c r="N68" s="245" t="inlineStr">
        <is>
          <t>F.MFM.08T.005.BU</t>
        </is>
      </c>
      <c r="O68" s="245" t="n"/>
      <c r="P68" s="245" t="n"/>
      <c r="Q68" s="250">
        <f>R68/H68</f>
        <v/>
      </c>
      <c r="R68" s="251" t="n">
        <v>2721.6</v>
      </c>
      <c r="S68" s="249" t="n">
        <v>17960</v>
      </c>
      <c r="T68" s="252">
        <f>S68*R68</f>
        <v/>
      </c>
      <c r="U68" s="245" t="n"/>
      <c r="V68" s="245" t="n"/>
      <c r="W68" s="245" t="n"/>
      <c r="X68" s="245" t="n"/>
      <c r="Y68" s="245" t="n"/>
      <c r="Z68" s="245" t="n"/>
    </row>
    <row r="69" ht="17.1" customHeight="1" s="202">
      <c r="A69" s="254" t="n"/>
      <c r="B69" s="254" t="n"/>
      <c r="C69" s="254" t="n"/>
      <c r="D69" s="254" t="n"/>
      <c r="E69" s="254" t="n"/>
      <c r="F69" s="254" t="n"/>
      <c r="G69" s="254" t="n"/>
      <c r="H69" s="255">
        <f>SUM(H59:H68)</f>
        <v/>
      </c>
      <c r="I69" s="254">
        <f>COUNTA(I59:I68)</f>
        <v/>
      </c>
      <c r="J69" s="254" t="n"/>
      <c r="K69" s="254" t="n"/>
      <c r="L69" s="254" t="n"/>
      <c r="M69" s="254" t="n"/>
      <c r="N69" s="254" t="n"/>
      <c r="O69" s="256">
        <f>SUM(O59:O68)</f>
        <v/>
      </c>
      <c r="P69" s="256">
        <f>SUM(P59:P68)</f>
        <v/>
      </c>
      <c r="Q69" s="254" t="n"/>
      <c r="R69" s="257">
        <f>SUM(R59:R68)</f>
        <v/>
      </c>
      <c r="S69" s="254" t="n"/>
      <c r="T69" s="258">
        <f>SUM(T59:T68)</f>
        <v/>
      </c>
      <c r="U69" s="254" t="n"/>
      <c r="V69" s="254" t="n"/>
      <c r="W69" s="254" t="n"/>
      <c r="X69" s="254" t="n"/>
      <c r="Y69" s="254" t="n"/>
      <c r="Z69" s="254" t="n"/>
    </row>
    <row r="70" ht="16.5" customHeight="1" s="202">
      <c r="A70" s="245" t="n">
        <v>3</v>
      </c>
      <c r="B70" s="245" t="inlineStr">
        <is>
          <t>000030ZIK48020260813000618</t>
        </is>
      </c>
      <c r="C70" s="245" t="n">
        <v>513093</v>
      </c>
      <c r="D70" s="245" t="n">
        <v>513041</v>
      </c>
      <c r="E70" s="246" t="n">
        <v>46248</v>
      </c>
      <c r="F70" s="245" t="inlineStr">
        <is>
          <t>ID2608-8122</t>
        </is>
      </c>
      <c r="G70" s="246" t="n">
        <v>46247</v>
      </c>
      <c r="H70" s="247" t="n">
        <v>693</v>
      </c>
      <c r="I70" s="245" t="inlineStr">
        <is>
          <t>ONEU1994640</t>
        </is>
      </c>
      <c r="J70" s="245" t="inlineStr">
        <is>
          <t>40FT</t>
        </is>
      </c>
      <c r="K70" s="245" t="inlineStr">
        <is>
          <t>8IN GREEN TEA MF MATTRESS TW</t>
        </is>
      </c>
      <c r="L70" s="245" t="inlineStr">
        <is>
          <t>SCF-STR-800T</t>
        </is>
      </c>
      <c r="M70" s="248" t="inlineStr">
        <is>
          <t>0993631052</t>
        </is>
      </c>
      <c r="N70" s="245" t="inlineStr">
        <is>
          <t>F.MFM.08T.000.WS</t>
        </is>
      </c>
      <c r="O70" s="249" t="n">
        <v>10526.67</v>
      </c>
      <c r="P70" s="249" t="n">
        <v>9140.67</v>
      </c>
      <c r="Q70" s="250">
        <f>R70/H70</f>
        <v/>
      </c>
      <c r="R70" s="251" t="n">
        <v>42619.5</v>
      </c>
      <c r="S70" s="249" t="n">
        <v>17960</v>
      </c>
      <c r="T70" s="252">
        <f>S70*R70</f>
        <v/>
      </c>
      <c r="U70" s="245" t="inlineStr">
        <is>
          <t>040300/KPPBC</t>
        </is>
      </c>
      <c r="V70" s="245" t="inlineStr">
        <is>
          <t>TG. PRIOK</t>
        </is>
      </c>
      <c r="W70" s="245" t="inlineStr">
        <is>
          <t>LOS ANGELES, US</t>
        </is>
      </c>
      <c r="X70" s="245" t="inlineStr">
        <is>
          <t>WALMART, INC.</t>
        </is>
      </c>
      <c r="Y70" s="245" t="inlineStr">
        <is>
          <t>ONEYJKTG69556502</t>
        </is>
      </c>
      <c r="Z70" s="246" t="n">
        <v>46248</v>
      </c>
    </row>
    <row r="71" ht="16.5" customHeight="1" s="202">
      <c r="A71" s="245" t="n"/>
      <c r="B71" s="245" t="n"/>
      <c r="C71" s="245" t="n"/>
      <c r="D71" s="245" t="n"/>
      <c r="E71" s="245" t="n"/>
      <c r="F71" s="245" t="n"/>
      <c r="G71" s="245" t="n"/>
      <c r="H71" s="245" t="n"/>
      <c r="I71" s="245" t="n"/>
      <c r="J71" s="245" t="n"/>
      <c r="K71" s="245" t="n"/>
      <c r="L71" s="245" t="n"/>
      <c r="M71" s="245" t="n"/>
      <c r="N71" s="245" t="n"/>
      <c r="O71" s="245" t="n"/>
      <c r="P71" s="245" t="n"/>
      <c r="Q71" s="245" t="n"/>
      <c r="R71" s="245" t="n"/>
      <c r="S71" s="245" t="n"/>
      <c r="T71" s="245" t="n"/>
      <c r="U71" s="245" t="n"/>
      <c r="V71" s="245" t="n"/>
      <c r="W71" s="245" t="inlineStr">
        <is>
          <t>ETD : 19-08-2026</t>
        </is>
      </c>
      <c r="X71" s="245" t="n"/>
      <c r="Y71" s="245" t="n"/>
      <c r="Z71" s="245" t="n"/>
    </row>
    <row r="72" ht="17.1" customHeight="1" s="202">
      <c r="A72" s="254" t="n"/>
      <c r="B72" s="254" t="n"/>
      <c r="C72" s="254" t="n"/>
      <c r="D72" s="254" t="n"/>
      <c r="E72" s="254" t="n"/>
      <c r="F72" s="254" t="n"/>
      <c r="G72" s="254" t="n"/>
      <c r="H72" s="255">
        <f>SUM(H70:H71)</f>
        <v/>
      </c>
      <c r="I72" s="254">
        <f>COUNTA(I70:I71)</f>
        <v/>
      </c>
      <c r="J72" s="254" t="n"/>
      <c r="K72" s="254" t="n"/>
      <c r="L72" s="254" t="n"/>
      <c r="M72" s="254" t="n"/>
      <c r="N72" s="254" t="n"/>
      <c r="O72" s="256">
        <f>SUM(O70:O71)</f>
        <v/>
      </c>
      <c r="P72" s="256">
        <f>SUM(P70:P71)</f>
        <v/>
      </c>
      <c r="Q72" s="254" t="n"/>
      <c r="R72" s="257">
        <f>SUM(R70:R71)</f>
        <v/>
      </c>
      <c r="S72" s="254" t="n"/>
      <c r="T72" s="258">
        <f>SUM(T70:T71)</f>
        <v/>
      </c>
      <c r="U72" s="254" t="n"/>
      <c r="V72" s="254" t="n"/>
      <c r="W72" s="254" t="n"/>
      <c r="X72" s="254" t="n"/>
      <c r="Y72" s="254" t="n"/>
      <c r="Z72" s="254" t="n"/>
    </row>
    <row r="73" ht="8.1" customHeight="1" s="202"/>
    <row r="74" ht="20.1" customHeight="1" s="202">
      <c r="A74" s="259">
        <f>COUNT(A12:A73)</f>
        <v/>
      </c>
      <c r="B74" s="260" t="n"/>
      <c r="C74" s="260" t="n"/>
      <c r="D74" s="260" t="n"/>
      <c r="E74" s="260" t="n"/>
      <c r="F74" s="260" t="n"/>
      <c r="G74" s="260" t="n"/>
      <c r="H74" s="261">
        <f>SUM(H58,H69,H72)</f>
        <v/>
      </c>
      <c r="I74" s="261">
        <f>SUM(I58,I69,I72)</f>
        <v/>
      </c>
      <c r="J74" s="260" t="n"/>
      <c r="K74" s="260" t="n"/>
      <c r="L74" s="260" t="n"/>
      <c r="M74" s="260" t="n"/>
      <c r="N74" s="260" t="n"/>
      <c r="O74" s="262">
        <f>SUM(O58,O69,O72)</f>
        <v/>
      </c>
      <c r="P74" s="262">
        <f>SUM(P58,P69,P72)</f>
        <v/>
      </c>
      <c r="Q74" s="260" t="n"/>
      <c r="R74" s="263">
        <f>SUM(R58,R69,R72)</f>
        <v/>
      </c>
      <c r="S74" s="260" t="n"/>
      <c r="T74" s="264">
        <f>SUM(T58,T69,T72)</f>
        <v/>
      </c>
      <c r="U74" s="260" t="n"/>
      <c r="V74" s="260" t="n"/>
      <c r="W74" s="260" t="n"/>
      <c r="X74" s="260" t="n"/>
      <c r="Y74" s="260" t="n"/>
      <c r="Z74" s="260" t="n"/>
    </row>
    <row r="75" ht="17.1" customHeight="1" s="202"/>
    <row r="76" ht="17.1" customHeight="1" s="202">
      <c r="B76" s="265" t="inlineStr">
        <is>
          <t>Total Qty Export :</t>
        </is>
      </c>
      <c r="C76" s="266">
        <f>H74-C77</f>
        <v/>
      </c>
    </row>
    <row r="77" ht="17.1" customHeight="1" s="202">
      <c r="B77" s="267" t="inlineStr">
        <is>
          <t>Total Qty Export Sample :</t>
        </is>
      </c>
      <c r="C77" s="268" t="inlineStr"/>
    </row>
    <row r="79" ht="17.1" customHeight="1" s="202">
      <c r="A79" s="269" t="n"/>
      <c r="B79" s="270" t="n"/>
      <c r="C79" s="270" t="n"/>
      <c r="D79" s="271" t="n"/>
      <c r="U79" s="272" t="inlineStr">
        <is>
          <t>Tangerang, 18 August 2026</t>
        </is>
      </c>
    </row>
    <row r="80" ht="17.1" customHeight="1" s="202">
      <c r="A80" s="273" t="inlineStr">
        <is>
          <t>Total Document</t>
        </is>
      </c>
      <c r="C80" s="274">
        <f>A74</f>
        <v/>
      </c>
      <c r="D80" s="275" t="n"/>
      <c r="U80" s="272" t="inlineStr">
        <is>
          <t>Kasubsi Hanggar Pabean dan Cukai</t>
        </is>
      </c>
    </row>
    <row r="81" ht="17.1" customHeight="1" s="202">
      <c r="A81" s="273" t="inlineStr">
        <is>
          <t>Gross Weight</t>
        </is>
      </c>
      <c r="C81" s="276">
        <f>O74</f>
        <v/>
      </c>
      <c r="D81" s="275" t="n"/>
    </row>
    <row r="82" ht="17.1" customHeight="1" s="202">
      <c r="A82" s="273" t="inlineStr">
        <is>
          <t>Nett Weight</t>
        </is>
      </c>
      <c r="C82" s="276">
        <f>P74</f>
        <v/>
      </c>
      <c r="D82" s="275" t="n"/>
    </row>
    <row r="83" ht="17.1" customHeight="1" s="202">
      <c r="A83" s="273" t="inlineStr">
        <is>
          <t>Amount</t>
        </is>
      </c>
      <c r="C83" s="277">
        <f>R74</f>
        <v/>
      </c>
      <c r="D83" s="275" t="n"/>
    </row>
    <row r="84" ht="17.1" customHeight="1" s="202">
      <c r="A84" s="273" t="inlineStr">
        <is>
          <t>Jumlah Container</t>
        </is>
      </c>
      <c r="C84" s="278">
        <f>I74-C85</f>
        <v/>
      </c>
      <c r="D84" s="275" t="n"/>
    </row>
    <row r="85" ht="17.1" customHeight="1" s="202">
      <c r="A85" s="279" t="n"/>
      <c r="C85" s="280" t="inlineStr"/>
      <c r="D85" s="275" t="n"/>
    </row>
    <row r="86" ht="17.1" customHeight="1" s="202">
      <c r="A86" s="279" t="n"/>
      <c r="C86" s="281">
        <f>C84*2+C85</f>
        <v/>
      </c>
      <c r="D86" s="275" t="n"/>
    </row>
    <row r="87" ht="16.2" customHeight="1" s="202">
      <c r="A87" s="282" t="n"/>
      <c r="B87" s="283" t="n"/>
      <c r="C87" s="283" t="n"/>
      <c r="D87" s="284" t="n"/>
    </row>
  </sheetData>
  <autoFilter ref="A10:Z11">
    <filterColumn colId="2" hiddenButton="0" showButton="0"/>
    <filterColumn colId="8" hiddenButton="0" showButton="0"/>
  </autoFilter>
  <mergeCells count="26">
    <mergeCell ref="C83:D83"/>
    <mergeCell ref="C86:D86"/>
    <mergeCell ref="E10:E11"/>
    <mergeCell ref="G10:G11"/>
    <mergeCell ref="M10:M11"/>
    <mergeCell ref="Y10:Y11"/>
    <mergeCell ref="Q10:Q11"/>
    <mergeCell ref="C10:D10"/>
    <mergeCell ref="C85:D85"/>
    <mergeCell ref="I10:J11"/>
    <mergeCell ref="A6:Z6"/>
    <mergeCell ref="C84:D84"/>
    <mergeCell ref="B10:B11"/>
    <mergeCell ref="C80:D80"/>
    <mergeCell ref="A7:Z7"/>
    <mergeCell ref="L10:L11"/>
    <mergeCell ref="X10:X11"/>
    <mergeCell ref="N10:N11"/>
    <mergeCell ref="Z10:Z11"/>
    <mergeCell ref="A10:A11"/>
    <mergeCell ref="K10:K11"/>
    <mergeCell ref="C82:D82"/>
    <mergeCell ref="A8:Z8"/>
    <mergeCell ref="C81:D81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2026-08-18T07:41:46Z</dcterms:modified>
  <cp:lastModifiedBy>Chiswa Dian Hermansyah(ZINUS ZDI)</cp:lastModifiedBy>
</cp:coreProperties>
</file>