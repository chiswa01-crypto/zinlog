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9" fillId="2" borderId="15" applyAlignment="1" pivotButton="0" quotePrefix="0" xfId="4">
      <alignment horizontal="center" vertical="center" wrapText="1"/>
    </xf>
    <xf numFmtId="49" fontId="9" fillId="2" borderId="15" applyAlignment="1" pivotButton="0" quotePrefix="0" xfId="4">
      <alignment horizontal="center" vertical="center" wrapText="1"/>
    </xf>
    <xf numFmtId="49" fontId="9" fillId="2" borderId="15" applyAlignment="1" pivotButton="0" quotePrefix="0" xfId="4">
      <alignment horizontal="center" vertical="center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0" fontId="9" fillId="2" borderId="15" applyAlignment="1" pivotButton="0" quotePrefix="0" xfId="4">
      <alignment horizontal="center" vertical="center"/>
    </xf>
    <xf numFmtId="14" fontId="13" fillId="2" borderId="15" applyAlignment="1" pivotButton="0" quotePrefix="0" xfId="4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4">
      <alignment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4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14" fontId="13" fillId="2" borderId="15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000030ZIK48020260729000546</t>
        </is>
      </c>
      <c r="C12" s="81" t="n">
        <v>475735</v>
      </c>
      <c r="D12" s="81" t="n">
        <v>475691</v>
      </c>
      <c r="E12" s="258" t="n">
        <v>46234</v>
      </c>
      <c r="F12" s="82" t="inlineStr">
        <is>
          <t>ID2607-7970</t>
        </is>
      </c>
      <c r="G12" s="258" t="n">
        <v>46232</v>
      </c>
      <c r="H12" s="83" t="n">
        <v>900</v>
      </c>
      <c r="I12" s="42" t="inlineStr">
        <is>
          <t>TGBU6651140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0993631147</t>
        </is>
      </c>
      <c r="N12" s="44" t="inlineStr">
        <is>
          <t>F.MFM.08Q.000.WS</t>
        </is>
      </c>
      <c r="O12" s="86" t="n">
        <v>21510</v>
      </c>
      <c r="P12" s="86" t="n">
        <v>19188</v>
      </c>
      <c r="Q12" s="259">
        <f>IFERROR(R12/H12, 0)</f>
        <v/>
      </c>
      <c r="R12" s="260" t="n">
        <v>84573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CHARLESTON</t>
        </is>
      </c>
      <c r="X12" s="51" t="inlineStr">
        <is>
          <t>WALMART, INC.</t>
        </is>
      </c>
      <c r="Y12" s="52" t="inlineStr">
        <is>
          <t>MAEU273951532</t>
        </is>
      </c>
      <c r="Z12" s="258" t="n">
        <v>46234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 t="n">
        <v>2</v>
      </c>
      <c r="B15" s="80" t="inlineStr">
        <is>
          <t>000030ZIK48020260729000547</t>
        </is>
      </c>
      <c r="C15" s="81" t="n">
        <v>475777</v>
      </c>
      <c r="D15" s="81" t="n">
        <v>475731</v>
      </c>
      <c r="E15" s="258" t="n">
        <v>46234</v>
      </c>
      <c r="F15" s="82" t="inlineStr">
        <is>
          <t>ID2607-7971</t>
        </is>
      </c>
      <c r="G15" s="258" t="n">
        <v>46232</v>
      </c>
      <c r="H15" s="83" t="n">
        <v>693</v>
      </c>
      <c r="I15" s="42" t="inlineStr">
        <is>
          <t>MRKU5394472</t>
        </is>
      </c>
      <c r="J15" s="42" t="inlineStr">
        <is>
          <t>40FT</t>
        </is>
      </c>
      <c r="K15" s="44" t="inlineStr">
        <is>
          <t>8IN GREEN TEA MF MATTRESS TW</t>
        </is>
      </c>
      <c r="L15" s="84" t="inlineStr">
        <is>
          <t>SCF-STR-800T</t>
        </is>
      </c>
      <c r="M15" s="85" t="inlineStr">
        <is>
          <t>0993631137</t>
        </is>
      </c>
      <c r="N15" s="44" t="inlineStr">
        <is>
          <t>F.MFM.08T.000.WS</t>
        </is>
      </c>
      <c r="O15" s="86" t="n">
        <v>10526.67</v>
      </c>
      <c r="P15" s="86" t="n">
        <v>9140.67</v>
      </c>
      <c r="Q15" s="259">
        <f>IFERROR(R15/H15, 0)</f>
        <v/>
      </c>
      <c r="R15" s="260" t="n">
        <v>42619.5</v>
      </c>
      <c r="S15" s="261" t="n">
        <v>18056</v>
      </c>
      <c r="T15" s="261">
        <f>IFERROR(S15*R15, 0)</f>
        <v/>
      </c>
      <c r="U15" s="48" t="inlineStr">
        <is>
          <t>040300/KPPBC</t>
        </is>
      </c>
      <c r="V15" s="49" t="inlineStr">
        <is>
          <t>TG. PRIOK</t>
        </is>
      </c>
      <c r="W15" s="50" t="inlineStr">
        <is>
          <t>CHARLESTON</t>
        </is>
      </c>
      <c r="X15" s="51" t="inlineStr">
        <is>
          <t>WALMART, INC.</t>
        </is>
      </c>
      <c r="Y15" s="52" t="inlineStr">
        <is>
          <t>WMT000694</t>
        </is>
      </c>
      <c r="Z15" s="258" t="n">
        <v>46234</v>
      </c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/>
      <c r="I16" s="42" t="n"/>
      <c r="J16" s="42" t="n"/>
      <c r="K16" s="44" t="n"/>
      <c r="L16" s="84" t="n"/>
      <c r="M16" s="85" t="n"/>
      <c r="N16" s="44" t="n"/>
      <c r="O16" s="86" t="n"/>
      <c r="P16" s="86" t="n"/>
      <c r="Q16" s="259" t="n"/>
      <c r="R16" s="260" t="n"/>
      <c r="S16" s="261" t="n"/>
      <c r="T16" s="261" t="n"/>
      <c r="U16" s="48" t="n"/>
      <c r="V16" s="49" t="n"/>
      <c r="W16" s="50" t="inlineStr">
        <is>
          <t>ETD : 27-07-2026</t>
        </is>
      </c>
      <c r="X16" s="51" t="n"/>
      <c r="Y16" s="52" t="n"/>
      <c r="Z16" s="258" t="n"/>
    </row>
    <row r="17" ht="17.1" customFormat="1" customHeight="1" s="273">
      <c r="A17" s="64" t="n"/>
      <c r="B17" s="65" t="n"/>
      <c r="C17" s="66" t="n"/>
      <c r="D17" s="66" t="n"/>
      <c r="E17" s="67" t="n"/>
      <c r="F17" s="67" t="n"/>
      <c r="G17" s="67" t="n"/>
      <c r="H17" s="68">
        <f>SUM(H15:H16)</f>
        <v/>
      </c>
      <c r="I17" s="69">
        <f>COUNTA(I15:I16)</f>
        <v/>
      </c>
      <c r="J17" s="68" t="n"/>
      <c r="K17" s="68" t="n"/>
      <c r="L17" s="70" t="n"/>
      <c r="M17" s="68" t="n"/>
      <c r="N17" s="68" t="n"/>
      <c r="O17" s="267">
        <f>SUM(O15:O16)</f>
        <v/>
      </c>
      <c r="P17" s="267">
        <f>SUM(P15:P16)</f>
        <v/>
      </c>
      <c r="Q17" s="268" t="n"/>
      <c r="R17" s="269">
        <f>SUM(R15:R16)</f>
        <v/>
      </c>
      <c r="S17" s="270" t="n"/>
      <c r="T17" s="270">
        <f>SUM(T15:T16)</f>
        <v/>
      </c>
      <c r="U17" s="68" t="n"/>
      <c r="V17" s="75" t="n"/>
      <c r="W17" s="76" t="n"/>
      <c r="X17" s="77" t="n"/>
      <c r="Y17" s="77" t="n"/>
      <c r="Z17" s="77" t="n"/>
    </row>
    <row r="18" ht="16.5" customFormat="1" customHeight="1" s="257">
      <c r="A18" s="79" t="n">
        <v>3</v>
      </c>
      <c r="B18" s="80" t="inlineStr">
        <is>
          <t>000030ZIK48020260729000548</t>
        </is>
      </c>
      <c r="C18" s="81" t="n">
        <v>475801</v>
      </c>
      <c r="D18" s="81" t="n">
        <v>475755</v>
      </c>
      <c r="E18" s="258" t="n">
        <v>46234</v>
      </c>
      <c r="F18" s="82" t="inlineStr">
        <is>
          <t>ID2607-7972</t>
        </is>
      </c>
      <c r="G18" s="258" t="n">
        <v>46232</v>
      </c>
      <c r="H18" s="83" t="n">
        <v>520</v>
      </c>
      <c r="I18" s="42" t="inlineStr">
        <is>
          <t>MRSU3468579</t>
        </is>
      </c>
      <c r="J18" s="42" t="inlineStr">
        <is>
          <t>40FT</t>
        </is>
      </c>
      <c r="K18" s="44" t="inlineStr">
        <is>
          <t>8IN GREEN TEA MF MATTRESS FL</t>
        </is>
      </c>
      <c r="L18" s="84" t="inlineStr">
        <is>
          <t>SCF-STR-800F</t>
        </is>
      </c>
      <c r="M18" s="85" t="inlineStr">
        <is>
          <t>0993630655</t>
        </is>
      </c>
      <c r="N18" s="44" t="inlineStr">
        <is>
          <t>F.MFM.08F.000.WS</t>
        </is>
      </c>
      <c r="O18" s="86" t="n">
        <v>10618.4</v>
      </c>
      <c r="P18" s="86" t="n">
        <v>9370.4</v>
      </c>
      <c r="Q18" s="259">
        <f>IFERROR(R18/H18, 0)</f>
        <v/>
      </c>
      <c r="R18" s="260" t="n">
        <v>41480.4</v>
      </c>
      <c r="S18" s="261" t="n">
        <v>18056</v>
      </c>
      <c r="T18" s="261">
        <f>IFERROR(S18*R18, 0)</f>
        <v/>
      </c>
      <c r="U18" s="48" t="inlineStr">
        <is>
          <t>040300/KPPBC</t>
        </is>
      </c>
      <c r="V18" s="49" t="inlineStr">
        <is>
          <t>TG. PRIOK</t>
        </is>
      </c>
      <c r="W18" s="50" t="inlineStr">
        <is>
          <t>CHARLESTON</t>
        </is>
      </c>
      <c r="X18" s="51" t="inlineStr">
        <is>
          <t>WALMART, INC.</t>
        </is>
      </c>
      <c r="Y18" s="52" t="inlineStr">
        <is>
          <t>MAEU273950289</t>
        </is>
      </c>
      <c r="Z18" s="258" t="n">
        <v>46234</v>
      </c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/>
      <c r="I19" s="42" t="n"/>
      <c r="J19" s="42" t="n"/>
      <c r="K19" s="44" t="n"/>
      <c r="L19" s="84" t="n"/>
      <c r="M19" s="85" t="n"/>
      <c r="N19" s="44" t="n"/>
      <c r="O19" s="86" t="n"/>
      <c r="P19" s="86" t="n"/>
      <c r="Q19" s="259" t="n"/>
      <c r="R19" s="260" t="n"/>
      <c r="S19" s="261" t="n"/>
      <c r="T19" s="261" t="n"/>
      <c r="U19" s="48" t="n"/>
      <c r="V19" s="49" t="n"/>
      <c r="W19" s="50" t="inlineStr">
        <is>
          <t>ETD : 27-07-2026</t>
        </is>
      </c>
      <c r="X19" s="51" t="n"/>
      <c r="Y19" s="52" t="n"/>
      <c r="Z19" s="258" t="n"/>
    </row>
    <row r="20" ht="17.1" customFormat="1" customHeight="1" s="257">
      <c r="A20" s="64" t="n"/>
      <c r="B20" s="65" t="n"/>
      <c r="C20" s="262" t="n"/>
      <c r="D20" s="262" t="n"/>
      <c r="E20" s="263" t="n"/>
      <c r="F20" s="263" t="n"/>
      <c r="G20" s="263" t="n"/>
      <c r="H20" s="264">
        <f>SUM(H18:H19)</f>
        <v/>
      </c>
      <c r="I20" s="69">
        <f>COUNTA(I18:I19)</f>
        <v/>
      </c>
      <c r="J20" s="68" t="n"/>
      <c r="K20" s="68" t="n"/>
      <c r="L20" s="265" t="n"/>
      <c r="M20" s="266" t="n"/>
      <c r="N20" s="68" t="n"/>
      <c r="O20" s="267">
        <f>SUM(O18:O19)</f>
        <v/>
      </c>
      <c r="P20" s="267">
        <f>SUM(P18:P19)</f>
        <v/>
      </c>
      <c r="Q20" s="268" t="n"/>
      <c r="R20" s="269">
        <f>SUM(R18:R19)</f>
        <v/>
      </c>
      <c r="S20" s="270" t="n"/>
      <c r="T20" s="270">
        <f>SUM(T18:T19)</f>
        <v/>
      </c>
      <c r="U20" s="68" t="n"/>
      <c r="V20" s="75" t="n"/>
      <c r="W20" s="76" t="n"/>
      <c r="X20" s="77" t="n"/>
      <c r="Y20" s="271" t="n"/>
      <c r="Z20" s="272" t="n"/>
    </row>
    <row r="21" ht="16.5" customFormat="1" customHeight="1" s="257">
      <c r="A21" s="79" t="n">
        <v>4</v>
      </c>
      <c r="B21" s="80" t="inlineStr">
        <is>
          <t>000030ZIK48020260729000549</t>
        </is>
      </c>
      <c r="C21" s="81" t="n">
        <v>475832</v>
      </c>
      <c r="D21" s="81" t="n">
        <v>475786</v>
      </c>
      <c r="E21" s="258" t="n">
        <v>46234</v>
      </c>
      <c r="F21" s="82" t="inlineStr">
        <is>
          <t>ID2607-7973</t>
        </is>
      </c>
      <c r="G21" s="258" t="n">
        <v>46232</v>
      </c>
      <c r="H21" s="83" t="n">
        <v>520</v>
      </c>
      <c r="I21" s="42" t="inlineStr">
        <is>
          <t>MRKU2592411</t>
        </is>
      </c>
      <c r="J21" s="42" t="inlineStr">
        <is>
          <t>40FT</t>
        </is>
      </c>
      <c r="K21" s="44" t="inlineStr">
        <is>
          <t>8IN GREEN TEA MF MATTRESS FL</t>
        </is>
      </c>
      <c r="L21" s="84" t="inlineStr">
        <is>
          <t>SCF-STR-800F</t>
        </is>
      </c>
      <c r="M21" s="85" t="inlineStr">
        <is>
          <t>0993630609</t>
        </is>
      </c>
      <c r="N21" s="44" t="inlineStr">
        <is>
          <t>F.MFM.08F.000.WS</t>
        </is>
      </c>
      <c r="O21" s="86" t="n">
        <v>10618.4</v>
      </c>
      <c r="P21" s="86" t="n">
        <v>9370.4</v>
      </c>
      <c r="Q21" s="259">
        <f>IFERROR(R21/H21, 0)</f>
        <v/>
      </c>
      <c r="R21" s="260" t="n">
        <v>41480.4</v>
      </c>
      <c r="S21" s="261" t="n">
        <v>18056</v>
      </c>
      <c r="T21" s="261">
        <f>IFERROR(S21*R21, 0)</f>
        <v/>
      </c>
      <c r="U21" s="48" t="inlineStr">
        <is>
          <t>040300/KPPBC</t>
        </is>
      </c>
      <c r="V21" s="49" t="inlineStr">
        <is>
          <t>TG. PRIOK</t>
        </is>
      </c>
      <c r="W21" s="50" t="inlineStr">
        <is>
          <t>SAVANNAH</t>
        </is>
      </c>
      <c r="X21" s="51" t="inlineStr">
        <is>
          <t>WALMART, INC.</t>
        </is>
      </c>
      <c r="Y21" s="52" t="inlineStr">
        <is>
          <t>MAEU274240554</t>
        </is>
      </c>
      <c r="Z21" s="258" t="n">
        <v>46234</v>
      </c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/>
      <c r="I22" s="42" t="n"/>
      <c r="J22" s="42" t="n"/>
      <c r="K22" s="44" t="n"/>
      <c r="L22" s="84" t="n"/>
      <c r="M22" s="85" t="n"/>
      <c r="N22" s="44" t="n"/>
      <c r="O22" s="86" t="n"/>
      <c r="P22" s="86" t="n"/>
      <c r="Q22" s="259" t="n"/>
      <c r="R22" s="260" t="n"/>
      <c r="S22" s="261" t="n"/>
      <c r="T22" s="261" t="n"/>
      <c r="U22" s="48" t="n"/>
      <c r="V22" s="49" t="n"/>
      <c r="W22" s="50" t="inlineStr">
        <is>
          <t>ETD : 27-07-2026</t>
        </is>
      </c>
      <c r="X22" s="51" t="n"/>
      <c r="Y22" s="52" t="n"/>
      <c r="Z22" s="258" t="n"/>
    </row>
    <row r="23" ht="17.1" customFormat="1" customHeight="1" s="273">
      <c r="A23" s="64" t="n"/>
      <c r="B23" s="65" t="n"/>
      <c r="C23" s="66" t="n"/>
      <c r="D23" s="66" t="n"/>
      <c r="E23" s="67" t="n"/>
      <c r="F23" s="67" t="n"/>
      <c r="G23" s="67" t="n"/>
      <c r="H23" s="68">
        <f>SUM(H21:H22)</f>
        <v/>
      </c>
      <c r="I23" s="69">
        <f>COUNTA(I21:I22)</f>
        <v/>
      </c>
      <c r="J23" s="68" t="n"/>
      <c r="K23" s="68" t="n"/>
      <c r="L23" s="70" t="n"/>
      <c r="M23" s="68" t="n"/>
      <c r="N23" s="68" t="n"/>
      <c r="O23" s="267">
        <f>SUM(O21:O22)</f>
        <v/>
      </c>
      <c r="P23" s="267">
        <f>SUM(P21:P22)</f>
        <v/>
      </c>
      <c r="Q23" s="268" t="n"/>
      <c r="R23" s="269">
        <f>SUM(R21:R22)</f>
        <v/>
      </c>
      <c r="S23" s="270" t="n"/>
      <c r="T23" s="270">
        <f>SUM(T21:T22)</f>
        <v/>
      </c>
      <c r="U23" s="68" t="n"/>
      <c r="V23" s="75" t="n"/>
      <c r="W23" s="76" t="n"/>
      <c r="X23" s="77" t="n"/>
      <c r="Y23" s="77" t="n"/>
      <c r="Z23" s="77" t="n"/>
    </row>
    <row r="24" ht="16.5" customFormat="1" customHeight="1" s="273">
      <c r="A24" s="79" t="n">
        <v>5</v>
      </c>
      <c r="B24" s="80" t="inlineStr">
        <is>
          <t>000030ZIK48020260731000550</t>
        </is>
      </c>
      <c r="C24" s="81" t="n">
        <v>386972</v>
      </c>
      <c r="D24" s="81" t="n">
        <v>386734</v>
      </c>
      <c r="E24" s="258" t="n">
        <v>46234</v>
      </c>
      <c r="F24" s="82" t="inlineStr">
        <is>
          <t>SAMPLE-ZIID26-0056-NCV</t>
        </is>
      </c>
      <c r="G24" s="258" t="n">
        <v>46233</v>
      </c>
      <c r="H24" s="83" t="n">
        <v>2</v>
      </c>
      <c r="I24" s="42" t="inlineStr"/>
      <c r="J24" s="42" t="inlineStr"/>
      <c r="K24" s="44" t="inlineStr">
        <is>
          <t>4IN GEL MF TOPPER W/ COVER TW</t>
        </is>
      </c>
      <c r="L24" s="84" t="inlineStr">
        <is>
          <t>MF-TGTNM4ZI-04T</t>
        </is>
      </c>
      <c r="M24" s="42" t="inlineStr"/>
      <c r="N24" s="44" t="inlineStr">
        <is>
          <t>F.TGT.04T.002.ZU</t>
        </is>
      </c>
      <c r="O24" s="86" t="n">
        <v>1191.05</v>
      </c>
      <c r="P24" s="86" t="n">
        <v>1118.2</v>
      </c>
      <c r="Q24" s="259">
        <f>IFERROR(R24/H24, 0)</f>
        <v/>
      </c>
      <c r="R24" s="260" t="n">
        <v>58.04</v>
      </c>
      <c r="S24" s="261" t="n">
        <v>18056</v>
      </c>
      <c r="T24" s="261">
        <f>IFERROR(S24*R24, 0)</f>
        <v/>
      </c>
      <c r="U24" s="48" t="inlineStr">
        <is>
          <t>050100/KPPBC</t>
        </is>
      </c>
      <c r="V24" s="49" t="inlineStr">
        <is>
          <t>S. HATTA</t>
        </is>
      </c>
      <c r="W24" s="50" t="inlineStr">
        <is>
          <t>GUANGZHOU</t>
        </is>
      </c>
      <c r="X24" s="51" t="inlineStr">
        <is>
          <t>SGS-CSTC STANDARDS TECHNICAL SERVICES</t>
        </is>
      </c>
      <c r="Y24" s="52" t="inlineStr">
        <is>
          <t>PLIID2H02202</t>
        </is>
      </c>
      <c r="Z24" s="258" t="n">
        <v>46234</v>
      </c>
    </row>
    <row r="25" ht="16.5" customHeight="1" s="223" thickBot="1">
      <c r="A25" s="79" t="n"/>
      <c r="B25" s="80" t="n"/>
      <c r="C25" s="274" t="n"/>
      <c r="D25" s="275" t="n"/>
      <c r="E25" s="276" t="n"/>
      <c r="F25" s="277" t="n"/>
      <c r="G25" s="276" t="n"/>
      <c r="H25" s="51" t="n">
        <v>5</v>
      </c>
      <c r="I25" s="51" t="inlineStr"/>
      <c r="J25" s="51" t="inlineStr"/>
      <c r="K25" s="278" t="inlineStr">
        <is>
          <t>10IN GOOD GREEN TEA MF TW</t>
        </is>
      </c>
      <c r="L25" s="279" t="inlineStr">
        <is>
          <t>ZU-MFMA5NZI-10T</t>
        </is>
      </c>
      <c r="M25" s="51" t="inlineStr"/>
      <c r="N25" s="278" t="inlineStr">
        <is>
          <t>F.MFM.10T.000.ZU</t>
        </is>
      </c>
      <c r="O25" s="280" t="n"/>
      <c r="P25" s="280" t="n"/>
      <c r="Q25" s="281">
        <f>IFERROR(R25/H25, 0)</f>
        <v/>
      </c>
      <c r="R25" s="282" t="n">
        <v>296.85</v>
      </c>
      <c r="S25" s="283" t="n">
        <v>18056</v>
      </c>
      <c r="T25" s="283">
        <f>IFERROR(S25*R25, 0)</f>
        <v/>
      </c>
      <c r="U25" s="284" t="n"/>
      <c r="V25" s="52" t="n"/>
      <c r="W25" s="285" t="inlineStr">
        <is>
          <t>ETD : 27-07-2026</t>
        </is>
      </c>
      <c r="X25" s="286" t="n"/>
      <c r="Y25" s="287" t="n"/>
      <c r="Z25" s="288" t="n"/>
    </row>
    <row r="26" ht="16.5" customFormat="1" customHeight="1" s="231" thickBot="1">
      <c r="A26" s="79" t="n"/>
      <c r="B26" s="80" t="n"/>
      <c r="C26" s="289" t="n"/>
      <c r="D26" s="289" t="n"/>
      <c r="E26" s="290" t="n"/>
      <c r="F26" s="291" t="n"/>
      <c r="G26" s="290" t="n"/>
      <c r="H26" s="292" t="n">
        <v>5</v>
      </c>
      <c r="I26" s="292" t="inlineStr"/>
      <c r="J26" s="51" t="inlineStr"/>
      <c r="K26" s="278" t="inlineStr">
        <is>
          <t>12IN BETTER GREEN TEA MF TW</t>
        </is>
      </c>
      <c r="L26" s="279" t="inlineStr">
        <is>
          <t>ZU-MFGN5OZI-12T</t>
        </is>
      </c>
      <c r="M26" s="51" t="inlineStr"/>
      <c r="N26" s="278" t="inlineStr">
        <is>
          <t>F.MFG.12T.012.ZU</t>
        </is>
      </c>
      <c r="O26" s="293" t="n"/>
      <c r="P26" s="293" t="n"/>
      <c r="Q26" s="294">
        <f>IFERROR(R26/H26, 0)</f>
        <v/>
      </c>
      <c r="R26" s="295" t="n">
        <v>391.7</v>
      </c>
      <c r="S26" s="296" t="n">
        <v>18056</v>
      </c>
      <c r="T26" s="296">
        <f>IFERROR(S26*R26, 0)</f>
        <v/>
      </c>
      <c r="U26" s="297" t="n"/>
      <c r="V26" s="287" t="n"/>
      <c r="W26" s="298" t="n"/>
      <c r="X26" s="286" t="n"/>
      <c r="Y26" s="287" t="n"/>
      <c r="Z26" s="288" t="n"/>
    </row>
    <row r="27" ht="16.5" customHeight="1" s="223">
      <c r="A27" s="79" t="n"/>
      <c r="B27" s="80" t="n"/>
      <c r="C27" s="275" t="n"/>
      <c r="D27" s="299" t="n"/>
      <c r="E27" s="276" t="n"/>
      <c r="F27" s="277" t="n"/>
      <c r="G27" s="276" t="n"/>
      <c r="H27" s="300" t="n">
        <v>5</v>
      </c>
      <c r="I27" s="300" t="inlineStr"/>
      <c r="J27" s="300" t="inlineStr"/>
      <c r="K27" s="278" t="inlineStr">
        <is>
          <t>12IN BEST GREEN TEA MF FL</t>
        </is>
      </c>
      <c r="L27" s="279" t="inlineStr">
        <is>
          <t>ZU-MFGN5PZI-12F</t>
        </is>
      </c>
      <c r="M27" s="51" t="inlineStr"/>
      <c r="N27" s="278" t="inlineStr">
        <is>
          <t>F.MFG.12F.013.ZU</t>
        </is>
      </c>
      <c r="O27" s="301" t="n"/>
      <c r="P27" s="301" t="n"/>
      <c r="Q27" s="294">
        <f>IFERROR(R27/H27, 0)</f>
        <v/>
      </c>
      <c r="R27" s="302" t="n">
        <v>582.5</v>
      </c>
      <c r="S27" s="303" t="n">
        <v>18056</v>
      </c>
      <c r="T27" s="303">
        <f>IFERROR(S27*R27, 0)</f>
        <v/>
      </c>
      <c r="U27" s="297" t="n"/>
      <c r="V27" s="287" t="n"/>
      <c r="W27" s="298" t="n"/>
      <c r="X27" s="286" t="n"/>
      <c r="Y27" s="287" t="n"/>
      <c r="Z27" s="288" t="n"/>
    </row>
    <row r="28" ht="16.5" customHeight="1" s="223">
      <c r="A28" s="79" t="n"/>
      <c r="B28" s="80" t="n"/>
      <c r="C28" s="275" t="n"/>
      <c r="D28" s="299" t="n"/>
      <c r="E28" s="276" t="n"/>
      <c r="F28" s="277" t="n"/>
      <c r="G28" s="276" t="n"/>
      <c r="H28" s="300" t="n">
        <v>5</v>
      </c>
      <c r="I28" s="300" t="inlineStr"/>
      <c r="J28" s="300" t="inlineStr"/>
      <c r="K28" s="278" t="inlineStr">
        <is>
          <t>10IN GOOD HYBRID OUTCOVER TW</t>
        </is>
      </c>
      <c r="L28" s="279" t="inlineStr">
        <is>
          <t>ZU-MSHQ5NZI-10T</t>
        </is>
      </c>
      <c r="M28" s="51" t="inlineStr"/>
      <c r="N28" s="278" t="inlineStr">
        <is>
          <t>F.MSH.10T.020.ZU</t>
        </is>
      </c>
      <c r="O28" s="301" t="n"/>
      <c r="P28" s="301" t="n"/>
      <c r="Q28" s="294">
        <f>IFERROR(R28/H28, 0)</f>
        <v/>
      </c>
      <c r="R28" s="302" t="n">
        <v>306.9</v>
      </c>
      <c r="S28" s="303" t="n">
        <v>18056</v>
      </c>
      <c r="T28" s="303">
        <f>IFERROR(S28*R28, 0)</f>
        <v/>
      </c>
      <c r="U28" s="297" t="n"/>
      <c r="V28" s="287" t="n"/>
      <c r="W28" s="298" t="n"/>
      <c r="X28" s="286" t="n"/>
      <c r="Y28" s="287" t="n"/>
      <c r="Z28" s="288" t="n"/>
    </row>
    <row r="29" ht="16.5" customHeight="1" s="223">
      <c r="A29" s="79" t="n"/>
      <c r="B29" s="80" t="n"/>
      <c r="C29" s="275" t="n"/>
      <c r="D29" s="299" t="n"/>
      <c r="E29" s="276" t="n"/>
      <c r="F29" s="277" t="n"/>
      <c r="G29" s="276" t="n"/>
      <c r="H29" s="300" t="n">
        <v>5</v>
      </c>
      <c r="I29" s="300" t="inlineStr"/>
      <c r="J29" s="300" t="inlineStr"/>
      <c r="K29" s="304" t="inlineStr">
        <is>
          <t>12IN BETTER HYBRID OUTCOVER TW</t>
        </is>
      </c>
      <c r="L29" s="305" t="inlineStr">
        <is>
          <t>ZU-MSHQ5OZI-12T</t>
        </is>
      </c>
      <c r="M29" s="306" t="inlineStr"/>
      <c r="N29" s="304" t="inlineStr">
        <is>
          <t>F.MSH.12T.024.ZU</t>
        </is>
      </c>
      <c r="O29" s="301" t="n"/>
      <c r="P29" s="301" t="n"/>
      <c r="Q29" s="307">
        <f>IFERROR(R29/H29, 0)</f>
        <v/>
      </c>
      <c r="R29" s="302" t="n">
        <v>379.5</v>
      </c>
      <c r="S29" s="303" t="n">
        <v>18056</v>
      </c>
      <c r="T29" s="261">
        <f>IFERROR(S29*R29, 0)</f>
        <v/>
      </c>
      <c r="U29" s="308" t="n"/>
      <c r="V29" s="287" t="n"/>
      <c r="W29" s="298" t="n"/>
      <c r="X29" s="286" t="n"/>
      <c r="Y29" s="287" t="n"/>
      <c r="Z29" s="288" t="n"/>
    </row>
    <row r="30" ht="16.5" customHeight="1" s="223" thickBot="1">
      <c r="A30" s="79" t="n"/>
      <c r="B30" s="80" t="n"/>
      <c r="C30" s="275" t="n"/>
      <c r="D30" s="275" t="n"/>
      <c r="E30" s="276" t="n"/>
      <c r="F30" s="277" t="n"/>
      <c r="G30" s="276" t="n"/>
      <c r="H30" s="300" t="n">
        <v>5</v>
      </c>
      <c r="I30" s="300" t="inlineStr"/>
      <c r="J30" s="300" t="inlineStr"/>
      <c r="K30" s="278" t="inlineStr">
        <is>
          <t>12IN BEST HYBRID OUTCOVER FL</t>
        </is>
      </c>
      <c r="L30" s="279" t="inlineStr">
        <is>
          <t>ZU-MSHQ5PZI-12F</t>
        </is>
      </c>
      <c r="M30" s="51" t="inlineStr"/>
      <c r="N30" s="304" t="inlineStr">
        <is>
          <t>F.MSH.12F.025.ZU</t>
        </is>
      </c>
      <c r="O30" s="301" t="n"/>
      <c r="P30" s="301" t="n"/>
      <c r="Q30" s="307">
        <f>IFERROR(R30/H30, 0)</f>
        <v/>
      </c>
      <c r="R30" s="260" t="n">
        <v>552.4</v>
      </c>
      <c r="S30" s="261" t="n">
        <v>18056</v>
      </c>
      <c r="T30" s="303">
        <f>IFERROR(S30*R30, 0)</f>
        <v/>
      </c>
      <c r="U30" s="309" t="n"/>
      <c r="V30" s="310" t="n"/>
      <c r="W30" s="311" t="n"/>
      <c r="X30" s="306" t="n"/>
      <c r="Y30" s="310" t="n"/>
      <c r="Z30" s="312" t="n"/>
    </row>
    <row r="31" ht="16.5" customHeight="1" s="223" thickTop="1">
      <c r="A31" s="79" t="n"/>
      <c r="B31" s="80" t="n"/>
      <c r="C31" s="275" t="n"/>
      <c r="D31" s="275" t="n"/>
      <c r="E31" s="276" t="n"/>
      <c r="F31" s="277" t="n"/>
      <c r="G31" s="276" t="n"/>
      <c r="H31" s="51" t="n">
        <v>2</v>
      </c>
      <c r="I31" s="51" t="inlineStr"/>
      <c r="J31" s="306" t="inlineStr"/>
      <c r="K31" s="278" t="inlineStr">
        <is>
          <t>10IN GREEN TEA MF MATTRESS EK</t>
        </is>
      </c>
      <c r="L31" s="279" t="inlineStr">
        <is>
          <t>ZU-MFMA1ZZI-10K</t>
        </is>
      </c>
      <c r="M31" s="51" t="inlineStr"/>
      <c r="N31" s="278" t="inlineStr">
        <is>
          <t>F.MFM.10K.007.AD</t>
        </is>
      </c>
      <c r="O31" s="301" t="n"/>
      <c r="P31" s="86" t="n"/>
      <c r="Q31" s="313">
        <f>IFERROR(R31/H31, 0)</f>
        <v/>
      </c>
      <c r="R31" s="260" t="n">
        <v>204.62</v>
      </c>
      <c r="S31" s="261" t="n">
        <v>18056</v>
      </c>
      <c r="T31" s="261">
        <f>IFERROR(S31*R31, 0)</f>
        <v/>
      </c>
      <c r="U31" s="309" t="n"/>
      <c r="V31" s="310" t="n"/>
      <c r="W31" s="311" t="n"/>
      <c r="X31" s="306" t="n"/>
      <c r="Y31" s="310" t="n"/>
      <c r="Z31" s="312" t="n"/>
    </row>
    <row r="32" ht="16.5" customHeight="1" s="223">
      <c r="A32" s="314" t="n"/>
      <c r="B32" s="80" t="n"/>
      <c r="C32" s="289" t="n"/>
      <c r="D32" s="299" t="n"/>
      <c r="E32" s="312" t="n"/>
      <c r="F32" s="315" t="n"/>
      <c r="G32" s="276" t="n"/>
      <c r="H32" s="51" t="n">
        <v>2</v>
      </c>
      <c r="I32" s="51" t="inlineStr"/>
      <c r="J32" s="306" t="inlineStr"/>
      <c r="K32" s="278" t="inlineStr">
        <is>
          <t>10IN GREEN TEA MF MATTRESS QN</t>
        </is>
      </c>
      <c r="L32" s="279" t="inlineStr">
        <is>
          <t>ZU-MFMA1ZZI-10Q</t>
        </is>
      </c>
      <c r="M32" s="51" t="inlineStr"/>
      <c r="N32" s="278" t="inlineStr">
        <is>
          <t>F.MFM.10Q.007.AD</t>
        </is>
      </c>
      <c r="O32" s="301" t="n"/>
      <c r="P32" s="86" t="n"/>
      <c r="Q32" s="313">
        <f>IFERROR(R32/H32, 0)</f>
        <v/>
      </c>
      <c r="R32" s="260" t="n">
        <v>165.92</v>
      </c>
      <c r="S32" s="261" t="n">
        <v>18056</v>
      </c>
      <c r="T32" s="261">
        <f>IFERROR(S32*R32, 0)</f>
        <v/>
      </c>
      <c r="U32" s="309" t="n"/>
      <c r="V32" s="310" t="n"/>
      <c r="W32" s="311" t="n"/>
      <c r="X32" s="306" t="n"/>
      <c r="Y32" s="310" t="n"/>
      <c r="Z32" s="312" t="n"/>
    </row>
    <row r="33" ht="16.5" customHeight="1" s="223">
      <c r="A33" s="314" t="n"/>
      <c r="B33" s="316" t="n"/>
      <c r="C33" s="289" t="n"/>
      <c r="D33" s="299" t="n"/>
      <c r="E33" s="312" t="n"/>
      <c r="F33" s="315" t="n"/>
      <c r="G33" s="312" t="n"/>
      <c r="H33" s="51" t="n">
        <v>2</v>
      </c>
      <c r="I33" s="51" t="inlineStr"/>
      <c r="J33" s="306" t="inlineStr"/>
      <c r="K33" s="278" t="inlineStr">
        <is>
          <t>12IN GREEN TEA MF MATTRESS EK</t>
        </is>
      </c>
      <c r="L33" s="279" t="inlineStr">
        <is>
          <t>ZU-MFMA1ZZI-12K</t>
        </is>
      </c>
      <c r="M33" s="51" t="inlineStr"/>
      <c r="N33" s="278" t="inlineStr">
        <is>
          <t>F.MFM.12K.006.AD</t>
        </is>
      </c>
      <c r="O33" s="301" t="n"/>
      <c r="P33" s="86" t="n"/>
      <c r="Q33" s="313">
        <f>IFERROR(R33/H33, 0)</f>
        <v/>
      </c>
      <c r="R33" s="260" t="n">
        <v>235.38</v>
      </c>
      <c r="S33" s="261" t="n">
        <v>18056</v>
      </c>
      <c r="T33" s="261">
        <f>IFERROR(S33*R33, 0)</f>
        <v/>
      </c>
      <c r="U33" s="309" t="n"/>
      <c r="V33" s="310" t="n"/>
      <c r="W33" s="311" t="n"/>
      <c r="X33" s="306" t="n"/>
      <c r="Y33" s="310" t="n"/>
      <c r="Z33" s="312" t="n"/>
    </row>
    <row r="34" ht="16.5" customHeight="1" s="223">
      <c r="A34" s="314" t="n"/>
      <c r="B34" s="316" t="n"/>
      <c r="C34" s="289" t="n"/>
      <c r="D34" s="299" t="n"/>
      <c r="E34" s="312" t="n"/>
      <c r="F34" s="315" t="n"/>
      <c r="G34" s="312" t="n"/>
      <c r="H34" s="306" t="n">
        <v>2</v>
      </c>
      <c r="I34" s="306" t="inlineStr"/>
      <c r="J34" s="306" t="inlineStr"/>
      <c r="K34" s="278" t="inlineStr">
        <is>
          <t>12IN GREEN TEA MF MATTRESS QN</t>
        </is>
      </c>
      <c r="L34" s="279" t="inlineStr">
        <is>
          <t>ZU-MFMA1ZZI-12Q</t>
        </is>
      </c>
      <c r="M34" s="51" t="inlineStr"/>
      <c r="N34" s="278" t="inlineStr">
        <is>
          <t>F.MFM.12Q.006.AD</t>
        </is>
      </c>
      <c r="O34" s="301" t="n"/>
      <c r="P34" s="86" t="n"/>
      <c r="Q34" s="313">
        <f>IFERROR(R34/H34, 0)</f>
        <v/>
      </c>
      <c r="R34" s="260" t="n">
        <v>190.34</v>
      </c>
      <c r="S34" s="261" t="n">
        <v>18056</v>
      </c>
      <c r="T34" s="261">
        <f>IFERROR(S34*R34, 0)</f>
        <v/>
      </c>
      <c r="U34" s="309" t="n"/>
      <c r="V34" s="310" t="n"/>
      <c r="W34" s="311" t="n"/>
      <c r="X34" s="306" t="n"/>
      <c r="Y34" s="310" t="n"/>
      <c r="Z34" s="312" t="n"/>
    </row>
    <row r="35" ht="17.1" customHeight="1" s="223">
      <c r="A35" s="317" t="n"/>
      <c r="B35" s="318" t="n"/>
      <c r="C35" s="319" t="n"/>
      <c r="D35" s="320" t="n"/>
      <c r="E35" s="321" t="n"/>
      <c r="F35" s="321" t="n"/>
      <c r="G35" s="321" t="n"/>
      <c r="H35" s="322">
        <f>SUM(H24:H34)</f>
        <v/>
      </c>
      <c r="I35" s="323">
        <f>COUNTA(I24:I34)</f>
        <v/>
      </c>
      <c r="J35" s="322" t="n"/>
      <c r="K35" s="324" t="n"/>
      <c r="L35" s="325" t="n"/>
      <c r="M35" s="324" t="n"/>
      <c r="N35" s="324" t="n"/>
      <c r="O35" s="326">
        <f>SUM(O24:O34)</f>
        <v/>
      </c>
      <c r="P35" s="267">
        <f>SUM(P24:P34)</f>
        <v/>
      </c>
      <c r="Q35" s="327" t="n"/>
      <c r="R35" s="269">
        <f>SUM(R24:R34)</f>
        <v/>
      </c>
      <c r="S35" s="270" t="n"/>
      <c r="T35" s="270">
        <f>SUM(T24:T34)</f>
        <v/>
      </c>
      <c r="U35" s="324" t="n"/>
      <c r="V35" s="328" t="n"/>
      <c r="W35" s="329" t="n"/>
      <c r="X35" s="328" t="n"/>
      <c r="Y35" s="328" t="n"/>
      <c r="Z35" s="328" t="n"/>
    </row>
    <row r="36" ht="16.5" customHeight="1" s="223">
      <c r="A36" s="314" t="n">
        <v>6</v>
      </c>
      <c r="B36" s="316" t="inlineStr">
        <is>
          <t>000030ZIK48020260731000551</t>
        </is>
      </c>
      <c r="C36" s="289" t="n">
        <v>479608</v>
      </c>
      <c r="D36" s="299" t="n">
        <v>479563</v>
      </c>
      <c r="E36" s="312" t="n">
        <v>46235</v>
      </c>
      <c r="F36" s="315" t="inlineStr">
        <is>
          <t>ID2607-7995</t>
        </is>
      </c>
      <c r="G36" s="312" t="n">
        <v>46234</v>
      </c>
      <c r="H36" s="306" t="n">
        <v>1350</v>
      </c>
      <c r="I36" s="306" t="inlineStr">
        <is>
          <t>MSDU5996584</t>
        </is>
      </c>
      <c r="J36" s="306" t="inlineStr">
        <is>
          <t>40FT</t>
        </is>
      </c>
      <c r="K36" s="278" t="inlineStr">
        <is>
          <t>8IN GREEN TEA MF MATTRESS QN</t>
        </is>
      </c>
      <c r="L36" s="279" t="inlineStr">
        <is>
          <t>SCF-STR-800Q</t>
        </is>
      </c>
      <c r="M36" s="51" t="inlineStr">
        <is>
          <t>0993631183</t>
        </is>
      </c>
      <c r="N36" s="278" t="inlineStr">
        <is>
          <t>F.MFM.08Q.000.WS</t>
        </is>
      </c>
      <c r="O36" s="301" t="n">
        <v>32265</v>
      </c>
      <c r="P36" s="86" t="n">
        <v>28782</v>
      </c>
      <c r="Q36" s="313">
        <f>IFERROR(R36/H36, 0)</f>
        <v/>
      </c>
      <c r="R36" s="260" t="n">
        <v>126859.5</v>
      </c>
      <c r="S36" s="261" t="n">
        <v>18056</v>
      </c>
      <c r="T36" s="261">
        <f>IFERROR(S36*R36, 0)</f>
        <v/>
      </c>
      <c r="U36" s="309" t="inlineStr">
        <is>
          <t>040300/KPPBC</t>
        </is>
      </c>
      <c r="V36" s="310" t="inlineStr">
        <is>
          <t>TG. PRIOK</t>
        </is>
      </c>
      <c r="W36" s="311" t="inlineStr">
        <is>
          <t>HOUSTON</t>
        </is>
      </c>
      <c r="X36" s="306" t="inlineStr">
        <is>
          <t>WALMART, INC.</t>
        </is>
      </c>
      <c r="Y36" s="310" t="inlineStr">
        <is>
          <t>MEDUKU616984</t>
        </is>
      </c>
      <c r="Z36" s="312" t="n">
        <v>46235</v>
      </c>
    </row>
    <row r="37" ht="16.5" customHeight="1" s="223">
      <c r="A37" s="314" t="n"/>
      <c r="B37" s="316" t="n"/>
      <c r="C37" s="289" t="n"/>
      <c r="D37" s="299" t="n"/>
      <c r="E37" s="312" t="n"/>
      <c r="F37" s="315" t="n"/>
      <c r="G37" s="312" t="n"/>
      <c r="H37" s="306" t="n"/>
      <c r="I37" s="306" t="n"/>
      <c r="J37" s="306" t="n"/>
      <c r="K37" s="278" t="n"/>
      <c r="L37" s="279" t="n"/>
      <c r="M37" s="51" t="n"/>
      <c r="N37" s="278" t="n"/>
      <c r="O37" s="301" t="n"/>
      <c r="P37" s="86" t="n"/>
      <c r="Q37" s="313" t="n"/>
      <c r="R37" s="260" t="n"/>
      <c r="S37" s="261" t="n"/>
      <c r="T37" s="261" t="n"/>
      <c r="U37" s="309" t="n"/>
      <c r="V37" s="310" t="n"/>
      <c r="W37" s="311" t="inlineStr">
        <is>
          <t>ETD : 27-07-2026</t>
        </is>
      </c>
      <c r="X37" s="306" t="n"/>
      <c r="Y37" s="310" t="n"/>
      <c r="Z37" s="312" t="n"/>
    </row>
    <row r="38" ht="17.1" customHeight="1" s="223">
      <c r="A38" s="317" t="n"/>
      <c r="B38" s="318" t="n"/>
      <c r="C38" s="319" t="n"/>
      <c r="D38" s="320" t="n"/>
      <c r="E38" s="321" t="n"/>
      <c r="F38" s="321" t="n"/>
      <c r="G38" s="321" t="n"/>
      <c r="H38" s="322">
        <f>SUM(H36:H37)</f>
        <v/>
      </c>
      <c r="I38" s="323">
        <f>COUNTA(I36:I37)</f>
        <v/>
      </c>
      <c r="J38" s="322" t="n"/>
      <c r="K38" s="324" t="n"/>
      <c r="L38" s="325" t="n"/>
      <c r="M38" s="324" t="n"/>
      <c r="N38" s="324" t="n"/>
      <c r="O38" s="326">
        <f>SUM(O36:O37)</f>
        <v/>
      </c>
      <c r="P38" s="326">
        <f>SUM(P36:P37)</f>
        <v/>
      </c>
      <c r="Q38" s="330" t="n"/>
      <c r="R38" s="331">
        <f>SUM(R36:R37)</f>
        <v/>
      </c>
      <c r="S38" s="332" t="n"/>
      <c r="T38" s="332">
        <f>SUM(T36:T37)</f>
        <v/>
      </c>
      <c r="U38" s="322" t="n"/>
      <c r="V38" s="328" t="n"/>
      <c r="W38" s="329" t="n"/>
      <c r="X38" s="328" t="n"/>
      <c r="Y38" s="328" t="n"/>
      <c r="Z38" s="328" t="n"/>
    </row>
    <row r="39" ht="16.5" customHeight="1" s="223" thickBot="1">
      <c r="A39" s="314" t="n">
        <v>7</v>
      </c>
      <c r="B39" s="316" t="inlineStr">
        <is>
          <t>000030ZIK48020260731000552</t>
        </is>
      </c>
      <c r="C39" s="289" t="n">
        <v>479600</v>
      </c>
      <c r="D39" s="289" t="n">
        <v>479555</v>
      </c>
      <c r="E39" s="312" t="n">
        <v>46235</v>
      </c>
      <c r="F39" s="315" t="inlineStr">
        <is>
          <t>ID2607-8003</t>
        </is>
      </c>
      <c r="G39" s="312" t="n">
        <v>46234</v>
      </c>
      <c r="H39" s="306" t="n">
        <v>1386</v>
      </c>
      <c r="I39" s="306" t="inlineStr">
        <is>
          <t>CAAU8052782</t>
        </is>
      </c>
      <c r="J39" s="306" t="inlineStr">
        <is>
          <t>40FT</t>
        </is>
      </c>
      <c r="K39" s="304" t="inlineStr">
        <is>
          <t>8IN GREEN TEA MF MATTRESS TW</t>
        </is>
      </c>
      <c r="L39" s="305" t="inlineStr">
        <is>
          <t>SCF-STR-800T</t>
        </is>
      </c>
      <c r="M39" s="306" t="inlineStr">
        <is>
          <t>0993631224</t>
        </is>
      </c>
      <c r="N39" s="304" t="inlineStr">
        <is>
          <t>F.MFM.08T.000.WS</t>
        </is>
      </c>
      <c r="O39" s="301" t="n">
        <v>21053.34</v>
      </c>
      <c r="P39" s="301" t="n">
        <v>18281.34</v>
      </c>
      <c r="Q39" s="307">
        <f>IFERROR(R39/H39, 0)</f>
        <v/>
      </c>
      <c r="R39" s="302" t="n">
        <v>85239</v>
      </c>
      <c r="S39" s="303" t="n">
        <v>18056</v>
      </c>
      <c r="T39" s="303">
        <f>IFERROR(S39*R39, 0)</f>
        <v/>
      </c>
      <c r="U39" s="308" t="inlineStr">
        <is>
          <t>040300/KPPBC</t>
        </is>
      </c>
      <c r="V39" s="310" t="inlineStr">
        <is>
          <t>TG. PRIOK</t>
        </is>
      </c>
      <c r="W39" s="311" t="inlineStr">
        <is>
          <t>HOUSTON</t>
        </is>
      </c>
      <c r="X39" s="306" t="inlineStr">
        <is>
          <t>WALMART, INC.</t>
        </is>
      </c>
      <c r="Y39" s="310" t="inlineStr">
        <is>
          <t>MEDUKU622156</t>
        </is>
      </c>
      <c r="Z39" s="312" t="n">
        <v>46235</v>
      </c>
    </row>
    <row r="40" ht="16.5" customFormat="1" customHeight="1" s="17" thickTop="1">
      <c r="A40" s="333" t="n"/>
      <c r="B40" s="316" t="n"/>
      <c r="C40" s="289" t="n"/>
      <c r="D40" s="289" t="n"/>
      <c r="E40" s="290" t="n"/>
      <c r="F40" s="291" t="n"/>
      <c r="G40" s="290" t="n"/>
      <c r="H40" s="51" t="n"/>
      <c r="I40" s="51" t="n"/>
      <c r="J40" s="51" t="n"/>
      <c r="K40" s="278" t="n"/>
      <c r="L40" s="279" t="n"/>
      <c r="M40" s="51" t="n"/>
      <c r="N40" s="278" t="n"/>
      <c r="O40" s="86" t="n"/>
      <c r="P40" s="86" t="n"/>
      <c r="Q40" s="313" t="n"/>
      <c r="R40" s="260" t="n"/>
      <c r="S40" s="261" t="n"/>
      <c r="T40" s="261" t="n"/>
      <c r="U40" s="309" t="n"/>
      <c r="V40" s="334" t="n"/>
      <c r="W40" s="335" t="inlineStr">
        <is>
          <t>ETD : 27-07-2026</t>
        </is>
      </c>
      <c r="X40" s="51" t="n"/>
      <c r="Y40" s="334" t="n"/>
      <c r="Z40" s="290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7.1" customHeight="1" s="223">
      <c r="A41" s="336" t="n"/>
      <c r="B41" s="337" t="n"/>
      <c r="C41" s="320" t="n"/>
      <c r="D41" s="320" t="n"/>
      <c r="E41" s="321" t="n"/>
      <c r="F41" s="321" t="n"/>
      <c r="G41" s="321" t="n"/>
      <c r="H41" s="322">
        <f>SUM(H39:H40)</f>
        <v/>
      </c>
      <c r="I41" s="323">
        <f>COUNTA(I39:I40)</f>
        <v/>
      </c>
      <c r="J41" s="322" t="n"/>
      <c r="K41" s="322" t="n"/>
      <c r="L41" s="338" t="n"/>
      <c r="M41" s="322" t="n"/>
      <c r="N41" s="322" t="n"/>
      <c r="O41" s="326">
        <f>SUM(O39:O40)</f>
        <v/>
      </c>
      <c r="P41" s="326">
        <f>SUM(P39:P40)</f>
        <v/>
      </c>
      <c r="Q41" s="330" t="n"/>
      <c r="R41" s="331">
        <f>SUM(R39:R40)</f>
        <v/>
      </c>
      <c r="S41" s="332" t="n"/>
      <c r="T41" s="332">
        <f>SUM(T39:T40)</f>
        <v/>
      </c>
      <c r="U41" s="322" t="n"/>
      <c r="V41" s="328" t="n"/>
      <c r="W41" s="329" t="n"/>
      <c r="X41" s="328" t="n"/>
      <c r="Y41" s="328" t="n"/>
      <c r="Z41" s="328" t="n"/>
    </row>
    <row r="42" ht="16.5" customHeight="1" s="223">
      <c r="A42" s="333" t="n">
        <v>8</v>
      </c>
      <c r="B42" s="339" t="inlineStr">
        <is>
          <t>000030ZIK48020260731000553</t>
        </is>
      </c>
      <c r="C42" s="299" t="n">
        <v>479621</v>
      </c>
      <c r="D42" s="299" t="n">
        <v>479576</v>
      </c>
      <c r="E42" s="312" t="n">
        <v>46235</v>
      </c>
      <c r="F42" s="315" t="inlineStr">
        <is>
          <t>ID2607-8004</t>
        </is>
      </c>
      <c r="G42" s="312" t="n">
        <v>46234</v>
      </c>
      <c r="H42" s="306" t="n">
        <v>1040</v>
      </c>
      <c r="I42" s="306" t="inlineStr">
        <is>
          <t>TCNU1421062</t>
        </is>
      </c>
      <c r="J42" s="306" t="inlineStr">
        <is>
          <t>40FT</t>
        </is>
      </c>
      <c r="K42" s="304" t="inlineStr">
        <is>
          <t>8IN GREEN TEA MF MATTRESS FL</t>
        </is>
      </c>
      <c r="L42" s="305" t="inlineStr">
        <is>
          <t>SCF-STR-800F</t>
        </is>
      </c>
      <c r="M42" s="306" t="inlineStr">
        <is>
          <t>0993630696</t>
        </is>
      </c>
      <c r="N42" s="304" t="inlineStr">
        <is>
          <t>F.MFM.08F.000.WS</t>
        </is>
      </c>
      <c r="O42" s="301" t="n">
        <v>21236.8</v>
      </c>
      <c r="P42" s="301" t="n">
        <v>18740.8</v>
      </c>
      <c r="Q42" s="307">
        <f>IFERROR(R42/H42, 0)</f>
        <v/>
      </c>
      <c r="R42" s="302" t="n">
        <v>82960.8</v>
      </c>
      <c r="S42" s="303" t="n">
        <v>18056</v>
      </c>
      <c r="T42" s="303">
        <f>IFERROR(S42*R42, 0)</f>
        <v/>
      </c>
      <c r="U42" s="308" t="inlineStr">
        <is>
          <t>040300/KPPBC</t>
        </is>
      </c>
      <c r="V42" s="310" t="inlineStr">
        <is>
          <t>TG. PRIOK</t>
        </is>
      </c>
      <c r="W42" s="311" t="inlineStr">
        <is>
          <t>HOUSTON</t>
        </is>
      </c>
      <c r="X42" s="306" t="inlineStr">
        <is>
          <t>WALMART, INC.</t>
        </is>
      </c>
      <c r="Y42" s="310" t="inlineStr">
        <is>
          <t>MEDUKU622164</t>
        </is>
      </c>
      <c r="Z42" s="312" t="n">
        <v>46235</v>
      </c>
    </row>
    <row r="43" ht="16.5" customHeight="1" s="223">
      <c r="A43" s="333" t="n"/>
      <c r="B43" s="339" t="n"/>
      <c r="C43" s="299" t="n"/>
      <c r="D43" s="299" t="n"/>
      <c r="E43" s="312" t="n"/>
      <c r="F43" s="315" t="n"/>
      <c r="G43" s="312" t="n"/>
      <c r="H43" s="306" t="n"/>
      <c r="I43" s="306" t="n"/>
      <c r="J43" s="306" t="n"/>
      <c r="K43" s="304" t="n"/>
      <c r="L43" s="305" t="n"/>
      <c r="M43" s="306" t="n"/>
      <c r="N43" s="304" t="n"/>
      <c r="O43" s="301" t="n"/>
      <c r="P43" s="301" t="n"/>
      <c r="Q43" s="307" t="n"/>
      <c r="R43" s="302" t="n"/>
      <c r="S43" s="303" t="n"/>
      <c r="T43" s="303" t="n"/>
      <c r="U43" s="308" t="n"/>
      <c r="V43" s="310" t="n"/>
      <c r="W43" s="311" t="inlineStr">
        <is>
          <t>ETD : 27-07-2026</t>
        </is>
      </c>
      <c r="X43" s="306" t="n"/>
      <c r="Y43" s="310" t="n"/>
      <c r="Z43" s="312" t="n"/>
    </row>
    <row r="44" ht="17.1" customHeight="1" s="223">
      <c r="A44" s="336" t="n"/>
      <c r="B44" s="337" t="n"/>
      <c r="C44" s="320" t="n"/>
      <c r="D44" s="320" t="n"/>
      <c r="E44" s="321" t="n"/>
      <c r="F44" s="321" t="n"/>
      <c r="G44" s="321" t="n"/>
      <c r="H44" s="322">
        <f>SUM(H42:H43)</f>
        <v/>
      </c>
      <c r="I44" s="323">
        <f>COUNTA(I42:I43)</f>
        <v/>
      </c>
      <c r="J44" s="322" t="n"/>
      <c r="K44" s="322" t="n"/>
      <c r="L44" s="338" t="n"/>
      <c r="M44" s="322" t="n"/>
      <c r="N44" s="322" t="n"/>
      <c r="O44" s="326">
        <f>SUM(O42:O43)</f>
        <v/>
      </c>
      <c r="P44" s="326">
        <f>SUM(P42:P43)</f>
        <v/>
      </c>
      <c r="Q44" s="330" t="n"/>
      <c r="R44" s="331">
        <f>SUM(R42:R43)</f>
        <v/>
      </c>
      <c r="S44" s="332" t="n"/>
      <c r="T44" s="332">
        <f>SUM(T42:T43)</f>
        <v/>
      </c>
      <c r="U44" s="322" t="n"/>
      <c r="V44" s="328" t="n"/>
      <c r="W44" s="329" t="n"/>
      <c r="X44" s="328" t="n"/>
      <c r="Y44" s="328" t="n"/>
      <c r="Z44" s="328" t="n"/>
    </row>
    <row r="45" ht="16.5" customHeight="1" s="223">
      <c r="A45" s="333">
        <f>COUNT(A12:A44)</f>
        <v/>
      </c>
      <c r="B45" s="339" t="n"/>
      <c r="C45" s="299" t="n"/>
      <c r="D45" s="299" t="n"/>
      <c r="E45" s="312" t="n"/>
      <c r="F45" s="315" t="n"/>
      <c r="G45" s="312" t="n"/>
      <c r="H45" s="306">
        <f>SUM(H14,H17,H20,H23,H35,H38,H41,H44)</f>
        <v/>
      </c>
      <c r="I45" s="306">
        <f>SUM(I14,I17,I20,I23,I35,I38,I41,I44)</f>
        <v/>
      </c>
      <c r="J45" s="306" t="n"/>
      <c r="K45" s="304" t="n"/>
      <c r="L45" s="305" t="n"/>
      <c r="M45" s="306" t="n"/>
      <c r="N45" s="304" t="n"/>
      <c r="O45" s="301">
        <f>SUM(O14,O17,O20,O23,O35,O38,O41,O44)</f>
        <v/>
      </c>
      <c r="P45" s="301">
        <f>SUM(P14,P17,P20,P23,P35,P38,P41,P44)</f>
        <v/>
      </c>
      <c r="Q45" s="307" t="n"/>
      <c r="R45" s="302">
        <f>SUM(R14,R17,R20,R23,R35,R38,R41,R44)</f>
        <v/>
      </c>
      <c r="S45" s="303" t="n"/>
      <c r="T45" s="303">
        <f>SUM(T14,T17,T20,T23,T35,T38,T41,T44)</f>
        <v/>
      </c>
      <c r="U45" s="308" t="n"/>
      <c r="V45" s="310" t="n"/>
      <c r="W45" s="311" t="n"/>
      <c r="X45" s="306" t="n"/>
      <c r="Y45" s="310" t="n"/>
      <c r="Z45" s="312" t="n"/>
    </row>
    <row r="46"/>
    <row r="47" ht="20" customHeight="1" s="223">
      <c r="B47" s="340" t="inlineStr">
        <is>
          <t>Total Qty Export :</t>
        </is>
      </c>
      <c r="C47" s="341">
        <f>H45-C48</f>
        <v/>
      </c>
    </row>
    <row r="48" ht="20" customHeight="1" s="223">
      <c r="B48" s="342" t="inlineStr">
        <is>
          <t>Total Qty Export Sample :</t>
        </is>
      </c>
      <c r="C48" s="343" t="n">
        <v>0</v>
      </c>
    </row>
    <row r="49"/>
    <row r="50" ht="20" customHeight="1" s="223">
      <c r="U50" s="342" t="inlineStr">
        <is>
          <t>Tangerang, 03 August 2026</t>
        </is>
      </c>
    </row>
    <row r="51" ht="20" customHeight="1" s="223">
      <c r="A51" s="344" t="inlineStr">
        <is>
          <t>Total Document</t>
        </is>
      </c>
      <c r="C51" s="344">
        <f>A45</f>
        <v/>
      </c>
      <c r="U51" s="342" t="inlineStr">
        <is>
          <t>Kasubsi Hanggar Pabean dan Cukai</t>
        </is>
      </c>
    </row>
    <row r="52" ht="20" customHeight="1" s="223">
      <c r="A52" s="344" t="inlineStr">
        <is>
          <t>Gross Weight</t>
        </is>
      </c>
      <c r="C52" s="344">
        <f>O45</f>
        <v/>
      </c>
    </row>
    <row r="53" ht="20" customHeight="1" s="223">
      <c r="A53" s="344" t="inlineStr">
        <is>
          <t>Nett Weight</t>
        </is>
      </c>
      <c r="C53" s="344">
        <f>P45</f>
        <v/>
      </c>
    </row>
    <row r="54" ht="20" customHeight="1" s="223">
      <c r="A54" s="344" t="inlineStr">
        <is>
          <t>Amount</t>
        </is>
      </c>
      <c r="C54" s="344">
        <f>R45</f>
        <v/>
      </c>
    </row>
    <row r="55" ht="20" customHeight="1" s="223">
      <c r="A55" s="344" t="inlineStr">
        <is>
          <t>Jumlah Container</t>
        </is>
      </c>
      <c r="C55" s="344">
        <f>I45</f>
        <v/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6" t="n"/>
      <c r="L333" s="346" t="n"/>
      <c r="M333" s="346" t="n"/>
      <c r="N333" s="347" t="n"/>
      <c r="O333" s="348" t="n"/>
      <c r="P333" s="348" t="n"/>
      <c r="Q333" s="349" t="n"/>
      <c r="R333" s="350" t="n"/>
      <c r="S333" s="351" t="n"/>
      <c r="T333" s="351" t="n"/>
      <c r="U333" s="352" t="n"/>
      <c r="V333" s="352" t="n"/>
      <c r="W333" s="352" t="n"/>
      <c r="X333" s="352" t="n"/>
      <c r="Y333" s="352" t="n"/>
      <c r="Z333" s="35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2026-08-03T02:09:56Z</dcterms:modified>
  <cp:lastModifiedBy>Chiswa Dian Hermansyah(ZINUS ZDI)</cp:lastModifiedBy>
</cp:coreProperties>
</file>