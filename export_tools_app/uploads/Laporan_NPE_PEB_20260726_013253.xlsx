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8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2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SCF-STR-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SCF-STR-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ZU-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ZU-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ZU-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ZU-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ZU-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000030ZIK48020260722000506</t>
        </is>
      </c>
      <c r="C47" s="297" t="n">
        <v>454283</v>
      </c>
      <c r="D47" s="297" t="n">
        <v>454227</v>
      </c>
      <c r="E47" s="298" t="n">
        <v>46226</v>
      </c>
      <c r="F47" s="299" t="inlineStr">
        <is>
          <t>ID2607-7885</t>
        </is>
      </c>
      <c r="G47" s="298" t="n">
        <v>46225</v>
      </c>
      <c r="H47" s="300" t="n">
        <v>182</v>
      </c>
      <c r="I47" s="300" t="inlineStr"/>
      <c r="J47" s="300" t="inlineStr"/>
      <c r="K47" s="301" t="inlineStr">
        <is>
          <t>10IN GREEN TEA MF MATTRESS TX</t>
        </is>
      </c>
      <c r="L47" s="302" t="inlineStr">
        <is>
          <t>OLC-FMS-</t>
        </is>
      </c>
      <c r="M47" s="300" t="inlineStr">
        <is>
          <t>5FFUUH8B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101</v>
      </c>
      <c r="I48" s="300" t="inlineStr"/>
      <c r="J48" s="300" t="inlineStr"/>
      <c r="K48" s="301" t="inlineStr">
        <is>
          <t>12IN GEL FOAM MATTRESS TW</t>
        </is>
      </c>
      <c r="L48" s="302" t="inlineStr">
        <is>
          <t>GFM-12T</t>
        </is>
      </c>
      <c r="M48" s="300" t="inlineStr">
        <is>
          <t>77K91MJU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174</v>
      </c>
      <c r="I49" s="300" t="inlineStr"/>
      <c r="J49" s="300" t="inlineStr"/>
      <c r="K49" s="301" t="inlineStr">
        <is>
          <t>10IN GREEN TEA MF MATTRESS TX</t>
        </is>
      </c>
      <c r="L49" s="302" t="inlineStr">
        <is>
          <t>OLC-FMS-</t>
        </is>
      </c>
      <c r="M49" s="300" t="inlineStr">
        <is>
          <t>77K91MJU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64</v>
      </c>
      <c r="I50" s="300" t="inlineStr"/>
      <c r="J50" s="300" t="inlineStr"/>
      <c r="K50" s="301" t="inlineStr">
        <is>
          <t>12IN GEL FOAM MATTRESS TW</t>
        </is>
      </c>
      <c r="L50" s="302" t="inlineStr">
        <is>
          <t>GFM-12T</t>
        </is>
      </c>
      <c r="M50" s="300" t="inlineStr">
        <is>
          <t>7D4ITY4N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99</v>
      </c>
      <c r="I51" s="300" t="inlineStr"/>
      <c r="J51" s="300" t="inlineStr"/>
      <c r="K51" s="301" t="inlineStr">
        <is>
          <t>10IN GREEN TEA MF MATTRESS TX</t>
        </is>
      </c>
      <c r="L51" s="302" t="inlineStr">
        <is>
          <t>OLC-FMS-</t>
        </is>
      </c>
      <c r="M51" s="300" t="inlineStr">
        <is>
          <t>7D4ITY4N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1</v>
      </c>
      <c r="I52" s="300" t="inlineStr"/>
      <c r="J52" s="300" t="inlineStr"/>
      <c r="K52" s="301" t="inlineStr">
        <is>
          <t>10IN GREEN TEA MF MATTRESS TX</t>
        </is>
      </c>
      <c r="L52" s="302" t="inlineStr">
        <is>
          <t>OLC-FMS-</t>
        </is>
      </c>
      <c r="M52" s="300" t="inlineStr">
        <is>
          <t>7MO3ZAUN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152</v>
      </c>
      <c r="I53" s="300" t="inlineStr"/>
      <c r="J53" s="300" t="inlineStr"/>
      <c r="K53" s="301" t="inlineStr">
        <is>
          <t>12IN GEL FOAM MATTRESS TW</t>
        </is>
      </c>
      <c r="L53" s="302" t="inlineStr">
        <is>
          <t>GFM-12T</t>
        </is>
      </c>
      <c r="M53" s="300" t="inlineStr">
        <is>
          <t>8Y39N9EN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390</v>
      </c>
      <c r="I54" s="300" t="inlineStr"/>
      <c r="J54" s="300" t="inlineStr"/>
      <c r="K54" s="301" t="inlineStr">
        <is>
          <t>3IN CV LAVENDER MF TOPPER FL</t>
        </is>
      </c>
      <c r="L54" s="302" t="inlineStr">
        <is>
          <t>ECMF-03FL-</t>
        </is>
      </c>
      <c r="M54" s="300" t="inlineStr">
        <is>
          <t>5FFUUH8B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874</v>
      </c>
      <c r="I55" s="300" t="inlineStr"/>
      <c r="J55" s="300" t="inlineStr"/>
      <c r="K55" s="301" t="inlineStr">
        <is>
          <t>3IN CV LAVENDER MF TOPPER TW</t>
        </is>
      </c>
      <c r="L55" s="302" t="inlineStr">
        <is>
          <t>ECMF-</t>
        </is>
      </c>
      <c r="M55" s="300" t="inlineStr">
        <is>
          <t>5FFUUH8B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455</v>
      </c>
      <c r="I56" s="300" t="inlineStr"/>
      <c r="J56" s="300" t="inlineStr"/>
      <c r="K56" s="301" t="inlineStr">
        <is>
          <t>3IN CV LAVENDER MF TOPPER FL</t>
        </is>
      </c>
      <c r="L56" s="302" t="inlineStr">
        <is>
          <t>ECMF-03FL-</t>
        </is>
      </c>
      <c r="M56" s="300" t="inlineStr">
        <is>
          <t>77K91MJU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6.5" customHeight="1" s="215">
      <c r="A57" s="295" t="n"/>
      <c r="B57" s="296" t="n"/>
      <c r="C57" s="297" t="n"/>
      <c r="D57" s="297" t="n"/>
      <c r="E57" s="298" t="n"/>
      <c r="F57" s="299" t="n"/>
      <c r="G57" s="298" t="n"/>
      <c r="H57" s="300" t="n">
        <v>196</v>
      </c>
      <c r="I57" s="300" t="inlineStr"/>
      <c r="J57" s="300" t="inlineStr"/>
      <c r="K57" s="301" t="inlineStr">
        <is>
          <t>3IN CV LAVENDER MF TOPPER QN</t>
        </is>
      </c>
      <c r="L57" s="302" t="inlineStr">
        <is>
          <t>ECMF-</t>
        </is>
      </c>
      <c r="M57" s="300" t="inlineStr">
        <is>
          <t>77K91MJU</t>
        </is>
      </c>
      <c r="N57" s="301" t="inlineStr"/>
      <c r="O57" s="303" t="n"/>
      <c r="P57" s="303" t="n"/>
      <c r="Q57" s="304">
        <f>IFERROR(R57/H57, 0)</f>
        <v/>
      </c>
      <c r="R57" s="305" t="n">
        <v>0</v>
      </c>
      <c r="S57" s="306" t="n">
        <v>18056</v>
      </c>
      <c r="T57" s="306">
        <f>IFERROR(S57*R57, 0)</f>
        <v/>
      </c>
      <c r="U57" s="307" t="n"/>
      <c r="V57" s="308" t="n"/>
      <c r="W57" s="309" t="n"/>
      <c r="X57" s="300" t="n"/>
      <c r="Y57" s="308" t="n"/>
      <c r="Z57" s="298" t="n"/>
    </row>
    <row r="58" ht="16.5" customHeight="1" s="215">
      <c r="A58" s="295" t="n"/>
      <c r="B58" s="296" t="n"/>
      <c r="C58" s="297" t="n"/>
      <c r="D58" s="297" t="n"/>
      <c r="E58" s="298" t="n"/>
      <c r="F58" s="299" t="n"/>
      <c r="G58" s="298" t="n"/>
      <c r="H58" s="300" t="n">
        <v>500</v>
      </c>
      <c r="I58" s="300" t="inlineStr"/>
      <c r="J58" s="300" t="inlineStr"/>
      <c r="K58" s="301" t="inlineStr">
        <is>
          <t>3IN CV LAVENDER MF TOPPER TW</t>
        </is>
      </c>
      <c r="L58" s="302" t="inlineStr">
        <is>
          <t>ECMF-03TL-</t>
        </is>
      </c>
      <c r="M58" s="300" t="inlineStr">
        <is>
          <t>77K91MJU</t>
        </is>
      </c>
      <c r="N58" s="301" t="inlineStr"/>
      <c r="O58" s="303" t="n"/>
      <c r="P58" s="303" t="n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n"/>
      <c r="V58" s="308" t="n"/>
      <c r="W58" s="309" t="n"/>
      <c r="X58" s="300" t="n"/>
      <c r="Y58" s="308" t="n"/>
      <c r="Z58" s="298" t="n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8</v>
      </c>
      <c r="I59" s="300" t="inlineStr"/>
      <c r="J59" s="300" t="inlineStr"/>
      <c r="K59" s="301" t="inlineStr">
        <is>
          <t>3IN CV LAVENDER MF TOPPER TX</t>
        </is>
      </c>
      <c r="L59" s="302" t="inlineStr">
        <is>
          <t>ECMF-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31</v>
      </c>
      <c r="I60" s="300" t="inlineStr"/>
      <c r="J60" s="300" t="inlineStr"/>
      <c r="K60" s="301" t="inlineStr">
        <is>
          <t>4IN CV LAVENDER MF TOPPER TW</t>
        </is>
      </c>
      <c r="L60" s="302" t="inlineStr">
        <is>
          <t>ECMF-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284</v>
      </c>
      <c r="I61" s="300" t="inlineStr"/>
      <c r="J61" s="300" t="inlineStr"/>
      <c r="K61" s="301" t="inlineStr">
        <is>
          <t>3IN CV LAVENDER MF TOPPER FL</t>
        </is>
      </c>
      <c r="L61" s="302" t="inlineStr">
        <is>
          <t>ECMF-03FL-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337</v>
      </c>
      <c r="I62" s="300" t="inlineStr"/>
      <c r="J62" s="300" t="inlineStr"/>
      <c r="K62" s="301" t="inlineStr">
        <is>
          <t>3IN CV LAVENDER MF TOPPER QN</t>
        </is>
      </c>
      <c r="L62" s="302" t="inlineStr">
        <is>
          <t>ECMF-03QL-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715</v>
      </c>
      <c r="I63" s="300" t="inlineStr"/>
      <c r="J63" s="300" t="inlineStr"/>
      <c r="K63" s="301" t="inlineStr">
        <is>
          <t>3IN CV LAVENDER MF TOPPER TW</t>
        </is>
      </c>
      <c r="L63" s="302" t="inlineStr">
        <is>
          <t>ECMF-03TL-</t>
        </is>
      </c>
      <c r="M63" s="300" t="inlineStr">
        <is>
          <t>7D4ITY4N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37</v>
      </c>
      <c r="I64" s="300" t="inlineStr"/>
      <c r="J64" s="300" t="inlineStr"/>
      <c r="K64" s="301" t="inlineStr">
        <is>
          <t>3IN CV LAVENDER MF TOPPER TX</t>
        </is>
      </c>
      <c r="L64" s="302" t="inlineStr">
        <is>
          <t>ECMF-</t>
        </is>
      </c>
      <c r="M64" s="300" t="inlineStr">
        <is>
          <t>7D4ITY4N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</v>
      </c>
      <c r="I65" s="300" t="inlineStr"/>
      <c r="J65" s="300" t="inlineStr"/>
      <c r="K65" s="301" t="inlineStr">
        <is>
          <t>2IN CV LAVENDER MF TOPPER QN</t>
        </is>
      </c>
      <c r="L65" s="302" t="inlineStr">
        <is>
          <t>ECMF-LV2Q-</t>
        </is>
      </c>
      <c r="M65" s="300" t="inlineStr">
        <is>
          <t>7D4ITY4N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86</v>
      </c>
      <c r="I66" s="300" t="inlineStr"/>
      <c r="J66" s="300" t="inlineStr"/>
      <c r="K66" s="301" t="inlineStr">
        <is>
          <t>4IN CV LAVENDER MF TOPPER TW</t>
        </is>
      </c>
      <c r="L66" s="302" t="inlineStr">
        <is>
          <t>ECMF-LV4T-</t>
        </is>
      </c>
      <c r="M66" s="300" t="inlineStr">
        <is>
          <t>7D4ITY4N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QN</t>
        </is>
      </c>
      <c r="L67" s="302" t="inlineStr">
        <is>
          <t>ECMF-</t>
        </is>
      </c>
      <c r="M67" s="300" t="inlineStr">
        <is>
          <t>7MO3ZAUN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1490</v>
      </c>
      <c r="I68" s="300" t="inlineStr"/>
      <c r="J68" s="300" t="inlineStr"/>
      <c r="K68" s="301" t="inlineStr">
        <is>
          <t>3IN CV LAVENDER MF TOPPER TW</t>
        </is>
      </c>
      <c r="L68" s="302" t="inlineStr">
        <is>
          <t>ECMF-</t>
        </is>
      </c>
      <c r="M68" s="300" t="inlineStr">
        <is>
          <t>7MO3ZAUN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35</v>
      </c>
      <c r="I69" s="300" t="inlineStr"/>
      <c r="J69" s="300" t="inlineStr"/>
      <c r="K69" s="301" t="inlineStr">
        <is>
          <t>3IN CV LAVENDER MF TOPPER TX</t>
        </is>
      </c>
      <c r="L69" s="302" t="inlineStr">
        <is>
          <t>ECMF-</t>
        </is>
      </c>
      <c r="M69" s="300" t="inlineStr">
        <is>
          <t>7MO3ZAUN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119</v>
      </c>
      <c r="I70" s="300" t="inlineStr"/>
      <c r="J70" s="300" t="inlineStr"/>
      <c r="K70" s="301" t="inlineStr">
        <is>
          <t>4IN CV LAVENDER MF TOPPER TW</t>
        </is>
      </c>
      <c r="L70" s="302" t="inlineStr">
        <is>
          <t>ECMF-</t>
        </is>
      </c>
      <c r="M70" s="300" t="inlineStr">
        <is>
          <t>7MO3ZAUN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470</v>
      </c>
      <c r="I71" s="300" t="inlineStr"/>
      <c r="J71" s="300" t="inlineStr"/>
      <c r="K71" s="301" t="inlineStr">
        <is>
          <t>3IN CV LAVENDER MF TOPPER QN</t>
        </is>
      </c>
      <c r="L71" s="302" t="inlineStr">
        <is>
          <t>ECMF-</t>
        </is>
      </c>
      <c r="M71" s="300" t="inlineStr">
        <is>
          <t>8Y39N9EN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323</v>
      </c>
      <c r="I72" s="300" t="inlineStr"/>
      <c r="J72" s="300" t="inlineStr"/>
      <c r="K72" s="301" t="inlineStr">
        <is>
          <t>3IN CV LAVENDER MF TOPPER TX</t>
        </is>
      </c>
      <c r="L72" s="302" t="inlineStr">
        <is>
          <t>ECMF-</t>
        </is>
      </c>
      <c r="M72" s="300" t="inlineStr">
        <is>
          <t>8Y39N9EN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19</v>
      </c>
      <c r="I73" s="300" t="inlineStr"/>
      <c r="J73" s="300" t="inlineStr"/>
      <c r="K73" s="301" t="inlineStr">
        <is>
          <t>2IN CV LAVENDER MF TOPPER QN</t>
        </is>
      </c>
      <c r="L73" s="302" t="inlineStr">
        <is>
          <t>ECMF-</t>
        </is>
      </c>
      <c r="M73" s="300" t="inlineStr">
        <is>
          <t>8Y39N9EN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127</v>
      </c>
      <c r="I74" s="300" t="inlineStr"/>
      <c r="J74" s="300" t="inlineStr"/>
      <c r="K74" s="301" t="inlineStr">
        <is>
          <t>4IN CV LAVENDER MF TOPPER TW</t>
        </is>
      </c>
      <c r="L74" s="302" t="inlineStr">
        <is>
          <t>ECMF-</t>
        </is>
      </c>
      <c r="M74" s="300" t="inlineStr">
        <is>
          <t>8Y39N9EN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7.1" customHeight="1" s="215">
      <c r="A75" s="310" t="n"/>
      <c r="B75" s="311" t="n"/>
      <c r="C75" s="312" t="n"/>
      <c r="D75" s="312" t="n"/>
      <c r="E75" s="313" t="n"/>
      <c r="F75" s="313" t="n"/>
      <c r="G75" s="313" t="n"/>
      <c r="H75" s="314">
        <f>SUM(H47:H74)</f>
        <v/>
      </c>
      <c r="I75" s="315">
        <f>COUNTA(I47:I74)</f>
        <v/>
      </c>
      <c r="J75" s="314" t="n"/>
      <c r="K75" s="314" t="n"/>
      <c r="L75" s="316" t="n"/>
      <c r="M75" s="314" t="n"/>
      <c r="N75" s="314" t="n"/>
      <c r="O75" s="317">
        <f>SUM(O47:O74)</f>
        <v/>
      </c>
      <c r="P75" s="317">
        <f>SUM(P47:P74)</f>
        <v/>
      </c>
      <c r="Q75" s="318" t="n"/>
      <c r="R75" s="319">
        <f>SUM(R47:R74)</f>
        <v/>
      </c>
      <c r="S75" s="320" t="n"/>
      <c r="T75" s="320">
        <f>SUM(T47:T74)</f>
        <v/>
      </c>
      <c r="U75" s="314" t="n"/>
      <c r="V75" s="321" t="n"/>
      <c r="W75" s="322" t="n"/>
      <c r="X75" s="321" t="n"/>
      <c r="Y75" s="321" t="n"/>
      <c r="Z75" s="321" t="n"/>
    </row>
    <row r="76" ht="20.1" customHeight="1" s="215">
      <c r="A76" s="128">
        <f>COUNT(A12:A75)</f>
        <v/>
      </c>
      <c r="B76" s="129" t="n"/>
      <c r="C76" s="323" t="n"/>
      <c r="D76" s="324" t="n"/>
      <c r="E76" s="324" t="n"/>
      <c r="F76" s="324" t="n"/>
      <c r="G76" s="324" t="n"/>
      <c r="H76" s="132">
        <f>H14+H16+H18+H46+H75</f>
        <v/>
      </c>
      <c r="I76" s="132">
        <f>I14+I16+I18+I46+I75</f>
        <v/>
      </c>
      <c r="J76" s="133" t="n"/>
      <c r="K76" s="325" t="n"/>
      <c r="L76" s="326" t="n"/>
      <c r="M76" s="327" t="n"/>
      <c r="N76" s="328" t="n"/>
      <c r="O76" s="138">
        <f>O14+O16+O18+O46+O75</f>
        <v/>
      </c>
      <c r="P76" s="138">
        <f>P14+P16+P18+P46+P75</f>
        <v/>
      </c>
      <c r="Q76" s="329" t="n"/>
      <c r="R76" s="330">
        <f>R14+R16+R18+R46+R75</f>
        <v/>
      </c>
      <c r="S76" s="331" t="n"/>
      <c r="T76" s="332">
        <f>T14+T16+T18+T46+T75</f>
        <v/>
      </c>
      <c r="U76" s="143" t="n"/>
      <c r="V76" s="143" t="n"/>
      <c r="W76" s="143" t="n"/>
      <c r="X76" s="143" t="n"/>
      <c r="Y76" s="144" t="n"/>
      <c r="Z76" s="144" t="n"/>
    </row>
    <row r="77">
      <c r="A77" s="145" t="n"/>
      <c r="B77" s="146" t="n"/>
      <c r="C77" s="147" t="n"/>
      <c r="E77" s="148" t="n"/>
      <c r="F77" s="149" t="n"/>
      <c r="G77" s="149" t="n"/>
      <c r="H77" s="333" t="n"/>
      <c r="I77" s="333" t="n"/>
      <c r="J77" s="334" t="n"/>
      <c r="K77" s="222" t="n"/>
      <c r="L77" s="222" t="n"/>
      <c r="M77" s="222" t="n"/>
      <c r="N77" s="335" t="n"/>
      <c r="Q77" s="336" t="n"/>
      <c r="U77" s="154" t="n"/>
      <c r="V77" s="154" t="n"/>
      <c r="W77" s="154" t="n"/>
      <c r="X77" s="154" t="n"/>
      <c r="Y77" s="154" t="n"/>
      <c r="Z77" s="154" t="n"/>
    </row>
    <row r="78">
      <c r="A78" s="145" t="n"/>
      <c r="B78" s="155" t="inlineStr">
        <is>
          <t>Total Qty Export :</t>
        </is>
      </c>
      <c r="C78" s="156">
        <f>H76</f>
        <v/>
      </c>
      <c r="E78" s="148" t="n"/>
      <c r="F78" s="149" t="n"/>
      <c r="G78" s="149" t="n"/>
      <c r="H78" s="334" t="n"/>
      <c r="I78" s="334" t="n"/>
      <c r="J78" s="334" t="n"/>
      <c r="K78" s="222" t="n"/>
      <c r="L78" s="222" t="n"/>
      <c r="M78" s="222" t="n"/>
      <c r="N78" s="335" t="n"/>
      <c r="Q78" s="336" t="n"/>
      <c r="U78" s="154" t="n"/>
      <c r="V78" s="154" t="n"/>
      <c r="W78" s="154" t="n"/>
      <c r="X78" s="154" t="n"/>
      <c r="Y78" s="154" t="n"/>
      <c r="Z78" s="154" t="n"/>
    </row>
    <row r="79">
      <c r="A79" s="145" t="n"/>
      <c r="B79" s="157" t="inlineStr">
        <is>
          <t>Total Qty Export Sample :</t>
        </is>
      </c>
      <c r="C79" s="158" t="n"/>
      <c r="E79" s="148" t="n"/>
      <c r="F79" s="149" t="n"/>
      <c r="G79" s="149" t="n"/>
      <c r="H79" s="337" t="n"/>
      <c r="I79" s="337" t="n"/>
      <c r="J79" s="334" t="n"/>
      <c r="T79" s="338" t="n"/>
      <c r="V79" s="154" t="n"/>
      <c r="W79" s="154" t="n"/>
      <c r="X79" s="154" t="n"/>
      <c r="Y79" s="154" t="n"/>
      <c r="Z79" s="154" t="n"/>
    </row>
    <row r="80">
      <c r="A80" s="145" t="n"/>
      <c r="B80" s="161" t="n"/>
      <c r="C80" s="147" t="n"/>
      <c r="D80" s="147" t="n"/>
      <c r="E80" s="148" t="n"/>
      <c r="F80" s="149" t="n"/>
      <c r="G80" s="149" t="n"/>
      <c r="H80" s="334" t="n"/>
      <c r="I80" s="334" t="n"/>
      <c r="J80" s="334" t="n"/>
      <c r="K80" s="222" t="n"/>
      <c r="L80" s="222" t="n"/>
      <c r="M80" s="222" t="n"/>
      <c r="R80" s="339" t="n"/>
      <c r="S80" s="338" t="n"/>
      <c r="U80" s="163" t="n"/>
    </row>
    <row r="81">
      <c r="A81" s="164" t="n"/>
      <c r="B81" s="165" t="n"/>
      <c r="C81" s="166" t="n"/>
      <c r="D81" s="167" t="n"/>
      <c r="E81" s="168" t="n"/>
      <c r="F81" s="169" t="n"/>
      <c r="G81" s="169" t="n"/>
      <c r="H81" s="170" t="n"/>
      <c r="I81" s="170" t="n"/>
      <c r="K81" s="222" t="n"/>
      <c r="L81" s="222" t="n"/>
      <c r="M81" s="222" t="n"/>
      <c r="N81" s="335" t="n"/>
      <c r="P81" s="340" t="n"/>
      <c r="Q81" s="341" t="n"/>
      <c r="R81" s="339" t="n"/>
      <c r="S81" s="338" t="n"/>
      <c r="T81" s="338" t="n"/>
      <c r="U81" s="173" t="inlineStr">
        <is>
          <t>Tangerang, 26 July 2026</t>
        </is>
      </c>
    </row>
    <row r="82">
      <c r="A82" s="174" t="inlineStr">
        <is>
          <t>Total Document</t>
        </is>
      </c>
      <c r="B82" s="175" t="n"/>
      <c r="C82" s="342">
        <f>A76</f>
        <v/>
      </c>
      <c r="D82" s="343" t="n"/>
      <c r="G82" s="169" t="n"/>
      <c r="H82" s="178" t="n"/>
      <c r="I82" s="178" t="n"/>
      <c r="K82" s="222" t="n"/>
      <c r="L82" s="222" t="n"/>
      <c r="M82" s="222" t="n"/>
      <c r="N82" s="335" t="n"/>
      <c r="P82" s="340" t="n"/>
      <c r="Q82" s="341" t="n"/>
      <c r="R82" s="339" t="n"/>
      <c r="S82" s="338" t="n"/>
      <c r="T82" s="338" t="n"/>
      <c r="U82" s="173">
        <f>+[1]REKAP!X34</f>
        <v/>
      </c>
    </row>
    <row r="83">
      <c r="A83" s="174" t="inlineStr">
        <is>
          <t>Gross Weight</t>
        </is>
      </c>
      <c r="B83" s="179" t="n"/>
      <c r="C83" s="344">
        <f>O76</f>
        <v/>
      </c>
      <c r="D83" s="343" t="n"/>
      <c r="H83" s="182" t="n"/>
      <c r="I83" s="183" t="n"/>
      <c r="K83" s="222" t="n"/>
      <c r="L83" s="222" t="n"/>
      <c r="M83" s="222" t="n"/>
      <c r="N83" s="335" t="n"/>
      <c r="P83" s="345" t="n"/>
      <c r="Q83" s="346" t="n"/>
      <c r="R83" s="347" t="n"/>
      <c r="S83" s="348" t="n"/>
      <c r="T83" s="348" t="n"/>
      <c r="U83" s="4" t="n"/>
    </row>
    <row r="84">
      <c r="A84" s="174" t="inlineStr">
        <is>
          <t>Nett Weight</t>
        </is>
      </c>
      <c r="B84" s="179" t="n"/>
      <c r="C84" s="344">
        <f>P76</f>
        <v/>
      </c>
      <c r="D84" s="343" t="n"/>
      <c r="K84" s="222" t="n"/>
      <c r="L84" s="222" t="n"/>
      <c r="M84" s="222" t="n"/>
      <c r="N84" s="335" t="n"/>
      <c r="P84" s="345" t="n"/>
      <c r="Q84" s="346" t="n"/>
      <c r="R84" s="347" t="n"/>
      <c r="S84" s="348" t="n"/>
      <c r="T84" s="348" t="n"/>
      <c r="U84" s="4" t="n"/>
    </row>
    <row r="85">
      <c r="A85" s="174" t="inlineStr">
        <is>
          <t>Amount</t>
        </is>
      </c>
      <c r="B85" s="179" t="n"/>
      <c r="C85" s="349">
        <f>R76</f>
        <v/>
      </c>
      <c r="D85" s="343" t="n"/>
      <c r="K85" s="222" t="n"/>
      <c r="L85" s="222" t="n"/>
      <c r="M85" s="222" t="n"/>
      <c r="N85" s="335" t="n"/>
      <c r="P85" s="345" t="n"/>
      <c r="Q85" s="346" t="n"/>
      <c r="R85" s="347" t="n"/>
      <c r="S85" s="348" t="n"/>
      <c r="T85" s="348" t="n"/>
      <c r="U85" s="190" t="n"/>
    </row>
    <row r="86">
      <c r="A86" s="174" t="inlineStr">
        <is>
          <t>Jumlah Container</t>
        </is>
      </c>
      <c r="B86" s="179" t="n"/>
      <c r="C86" s="350">
        <f>I76</f>
        <v/>
      </c>
      <c r="D86" s="343" t="n"/>
      <c r="K86" s="222" t="n"/>
      <c r="L86" s="222" t="n"/>
      <c r="M86" s="222" t="n"/>
      <c r="N86" s="335" t="n"/>
      <c r="P86" s="345" t="n"/>
      <c r="Q86" s="346" t="n"/>
      <c r="R86" s="347" t="n"/>
      <c r="S86" s="348" t="n"/>
      <c r="T86" s="348" t="n"/>
      <c r="U86" s="173" t="n"/>
    </row>
    <row r="87">
      <c r="A87" s="174" t="n"/>
      <c r="B87" s="179" t="n"/>
      <c r="C87" s="351">
        <f>I28</f>
        <v/>
      </c>
      <c r="D87" s="343" t="n"/>
      <c r="K87" s="222" t="n"/>
      <c r="L87" s="222" t="n"/>
      <c r="M87" s="222" t="n"/>
      <c r="N87" s="335" t="n"/>
      <c r="P87" s="345" t="n"/>
      <c r="Q87" s="346" t="n"/>
      <c r="R87" s="347" t="n"/>
      <c r="S87" s="348" t="n"/>
      <c r="T87" s="348" t="n"/>
      <c r="U87" s="173" t="n"/>
    </row>
    <row r="88">
      <c r="A88" s="195" t="n"/>
      <c r="B88" s="179" t="n"/>
      <c r="C88" s="352">
        <f>C36*2+C37</f>
        <v/>
      </c>
      <c r="D88" s="343" t="n"/>
      <c r="K88" s="222" t="n"/>
      <c r="L88" s="222" t="n"/>
      <c r="M88" s="222" t="n"/>
      <c r="N88" s="335" t="n"/>
    </row>
    <row r="89">
      <c r="A89" s="198" t="n"/>
      <c r="B89" s="199" t="n"/>
      <c r="C89" s="200" t="n"/>
      <c r="D89" s="201" t="n"/>
    </row>
    <row r="90">
      <c r="B90" s="6" t="n"/>
      <c r="C90" s="3" t="n"/>
      <c r="D90" s="3" t="n"/>
      <c r="E90" s="4" t="n"/>
      <c r="F90" s="5" t="n"/>
      <c r="G90" s="5" t="n"/>
      <c r="H90" s="6" t="n"/>
      <c r="I90" s="6" t="n"/>
      <c r="J90" s="6" t="n"/>
      <c r="K90" s="216" t="n"/>
      <c r="L90" s="216" t="n"/>
      <c r="M90" s="216" t="n"/>
      <c r="N90" s="217" t="n"/>
      <c r="O90" s="218" t="n"/>
      <c r="P90" s="218" t="n"/>
      <c r="Q90" s="219" t="n"/>
      <c r="R90" s="220" t="n"/>
      <c r="S90" s="221" t="n"/>
      <c r="T90" s="221" t="n"/>
      <c r="U90" s="222" t="n"/>
      <c r="V90" s="222" t="n"/>
      <c r="W90" s="222" t="n"/>
      <c r="X90" s="222" t="n"/>
      <c r="Y90" s="222" t="n"/>
      <c r="Z90" s="222" t="n"/>
      <c r="AA90" s="223" t="n"/>
      <c r="AB90" s="223" t="n"/>
      <c r="AC90" s="223" t="n"/>
      <c r="AD90" s="223" t="n"/>
      <c r="AE90" s="223" t="n"/>
      <c r="AF90" s="223" t="n"/>
      <c r="AG90" s="223" t="n"/>
      <c r="AH90" s="223" t="n"/>
      <c r="AI90" s="223" t="n"/>
      <c r="AJ90" s="223" t="n"/>
      <c r="AK90" s="223" t="n"/>
      <c r="AL90" s="223" t="n"/>
      <c r="AM90" s="223" t="n"/>
      <c r="AN90" s="223" t="n"/>
      <c r="AO90" s="223" t="n"/>
      <c r="AP90" s="223" t="n"/>
      <c r="AQ90" s="223" t="n"/>
      <c r="AR90" s="223" t="n"/>
      <c r="AS90" s="223" t="n"/>
      <c r="AT90" s="223" t="n"/>
      <c r="AU90" s="223" t="n"/>
      <c r="AV90" s="223" t="n"/>
      <c r="AW90" s="223" t="n"/>
      <c r="AX90" s="223" t="n"/>
      <c r="AY90" s="223" t="n"/>
      <c r="AZ90" s="223" t="n"/>
      <c r="BA90" s="223" t="n"/>
      <c r="BB90" s="223" t="n"/>
      <c r="BC90" s="223" t="n"/>
      <c r="BD90" s="223" t="n"/>
      <c r="BE90" s="223" t="n"/>
      <c r="BF90" s="223" t="n"/>
      <c r="BG90" s="223" t="n"/>
      <c r="BH90" s="223" t="n"/>
      <c r="BI90" s="223" t="n"/>
      <c r="BJ90" s="223" t="n"/>
      <c r="BK90" s="223" t="n"/>
      <c r="BL90" s="223" t="n"/>
      <c r="BM90" s="223" t="n"/>
      <c r="BN90" s="223" t="n"/>
      <c r="BO90" s="223" t="n"/>
      <c r="BP90" s="223" t="n"/>
      <c r="BQ90" s="223" t="n"/>
      <c r="BR90" s="223" t="n"/>
      <c r="BS90" s="223" t="n"/>
      <c r="BT90" s="223" t="n"/>
      <c r="BU90" s="223" t="n"/>
      <c r="BV90" s="223" t="n"/>
      <c r="BW90" s="223" t="n"/>
      <c r="BX90" s="223" t="n"/>
      <c r="BY90" s="223" t="n"/>
      <c r="BZ90" s="223" t="n"/>
      <c r="CA90" s="223" t="n"/>
      <c r="CB90" s="223" t="n"/>
      <c r="CC90" s="223" t="n"/>
      <c r="CD90" s="223" t="n"/>
      <c r="CE90" s="223" t="n"/>
      <c r="CF90" s="223" t="n"/>
      <c r="CG90" s="223" t="n"/>
      <c r="CH90" s="223" t="n"/>
      <c r="CI90" s="223" t="n"/>
      <c r="CJ90" s="223" t="n"/>
      <c r="CK90" s="223" t="n"/>
      <c r="CL90" s="223" t="n"/>
      <c r="CM90" s="223" t="n"/>
      <c r="CN90" s="223" t="n"/>
      <c r="CO90" s="223" t="n"/>
      <c r="CP90" s="223" t="n"/>
      <c r="CQ90" s="223" t="n"/>
      <c r="CR90" s="223" t="n"/>
      <c r="CS90" s="223" t="n"/>
      <c r="CT90" s="223" t="n"/>
      <c r="CU90" s="223" t="n"/>
      <c r="CV90" s="223" t="n"/>
      <c r="CW90" s="223" t="n"/>
      <c r="CX90" s="223" t="n"/>
      <c r="CY90" s="223" t="n"/>
      <c r="CZ90" s="223" t="n"/>
      <c r="DA90" s="223" t="n"/>
      <c r="DB90" s="223" t="n"/>
      <c r="DC90" s="223" t="n"/>
      <c r="DD90" s="223" t="n"/>
      <c r="DE90" s="223" t="n"/>
      <c r="DF90" s="223" t="n"/>
      <c r="DG90" s="223" t="n"/>
      <c r="DH90" s="223" t="n"/>
      <c r="DI90" s="223" t="n"/>
      <c r="DJ90" s="223" t="n"/>
      <c r="DK90" s="223" t="n"/>
      <c r="DL90" s="223" t="n"/>
      <c r="DM90" s="223" t="n"/>
      <c r="DN90" s="223" t="n"/>
      <c r="DO90" s="223" t="n"/>
      <c r="DP90" s="223" t="n"/>
      <c r="DQ90" s="223" t="n"/>
      <c r="DR90" s="223" t="n"/>
      <c r="DS90" s="223" t="n"/>
      <c r="DT90" s="223" t="n"/>
      <c r="DU90" s="223" t="n"/>
      <c r="DV90" s="223" t="n"/>
      <c r="DW90" s="223" t="n"/>
      <c r="DX90" s="223" t="n"/>
      <c r="DY90" s="223" t="n"/>
      <c r="DZ90" s="223" t="n"/>
      <c r="EA90" s="223" t="n"/>
      <c r="EB90" s="223" t="n"/>
      <c r="EC90" s="223" t="n"/>
      <c r="ED90" s="223" t="n"/>
      <c r="EE90" s="223" t="n"/>
      <c r="EF90" s="223" t="n"/>
      <c r="EG90" s="223" t="n"/>
      <c r="EH90" s="223" t="n"/>
      <c r="EI90" s="223" t="n"/>
      <c r="EJ90" s="223" t="n"/>
      <c r="EK90" s="223" t="n"/>
      <c r="EL90" s="223" t="n"/>
      <c r="EM90" s="223" t="n"/>
      <c r="EN90" s="223" t="n"/>
      <c r="EO90" s="223" t="n"/>
      <c r="EP90" s="223" t="n"/>
      <c r="EQ90" s="223" t="n"/>
      <c r="ER90" s="223" t="n"/>
      <c r="ES90" s="223" t="n"/>
      <c r="ET90" s="223" t="n"/>
      <c r="EU90" s="223" t="n"/>
      <c r="EV90" s="223" t="n"/>
      <c r="EW90" s="223" t="n"/>
      <c r="EX90" s="223" t="n"/>
      <c r="EY90" s="223" t="n"/>
      <c r="EZ90" s="223" t="n"/>
      <c r="FA90" s="223" t="n"/>
      <c r="FB90" s="223" t="n"/>
      <c r="FC90" s="223" t="n"/>
      <c r="FD90" s="223" t="n"/>
      <c r="FE90" s="223" t="n"/>
      <c r="FF90" s="223" t="n"/>
      <c r="FG90" s="223" t="n"/>
      <c r="FH90" s="223" t="n"/>
      <c r="FI90" s="223" t="n"/>
      <c r="FJ90" s="223" t="n"/>
      <c r="FK90" s="223" t="n"/>
      <c r="FL90" s="223" t="n"/>
      <c r="FM90" s="223" t="n"/>
      <c r="FN90" s="223" t="n"/>
      <c r="FO90" s="223" t="n"/>
      <c r="FP90" s="223" t="n"/>
      <c r="FQ90" s="223" t="n"/>
      <c r="FR90" s="223" t="n"/>
      <c r="FS90" s="223" t="n"/>
      <c r="FT90" s="223" t="n"/>
      <c r="FU90" s="223" t="n"/>
      <c r="FV90" s="223" t="n"/>
      <c r="FW90" s="223" t="n"/>
      <c r="FX90" s="223" t="n"/>
      <c r="FY90" s="223" t="n"/>
      <c r="FZ90" s="223" t="n"/>
      <c r="GA90" s="223" t="n"/>
      <c r="GB90" s="223" t="n"/>
      <c r="GC90" s="223" t="n"/>
      <c r="GD90" s="223" t="n"/>
      <c r="GE90" s="223" t="n"/>
      <c r="GF90" s="223" t="n"/>
      <c r="GG90" s="223" t="n"/>
      <c r="GH90" s="223" t="n"/>
      <c r="GI90" s="223" t="n"/>
      <c r="GJ90" s="223" t="n"/>
      <c r="GK90" s="223" t="n"/>
      <c r="GL90" s="223" t="n"/>
      <c r="GM90" s="223" t="n"/>
      <c r="GN90" s="223" t="n"/>
      <c r="GO90" s="223" t="n"/>
      <c r="GP90" s="223" t="n"/>
      <c r="GQ90" s="223" t="n"/>
      <c r="GR90" s="223" t="n"/>
      <c r="GS90" s="223" t="n"/>
      <c r="GT90" s="223" t="n"/>
      <c r="GU90" s="223" t="n"/>
      <c r="GV90" s="223" t="n"/>
      <c r="GW90" s="223" t="n"/>
      <c r="GX90" s="223" t="n"/>
      <c r="GY90" s="223" t="n"/>
      <c r="GZ90" s="223" t="n"/>
      <c r="HA90" s="223" t="n"/>
      <c r="HB90" s="223" t="n"/>
      <c r="HC90" s="223" t="n"/>
      <c r="HD90" s="223" t="n"/>
      <c r="HE90" s="223" t="n"/>
      <c r="HF90" s="223" t="n"/>
      <c r="HG90" s="223" t="n"/>
      <c r="HH90" s="223" t="n"/>
      <c r="HI90" s="223" t="n"/>
      <c r="HJ90" s="223" t="n"/>
      <c r="HK90" s="223" t="n"/>
      <c r="HL90" s="223" t="n"/>
      <c r="HM90" s="223" t="n"/>
      <c r="HN90" s="223" t="n"/>
      <c r="HO90" s="223" t="n"/>
      <c r="HP90" s="223" t="n"/>
      <c r="HQ90" s="223" t="n"/>
      <c r="HR90" s="223" t="n"/>
      <c r="HS90" s="223" t="n"/>
      <c r="HT90" s="223" t="n"/>
      <c r="HU90" s="223" t="n"/>
      <c r="HV90" s="223" t="n"/>
      <c r="HW90" s="223" t="n"/>
      <c r="HX90" s="223" t="n"/>
      <c r="HY90" s="223" t="n"/>
      <c r="HZ90" s="223" t="n"/>
      <c r="IA90" s="223" t="n"/>
      <c r="IB90" s="223" t="n"/>
      <c r="IC90" s="223" t="n"/>
      <c r="ID90" s="223" t="n"/>
      <c r="IE90" s="223" t="n"/>
      <c r="IF90" s="223" t="n"/>
      <c r="IG90" s="223" t="n"/>
      <c r="IH90" s="223" t="n"/>
      <c r="II90" s="223" t="n"/>
      <c r="IJ90" s="223" t="n"/>
      <c r="IK90" s="223" t="n"/>
      <c r="IL90" s="223" t="n"/>
      <c r="IM90" s="223" t="n"/>
      <c r="IN90" s="223" t="n"/>
      <c r="IO90" s="223" t="n"/>
      <c r="IP90" s="223" t="n"/>
      <c r="IQ90" s="223" t="n"/>
      <c r="IR90" s="223" t="n"/>
      <c r="IS90" s="223" t="n"/>
      <c r="IT90" s="223" t="n"/>
      <c r="IU90" s="223" t="n"/>
      <c r="IV90" s="223" t="n"/>
      <c r="IW90" s="223" t="n"/>
      <c r="IX90" s="223" t="n"/>
      <c r="IY90" s="223" t="n"/>
      <c r="IZ90" s="223" t="n"/>
      <c r="JA90" s="223" t="n"/>
      <c r="JB90" s="223" t="n"/>
      <c r="JC90" s="223" t="n"/>
      <c r="JD90" s="223" t="n"/>
      <c r="JE90" s="223" t="n"/>
      <c r="JF90" s="223" t="n"/>
      <c r="JG90" s="223" t="n"/>
      <c r="JH90" s="223" t="n"/>
      <c r="JI90" s="223" t="n"/>
      <c r="JJ90" s="223" t="n"/>
      <c r="JK90" s="223" t="n"/>
      <c r="JL90" s="223" t="n"/>
      <c r="JM90" s="223" t="n"/>
      <c r="JN90" s="223" t="n"/>
      <c r="JO90" s="223" t="n"/>
      <c r="JP90" s="223" t="n"/>
      <c r="JQ90" s="223" t="n"/>
      <c r="JR90" s="223" t="n"/>
      <c r="JS90" s="223" t="n"/>
      <c r="JT90" s="223" t="n"/>
      <c r="JU90" s="223" t="n"/>
      <c r="JV90" s="223" t="n"/>
      <c r="JW90" s="223" t="n"/>
      <c r="JX90" s="223" t="n"/>
      <c r="JY90" s="223" t="n"/>
      <c r="JZ90" s="223" t="n"/>
      <c r="KA90" s="223" t="n"/>
      <c r="KB90" s="223" t="n"/>
      <c r="KC90" s="223" t="n"/>
      <c r="KD90" s="223" t="n"/>
    </row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>
      <c r="A383" s="202" t="n"/>
      <c r="B383" s="203" t="n"/>
      <c r="C383" s="204" t="n"/>
      <c r="D383" s="204" t="n"/>
      <c r="E383" s="205" t="n"/>
      <c r="F383" s="206" t="n"/>
      <c r="G383" s="206" t="n"/>
      <c r="H383" s="6" t="n"/>
      <c r="I383" s="203" t="n"/>
      <c r="J383" s="203" t="n"/>
      <c r="K383" s="354" t="n"/>
      <c r="L383" s="354" t="n"/>
      <c r="M383" s="354" t="n"/>
      <c r="N383" s="355" t="n"/>
      <c r="O383" s="356" t="n"/>
      <c r="P383" s="356" t="n"/>
      <c r="Q383" s="357" t="n"/>
      <c r="R383" s="358" t="n"/>
      <c r="S383" s="359" t="n"/>
      <c r="T383" s="359" t="n"/>
      <c r="U383" s="360" t="n"/>
      <c r="V383" s="360" t="n"/>
      <c r="W383" s="360" t="n"/>
      <c r="X383" s="360" t="n"/>
      <c r="Y383" s="360" t="n"/>
      <c r="Z383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2026-07-25T18:32:53Z</dcterms:modified>
  <cp:lastModifiedBy>Chiswa Dian Hermansyah(ZINUS ZDI)</cp:lastModifiedBy>
</cp:coreProperties>
</file>