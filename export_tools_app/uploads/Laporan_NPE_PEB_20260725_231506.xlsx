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_-;\-* #,##0_-;_-* &quot;-&quot;_-;_-@_-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"/>
    <numFmt numFmtId="172" formatCode="dd\-mm\-yyyy;@"/>
    <numFmt numFmtId="173" formatCode="_([$$-409]* #,##0.00_);_([$$-409]* \(#,##0.00\);_([$$-409]* &quot;-&quot;??_);_(@_)"/>
    <numFmt numFmtId="174" formatCode="&quot;:&quot;\ General&quot;X20FT&quot;"/>
    <numFmt numFmtId="175" formatCode="&quot;:&quot;\ #,##0.00\ &quot;KGS&quot;"/>
    <numFmt numFmtId="176" formatCode="&quot;:&quot;\ General\ &quot;Document&quot;"/>
    <numFmt numFmtId="177" formatCode="&quot;:&quot;\ General&quot;X40FT&quot;"/>
    <numFmt numFmtId="178" formatCode="&quot;=&quot;\ #,##0\ &quot;TEUS&quot;"/>
    <numFmt numFmtId="179" formatCode="&quot;: $&quot;\ #,##0.00"/>
  </numFmts>
  <fonts count="22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 applyAlignment="1">
      <alignment vertical="center"/>
    </xf>
    <xf numFmtId="41" fontId="5" fillId="0" borderId="0"/>
    <xf numFmtId="168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4" fillId="0" borderId="0"/>
  </cellStyleXfs>
  <cellXfs count="22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left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" fontId="3" fillId="0" borderId="0" applyAlignment="1" pivotButton="0" quotePrefix="0" xfId="3">
      <alignment horizontal="center" vertical="center"/>
    </xf>
    <xf numFmtId="1" fontId="3" fillId="0" borderId="1" applyAlignment="1" pivotButton="0" quotePrefix="0" xfId="3">
      <alignment horizontal="center" vertical="center"/>
    </xf>
    <xf numFmtId="49" fontId="3" fillId="0" borderId="1" applyAlignment="1" pivotButton="0" quotePrefix="0" xfId="3">
      <alignment horizontal="center" vertical="center"/>
    </xf>
    <xf numFmtId="164" fontId="3" fillId="0" borderId="1" applyAlignment="1" pivotButton="0" quotePrefix="0" xfId="3">
      <alignment horizontal="center" vertical="center"/>
    </xf>
    <xf numFmtId="0" fontId="3" fillId="0" borderId="1" applyAlignment="1" pivotButton="0" quotePrefix="0" xfId="3">
      <alignment horizontal="center" vertical="center" shrinkToFit="1"/>
    </xf>
    <xf numFmtId="0" fontId="3" fillId="0" borderId="1" applyAlignment="1" pivotButton="0" quotePrefix="0" xfId="3">
      <alignment horizontal="left" vertical="center" shrinkToFit="1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6" fontId="7" fillId="0" borderId="2" applyAlignment="1" pivotButton="0" quotePrefix="0" xfId="1">
      <alignment horizontal="center" vertical="center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4" fontId="7" fillId="0" borderId="7" applyAlignment="1" pivotButton="0" quotePrefix="0" xfId="3">
      <alignment horizontal="center" vertical="center" wrapText="1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  <xf numFmtId="1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 wrapText="1"/>
    </xf>
    <xf numFmtId="171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39" fontId="4" fillId="0" borderId="11" applyAlignment="1" pivotButton="0" quotePrefix="0" xfId="0">
      <alignment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2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/>
    </xf>
    <xf numFmtId="14" fontId="9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/>
    </xf>
    <xf numFmtId="14" fontId="12" fillId="2" borderId="14" applyAlignment="1" pivotButton="0" quotePrefix="0" xfId="0">
      <alignment horizontal="center" vertical="center" wrapText="1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/>
    </xf>
    <xf numFmtId="1" fontId="13" fillId="0" borderId="7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3" fontId="15" fillId="0" borderId="1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4" fontId="15" fillId="0" borderId="1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4" fontId="13" fillId="0" borderId="7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" fontId="19" fillId="0" borderId="21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left" vertical="center"/>
    </xf>
    <xf numFmtId="1" fontId="2" fillId="0" borderId="21" applyAlignment="1" pivotButton="0" quotePrefix="0" xfId="0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3">
      <alignment horizontal="center" vertical="center" wrapText="1"/>
    </xf>
    <xf numFmtId="0" fontId="0" fillId="0" borderId="8" pivotButton="0" quotePrefix="0" xfId="0"/>
    <xf numFmtId="174" fontId="19" fillId="0" borderId="22" applyAlignment="1" pivotButton="0" quotePrefix="0" xfId="0">
      <alignment horizontal="left" vertical="center"/>
    </xf>
    <xf numFmtId="0" fontId="0" fillId="0" borderId="22" pivotButton="0" quotePrefix="0" xfId="0"/>
    <xf numFmtId="165" fontId="7" fillId="0" borderId="7" applyAlignment="1" pivotButton="0" quotePrefix="0" xfId="3">
      <alignment horizontal="center" vertical="center" wrapText="1"/>
    </xf>
    <xf numFmtId="170" fontId="7" fillId="0" borderId="7" applyAlignment="1" pivotButton="0" quotePrefix="0" xfId="5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0" fontId="0" fillId="0" borderId="4" pivotButton="0" quotePrefix="0" xfId="0"/>
    <xf numFmtId="175" fontId="19" fillId="0" borderId="22" applyAlignment="1" pivotButton="0" quotePrefix="0" xfId="0">
      <alignment horizontal="left" vertical="center"/>
    </xf>
    <xf numFmtId="49" fontId="7" fillId="0" borderId="2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23" pivotButton="0" quotePrefix="0" xfId="0"/>
    <xf numFmtId="0" fontId="0" fillId="0" borderId="10" pivotButton="0" quotePrefix="0" xfId="0"/>
    <xf numFmtId="165" fontId="6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76" fontId="19" fillId="0" borderId="22" applyAlignment="1" pivotButton="0" quotePrefix="0" xfId="0">
      <alignment horizontal="left" vertical="center"/>
    </xf>
    <xf numFmtId="177" fontId="19" fillId="0" borderId="22" applyAlignment="1" pivotButton="0" quotePrefix="0" xfId="0">
      <alignment horizontal="left" vertical="center"/>
    </xf>
    <xf numFmtId="49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78" fontId="19" fillId="0" borderId="22" applyAlignment="1" pivotButton="0" quotePrefix="0" xfId="0">
      <alignment horizontal="left" vertical="center"/>
    </xf>
    <xf numFmtId="1" fontId="7" fillId="0" borderId="7" applyAlignment="1" pivotButton="0" quotePrefix="0" xfId="3">
      <alignment horizontal="center" vertical="center" wrapText="1"/>
    </xf>
    <xf numFmtId="164" fontId="6" fillId="0" borderId="0" applyAlignment="1" pivotButton="0" quotePrefix="0" xfId="3">
      <alignment horizontal="left" vertical="center"/>
    </xf>
    <xf numFmtId="179" fontId="19" fillId="0" borderId="22" applyAlignment="1" pivotButton="0" quotePrefix="0" xfId="0">
      <alignment horizontal="left" vertical="center"/>
    </xf>
    <xf numFmtId="49" fontId="7" fillId="0" borderId="4" applyAlignment="1" pivotButton="0" quotePrefix="0" xfId="3">
      <alignment horizontal="center" vertical="center" wrapText="1"/>
    </xf>
    <xf numFmtId="0" fontId="0" fillId="0" borderId="9" pivotButton="0" quotePrefix="0" xfId="0"/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0" fontId="0" fillId="0" borderId="0" pivotButton="0" quotePrefix="0" xfId="0"/>
    <xf numFmtId="165" fontId="6" fillId="0" borderId="0" applyAlignment="1" pivotButton="0" quotePrefix="0" xfId="3">
      <alignment horizontal="left" vertical="center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66" fontId="7" fillId="0" borderId="2" applyAlignment="1" pivotButton="0" quotePrefix="0" xfId="1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70" fontId="7" fillId="0" borderId="7" applyAlignment="1" pivotButton="0" quotePrefix="0" xfId="5">
      <alignment horizontal="center" vertical="center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71" fontId="4" fillId="0" borderId="11" applyAlignment="1" pivotButton="0" quotePrefix="0" xfId="0">
      <alignment horizontal="center"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165" fontId="9" fillId="0" borderId="0" applyAlignment="1" pivotButton="0" quotePrefix="0" xfId="3">
      <alignment vertical="center" wrapText="1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165" fontId="3" fillId="3" borderId="0" applyAlignment="1" pivotButton="0" quotePrefix="0" xfId="3">
      <alignment vertical="center"/>
    </xf>
  </cellXfs>
  <cellStyles count="10">
    <cellStyle name="Normal" xfId="0" builtinId="0"/>
    <cellStyle name="Comma [0]" xfId="1" builtinId="6"/>
    <cellStyle name="Currency" xfId="2" builtinId="4"/>
    <cellStyle name="Normal 3 2" xfId="3"/>
    <cellStyle name="Normal 4" xfId="4"/>
    <cellStyle name="Comma [0] 2 2" xfId="5"/>
    <cellStyle name="常规 3 8" xfId="6"/>
    <cellStyle name="Comma 10" xfId="7"/>
    <cellStyle name="Comma 2 2" xfId="8"/>
    <cellStyle name="常规_Jct99-0009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baseColWidth="8" defaultColWidth="9.109375" defaultRowHeight="15.6"/>
  <cols>
    <col width="6.5546875" customWidth="1" style="17" min="1" max="1"/>
    <col width="34.109375" customWidth="1" style="152" min="2" max="2"/>
    <col width="27.33203125" customWidth="1" style="153" min="3" max="4"/>
    <col width="16.109375" customWidth="1" style="154" min="5" max="5"/>
    <col width="27.6640625" customWidth="1" style="155" min="6" max="6"/>
    <col width="13.109375" customWidth="1" style="155" min="7" max="7"/>
    <col width="13.5546875" customWidth="1" style="152" min="8" max="8"/>
    <col width="19.109375" customWidth="1" style="152" min="9" max="9"/>
    <col width="5.6640625" customWidth="1" style="152" min="10" max="10"/>
    <col width="92.109375" customWidth="1" style="173" min="11" max="11"/>
    <col width="63.44140625" customWidth="1" style="173" min="12" max="12"/>
    <col width="16.5546875" customWidth="1" style="173" min="13" max="13"/>
    <col width="21.5546875" customWidth="1" style="174" min="14" max="14"/>
    <col width="16.33203125" customWidth="1" style="175" min="15" max="16"/>
    <col width="13.88671875" customWidth="1" style="176" min="17" max="17"/>
    <col width="20.33203125" customWidth="1" style="177" min="18" max="18"/>
    <col width="15.5546875" customWidth="1" style="178" min="19" max="19"/>
    <col width="28.44140625" customWidth="1" style="178" min="20" max="20"/>
    <col width="22.33203125" customWidth="1" style="179" min="21" max="21"/>
    <col width="18.6640625" customWidth="1" style="179" min="22" max="22"/>
    <col width="33.5546875" customWidth="1" style="179" min="23" max="23"/>
    <col width="64" customWidth="1" style="179" min="24" max="24"/>
    <col width="26.6640625" customWidth="1" style="179" min="25" max="25"/>
    <col width="22.5546875" customWidth="1" style="179" min="26" max="26"/>
    <col width="9.109375" customWidth="1" style="180" min="27" max="289"/>
    <col width="24.88671875" bestFit="1" customWidth="1" style="180" min="290" max="290"/>
    <col width="9.109375" customWidth="1" style="180" min="291" max="291"/>
    <col width="9.109375" customWidth="1" style="180" min="292" max="16384"/>
  </cols>
  <sheetData>
    <row r="1" hidden="1" ht="18" customHeight="1" s="181">
      <c r="A1" s="1" t="inlineStr">
        <is>
          <t>KEMENTERIAN KEUANGAN REPUBLIK INDONESIA</t>
        </is>
      </c>
      <c r="B1" s="2" t="n"/>
    </row>
    <row r="2" hidden="1" ht="18" customHeight="1" s="181">
      <c r="A2" s="1" t="inlineStr">
        <is>
          <t>DIREKTORAT JENDERAL BEA DAN CUKAI</t>
        </is>
      </c>
      <c r="B2" s="2" t="n"/>
    </row>
    <row r="3" hidden="1" ht="18" customHeight="1" s="181">
      <c r="A3" s="15" t="inlineStr">
        <is>
          <t>KANTOR WILAYAH DJBC BANTEN</t>
        </is>
      </c>
      <c r="B3" s="16" t="n"/>
    </row>
    <row r="4" hidden="1" ht="18" customHeight="1" s="181">
      <c r="A4" s="15" t="inlineStr">
        <is>
          <t>KANTOR PENGAWASAN DAN PELAYANAN BEA DAN CUKAI TIPE MADYA PABEAN A TANGERANG</t>
        </is>
      </c>
      <c r="B4" s="16" t="n"/>
    </row>
    <row r="5" ht="14.25" customHeight="1" s="181"/>
    <row r="6" ht="24.75" customHeight="1" s="181">
      <c r="A6" s="182" t="inlineStr">
        <is>
          <t>LAPORAN BULANAN  EKSPOR (BC 3.0)</t>
        </is>
      </c>
    </row>
    <row r="7" ht="24.75" customHeight="1" s="181">
      <c r="A7" s="182" t="inlineStr">
        <is>
          <t>PT. ZINUS DREAM INDONESIA</t>
        </is>
      </c>
    </row>
    <row r="8" ht="24.75" customHeight="1" s="181">
      <c r="A8" s="169" t="inlineStr">
        <is>
          <t>BULAN : JULY 2026</t>
        </is>
      </c>
    </row>
    <row r="9" ht="14.25" customHeight="1" s="181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183" t="n"/>
      <c r="L9" s="183" t="n"/>
      <c r="M9" s="183" t="n"/>
      <c r="N9" s="184" t="n"/>
      <c r="O9" s="185" t="n"/>
      <c r="P9" s="185" t="n"/>
      <c r="Q9" s="186" t="n"/>
      <c r="R9" s="187" t="n"/>
      <c r="S9" s="188" t="n"/>
      <c r="T9" s="188" t="n"/>
      <c r="U9" s="183" t="n"/>
      <c r="V9" s="183" t="n"/>
      <c r="W9" s="183" t="n"/>
      <c r="X9" s="183" t="n"/>
    </row>
    <row r="10" ht="20.1" customFormat="1" customHeight="1" s="189" thickBot="1">
      <c r="A10" s="168" t="inlineStr">
        <is>
          <t>NO</t>
        </is>
      </c>
      <c r="B10" s="165" t="inlineStr">
        <is>
          <t>NO AJU</t>
        </is>
      </c>
      <c r="C10" s="190" t="inlineStr">
        <is>
          <t>NOMOR</t>
        </is>
      </c>
      <c r="D10" s="145" t="n"/>
      <c r="E10" s="136" t="inlineStr">
        <is>
          <t>TANGGAL</t>
        </is>
      </c>
      <c r="F10" s="136" t="inlineStr">
        <is>
          <t>INVOICE</t>
        </is>
      </c>
      <c r="G10" s="138" t="inlineStr">
        <is>
          <t>TANGGAL INVOICE</t>
        </is>
      </c>
      <c r="H10" s="171" t="inlineStr">
        <is>
          <t>JUMLAH BARANG</t>
        </is>
      </c>
      <c r="I10" s="147" t="inlineStr">
        <is>
          <t>KONTAINER/SIZE</t>
        </is>
      </c>
      <c r="J10" s="148" t="n"/>
      <c r="K10" s="190" t="inlineStr">
        <is>
          <t>URAIAN JENIS BARANG</t>
        </is>
      </c>
      <c r="L10" s="136" t="inlineStr">
        <is>
          <t>SKU</t>
        </is>
      </c>
      <c r="M10" s="190" t="inlineStr">
        <is>
          <t>Nomor PO</t>
        </is>
      </c>
      <c r="N10" s="191" t="inlineStr">
        <is>
          <t>F-CODE</t>
        </is>
      </c>
      <c r="O10" s="192" t="inlineStr">
        <is>
          <t>BRUTO</t>
        </is>
      </c>
      <c r="P10" s="192" t="inlineStr">
        <is>
          <t>NETTO</t>
        </is>
      </c>
      <c r="Q10" s="193" t="inlineStr">
        <is>
          <t>UNIT PRICE</t>
        </is>
      </c>
      <c r="R10" s="194" t="inlineStr">
        <is>
          <t>FOB</t>
        </is>
      </c>
      <c r="S10" s="195" t="inlineStr">
        <is>
          <t>KURS</t>
        </is>
      </c>
      <c r="T10" s="195" t="inlineStr">
        <is>
          <t>IDR</t>
        </is>
      </c>
      <c r="U10" s="196" t="inlineStr">
        <is>
          <t>KANTOR PABEAN</t>
        </is>
      </c>
      <c r="V10" s="196" t="inlineStr">
        <is>
          <t>PELABUHAN</t>
        </is>
      </c>
      <c r="W10" s="196" t="inlineStr">
        <is>
          <t>NEGARA</t>
        </is>
      </c>
      <c r="X10" s="197" t="inlineStr">
        <is>
          <t>PENERIMA BARANG</t>
        </is>
      </c>
      <c r="Y10" s="197" t="inlineStr">
        <is>
          <t>NOMOR B/L / AWB</t>
        </is>
      </c>
      <c r="Z10" s="197" t="inlineStr">
        <is>
          <t>TANGGAL B/L</t>
        </is>
      </c>
    </row>
    <row r="11" ht="20.1" customFormat="1" customHeight="1" s="189" thickBot="1">
      <c r="A11" s="137" t="n"/>
      <c r="B11" s="137" t="n"/>
      <c r="C11" s="190" t="inlineStr">
        <is>
          <t xml:space="preserve">PEB </t>
        </is>
      </c>
      <c r="D11" s="35" t="inlineStr">
        <is>
          <t>NPE</t>
        </is>
      </c>
      <c r="E11" s="137" t="n"/>
      <c r="F11" s="137" t="n"/>
      <c r="G11" s="139" t="n"/>
      <c r="H11" s="172" t="n"/>
      <c r="I11" s="149" t="n"/>
      <c r="J11" s="150" t="n"/>
      <c r="K11" s="137" t="n"/>
      <c r="L11" s="137" t="n"/>
      <c r="M11" s="137" t="n"/>
      <c r="N11" s="137" t="n"/>
      <c r="O11" s="198" t="inlineStr">
        <is>
          <t>(KG)</t>
        </is>
      </c>
      <c r="P11" s="199" t="inlineStr">
        <is>
          <t>(KG)</t>
        </is>
      </c>
      <c r="Q11" s="137" t="n"/>
      <c r="R11" s="200" t="inlineStr">
        <is>
          <t>(USD)</t>
        </is>
      </c>
      <c r="S11" s="201" t="n"/>
      <c r="T11" s="201" t="n"/>
      <c r="U11" s="202" t="inlineStr">
        <is>
          <t>MUAT / EKSPOR</t>
        </is>
      </c>
      <c r="V11" s="202" t="inlineStr">
        <is>
          <t>MUAT</t>
        </is>
      </c>
      <c r="W11" s="202" t="inlineStr">
        <is>
          <t>TUJUAN</t>
        </is>
      </c>
      <c r="X11" s="137" t="n"/>
      <c r="Y11" s="137" t="n"/>
      <c r="Z11" s="137" t="n"/>
    </row>
    <row r="12" ht="19.95" customFormat="1" customHeight="1" s="203">
      <c r="A12" s="44" t="n">
        <v>1</v>
      </c>
      <c r="B12" s="45" t="inlineStr">
        <is>
          <t>000030ZIK4802026072100494</t>
        </is>
      </c>
      <c r="C12" s="46" t="inlineStr">
        <is>
          <t>450515</t>
        </is>
      </c>
      <c r="D12" s="46" t="inlineStr">
        <is>
          <t>450465</t>
        </is>
      </c>
      <c r="E12" s="204" t="n">
        <v>46225</v>
      </c>
      <c r="F12" s="48" t="inlineStr">
        <is>
          <t>Kantor</t>
        </is>
      </c>
      <c r="G12" s="204" t="n">
        <v>46223</v>
      </c>
      <c r="H12" s="49" t="n">
        <v>850</v>
      </c>
      <c r="I12" s="49" t="inlineStr">
        <is>
          <t>TXGU583961</t>
        </is>
      </c>
      <c r="J12" s="49" t="inlineStr">
        <is>
          <t>40FT</t>
        </is>
      </c>
      <c r="K12" s="50" t="inlineStr">
        <is>
          <t>6IN GREEN TEA MF MATTRESS FL</t>
        </is>
      </c>
      <c r="L12" s="51" t="inlineStr">
        <is>
          <t>EB-FMS-0600F-IN</t>
        </is>
      </c>
      <c r="M12" s="49" t="inlineStr">
        <is>
          <t>66X4TV01</t>
        </is>
      </c>
      <c r="N12" s="50" t="inlineStr">
        <is>
          <t>F.MFM.06F.001.BD</t>
        </is>
      </c>
      <c r="O12" s="52" t="n">
        <v>12962.5</v>
      </c>
      <c r="P12" s="52" t="n">
        <v>11730</v>
      </c>
      <c r="Q12" s="205">
        <f>IFERROR(R12/H12, 0)</f>
        <v/>
      </c>
      <c r="R12" s="206" t="n">
        <v>40018</v>
      </c>
      <c r="S12" s="207" t="n">
        <v>18056</v>
      </c>
      <c r="T12" s="207">
        <f>IFERROR(S12*R12, 0)</f>
        <v/>
      </c>
      <c r="U12" s="56" t="inlineStr">
        <is>
          <t>PEMUATAN</t>
        </is>
      </c>
      <c r="V12" s="57" t="inlineStr">
        <is>
          <t>a. Pelabuhan Muat Asal Cengkareng</t>
        </is>
      </c>
      <c r="W12" s="58" t="inlineStr">
        <is>
          <t>Ekspor</t>
        </is>
      </c>
      <c r="X12" s="49" t="inlineStr">
        <is>
          <t>AN NEGARA
56. Nilai Bea Keluar</t>
        </is>
      </c>
      <c r="Y12" s="57" t="inlineStr">
        <is>
          <t>EGLV080600441901</t>
        </is>
      </c>
      <c r="Z12" s="204" t="n">
        <v>46225</v>
      </c>
    </row>
    <row r="13" ht="19.95" customFormat="1" customHeight="1" s="203">
      <c r="A13" s="71" t="n"/>
      <c r="B13" s="72" t="n"/>
      <c r="C13" s="73" t="n"/>
      <c r="D13" s="73" t="n"/>
      <c r="E13" s="74" t="n"/>
      <c r="F13" s="74" t="n"/>
      <c r="G13" s="74" t="n"/>
      <c r="H13" s="75">
        <f>SUM(H12:H12)</f>
        <v/>
      </c>
      <c r="I13" s="76">
        <f>COUNTA(I12:I12)</f>
        <v/>
      </c>
      <c r="J13" s="75" t="n"/>
      <c r="K13" s="75" t="n"/>
      <c r="L13" s="77" t="n"/>
      <c r="M13" s="75" t="n"/>
      <c r="N13" s="75" t="n"/>
      <c r="O13" s="208">
        <f>SUM(O12:O12)</f>
        <v/>
      </c>
      <c r="P13" s="208">
        <f>SUM(P12:P12)</f>
        <v/>
      </c>
      <c r="Q13" s="209" t="n"/>
      <c r="R13" s="210">
        <f>SUM(R12:R12)</f>
        <v/>
      </c>
      <c r="S13" s="211" t="n"/>
      <c r="T13" s="211">
        <f>SUM(T12:T12)</f>
        <v/>
      </c>
      <c r="U13" s="75" t="n"/>
      <c r="V13" s="82" t="n"/>
      <c r="W13" s="83" t="n"/>
      <c r="X13" s="82" t="n"/>
      <c r="Y13" s="82" t="n"/>
      <c r="Z13" s="82" t="n"/>
    </row>
    <row r="14" ht="19.95" customFormat="1" customHeight="1" s="203">
      <c r="A14" s="44" t="n">
        <v>2</v>
      </c>
      <c r="B14" s="45" t="inlineStr">
        <is>
          <t>000030ZIK4802026072100495</t>
        </is>
      </c>
      <c r="C14" s="46" t="inlineStr">
        <is>
          <t>450530</t>
        </is>
      </c>
      <c r="D14" s="46" t="inlineStr">
        <is>
          <t>450480</t>
        </is>
      </c>
      <c r="E14" s="204" t="n">
        <v>46225</v>
      </c>
      <c r="F14" s="48" t="inlineStr">
        <is>
          <t>Kantor</t>
        </is>
      </c>
      <c r="G14" s="204" t="n">
        <v>46223</v>
      </c>
      <c r="H14" s="49" t="n">
        <v>352</v>
      </c>
      <c r="I14" s="49" t="inlineStr">
        <is>
          <t>TXGU583972</t>
        </is>
      </c>
      <c r="J14" s="49" t="inlineStr">
        <is>
          <t>40FT</t>
        </is>
      </c>
      <c r="K14" s="50" t="inlineStr">
        <is>
          <t>14IN GREEN TEA FOAM MATTRESS Q</t>
        </is>
      </c>
      <c r="L14" s="51" t="inlineStr">
        <is>
          <t>ZU-MFMA1ZZI-14Q</t>
        </is>
      </c>
      <c r="M14" s="49" t="inlineStr">
        <is>
          <t>66X4TV02</t>
        </is>
      </c>
      <c r="N14" s="50" t="inlineStr">
        <is>
          <t>F.MFM.06F.002.BD</t>
        </is>
      </c>
      <c r="O14" s="52" t="n">
        <v>24598.94</v>
      </c>
      <c r="P14" s="52" t="n">
        <v>22252.54</v>
      </c>
      <c r="Q14" s="205">
        <f>IFERROR(R14/H14, 0)</f>
        <v/>
      </c>
      <c r="R14" s="206" t="n">
        <v>36097.6</v>
      </c>
      <c r="S14" s="207" t="n">
        <v>18056</v>
      </c>
      <c r="T14" s="207">
        <f>IFERROR(S14*R14, 0)</f>
        <v/>
      </c>
      <c r="U14" s="56" t="inlineStr">
        <is>
          <t>PEMUATAN</t>
        </is>
      </c>
      <c r="V14" s="57" t="inlineStr">
        <is>
          <t>a. Pelabuhan Muat Asal Tanjung Priok</t>
        </is>
      </c>
      <c r="W14" s="58" t="inlineStr">
        <is>
          <t>Ekspor</t>
        </is>
      </c>
      <c r="X14" s="49" t="inlineStr">
        <is>
          <t>AN NEGARA
56. Nilai Bea Keluar</t>
        </is>
      </c>
      <c r="Y14" s="57" t="inlineStr">
        <is>
          <t>EGLV080600441902</t>
        </is>
      </c>
      <c r="Z14" s="204" t="n">
        <v>46225</v>
      </c>
    </row>
    <row r="15" ht="19.95" customFormat="1" customHeight="1" s="203">
      <c r="A15" s="44" t="n"/>
      <c r="B15" s="45" t="n"/>
      <c r="C15" s="46" t="n"/>
      <c r="D15" s="46" t="n"/>
      <c r="E15" s="204" t="n"/>
      <c r="F15" s="48" t="n"/>
      <c r="G15" s="204" t="n"/>
      <c r="H15" s="49" t="n">
        <v>170</v>
      </c>
      <c r="I15" s="49" t="inlineStr">
        <is>
          <t>EGHU968202</t>
        </is>
      </c>
      <c r="J15" s="49" t="inlineStr">
        <is>
          <t>40FT</t>
        </is>
      </c>
      <c r="K15" s="50" t="inlineStr">
        <is>
          <t>14IN GREEN TEA FOAM MATTRESS K</t>
        </is>
      </c>
      <c r="L15" s="51" t="inlineStr">
        <is>
          <t>ZU-MFMA1ZZI-14K</t>
        </is>
      </c>
      <c r="M15" s="49" t="inlineStr">
        <is>
          <t>8NSJB02</t>
        </is>
      </c>
      <c r="N15" s="50" t="inlineStr">
        <is>
          <t>F.MFM.14K.002.AD</t>
        </is>
      </c>
      <c r="O15" s="52" t="n"/>
      <c r="P15" s="52" t="n"/>
      <c r="Q15" s="205">
        <f>IFERROR(R15/H15, 0)</f>
        <v/>
      </c>
      <c r="R15" s="206" t="n">
        <v>21984.4</v>
      </c>
      <c r="S15" s="207" t="n">
        <v>18056</v>
      </c>
      <c r="T15" s="207">
        <f>IFERROR(S15*R15, 0)</f>
        <v/>
      </c>
      <c r="U15" s="56" t="n"/>
      <c r="V15" s="57" t="n"/>
      <c r="W15" s="58" t="inlineStr">
        <is>
          <t>ETD : 27-07-2026</t>
        </is>
      </c>
      <c r="X15" s="49" t="n"/>
      <c r="Y15" s="57" t="n"/>
      <c r="Z15" s="204" t="n"/>
    </row>
    <row r="16" ht="19.95" customFormat="1" customHeight="1" s="203">
      <c r="A16" s="71" t="n"/>
      <c r="B16" s="72" t="n"/>
      <c r="C16" s="73" t="n"/>
      <c r="D16" s="73" t="n"/>
      <c r="E16" s="74" t="n"/>
      <c r="F16" s="74" t="n"/>
      <c r="G16" s="74" t="n"/>
      <c r="H16" s="75">
        <f>SUM(H14:H15)</f>
        <v/>
      </c>
      <c r="I16" s="76">
        <f>COUNTA(I14:I15)</f>
        <v/>
      </c>
      <c r="J16" s="75" t="n"/>
      <c r="K16" s="75" t="n"/>
      <c r="L16" s="77" t="n"/>
      <c r="M16" s="75" t="n"/>
      <c r="N16" s="75" t="n"/>
      <c r="O16" s="208">
        <f>SUM(O14:O15)</f>
        <v/>
      </c>
      <c r="P16" s="208">
        <f>SUM(P14:P15)</f>
        <v/>
      </c>
      <c r="Q16" s="209" t="n"/>
      <c r="R16" s="210">
        <f>SUM(R14:R15)</f>
        <v/>
      </c>
      <c r="S16" s="211" t="n"/>
      <c r="T16" s="211">
        <f>SUM(T14:T15)</f>
        <v/>
      </c>
      <c r="U16" s="75" t="n"/>
      <c r="V16" s="82" t="n"/>
      <c r="W16" s="83" t="n"/>
      <c r="X16" s="82" t="n"/>
      <c r="Y16" s="82" t="n"/>
      <c r="Z16" s="82" t="n"/>
    </row>
    <row r="17" ht="19.95" customFormat="1" customHeight="1" s="212">
      <c r="A17" s="84">
        <f>COUNT(A12:A16)</f>
        <v/>
      </c>
      <c r="B17" s="85" t="n"/>
      <c r="C17" s="213" t="n"/>
      <c r="D17" s="214" t="n"/>
      <c r="E17" s="214" t="n"/>
      <c r="F17" s="214" t="n"/>
      <c r="G17" s="214" t="n"/>
      <c r="H17" s="88">
        <f>H13+H16</f>
        <v/>
      </c>
      <c r="I17" s="88">
        <f>I13+I16</f>
        <v/>
      </c>
      <c r="J17" s="89" t="n"/>
      <c r="K17" s="215" t="n"/>
      <c r="L17" s="216" t="n"/>
      <c r="M17" s="217" t="n"/>
      <c r="N17" s="218" t="n"/>
      <c r="O17" s="94">
        <f>O13+O16</f>
        <v/>
      </c>
      <c r="P17" s="94">
        <f>P13+P16</f>
        <v/>
      </c>
      <c r="Q17" s="219" t="n"/>
      <c r="R17" s="220">
        <f>R13+R16</f>
        <v/>
      </c>
      <c r="S17" s="221" t="n"/>
      <c r="T17" s="222">
        <f>T13+T16</f>
        <v/>
      </c>
      <c r="U17" s="99" t="n"/>
      <c r="V17" s="99" t="n"/>
      <c r="W17" s="99" t="n"/>
      <c r="X17" s="99" t="n"/>
      <c r="Y17" s="100" t="n"/>
      <c r="Z17" s="100" t="n"/>
    </row>
    <row r="18" ht="19.95" customFormat="1" customHeight="1" s="203"/>
    <row r="19" ht="19.95" customFormat="1" customHeight="1" s="203">
      <c r="B19" t="inlineStr">
        <is>
          <t>Total Qty Export :</t>
        </is>
      </c>
      <c r="C19">
        <f>H17</f>
        <v/>
      </c>
    </row>
    <row r="20" ht="19.95" customFormat="1" customHeight="1" s="203">
      <c r="B20" t="inlineStr">
        <is>
          <t>Total Qty Export Sample :</t>
        </is>
      </c>
    </row>
    <row r="21" ht="19.95" customFormat="1" customHeight="1" s="203"/>
    <row r="22" ht="19.95" customFormat="1" customHeight="1" s="203">
      <c r="U22" t="inlineStr">
        <is>
          <t>Tangerang, 25 July 2026</t>
        </is>
      </c>
    </row>
    <row r="23" ht="19.95" customFormat="1" customHeight="1" s="212">
      <c r="A23" t="inlineStr">
        <is>
          <t>Total Document</t>
        </is>
      </c>
      <c r="C23">
        <f>A17</f>
        <v/>
      </c>
    </row>
    <row r="24" ht="19.95" customFormat="1" customHeight="1" s="212">
      <c r="A24" t="inlineStr">
        <is>
          <t>Gross Weight</t>
        </is>
      </c>
      <c r="C24">
        <f>O17</f>
        <v/>
      </c>
    </row>
    <row r="25" ht="19.95" customHeight="1" s="181" thickBot="1">
      <c r="A25" t="inlineStr">
        <is>
          <t>Nett Weight</t>
        </is>
      </c>
      <c r="C25">
        <f>P17</f>
        <v/>
      </c>
    </row>
    <row r="26" ht="19.95" customFormat="1" customHeight="1" s="189" thickBot="1">
      <c r="A26" t="inlineStr">
        <is>
          <t>Amount</t>
        </is>
      </c>
      <c r="C26">
        <f>R17</f>
        <v/>
      </c>
    </row>
    <row r="27" ht="19.95" customHeight="1" s="181">
      <c r="A27" t="inlineStr">
        <is>
          <t>Jumlah Container</t>
        </is>
      </c>
      <c r="C27">
        <f>I17</f>
        <v/>
      </c>
    </row>
    <row r="28" ht="19.95" customHeight="1" s="181"/>
    <row r="29" ht="19.95" customHeight="1" s="181"/>
    <row r="30" ht="19.95" customHeight="1" s="181" thickBot="1"/>
    <row r="31" ht="19.95" customHeight="1" s="181" thickTop="1"/>
    <row r="32" ht="19.95" customHeight="1" s="181"/>
    <row r="33" ht="19.95" customHeight="1" s="181"/>
    <row r="34" ht="19.95" customHeight="1" s="181"/>
    <row r="35" ht="19.95" customHeight="1" s="181"/>
    <row r="36" ht="19.95" customHeight="1" s="181"/>
    <row r="37" ht="19.95" customHeight="1" s="181"/>
    <row r="38" ht="19.95" customHeight="1" s="181"/>
    <row r="39" ht="19.95" customHeight="1" s="181" thickBot="1"/>
    <row r="40" ht="19.95" customFormat="1" customHeight="1" s="17" thickTop="1"/>
    <row r="41" ht="19.95" customHeight="1" s="181"/>
    <row r="42" ht="19.95" customHeight="1" s="181"/>
    <row r="43" ht="19.95" customHeight="1" s="181"/>
    <row r="44" ht="19.95" customHeight="1" s="181"/>
    <row r="45" ht="19.95" customHeight="1" s="181"/>
    <row r="46" ht="19.95" customHeight="1" s="181"/>
    <row r="47" ht="19.95" customHeight="1" s="181"/>
    <row r="48" ht="19.95" customHeight="1" s="181"/>
    <row r="49" ht="19.95" customHeight="1" s="181"/>
    <row r="50" ht="19.95" customHeight="1" s="181"/>
    <row r="51" ht="19.95" customHeight="1" s="181"/>
    <row r="52" ht="19.95" customHeight="1" s="181"/>
    <row r="53" ht="19.95" customHeight="1" s="181"/>
    <row r="54" ht="19.95" customHeight="1" s="181"/>
    <row r="55" ht="19.95" customHeight="1" s="181"/>
    <row r="56" ht="19.95" customHeight="1" s="181"/>
    <row r="57" ht="19.95" customHeight="1" s="181"/>
    <row r="58" ht="19.95" customHeight="1" s="181"/>
    <row r="59" ht="19.95" customHeight="1" s="181"/>
    <row r="60" ht="19.95" customHeight="1" s="181"/>
    <row r="61" ht="19.95" customHeight="1" s="181"/>
    <row r="62" ht="19.95" customHeight="1" s="181"/>
    <row r="63" ht="19.95" customHeight="1" s="181"/>
    <row r="64" ht="19.95" customHeight="1" s="181"/>
    <row r="65" ht="19.95" customHeight="1" s="181"/>
    <row r="66" ht="19.95" customHeight="1" s="181"/>
    <row r="67" ht="19.95" customHeight="1" s="181"/>
    <row r="68" ht="19.95" customHeight="1" s="181"/>
    <row r="69" ht="19.95" customHeight="1" s="181"/>
    <row r="70" ht="19.95" customHeight="1" s="181"/>
    <row r="71" ht="19.95" customHeight="1" s="181"/>
    <row r="72" ht="19.95" customHeight="1" s="181"/>
    <row r="73" ht="19.95" customHeight="1" s="181"/>
    <row r="74" ht="19.95" customHeight="1" s="181"/>
    <row r="75" ht="19.95" customHeight="1" s="181"/>
    <row r="76" ht="19.95" customHeight="1" s="181"/>
    <row r="77" ht="19.95" customHeight="1" s="181"/>
    <row r="78" ht="19.95" customHeight="1" s="181"/>
    <row r="79" ht="19.95" customHeight="1" s="181"/>
    <row r="80" ht="19.95" customHeight="1" s="181"/>
    <row r="81" ht="19.95" customHeight="1" s="181"/>
    <row r="82" ht="19.95" customHeight="1" s="181"/>
    <row r="83" ht="19.95" customHeight="1" s="181"/>
    <row r="84" ht="19.95" customHeight="1" s="181"/>
    <row r="85" ht="19.95" customHeight="1" s="181"/>
    <row r="86" ht="19.95" customHeight="1" s="181"/>
    <row r="87" ht="19.95" customHeight="1" s="181"/>
    <row r="88" ht="19.95" customHeight="1" s="181"/>
    <row r="89" ht="19.95" customHeight="1" s="181"/>
    <row r="90" ht="19.95" customHeight="1" s="181"/>
    <row r="91" ht="19.95" customHeight="1" s="181"/>
    <row r="92" ht="19.95" customHeight="1" s="181"/>
    <row r="93" ht="19.95" customHeight="1" s="181"/>
    <row r="94" ht="19.95" customHeight="1" s="181"/>
    <row r="95" ht="19.95" customHeight="1" s="181"/>
    <row r="96" ht="19.95" customHeight="1" s="181"/>
    <row r="97" ht="19.95" customHeight="1" s="181"/>
    <row r="98" ht="19.95" customHeight="1" s="181"/>
    <row r="99" ht="19.95" customHeight="1" s="181"/>
    <row r="100" ht="19.95" customHeight="1" s="181"/>
    <row r="101" ht="19.95" customHeight="1" s="181"/>
    <row r="102" ht="19.95" customHeight="1" s="181"/>
    <row r="103" ht="19.95" customHeight="1" s="181"/>
    <row r="104" ht="19.95" customHeight="1" s="181"/>
    <row r="105" ht="19.95" customHeight="1" s="181"/>
    <row r="106" ht="19.95" customHeight="1" s="181"/>
    <row r="107" ht="19.95" customHeight="1" s="181"/>
    <row r="108" ht="19.95" customHeight="1" s="181"/>
    <row r="109" ht="19.95" customHeight="1" s="181"/>
    <row r="110" ht="19.95" customHeight="1" s="181"/>
    <row r="111" ht="19.95" customHeight="1" s="181"/>
    <row r="112" ht="19.95" customHeight="1" s="181"/>
    <row r="113" ht="19.95" customHeight="1" s="181"/>
    <row r="114" ht="19.95" customHeight="1" s="181"/>
    <row r="115" ht="19.95" customHeight="1" s="181"/>
    <row r="116" ht="19.95" customHeight="1" s="181"/>
    <row r="117" ht="19.95" customHeight="1" s="181"/>
    <row r="118" ht="19.95" customHeight="1" s="181"/>
    <row r="119" ht="19.95" customHeight="1" s="181"/>
    <row r="120" ht="19.95" customHeight="1" s="181"/>
    <row r="121" ht="19.95" customHeight="1" s="181"/>
    <row r="122" ht="19.95" customHeight="1" s="181"/>
    <row r="123" ht="19.95" customHeight="1" s="181"/>
    <row r="124" ht="19.95" customHeight="1" s="181"/>
    <row r="125" ht="19.95" customHeight="1" s="181"/>
    <row r="126" ht="19.95" customHeight="1" s="181"/>
    <row r="127" ht="19.95" customHeight="1" s="181"/>
    <row r="128" ht="19.95" customHeight="1" s="181"/>
    <row r="129" ht="19.95" customHeight="1" s="181"/>
    <row r="130" ht="19.95" customHeight="1" s="181"/>
    <row r="131" ht="19.95" customHeight="1" s="181"/>
    <row r="132" ht="19.95" customHeight="1" s="181"/>
    <row r="133" ht="19.95" customHeight="1" s="181"/>
    <row r="134" ht="19.95" customHeight="1" s="181"/>
    <row r="135" ht="19.95" customHeight="1" s="181"/>
    <row r="136" ht="19.95" customHeight="1" s="181"/>
    <row r="137" ht="19.95" customHeight="1" s="181"/>
    <row r="138" ht="19.95" customHeight="1" s="181"/>
    <row r="139" ht="19.95" customHeight="1" s="181"/>
    <row r="140" ht="19.95" customHeight="1" s="181"/>
    <row r="141" ht="19.95" customHeight="1" s="181"/>
    <row r="142" ht="19.95" customHeight="1" s="181"/>
    <row r="143" ht="19.95" customHeight="1" s="181"/>
    <row r="144" ht="19.95" customHeight="1" s="181"/>
    <row r="145" ht="19.95" customHeight="1" s="181"/>
    <row r="146" ht="19.95" customHeight="1" s="181"/>
    <row r="147" ht="19.95" customHeight="1" s="181"/>
    <row r="148" ht="19.95" customHeight="1" s="181"/>
    <row r="149" ht="19.95" customHeight="1" s="181"/>
    <row r="150" ht="19.95" customHeight="1" s="181"/>
    <row r="151" ht="19.95" customHeight="1" s="181"/>
    <row r="152" ht="19.95" customHeight="1" s="181"/>
    <row r="153" ht="19.95" customHeight="1" s="181"/>
    <row r="154" ht="19.95" customHeight="1" s="181"/>
    <row r="155" ht="19.95" customHeight="1" s="181"/>
    <row r="156" ht="19.95" customHeight="1" s="181"/>
    <row r="157" ht="19.95" customHeight="1" s="181"/>
    <row r="158" ht="19.95" customHeight="1" s="181"/>
    <row r="159" ht="19.95" customHeight="1" s="181"/>
    <row r="160" ht="19.95" customHeight="1" s="181"/>
    <row r="161" ht="19.95" customHeight="1" s="181"/>
    <row r="162" ht="19.95" customHeight="1" s="181"/>
    <row r="163" ht="19.95" customHeight="1" s="181"/>
    <row r="164" ht="19.95" customHeight="1" s="181"/>
    <row r="165" ht="19.95" customHeight="1" s="181"/>
    <row r="166" ht="19.95" customHeight="1" s="181"/>
    <row r="167" ht="19.95" customHeight="1" s="181"/>
    <row r="168" ht="19.95" customHeight="1" s="181"/>
    <row r="169" ht="19.95" customHeight="1" s="181"/>
    <row r="170" ht="19.95" customHeight="1" s="181"/>
    <row r="171" ht="19.95" customHeight="1" s="181"/>
    <row r="172" ht="19.95" customHeight="1" s="181"/>
    <row r="173" ht="19.95" customHeight="1" s="181"/>
    <row r="174" ht="19.95" customHeight="1" s="181"/>
    <row r="175" ht="19.95" customHeight="1" s="181"/>
    <row r="176" ht="19.95" customHeight="1" s="181"/>
    <row r="177" ht="19.95" customHeight="1" s="181"/>
    <row r="178" ht="19.95" customHeight="1" s="181"/>
    <row r="179" ht="19.95" customHeight="1" s="181"/>
    <row r="180" ht="19.95" customHeight="1" s="181"/>
    <row r="181" ht="19.95" customHeight="1" s="181"/>
    <row r="182" ht="19.95" customHeight="1" s="181"/>
    <row r="183" ht="19.95" customHeight="1" s="181"/>
    <row r="184" ht="19.95" customHeight="1" s="181"/>
    <row r="185" ht="19.95" customHeight="1" s="181"/>
    <row r="186" ht="19.95" customHeight="1" s="181"/>
    <row r="187" ht="19.95" customHeight="1" s="181"/>
    <row r="188" ht="19.95" customHeight="1" s="181"/>
    <row r="189" ht="19.95" customHeight="1" s="181"/>
    <row r="190" ht="19.95" customHeight="1" s="181"/>
    <row r="191" ht="19.95" customHeight="1" s="181"/>
    <row r="192" ht="19.95" customHeight="1" s="181"/>
    <row r="193" ht="19.95" customHeight="1" s="181"/>
    <row r="194" ht="19.95" customHeight="1" s="181"/>
    <row r="195" ht="19.95" customHeight="1" s="181"/>
    <row r="196" ht="19.95" customHeight="1" s="181"/>
    <row r="197" ht="19.95" customHeight="1" s="181"/>
    <row r="198" ht="19.95" customHeight="1" s="181"/>
    <row r="199" ht="19.95" customHeight="1" s="181"/>
    <row r="200" ht="19.95" customHeight="1" s="181"/>
    <row r="201" ht="19.95" customHeight="1" s="181"/>
    <row r="202" ht="19.95" customHeight="1" s="181"/>
    <row r="203" ht="19.95" customHeight="1" s="181"/>
    <row r="204" ht="19.95" customHeight="1" s="181"/>
    <row r="205" ht="19.95" customHeight="1" s="181"/>
    <row r="206" ht="19.95" customHeight="1" s="181"/>
    <row r="207" ht="19.95" customHeight="1" s="181"/>
    <row r="208" ht="19.95" customHeight="1" s="181"/>
    <row r="209" ht="19.95" customHeight="1" s="181"/>
    <row r="210" ht="19.95" customHeight="1" s="181"/>
    <row r="211" ht="19.95" customHeight="1" s="181"/>
    <row r="212" ht="19.95" customHeight="1" s="181"/>
    <row r="213" ht="19.95" customHeight="1" s="181"/>
    <row r="214" ht="19.95" customHeight="1" s="181"/>
    <row r="215" ht="19.95" customHeight="1" s="181"/>
    <row r="216" ht="19.95" customHeight="1" s="181"/>
    <row r="217" ht="19.95" customHeight="1" s="181"/>
    <row r="218" ht="19.95" customHeight="1" s="181"/>
    <row r="219" ht="19.95" customHeight="1" s="181"/>
    <row r="220" ht="22.05" customHeight="1" s="181"/>
    <row r="222" ht="19.95" customHeight="1" s="181"/>
    <row r="223" ht="19.95" customHeight="1" s="181"/>
    <row r="224" ht="19.95" customHeight="1" s="181"/>
    <row r="225" ht="19.95" customHeight="1" s="181"/>
    <row r="226" ht="19.95" customHeight="1" s="181"/>
    <row r="227" ht="19.95" customHeight="1" s="181"/>
    <row r="228" ht="19.95" customHeight="1" s="181"/>
    <row r="229" ht="19.95" customHeight="1" s="181"/>
    <row r="230" ht="19.95" customHeight="1" s="181"/>
    <row r="231" ht="19.95" customHeight="1" s="181"/>
    <row r="232" ht="19.95" customHeight="1" s="181"/>
    <row r="333" ht="15" customFormat="1" customHeight="1" s="223"/>
  </sheetData>
  <autoFilter ref="A10:Z11">
    <filterColumn colId="2" hiddenButton="0" showButton="0"/>
    <filterColumn colId="8" hiddenButton="0" showButton="0"/>
  </autoFilter>
  <mergeCells count="26">
    <mergeCell ref="E10:E11"/>
    <mergeCell ref="C231:D231"/>
    <mergeCell ref="G10:G11"/>
    <mergeCell ref="M10:M11"/>
    <mergeCell ref="Y10:Y11"/>
    <mergeCell ref="Q10:Q11"/>
    <mergeCell ref="C10:D10"/>
    <mergeCell ref="C227:D227"/>
    <mergeCell ref="A6:Z6"/>
    <mergeCell ref="C230:D230"/>
    <mergeCell ref="C226:D226"/>
    <mergeCell ref="I10:J11"/>
    <mergeCell ref="B10:B11"/>
    <mergeCell ref="A7:Z7"/>
    <mergeCell ref="L10:L11"/>
    <mergeCell ref="X10:X11"/>
    <mergeCell ref="N10:N11"/>
    <mergeCell ref="C232:D232"/>
    <mergeCell ref="Z10:Z11"/>
    <mergeCell ref="A10:A11"/>
    <mergeCell ref="C228:D228"/>
    <mergeCell ref="K10:K11"/>
    <mergeCell ref="A8:Z8"/>
    <mergeCell ref="F10:F11"/>
    <mergeCell ref="C229:D229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2026-07-25T16:15:06Z</dcterms:modified>
  <cp:lastModifiedBy>Chiswa Dian Hermansyah(ZINUS ZDI)</cp:lastModifiedBy>
</cp:coreProperties>
</file>