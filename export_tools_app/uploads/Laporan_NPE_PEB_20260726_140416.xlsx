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F.TGT.SAMP</t>
        </is>
      </c>
      <c r="O12" s="111" t="n">
        <v>9.039999999999999</v>
      </c>
      <c r="P12" s="111" t="n">
        <v>7.44</v>
      </c>
      <c r="Q12" s="259">
        <f>IFERROR(R12/H12, 0)</f>
        <v/>
      </c>
      <c r="R12" s="260" t="n">
        <v>20</v>
      </c>
      <c r="S12" s="261" t="n">
        <v>18056</v>
      </c>
      <c r="T12" s="261">
        <f>IFERROR(S12*R12, 0)</f>
        <v/>
      </c>
      <c r="U12" s="73" t="inlineStr">
        <is>
          <t>KPU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F.TGT.SAMP</t>
        </is>
      </c>
      <c r="O13" s="111" t="n"/>
      <c r="P13" s="111" t="n"/>
      <c r="Q13" s="259">
        <f>IFERROR(R13/H13, 0)</f>
        <v/>
      </c>
      <c r="R13" s="260" t="n">
        <v>20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>
        <is>
          <t>TLLU4381447</t>
        </is>
      </c>
      <c r="J15" s="67" t="inlineStr">
        <is>
          <t>40FT</t>
        </is>
      </c>
      <c r="K15" s="69" t="inlineStr">
        <is>
          <t>8IN GREEN TEA MF MATTRESS QN</t>
        </is>
      </c>
      <c r="L15" s="109" t="inlineStr">
        <is>
          <t>SCF-STR-800Q</t>
        </is>
      </c>
      <c r="M15" s="110" t="inlineStr">
        <is>
          <t>0993631021</t>
        </is>
      </c>
      <c r="N15" s="69" t="inlineStr">
        <is>
          <t>F.MFM.08Q.000.WS</t>
        </is>
      </c>
      <c r="O15" s="111" t="n">
        <v>21510</v>
      </c>
      <c r="P15" s="111" t="n">
        <v>19188</v>
      </c>
      <c r="Q15" s="259">
        <f>IFERROR(R15/H15, 0)</f>
        <v/>
      </c>
      <c r="R15" s="260" t="n">
        <v>84573</v>
      </c>
      <c r="S15" s="261" t="n">
        <v>18056</v>
      </c>
      <c r="T15" s="261">
        <f>IFERROR(S15*R15, 0)</f>
        <v/>
      </c>
      <c r="U15" s="73" t="inlineStr">
        <is>
          <t>KPU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>
        <is>
          <t>CMAU3883460</t>
        </is>
      </c>
      <c r="J17" s="67" t="inlineStr">
        <is>
          <t>40FT</t>
        </is>
      </c>
      <c r="K17" s="69" t="inlineStr">
        <is>
          <t>8IN GREEN TEA MF MATTRESS FL</t>
        </is>
      </c>
      <c r="L17" s="277" t="inlineStr">
        <is>
          <t>SCF-STR-800F</t>
        </is>
      </c>
      <c r="M17" s="67" t="inlineStr">
        <is>
          <t>0993630656</t>
        </is>
      </c>
      <c r="N17" s="69" t="inlineStr">
        <is>
          <t>F.MFM.08F.000.WS</t>
        </is>
      </c>
      <c r="O17" s="111" t="n">
        <v>10618.4</v>
      </c>
      <c r="P17" s="111" t="n">
        <v>9370.4</v>
      </c>
      <c r="Q17" s="259">
        <f>IFERROR(R17/H17, 0)</f>
        <v/>
      </c>
      <c r="R17" s="260" t="n">
        <v>41480.4</v>
      </c>
      <c r="S17" s="261" t="n">
        <v>18056</v>
      </c>
      <c r="T17" s="261">
        <f>IFERROR(S17*R17, 0)</f>
        <v/>
      </c>
      <c r="U17" s="73" t="inlineStr">
        <is>
          <t>KPU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>
        <is>
          <t>EMCU0087902</t>
        </is>
      </c>
      <c r="J19" s="67" t="inlineStr">
        <is>
          <t>40FT</t>
        </is>
      </c>
      <c r="K19" s="69" t="inlineStr">
        <is>
          <t>8IN MYGEL FOAM MATTRESS TW</t>
        </is>
      </c>
      <c r="L19" s="109" t="inlineStr">
        <is>
          <t>ZU-MFGN1YZI-08T</t>
        </is>
      </c>
      <c r="M19" s="110" t="inlineStr">
        <is>
          <t>1CPXSUHR</t>
        </is>
      </c>
      <c r="N19" s="69" t="inlineStr">
        <is>
          <t>F.MFG.08T.003.AD</t>
        </is>
      </c>
      <c r="O19" s="111" t="n">
        <v>70550.23</v>
      </c>
      <c r="P19" s="111" t="n">
        <v>61053.73</v>
      </c>
      <c r="Q19" s="259">
        <f>IFERROR(R19/H19, 0)</f>
        <v/>
      </c>
      <c r="R19" s="260" t="n">
        <v>35.93</v>
      </c>
      <c r="S19" s="261" t="n">
        <v>18056</v>
      </c>
      <c r="T19" s="261">
        <f>IFERROR(S19*R19, 0)</f>
        <v/>
      </c>
      <c r="U19" s="73" t="inlineStr">
        <is>
          <t>KPU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>
        <is>
          <t>GAOU6330736</t>
        </is>
      </c>
      <c r="J20" s="67" t="inlineStr">
        <is>
          <t>40FT</t>
        </is>
      </c>
      <c r="K20" s="69" t="inlineStr">
        <is>
          <t>8IN GREEN TEA MF MATTRESS SQ</t>
        </is>
      </c>
      <c r="L20" s="109" t="inlineStr">
        <is>
          <t>ZU-MFMA1FZI-08S</t>
        </is>
      </c>
      <c r="M20" s="110" t="inlineStr">
        <is>
          <t>1CPXSUHR</t>
        </is>
      </c>
      <c r="N20" s="69" t="inlineStr">
        <is>
          <t>F.MFM.08S.012.AD</t>
        </is>
      </c>
      <c r="O20" s="111" t="n"/>
      <c r="P20" s="111" t="n"/>
      <c r="Q20" s="259">
        <f>IFERROR(R20/H20, 0)</f>
        <v/>
      </c>
      <c r="R20" s="260" t="n">
        <v>372.9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>
        <is>
          <t>EISU8561414</t>
        </is>
      </c>
      <c r="J21" s="67" t="inlineStr">
        <is>
          <t>40FT</t>
        </is>
      </c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>
        <is>
          <t>F.MFM.10F.013.AD</t>
        </is>
      </c>
      <c r="O21" s="111" t="n"/>
      <c r="P21" s="111" t="n"/>
      <c r="Q21" s="259">
        <f>IFERROR(R21/H21, 0)</f>
        <v/>
      </c>
      <c r="R21" s="260" t="n">
        <v>47.91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>
        <is>
          <t>EITU1674433</t>
        </is>
      </c>
      <c r="J22" s="67" t="inlineStr">
        <is>
          <t>40FT</t>
        </is>
      </c>
      <c r="K22" s="69" t="inlineStr">
        <is>
          <t>10IN AIRFLOW GEL FOAM MATT QN</t>
        </is>
      </c>
      <c r="L22" s="109" t="inlineStr">
        <is>
          <t>ZU-MFMA1RZI-10Q</t>
        </is>
      </c>
      <c r="M22" s="110" t="inlineStr">
        <is>
          <t>1CPXSUHR</t>
        </is>
      </c>
      <c r="N22" s="69" t="inlineStr">
        <is>
          <t>F.MFM.10Q.014.AD</t>
        </is>
      </c>
      <c r="O22" s="111" t="n"/>
      <c r="P22" s="111" t="n"/>
      <c r="Q22" s="259">
        <f>IFERROR(R22/H22, 0)</f>
        <v/>
      </c>
      <c r="R22" s="260" t="n">
        <v>107.8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>
        <is>
          <t>TCKU6083451</t>
        </is>
      </c>
      <c r="J23" s="67" t="inlineStr">
        <is>
          <t>40FT</t>
        </is>
      </c>
      <c r="K23" s="69" t="inlineStr">
        <is>
          <t>6IN GREEN TEA MF MATTRESS FL</t>
        </is>
      </c>
      <c r="L23" s="277" t="inlineStr">
        <is>
          <t>ZU-MFMA1ZZI-06F</t>
        </is>
      </c>
      <c r="M23" s="67" t="inlineStr">
        <is>
          <t>1CPXSUHR</t>
        </is>
      </c>
      <c r="N23" s="69" t="inlineStr">
        <is>
          <t>F.MFM.06F.007.AD</t>
        </is>
      </c>
      <c r="O23" s="111" t="n"/>
      <c r="P23" s="111" t="n"/>
      <c r="Q23" s="259">
        <f>IFERROR(R23/H23, 0)</f>
        <v/>
      </c>
      <c r="R23" s="260" t="n">
        <v>11920.63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>
        <is>
          <t>EITU1661164</t>
        </is>
      </c>
      <c r="J24" s="67" t="inlineStr">
        <is>
          <t>40FT</t>
        </is>
      </c>
      <c r="K24" s="69" t="inlineStr">
        <is>
          <t>8IN GREEN TEA MF MATTRESS FL</t>
        </is>
      </c>
      <c r="L24" s="109" t="inlineStr">
        <is>
          <t>ZU-MFMA1ZZI-08F</t>
        </is>
      </c>
      <c r="M24" s="67" t="inlineStr">
        <is>
          <t>1CPXSUHR</t>
        </is>
      </c>
      <c r="N24" s="69" t="inlineStr">
        <is>
          <t>F.MFM.08F.008.AD</t>
        </is>
      </c>
      <c r="O24" s="111" t="n"/>
      <c r="P24" s="111" t="n"/>
      <c r="Q24" s="259">
        <f>IFERROR(R24/H24, 0)</f>
        <v/>
      </c>
      <c r="R24" s="260" t="n">
        <v>19876.45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ZU-MFMA1ZZI-12K</t>
        </is>
      </c>
      <c r="M25" s="76" t="inlineStr">
        <is>
          <t>1CPXSUHR</t>
        </is>
      </c>
      <c r="N25" s="284" t="inlineStr">
        <is>
          <t>F.MFM.12K.006.AD</t>
        </is>
      </c>
      <c r="O25" s="286" t="n"/>
      <c r="P25" s="286" t="n"/>
      <c r="Q25" s="287">
        <f>IFERROR(R25/H25, 0)</f>
        <v/>
      </c>
      <c r="R25" s="288" t="n">
        <v>101.97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8IN GREEN TEA MF MATTRESS SQ</t>
        </is>
      </c>
      <c r="L26" s="302" t="inlineStr">
        <is>
          <t>ZU-MFMA1FZI-08S</t>
        </is>
      </c>
      <c r="M26" s="300" t="inlineStr">
        <is>
          <t>23OYBVEV</t>
        </is>
      </c>
      <c r="N26" s="301" t="inlineStr">
        <is>
          <t>F.MFM.08S.012.AD</t>
        </is>
      </c>
      <c r="O26" s="303" t="n"/>
      <c r="P26" s="303" t="n"/>
      <c r="Q26" s="304">
        <f>IFERROR(R26/H26, 0)</f>
        <v/>
      </c>
      <c r="R26" s="305" t="n">
        <v>310.75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>
        <is>
          <t>F.MFM.08F.013.AD</t>
        </is>
      </c>
      <c r="O27" s="303" t="n"/>
      <c r="P27" s="303" t="n"/>
      <c r="Q27" s="304">
        <f>IFERROR(R27/H27, 0)</f>
        <v/>
      </c>
      <c r="R27" s="305" t="n">
        <v>7669.21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>
        <is>
          <t>F.MFM.08Q.013.AD</t>
        </is>
      </c>
      <c r="O28" s="303" t="n"/>
      <c r="P28" s="303" t="n"/>
      <c r="Q28" s="304">
        <f>IFERROR(R28/H28, 0)</f>
        <v/>
      </c>
      <c r="R28" s="305" t="n">
        <v>1010.52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>
        <is>
          <t>F.MFM.12Q.010.AD</t>
        </is>
      </c>
      <c r="O29" s="303" t="n"/>
      <c r="P29" s="303" t="n"/>
      <c r="Q29" s="304">
        <f>IFERROR(R29/H29, 0)</f>
        <v/>
      </c>
      <c r="R29" s="305" t="n">
        <v>67.56999999999999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10IN AIRFLOW GEL FOAM MATT EK</t>
        </is>
      </c>
      <c r="L30" s="302" t="inlineStr">
        <is>
          <t>ZU-MFMA1RZI-10K</t>
        </is>
      </c>
      <c r="M30" s="300" t="inlineStr">
        <is>
          <t>23OYBVEV</t>
        </is>
      </c>
      <c r="N30" s="301" t="inlineStr">
        <is>
          <t>F.MFM.10K.014.AD</t>
        </is>
      </c>
      <c r="O30" s="303" t="n"/>
      <c r="P30" s="303" t="n"/>
      <c r="Q30" s="304">
        <f>IFERROR(R30/H30, 0)</f>
        <v/>
      </c>
      <c r="R30" s="305" t="n">
        <v>131.76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6IN MYGEL FOAM MATTRESS FL</t>
        </is>
      </c>
      <c r="L31" s="302" t="inlineStr">
        <is>
          <t>ZU-MFGN1YZI-06F</t>
        </is>
      </c>
      <c r="M31" s="300" t="inlineStr">
        <is>
          <t>299957YO</t>
        </is>
      </c>
      <c r="N31" s="301" t="inlineStr">
        <is>
          <t>F.MFG.06F.002.AD</t>
        </is>
      </c>
      <c r="O31" s="303" t="n"/>
      <c r="P31" s="303" t="n"/>
      <c r="Q31" s="304">
        <f>IFERROR(R31/H31, 0)</f>
        <v/>
      </c>
      <c r="R31" s="305" t="n">
        <v>11756.86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>
        <is>
          <t>F.MFM.08F.013.AD</t>
        </is>
      </c>
      <c r="O32" s="303" t="n"/>
      <c r="P32" s="303" t="n"/>
      <c r="Q32" s="304">
        <f>IFERROR(R32/H32, 0)</f>
        <v/>
      </c>
      <c r="R32" s="305" t="n">
        <v>17518.5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8IN GREEN TEA MF MATTRESS SQ</t>
        </is>
      </c>
      <c r="L33" s="302" t="inlineStr">
        <is>
          <t>ZU-MFMA1ZZI-08S</t>
        </is>
      </c>
      <c r="M33" s="300" t="inlineStr">
        <is>
          <t>299957YO</t>
        </is>
      </c>
      <c r="N33" s="301" t="inlineStr">
        <is>
          <t>F.MFM.08S.011.AD</t>
        </is>
      </c>
      <c r="O33" s="303" t="n"/>
      <c r="P33" s="303" t="n"/>
      <c r="Q33" s="304">
        <f>IFERROR(R33/H33, 0)</f>
        <v/>
      </c>
      <c r="R33" s="305" t="n">
        <v>59.1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10IN GREEN TEA MF MATTRESS EK</t>
        </is>
      </c>
      <c r="L34" s="302" t="inlineStr">
        <is>
          <t>ZU-MFMA1ZZI-10K</t>
        </is>
      </c>
      <c r="M34" s="300" t="inlineStr">
        <is>
          <t>299957YO</t>
        </is>
      </c>
      <c r="N34" s="301" t="inlineStr">
        <is>
          <t>F.MFM.10K.007.AD</t>
        </is>
      </c>
      <c r="O34" s="303" t="n"/>
      <c r="P34" s="303" t="n"/>
      <c r="Q34" s="304">
        <f>IFERROR(R34/H34, 0)</f>
        <v/>
      </c>
      <c r="R34" s="305" t="n">
        <v>582.66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8IN MYGEL FOAM MATTRESS TW</t>
        </is>
      </c>
      <c r="L35" s="302" t="inlineStr">
        <is>
          <t>ZU-MFGN1YZI-08T</t>
        </is>
      </c>
      <c r="M35" s="300" t="inlineStr">
        <is>
          <t>2OD43VAH</t>
        </is>
      </c>
      <c r="N35" s="301" t="inlineStr">
        <is>
          <t>F.MFG.08T.003.AD</t>
        </is>
      </c>
      <c r="O35" s="303" t="n"/>
      <c r="P35" s="303" t="n"/>
      <c r="Q35" s="304">
        <f>IFERROR(R35/H35, 0)</f>
        <v/>
      </c>
      <c r="R35" s="305" t="n">
        <v>5353.57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>
        <is>
          <t>F.MFM.10F.013.AD</t>
        </is>
      </c>
      <c r="O36" s="303" t="n"/>
      <c r="P36" s="303" t="n"/>
      <c r="Q36" s="304">
        <f>IFERROR(R36/H36, 0)</f>
        <v/>
      </c>
      <c r="R36" s="305" t="n">
        <v>95.81999999999999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>
        <is>
          <t>F.MFM.12Q.010.AD</t>
        </is>
      </c>
      <c r="O37" s="303" t="n"/>
      <c r="P37" s="303" t="n"/>
      <c r="Q37" s="304">
        <f>IFERROR(R37/H37, 0)</f>
        <v/>
      </c>
      <c r="R37" s="305" t="n">
        <v>27028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10IN AIRFLOW GEL FOAM MATT QN</t>
        </is>
      </c>
      <c r="L38" s="302" t="inlineStr">
        <is>
          <t>ZU-MFMA1RZI-10Q</t>
        </is>
      </c>
      <c r="M38" s="300" t="inlineStr">
        <is>
          <t>2OD43VAH</t>
        </is>
      </c>
      <c r="N38" s="301" t="inlineStr">
        <is>
          <t>F.MFM.10Q.014.AD</t>
        </is>
      </c>
      <c r="O38" s="303" t="n"/>
      <c r="P38" s="303" t="n"/>
      <c r="Q38" s="304">
        <f>IFERROR(R38/H38, 0)</f>
        <v/>
      </c>
      <c r="R38" s="305" t="n">
        <v>53.9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12IN AIRFLOW GEL FOAM MATT QN</t>
        </is>
      </c>
      <c r="L39" s="302" t="inlineStr">
        <is>
          <t>ZU-MFMA1RZI-12Q</t>
        </is>
      </c>
      <c r="M39" s="300" t="inlineStr">
        <is>
          <t>2OD43VAH</t>
        </is>
      </c>
      <c r="N39" s="301" t="inlineStr">
        <is>
          <t>F.MFM.12Q.011.AD</t>
        </is>
      </c>
      <c r="O39" s="303" t="n"/>
      <c r="P39" s="303" t="n"/>
      <c r="Q39" s="304">
        <f>IFERROR(R39/H39, 0)</f>
        <v/>
      </c>
      <c r="R39" s="305" t="n">
        <v>67.56999999999999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8IN GREEN TEA MF MATTRESS SQ</t>
        </is>
      </c>
      <c r="L40" s="302" t="inlineStr">
        <is>
          <t>ZU-MFMA1ZZI-08S</t>
        </is>
      </c>
      <c r="M40" s="300" t="inlineStr">
        <is>
          <t>2OD43VAH</t>
        </is>
      </c>
      <c r="N40" s="301" t="inlineStr">
        <is>
          <t>F.MFM.08S.011.AD</t>
        </is>
      </c>
      <c r="O40" s="303" t="n"/>
      <c r="P40" s="303" t="n"/>
      <c r="Q40" s="304">
        <f>IFERROR(R40/H40, 0)</f>
        <v/>
      </c>
      <c r="R40" s="305" t="n">
        <v>59.1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>
        <is>
          <t>F.MFM.08F.013.AD</t>
        </is>
      </c>
      <c r="O41" s="303" t="n"/>
      <c r="P41" s="303" t="n"/>
      <c r="Q41" s="304">
        <f>IFERROR(R41/H41, 0)</f>
        <v/>
      </c>
      <c r="R41" s="305" t="n">
        <v>14326.24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>
        <is>
          <t>F.MFM.12Q.010.AD</t>
        </is>
      </c>
      <c r="O42" s="303" t="n"/>
      <c r="P42" s="303" t="n"/>
      <c r="Q42" s="304">
        <f>IFERROR(R42/H42, 0)</f>
        <v/>
      </c>
      <c r="R42" s="305" t="n">
        <v>13378.86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12IN GREEN TEA MF MATTRESS TX</t>
        </is>
      </c>
      <c r="L43" s="302" t="inlineStr">
        <is>
          <t>ZU-MFMA1ZZI-12X</t>
        </is>
      </c>
      <c r="M43" s="300" t="inlineStr">
        <is>
          <t>2XLW4FKE</t>
        </is>
      </c>
      <c r="N43" s="301" t="inlineStr">
        <is>
          <t>F.MFM.12X.006.AD</t>
        </is>
      </c>
      <c r="O43" s="303" t="n"/>
      <c r="P43" s="303" t="n"/>
      <c r="Q43" s="304">
        <f>IFERROR(R43/H43, 0)</f>
        <v/>
      </c>
      <c r="R43" s="305" t="n">
        <v>3264.8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>
        <is>
          <t>F.MFM.05T.008.AD</t>
        </is>
      </c>
      <c r="O44" s="303" t="n"/>
      <c r="P44" s="303" t="n"/>
      <c r="Q44" s="304">
        <f>IFERROR(R44/H44, 0)</f>
        <v/>
      </c>
      <c r="R44" s="305" t="n">
        <v>23.95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5IN GREEN TEA MF MATTRESS TW</t>
        </is>
      </c>
      <c r="L45" s="302" t="inlineStr">
        <is>
          <t>ZU-MFMA1ZZI-05T</t>
        </is>
      </c>
      <c r="M45" s="300" t="inlineStr">
        <is>
          <t>4JWS37TM</t>
        </is>
      </c>
      <c r="N45" s="301" t="inlineStr">
        <is>
          <t>F.MFM.05T.007.AD</t>
        </is>
      </c>
      <c r="O45" s="303" t="n"/>
      <c r="P45" s="303" t="n"/>
      <c r="Q45" s="304">
        <f>IFERROR(R45/H45, 0)</f>
        <v/>
      </c>
      <c r="R45" s="305" t="n">
        <v>26925.08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>
        <is>
          <t>EGHU9205621</t>
        </is>
      </c>
      <c r="J47" s="300" t="inlineStr">
        <is>
          <t>40FT</t>
        </is>
      </c>
      <c r="K47" s="301" t="inlineStr">
        <is>
          <t>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>
        <is>
          <t>F.MFM.08T.013.AD</t>
        </is>
      </c>
      <c r="O47" s="303" t="n">
        <v>79248.28999999999</v>
      </c>
      <c r="P47" s="303" t="n">
        <v>68661.08</v>
      </c>
      <c r="Q47" s="304">
        <f>IFERROR(R47/H47, 0)</f>
        <v/>
      </c>
      <c r="R47" s="305" t="n">
        <v>28922.04</v>
      </c>
      <c r="S47" s="306" t="n">
        <v>18056</v>
      </c>
      <c r="T47" s="306">
        <f>IFERROR(S47*R47, 0)</f>
        <v/>
      </c>
      <c r="U47" s="307" t="inlineStr">
        <is>
          <t>KPU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>
        <is>
          <t>EGHU9121367</t>
        </is>
      </c>
      <c r="J48" s="300" t="inlineStr">
        <is>
          <t>40FT</t>
        </is>
      </c>
      <c r="K48" s="301" t="inlineStr">
        <is>
          <t>5IN GREEN TEA MF MATTRESS TW</t>
        </is>
      </c>
      <c r="L48" s="302" t="inlineStr">
        <is>
          <t>ZU-MFMA1ZZI-05T</t>
        </is>
      </c>
      <c r="M48" s="300" t="inlineStr">
        <is>
          <t>4I3CD5IH</t>
        </is>
      </c>
      <c r="N48" s="301" t="inlineStr">
        <is>
          <t>F.MFM.05T.007.AD</t>
        </is>
      </c>
      <c r="O48" s="303" t="n"/>
      <c r="P48" s="303" t="n"/>
      <c r="Q48" s="304">
        <f>IFERROR(R48/H48, 0)</f>
        <v/>
      </c>
      <c r="R48" s="305" t="n">
        <v>27090.7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>
        <is>
          <t>EGHU9713330</t>
        </is>
      </c>
      <c r="J49" s="300" t="inlineStr">
        <is>
          <t>40FT</t>
        </is>
      </c>
      <c r="K49" s="301" t="inlineStr">
        <is>
          <t>5IN GREEN TEA MF MATTRESS TW</t>
        </is>
      </c>
      <c r="L49" s="302" t="inlineStr">
        <is>
          <t>ZU-MFMA1ZZI-05T</t>
        </is>
      </c>
      <c r="M49" s="300" t="inlineStr">
        <is>
          <t>88Y96MHS</t>
        </is>
      </c>
      <c r="N49" s="301" t="inlineStr">
        <is>
          <t>F.MFM.05T.007.AD</t>
        </is>
      </c>
      <c r="O49" s="303" t="n"/>
      <c r="P49" s="303" t="n"/>
      <c r="Q49" s="304">
        <f>IFERROR(R49/H49, 0)</f>
        <v/>
      </c>
      <c r="R49" s="305" t="n">
        <v>27067.04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>
        <is>
          <t>EMCU8701869</t>
        </is>
      </c>
      <c r="J50" s="300" t="inlineStr">
        <is>
          <t>40FT</t>
        </is>
      </c>
      <c r="K50" s="301" t="inlineStr">
        <is>
          <t>12IN GREEN TEA MF MATTRESS QN</t>
        </is>
      </c>
      <c r="L50" s="302" t="inlineStr">
        <is>
          <t>ZU-MFMA1ZZI-12Q</t>
        </is>
      </c>
      <c r="M50" s="300" t="inlineStr">
        <is>
          <t>8B4RWISK</t>
        </is>
      </c>
      <c r="N50" s="301" t="inlineStr">
        <is>
          <t>F.MFM.12Q.006.AD</t>
        </is>
      </c>
      <c r="O50" s="303" t="n"/>
      <c r="P50" s="303" t="n"/>
      <c r="Q50" s="304">
        <f>IFERROR(R50/H50, 0)</f>
        <v/>
      </c>
      <c r="R50" s="305" t="n">
        <v>42062.58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>
        <is>
          <t>EMCU1598276</t>
        </is>
      </c>
      <c r="J51" s="300" t="inlineStr">
        <is>
          <t>40FT</t>
        </is>
      </c>
      <c r="K51" s="301" t="inlineStr">
        <is>
          <t>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>
        <is>
          <t>F.MFM.08F.013.AD</t>
        </is>
      </c>
      <c r="O51" s="303" t="n"/>
      <c r="P51" s="303" t="n"/>
      <c r="Q51" s="304">
        <f>IFERROR(R51/H51, 0)</f>
        <v/>
      </c>
      <c r="R51" s="305" t="n">
        <v>116.79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>
        <is>
          <t>EGSU1735716</t>
        </is>
      </c>
      <c r="J52" s="300" t="inlineStr">
        <is>
          <t>40FT</t>
        </is>
      </c>
      <c r="K52" s="301" t="inlineStr">
        <is>
          <t>8IN GREEN TEA MF MATTRESS TW</t>
        </is>
      </c>
      <c r="L52" s="302" t="inlineStr">
        <is>
          <t>ZU-MFMA1ZZI-08T</t>
        </is>
      </c>
      <c r="M52" s="300" t="inlineStr">
        <is>
          <t>8GO2PUDD</t>
        </is>
      </c>
      <c r="N52" s="301" t="inlineStr">
        <is>
          <t>F.MFM.08T.008.AD</t>
        </is>
      </c>
      <c r="O52" s="303" t="n"/>
      <c r="P52" s="303" t="n"/>
      <c r="Q52" s="304">
        <f>IFERROR(R52/H52, 0)</f>
        <v/>
      </c>
      <c r="R52" s="305" t="n">
        <v>14372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>
        <is>
          <t>EGHU9733906</t>
        </is>
      </c>
      <c r="J53" s="300" t="inlineStr">
        <is>
          <t>40FT</t>
        </is>
      </c>
      <c r="K53" s="301" t="inlineStr">
        <is>
          <t>12IN GREEN TEA MF MATTRESS QN</t>
        </is>
      </c>
      <c r="L53" s="302" t="inlineStr">
        <is>
          <t>ZU-MFMA1ZZI-12Q</t>
        </is>
      </c>
      <c r="M53" s="300" t="inlineStr">
        <is>
          <t>8GO2PUDD</t>
        </is>
      </c>
      <c r="N53" s="301" t="inlineStr">
        <is>
          <t>F.MFM.12Q.006.AD</t>
        </is>
      </c>
      <c r="O53" s="303" t="n"/>
      <c r="P53" s="303" t="n"/>
      <c r="Q53" s="304">
        <f>IFERROR(R53/H53, 0)</f>
        <v/>
      </c>
      <c r="R53" s="305" t="n">
        <v>17260.74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>
        <is>
          <t>F.MFM.08T.013.AD</t>
        </is>
      </c>
      <c r="O54" s="303" t="n"/>
      <c r="P54" s="303" t="n"/>
      <c r="Q54" s="304">
        <f>IFERROR(R54/H54, 0)</f>
        <v/>
      </c>
      <c r="R54" s="305" t="n">
        <v>18113.7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5IN GREEN TEA MF MATTRESS TW</t>
        </is>
      </c>
      <c r="L55" s="302" t="inlineStr">
        <is>
          <t>ZU-MFMA1ZZI-05T</t>
        </is>
      </c>
      <c r="M55" s="300" t="inlineStr">
        <is>
          <t>8VH5JQ8T</t>
        </is>
      </c>
      <c r="N55" s="301" t="inlineStr">
        <is>
          <t>F.MFM.05T.007.AD</t>
        </is>
      </c>
      <c r="O55" s="303" t="n"/>
      <c r="P55" s="303" t="n"/>
      <c r="Q55" s="304">
        <f>IFERROR(R55/H55, 0)</f>
        <v/>
      </c>
      <c r="R55" s="305" t="n">
        <v>10102.82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12IN GREEN TEA MF MATTRESS QN</t>
        </is>
      </c>
      <c r="L56" s="302" t="inlineStr">
        <is>
          <t>ZU-MFMA1ZZI-12Q</t>
        </is>
      </c>
      <c r="M56" s="300" t="inlineStr">
        <is>
          <t>8VH5JQ8T</t>
        </is>
      </c>
      <c r="N56" s="301" t="inlineStr">
        <is>
          <t>F.MFM.12Q.006.AD</t>
        </is>
      </c>
      <c r="O56" s="303" t="n"/>
      <c r="P56" s="303" t="n"/>
      <c r="Q56" s="304">
        <f>IFERROR(R56/H56, 0)</f>
        <v/>
      </c>
      <c r="R56" s="305" t="n">
        <v>83.79000000000001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>
        <is>
          <t>MSMU5513960</t>
        </is>
      </c>
      <c r="J58" s="300" t="inlineStr">
        <is>
          <t>40FT</t>
        </is>
      </c>
      <c r="K58" s="301" t="inlineStr">
        <is>
          <t>10IN GREEN TEA MF MATTRESS TX</t>
        </is>
      </c>
      <c r="L58" s="302" t="inlineStr">
        <is>
          <t>OLC-FMS-1000TXL-IN</t>
        </is>
      </c>
      <c r="M58" s="300" t="inlineStr">
        <is>
          <t>5FFUUH8B</t>
        </is>
      </c>
      <c r="N58" s="301" t="inlineStr">
        <is>
          <t>F.MFM.10X.003.BD</t>
        </is>
      </c>
      <c r="O58" s="303" t="n">
        <v>55657.92</v>
      </c>
      <c r="P58" s="303" t="n">
        <v>41484.87</v>
      </c>
      <c r="Q58" s="304">
        <f>IFERROR(R58/H58, 0)</f>
        <v/>
      </c>
      <c r="R58" s="305" t="n">
        <v>10437.7</v>
      </c>
      <c r="S58" s="306" t="n">
        <v>18056</v>
      </c>
      <c r="T58" s="306">
        <f>IFERROR(S58*R58, 0)</f>
        <v/>
      </c>
      <c r="U58" s="307" t="inlineStr">
        <is>
          <t>KPU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>
        <is>
          <t>TLLU5166027</t>
        </is>
      </c>
      <c r="J59" s="300" t="inlineStr">
        <is>
          <t>40FT</t>
        </is>
      </c>
      <c r="K59" s="301" t="inlineStr">
        <is>
          <t>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>
        <is>
          <t>F.MFG.12T.000.BD</t>
        </is>
      </c>
      <c r="O59" s="303" t="n"/>
      <c r="P59" s="303" t="n"/>
      <c r="Q59" s="304">
        <f>IFERROR(R59/H59, 0)</f>
        <v/>
      </c>
      <c r="R59" s="305" t="n">
        <v>5225.74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>
        <is>
          <t>MSMU4309479</t>
        </is>
      </c>
      <c r="J60" s="300" t="inlineStr">
        <is>
          <t>40FT</t>
        </is>
      </c>
      <c r="K60" s="301" t="inlineStr">
        <is>
          <t>10IN GREEN TEA MF MATTRESS TX</t>
        </is>
      </c>
      <c r="L60" s="302" t="inlineStr">
        <is>
          <t>OLC-FMS-1000TXL-IN</t>
        </is>
      </c>
      <c r="M60" s="300" t="inlineStr">
        <is>
          <t>77K91MJU</t>
        </is>
      </c>
      <c r="N60" s="301" t="inlineStr">
        <is>
          <t>F.MFM.10X.003.BD</t>
        </is>
      </c>
      <c r="O60" s="303" t="n"/>
      <c r="P60" s="303" t="n"/>
      <c r="Q60" s="304">
        <f>IFERROR(R60/H60, 0)</f>
        <v/>
      </c>
      <c r="R60" s="305" t="n">
        <v>9978.9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>
        <is>
          <t>TGHU4968395</t>
        </is>
      </c>
      <c r="J61" s="300" t="inlineStr">
        <is>
          <t>40FT</t>
        </is>
      </c>
      <c r="K61" s="301" t="inlineStr">
        <is>
          <t>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>
        <is>
          <t>F.MFG.12T.000.BD</t>
        </is>
      </c>
      <c r="O61" s="303" t="n"/>
      <c r="P61" s="303" t="n"/>
      <c r="Q61" s="304">
        <f>IFERROR(R61/H61, 0)</f>
        <v/>
      </c>
      <c r="R61" s="305" t="n">
        <v>3311.36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>
        <is>
          <t>MSBU4617117</t>
        </is>
      </c>
      <c r="J62" s="300" t="inlineStr">
        <is>
          <t>40FT</t>
        </is>
      </c>
      <c r="K62" s="301" t="inlineStr">
        <is>
          <t>10IN GREEN TEA MF MATTRESS TX</t>
        </is>
      </c>
      <c r="L62" s="302" t="inlineStr">
        <is>
          <t>OLC-FMS-1000TXL-IN</t>
        </is>
      </c>
      <c r="M62" s="300" t="inlineStr">
        <is>
          <t>7D4ITY4N</t>
        </is>
      </c>
      <c r="N62" s="301" t="inlineStr">
        <is>
          <t>F.MFM.10X.003.BD</t>
        </is>
      </c>
      <c r="O62" s="303" t="n"/>
      <c r="P62" s="303" t="n"/>
      <c r="Q62" s="304">
        <f>IFERROR(R62/H62, 0)</f>
        <v/>
      </c>
      <c r="R62" s="305" t="n">
        <v>5677.65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10IN GREEN TEA MF MATTRESS TX</t>
        </is>
      </c>
      <c r="L63" s="302" t="inlineStr">
        <is>
          <t>OLC-FMS-1000TXL-IN</t>
        </is>
      </c>
      <c r="M63" s="300" t="inlineStr">
        <is>
          <t>7MO3ZAUN</t>
        </is>
      </c>
      <c r="N63" s="301" t="inlineStr">
        <is>
          <t>F.MFM.10X.003.BD</t>
        </is>
      </c>
      <c r="O63" s="303" t="n"/>
      <c r="P63" s="303" t="n"/>
      <c r="Q63" s="304">
        <f>IFERROR(R63/H63, 0)</f>
        <v/>
      </c>
      <c r="R63" s="305" t="n">
        <v>57.35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>
        <is>
          <t>F.MFG.12T.000.BD</t>
        </is>
      </c>
      <c r="O64" s="303" t="n"/>
      <c r="P64" s="303" t="n"/>
      <c r="Q64" s="304">
        <f>IFERROR(R64/H64, 0)</f>
        <v/>
      </c>
      <c r="R64" s="305" t="n">
        <v>7864.48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3IN CV LAVENDER MF TOPPER FL</t>
        </is>
      </c>
      <c r="L65" s="302" t="inlineStr">
        <is>
          <t>ECMF-03FL-IN</t>
        </is>
      </c>
      <c r="M65" s="300" t="inlineStr">
        <is>
          <t>5FFUUH8B</t>
        </is>
      </c>
      <c r="N65" s="301" t="inlineStr">
        <is>
          <t>F.TMT.03F.010.BD</t>
        </is>
      </c>
      <c r="O65" s="303" t="n"/>
      <c r="P65" s="303" t="n"/>
      <c r="Q65" s="304">
        <f>IFERROR(R65/H65, 0)</f>
        <v/>
      </c>
      <c r="R65" s="305" t="n">
        <v>5697.9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3IN CV LAVENDER MF TOPPER TW</t>
        </is>
      </c>
      <c r="L66" s="302" t="inlineStr">
        <is>
          <t>ECMF-03TL-IN</t>
        </is>
      </c>
      <c r="M66" s="300" t="inlineStr">
        <is>
          <t>5FFUUH8B</t>
        </is>
      </c>
      <c r="N66" s="301" t="inlineStr">
        <is>
          <t>F.TMT.03T.010.BD</t>
        </is>
      </c>
      <c r="O66" s="303" t="n"/>
      <c r="P66" s="303" t="n"/>
      <c r="Q66" s="304">
        <f>IFERROR(R66/H66, 0)</f>
        <v/>
      </c>
      <c r="R66" s="305" t="n">
        <v>9657.700000000001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3IN CV LAVENDER MF TOPPER FL</t>
        </is>
      </c>
      <c r="L67" s="302" t="inlineStr">
        <is>
          <t>ECMF-03FL-IN</t>
        </is>
      </c>
      <c r="M67" s="300" t="inlineStr">
        <is>
          <t>77K91MJU</t>
        </is>
      </c>
      <c r="N67" s="301" t="inlineStr">
        <is>
          <t>F.TMT.03F.010.BD</t>
        </is>
      </c>
      <c r="O67" s="303" t="n"/>
      <c r="P67" s="303" t="n"/>
      <c r="Q67" s="304">
        <f>IFERROR(R67/H67, 0)</f>
        <v/>
      </c>
      <c r="R67" s="305" t="n">
        <v>6647.55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3IN CV LAVENDER MF TOPPER QN</t>
        </is>
      </c>
      <c r="L68" s="302" t="inlineStr">
        <is>
          <t>ECMF-03QL-IN</t>
        </is>
      </c>
      <c r="M68" s="300" t="inlineStr">
        <is>
          <t>77K91MJU</t>
        </is>
      </c>
      <c r="N68" s="301" t="inlineStr">
        <is>
          <t>F.TMT.03Q.010.BD</t>
        </is>
      </c>
      <c r="O68" s="303" t="n"/>
      <c r="P68" s="303" t="n"/>
      <c r="Q68" s="304">
        <f>IFERROR(R68/H68, 0)</f>
        <v/>
      </c>
      <c r="R68" s="305" t="n">
        <v>3661.28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3IN CV LAVENDER MF TOPPER TW</t>
        </is>
      </c>
      <c r="L69" s="302" t="inlineStr">
        <is>
          <t>ECMF-03TL-IN</t>
        </is>
      </c>
      <c r="M69" s="300" t="inlineStr">
        <is>
          <t>77K91MJU</t>
        </is>
      </c>
      <c r="N69" s="301" t="inlineStr">
        <is>
          <t>F.TMT.03T.010.BD</t>
        </is>
      </c>
      <c r="O69" s="303" t="n"/>
      <c r="P69" s="303" t="n"/>
      <c r="Q69" s="304">
        <f>IFERROR(R69/H69, 0)</f>
        <v/>
      </c>
      <c r="R69" s="305" t="n">
        <v>5525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3IN CV LAVENDER MF TOPPER TX</t>
        </is>
      </c>
      <c r="L70" s="302" t="inlineStr">
        <is>
          <t>ECMF-03TXLL-IN</t>
        </is>
      </c>
      <c r="M70" s="300" t="inlineStr">
        <is>
          <t>77K91MJU</t>
        </is>
      </c>
      <c r="N70" s="301" t="inlineStr">
        <is>
          <t>F.TMT.03X.010.BD</t>
        </is>
      </c>
      <c r="O70" s="303" t="n"/>
      <c r="P70" s="303" t="n"/>
      <c r="Q70" s="304">
        <f>IFERROR(R70/H70, 0)</f>
        <v/>
      </c>
      <c r="R70" s="305" t="n">
        <v>96.16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4IN CV LAVENDER MF TOPPER TW</t>
        </is>
      </c>
      <c r="L71" s="302" t="inlineStr">
        <is>
          <t>ECMF-LV4T-IN</t>
        </is>
      </c>
      <c r="M71" s="300" t="inlineStr">
        <is>
          <t>77K91MJU</t>
        </is>
      </c>
      <c r="N71" s="301" t="inlineStr">
        <is>
          <t>F.TMT.04T.012.BD</t>
        </is>
      </c>
      <c r="O71" s="303" t="n"/>
      <c r="P71" s="303" t="n"/>
      <c r="Q71" s="304">
        <f>IFERROR(R71/H71, 0)</f>
        <v/>
      </c>
      <c r="R71" s="305" t="n">
        <v>438.34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3IN CV LAVENDER MF TOPPER FL</t>
        </is>
      </c>
      <c r="L72" s="302" t="inlineStr">
        <is>
          <t>ECMF-03FL-IN</t>
        </is>
      </c>
      <c r="M72" s="300" t="inlineStr">
        <is>
          <t>7D4ITY4N</t>
        </is>
      </c>
      <c r="N72" s="301" t="inlineStr">
        <is>
          <t>F.TMT.03F.010.BD</t>
        </is>
      </c>
      <c r="O72" s="303" t="n"/>
      <c r="P72" s="303" t="n"/>
      <c r="Q72" s="304">
        <f>IFERROR(R72/H72, 0)</f>
        <v/>
      </c>
      <c r="R72" s="305" t="n">
        <v>4149.24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3IN CV LAVENDER MF TOPPER QN</t>
        </is>
      </c>
      <c r="L73" s="302" t="inlineStr">
        <is>
          <t>ECMF-03QL-IN</t>
        </is>
      </c>
      <c r="M73" s="300" t="inlineStr">
        <is>
          <t>7D4ITY4N</t>
        </is>
      </c>
      <c r="N73" s="301" t="inlineStr">
        <is>
          <t>F.TMT.03Q.010.BD</t>
        </is>
      </c>
      <c r="O73" s="303" t="n"/>
      <c r="P73" s="303" t="n"/>
      <c r="Q73" s="304">
        <f>IFERROR(R73/H73, 0)</f>
        <v/>
      </c>
      <c r="R73" s="305" t="n">
        <v>6295.16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3IN CV LAVENDER MF TOPPER TW</t>
        </is>
      </c>
      <c r="L74" s="302" t="inlineStr">
        <is>
          <t>ECMF-03TL-IN</t>
        </is>
      </c>
      <c r="M74" s="300" t="inlineStr">
        <is>
          <t>7D4ITY4N</t>
        </is>
      </c>
      <c r="N74" s="301" t="inlineStr">
        <is>
          <t>F.TMT.03T.010.BD</t>
        </is>
      </c>
      <c r="O74" s="303" t="n"/>
      <c r="P74" s="303" t="n"/>
      <c r="Q74" s="304">
        <f>IFERROR(R74/H74, 0)</f>
        <v/>
      </c>
      <c r="R74" s="305" t="n">
        <v>7900.75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3IN CV LAVENDER MF TOPPER TX</t>
        </is>
      </c>
      <c r="L75" s="302" t="inlineStr">
        <is>
          <t>ECMF-03TXLL-IN</t>
        </is>
      </c>
      <c r="M75" s="300" t="inlineStr">
        <is>
          <t>7D4ITY4N</t>
        </is>
      </c>
      <c r="N75" s="301" t="inlineStr">
        <is>
          <t>F.TMT.03X.010.BD</t>
        </is>
      </c>
      <c r="O75" s="303" t="n"/>
      <c r="P75" s="303" t="n"/>
      <c r="Q75" s="304">
        <f>IFERROR(R75/H75, 0)</f>
        <v/>
      </c>
      <c r="R75" s="305" t="n">
        <v>444.74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2IN CV LAVENDER MF TOPPER QN</t>
        </is>
      </c>
      <c r="L76" s="302" t="inlineStr">
        <is>
          <t>ECMF-LV2Q-IN</t>
        </is>
      </c>
      <c r="M76" s="300" t="inlineStr">
        <is>
          <t>7D4ITY4N</t>
        </is>
      </c>
      <c r="N76" s="301" t="inlineStr">
        <is>
          <t>F.TMT.02Q.008.BD</t>
        </is>
      </c>
      <c r="O76" s="303" t="n"/>
      <c r="P76" s="303" t="n"/>
      <c r="Q76" s="304">
        <f>IFERROR(R76/H76, 0)</f>
        <v/>
      </c>
      <c r="R76" s="305" t="n">
        <v>36.39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4IN CV LAVENDER MF TOPPER TW</t>
        </is>
      </c>
      <c r="L77" s="302" t="inlineStr">
        <is>
          <t>ECMF-LV4T-IN</t>
        </is>
      </c>
      <c r="M77" s="300" t="inlineStr">
        <is>
          <t>7D4ITY4N</t>
        </is>
      </c>
      <c r="N77" s="301" t="inlineStr">
        <is>
          <t>F.TMT.04T.012.BD</t>
        </is>
      </c>
      <c r="O77" s="303" t="n"/>
      <c r="P77" s="303" t="n"/>
      <c r="Q77" s="304">
        <f>IFERROR(R77/H77, 0)</f>
        <v/>
      </c>
      <c r="R77" s="305" t="n">
        <v>1216.04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3IN CV LAVENDER MF TOPPER QN</t>
        </is>
      </c>
      <c r="L78" s="302" t="inlineStr">
        <is>
          <t>ECMF-03QL-IN</t>
        </is>
      </c>
      <c r="M78" s="300" t="inlineStr">
        <is>
          <t>7MO3ZAUN</t>
        </is>
      </c>
      <c r="N78" s="301" t="inlineStr">
        <is>
          <t>F.TMT.03Q.010.BD</t>
        </is>
      </c>
      <c r="O78" s="303" t="n"/>
      <c r="P78" s="303" t="n"/>
      <c r="Q78" s="304">
        <f>IFERROR(R78/H78, 0)</f>
        <v/>
      </c>
      <c r="R78" s="305" t="n">
        <v>8499.4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3IN CV LAVENDER MF TOPPER TW</t>
        </is>
      </c>
      <c r="L79" s="302" t="inlineStr">
        <is>
          <t>ECMF-03TL-IN</t>
        </is>
      </c>
      <c r="M79" s="300" t="inlineStr">
        <is>
          <t>7MO3ZAUN</t>
        </is>
      </c>
      <c r="N79" s="301" t="inlineStr">
        <is>
          <t>F.TMT.03T.010.BD</t>
        </is>
      </c>
      <c r="O79" s="303" t="n"/>
      <c r="P79" s="303" t="n"/>
      <c r="Q79" s="304">
        <f>IFERROR(R79/H79, 0)</f>
        <v/>
      </c>
      <c r="R79" s="305" t="n">
        <v>16464.5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3IN CV LAVENDER MF TOPPER TX</t>
        </is>
      </c>
      <c r="L80" s="302" t="inlineStr">
        <is>
          <t>ECMF-03TXLL-IN</t>
        </is>
      </c>
      <c r="M80" s="300" t="inlineStr">
        <is>
          <t>7MO3ZAUN</t>
        </is>
      </c>
      <c r="N80" s="301" t="inlineStr">
        <is>
          <t>F.TMT.03X.010.BD</t>
        </is>
      </c>
      <c r="O80" s="303" t="n"/>
      <c r="P80" s="303" t="n"/>
      <c r="Q80" s="304">
        <f>IFERROR(R80/H80, 0)</f>
        <v/>
      </c>
      <c r="R80" s="305" t="n">
        <v>420.7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4IN CV LAVENDER MF TOPPER TW</t>
        </is>
      </c>
      <c r="L81" s="302" t="inlineStr">
        <is>
          <t>ECMF-LV4T-IN</t>
        </is>
      </c>
      <c r="M81" s="300" t="inlineStr">
        <is>
          <t>7MO3ZAUN</t>
        </is>
      </c>
      <c r="N81" s="301" t="inlineStr">
        <is>
          <t>F.TMT.04T.012.BD</t>
        </is>
      </c>
      <c r="O81" s="303" t="n"/>
      <c r="P81" s="303" t="n"/>
      <c r="Q81" s="304">
        <f>IFERROR(R81/H81, 0)</f>
        <v/>
      </c>
      <c r="R81" s="305" t="n">
        <v>1682.66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3IN CV LAVENDER MF TOPPER QN</t>
        </is>
      </c>
      <c r="L82" s="302" t="inlineStr">
        <is>
          <t>ECMF-03QL-IN</t>
        </is>
      </c>
      <c r="M82" s="300" t="inlineStr">
        <is>
          <t>8Y39N9EN</t>
        </is>
      </c>
      <c r="N82" s="301" t="inlineStr">
        <is>
          <t>F.TMT.03Q.010.BD</t>
        </is>
      </c>
      <c r="O82" s="303" t="n"/>
      <c r="P82" s="303" t="n"/>
      <c r="Q82" s="304">
        <f>IFERROR(R82/H82, 0)</f>
        <v/>
      </c>
      <c r="R82" s="305" t="n">
        <v>8779.6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3IN CV LAVENDER MF TOPPER TX</t>
        </is>
      </c>
      <c r="L83" s="302" t="inlineStr">
        <is>
          <t>ECMF-03TXLL-IN</t>
        </is>
      </c>
      <c r="M83" s="300" t="inlineStr">
        <is>
          <t>8Y39N9EN</t>
        </is>
      </c>
      <c r="N83" s="301" t="inlineStr">
        <is>
          <t>F.TMT.03X.010.BD</t>
        </is>
      </c>
      <c r="O83" s="303" t="n"/>
      <c r="P83" s="303" t="n"/>
      <c r="Q83" s="304">
        <f>IFERROR(R83/H83, 0)</f>
        <v/>
      </c>
      <c r="R83" s="305" t="n">
        <v>3882.46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2IN CV LAVENDER MF TOPPER QN</t>
        </is>
      </c>
      <c r="L84" s="302" t="inlineStr">
        <is>
          <t>ECMF-LV2Q-IN</t>
        </is>
      </c>
      <c r="M84" s="300" t="inlineStr">
        <is>
          <t>8Y39N9EN</t>
        </is>
      </c>
      <c r="N84" s="301" t="inlineStr">
        <is>
          <t>F.TMT.02Q.008.BD</t>
        </is>
      </c>
      <c r="O84" s="303" t="n"/>
      <c r="P84" s="303" t="n"/>
      <c r="Q84" s="304">
        <f>IFERROR(R84/H84, 0)</f>
        <v/>
      </c>
      <c r="R84" s="305" t="n">
        <v>230.47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4IN CV LAVENDER MF TOPPER TW</t>
        </is>
      </c>
      <c r="L85" s="302" t="inlineStr">
        <is>
          <t>ECMF-LV4T-IN</t>
        </is>
      </c>
      <c r="M85" s="300" t="inlineStr">
        <is>
          <t>8Y39N9EN</t>
        </is>
      </c>
      <c r="N85" s="301" t="inlineStr">
        <is>
          <t>F.TMT.04T.012.BD</t>
        </is>
      </c>
      <c r="O85" s="303" t="n"/>
      <c r="P85" s="303" t="n"/>
      <c r="Q85" s="304">
        <f>IFERROR(R85/H85, 0)</f>
        <v/>
      </c>
      <c r="R85" s="305" t="n">
        <v>1795.78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2026-07-26T07:04:16Z</dcterms:modified>
  <cp:lastModifiedBy>Chiswa Dian Hermansyah(ZINUS ZDI)</cp:lastModifiedBy>
</cp:coreProperties>
</file>