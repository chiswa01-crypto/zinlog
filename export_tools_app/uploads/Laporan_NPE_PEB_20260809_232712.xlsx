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8">
      <alignment horizontal="center" vertical="center"/>
    </xf>
    <xf numFmtId="49" fontId="9" fillId="2" borderId="15" applyAlignment="1" pivotButton="0" quotePrefix="1" xfId="4">
      <alignment horizontal="center" vertical="center"/>
    </xf>
    <xf numFmtId="14" fontId="9" fillId="2" borderId="15" applyAlignment="1" pivotButton="0" quotePrefix="1" xfId="4">
      <alignment horizontal="center" vertical="center"/>
    </xf>
    <xf numFmtId="0" fontId="9" fillId="2" borderId="15" applyAlignment="1" pivotButton="0" quotePrefix="0" xfId="4">
      <alignment horizontal="center" vertical="center"/>
    </xf>
    <xf numFmtId="0" fontId="9" fillId="2" borderId="16" applyAlignment="1" pivotButton="0" quotePrefix="0" xfId="4">
      <alignment horizontal="center"/>
    </xf>
    <xf numFmtId="14" fontId="13" fillId="2" borderId="15" applyAlignment="1" pivotButton="0" quotePrefix="0" xfId="4">
      <alignment horizontal="center" vertical="center" wrapText="1"/>
    </xf>
    <xf numFmtId="165" fontId="13" fillId="2" borderId="15" applyAlignment="1" pivotButton="0" quotePrefix="1" xfId="2">
      <alignment horizontal="center"/>
    </xf>
    <xf numFmtId="166" fontId="9" fillId="2" borderId="15" applyAlignment="1" pivotButton="0" quotePrefix="1" xfId="4">
      <alignment vertical="center" wrapText="1"/>
    </xf>
    <xf numFmtId="167" fontId="9" fillId="2" borderId="15" applyAlignment="1" pivotButton="0" quotePrefix="1" xfId="3">
      <alignment horizontal="center" vertical="center" wrapText="1"/>
    </xf>
    <xf numFmtId="168" fontId="9" fillId="2" borderId="15" applyAlignment="1" pivotButton="0" quotePrefix="1" xfId="3">
      <alignment horizontal="center" vertical="center" wrapText="1"/>
    </xf>
    <xf numFmtId="0" fontId="9" fillId="2" borderId="15" applyAlignment="1" pivotButton="0" quotePrefix="1" xfId="4">
      <alignment horizontal="center" vertical="center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4">
      <alignment horizontal="center"/>
    </xf>
    <xf numFmtId="0" fontId="9" fillId="2" borderId="15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4" fillId="0" borderId="12" applyAlignment="1" pivotButton="0" quotePrefix="0" xfId="9">
      <alignment horizontal="center" vertical="center" wrapText="1"/>
    </xf>
    <xf numFmtId="0" fontId="11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0" fontId="9" fillId="2" borderId="16" applyAlignment="1" pivotButton="0" quotePrefix="1" xfId="4">
      <alignment horizontal="center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9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9">
      <alignment horizontal="center" vertical="center"/>
    </xf>
    <xf numFmtId="0" fontId="9" fillId="2" borderId="15" applyAlignment="1" pivotButton="0" quotePrefix="0" xfId="9">
      <alignment horizont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4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49" fontId="4" fillId="0" borderId="12" applyAlignment="1" pivotButton="0" quotePrefix="0" xfId="4">
      <alignment horizontal="center" vertical="center"/>
    </xf>
    <xf numFmtId="1" fontId="9" fillId="2" borderId="15" applyAlignment="1" pivotButton="0" quotePrefix="0" xfId="4">
      <alignment horizontal="center" vertical="center" wrapText="1"/>
    </xf>
    <xf numFmtId="49" fontId="9" fillId="2" borderId="15" applyAlignment="1" pivotButton="0" quotePrefix="0" xfId="4">
      <alignment horizontal="center" vertical="center" wrapText="1"/>
    </xf>
    <xf numFmtId="49" fontId="9" fillId="2" borderId="15" applyAlignment="1" pivotButton="0" quotePrefix="0" xfId="4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" fontId="9" fillId="2" borderId="15" applyAlignment="1" pivotButton="0" quotePrefix="0" xfId="0">
      <alignment horizontal="center" vertical="center" wrapText="1"/>
    </xf>
    <xf numFmtId="14" fontId="9" fillId="2" borderId="15" applyAlignment="1" pivotButton="0" quotePrefix="0" xfId="4">
      <alignment horizontal="center" vertical="center"/>
    </xf>
    <xf numFmtId="0" fontId="9" fillId="2" borderId="15" applyAlignment="1" pivotButton="0" quotePrefix="0" xfId="4">
      <alignment horizont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9" fillId="2" borderId="15" applyAlignment="1" pivotButton="0" quotePrefix="0" xfId="0">
      <alignment horizontal="center" vertical="center" wrapText="1"/>
    </xf>
    <xf numFmtId="14" fontId="13" fillId="2" borderId="15" applyAlignment="1" pivotButton="0" quotePrefix="0" xfId="0">
      <alignment horizontal="center" vertical="center" wrapText="1"/>
    </xf>
    <xf numFmtId="166" fontId="9" fillId="2" borderId="15" applyAlignment="1" pivotButton="0" quotePrefix="0" xfId="0">
      <alignment vertical="center" wrapText="1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000030ZIK48020260804000565</t>
        </is>
      </c>
      <c r="C12" s="81" t="n">
        <v>486589</v>
      </c>
      <c r="D12" s="81" t="n">
        <v>486537</v>
      </c>
      <c r="E12" s="258" t="n">
        <v>46239</v>
      </c>
      <c r="F12" s="82" t="inlineStr">
        <is>
          <t>ID2608-8032</t>
        </is>
      </c>
      <c r="G12" s="258" t="n">
        <v>46238</v>
      </c>
      <c r="H12" s="83" t="n">
        <v>17</v>
      </c>
      <c r="I12" s="42" t="inlineStr">
        <is>
          <t>BMOU6675739</t>
        </is>
      </c>
      <c r="J12" s="42" t="inlineStr">
        <is>
          <t>40FT</t>
        </is>
      </c>
      <c r="K12" s="44" t="inlineStr">
        <is>
          <t>12IN FIRM MF MATTRESS QN</t>
        </is>
      </c>
      <c r="L12" s="84" t="inlineStr">
        <is>
          <t>WA-FMF-12Q</t>
        </is>
      </c>
      <c r="M12" s="85" t="inlineStr">
        <is>
          <t>MIWU00205</t>
        </is>
      </c>
      <c r="N12" s="44" t="inlineStr">
        <is>
          <t>F.MFM.12Q.000.BU</t>
        </is>
      </c>
      <c r="O12" s="86" t="n">
        <v>12534.77</v>
      </c>
      <c r="P12" s="86" t="n">
        <v>11336.85</v>
      </c>
      <c r="Q12" s="259">
        <f>IFERROR(R12/H12, 0)</f>
        <v/>
      </c>
      <c r="R12" s="260" t="n">
        <v>1397.4</v>
      </c>
      <c r="S12" s="261" t="n">
        <v>18062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LOS ANGELES, US</t>
        </is>
      </c>
      <c r="X12" s="51" t="inlineStr">
        <is>
          <t>MELLOW INC</t>
        </is>
      </c>
      <c r="Y12" s="52" t="inlineStr">
        <is>
          <t>HLCUJK1260741209</t>
        </is>
      </c>
      <c r="Z12" s="258" t="n">
        <v>46239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29</v>
      </c>
      <c r="I13" s="42" t="inlineStr"/>
      <c r="J13" s="42" t="inlineStr"/>
      <c r="K13" s="44" t="inlineStr">
        <is>
          <t>10IN MEDIUM MFM EK</t>
        </is>
      </c>
      <c r="L13" s="84" t="inlineStr">
        <is>
          <t>WA-MMF-10K-IN</t>
        </is>
      </c>
      <c r="M13" s="85" t="inlineStr">
        <is>
          <t>MIWU00205</t>
        </is>
      </c>
      <c r="N13" s="44" t="inlineStr">
        <is>
          <t>F.MFM.10K.005.BU</t>
        </is>
      </c>
      <c r="O13" s="86" t="n"/>
      <c r="P13" s="86" t="n"/>
      <c r="Q13" s="259">
        <f>IFERROR(R13/H13, 0)</f>
        <v/>
      </c>
      <c r="R13" s="260" t="n">
        <v>2536.63</v>
      </c>
      <c r="S13" s="261" t="n">
        <v>18062</v>
      </c>
      <c r="T13" s="261">
        <f>IFERROR(S13*R13, 0)</f>
        <v/>
      </c>
      <c r="U13" s="48" t="n"/>
      <c r="V13" s="49" t="n"/>
      <c r="W13" s="50" t="inlineStr">
        <is>
          <t>ETD : 11-08-2026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105</v>
      </c>
      <c r="I14" s="42" t="inlineStr"/>
      <c r="J14" s="42" t="inlineStr"/>
      <c r="K14" s="44" t="inlineStr">
        <is>
          <t>10IN MEDIUM MFM QN</t>
        </is>
      </c>
      <c r="L14" s="84" t="inlineStr">
        <is>
          <t>WA-MMF-10Q-IN</t>
        </is>
      </c>
      <c r="M14" s="85" t="inlineStr">
        <is>
          <t>MIWU00205</t>
        </is>
      </c>
      <c r="N14" s="44" t="inlineStr">
        <is>
          <t>F.MFM.10Q.005.BU</t>
        </is>
      </c>
      <c r="O14" s="86" t="n"/>
      <c r="P14" s="86" t="n"/>
      <c r="Q14" s="259">
        <f>IFERROR(R14/H14, 0)</f>
        <v/>
      </c>
      <c r="R14" s="260" t="n">
        <v>7513.8</v>
      </c>
      <c r="S14" s="261" t="n">
        <v>18062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90</v>
      </c>
      <c r="I15" s="42" t="inlineStr"/>
      <c r="J15" s="42" t="inlineStr"/>
      <c r="K15" s="44" t="inlineStr">
        <is>
          <t>10IN MEDIUM MFM TW</t>
        </is>
      </c>
      <c r="L15" s="84" t="inlineStr">
        <is>
          <t>WA-MMF-10T-IN</t>
        </is>
      </c>
      <c r="M15" s="85" t="inlineStr">
        <is>
          <t>MIWU00205</t>
        </is>
      </c>
      <c r="N15" s="44" t="inlineStr">
        <is>
          <t>F.MFM.10T.005.BU</t>
        </is>
      </c>
      <c r="O15" s="86" t="n"/>
      <c r="P15" s="86" t="n"/>
      <c r="Q15" s="259">
        <f>IFERROR(R15/H15, 0)</f>
        <v/>
      </c>
      <c r="R15" s="260" t="n">
        <v>4141.8</v>
      </c>
      <c r="S15" s="261" t="n">
        <v>18062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15</v>
      </c>
      <c r="I16" s="42" t="inlineStr"/>
      <c r="J16" s="42" t="inlineStr"/>
      <c r="K16" s="44" t="inlineStr">
        <is>
          <t>12IN MEDIUM MFM FL</t>
        </is>
      </c>
      <c r="L16" s="84" t="inlineStr">
        <is>
          <t>WA-MMF-12F-IN</t>
        </is>
      </c>
      <c r="M16" s="85" t="inlineStr">
        <is>
          <t>MIWU00205</t>
        </is>
      </c>
      <c r="N16" s="44" t="inlineStr">
        <is>
          <t>F.MFM.12F.005.BU</t>
        </is>
      </c>
      <c r="O16" s="86" t="n"/>
      <c r="P16" s="86" t="n"/>
      <c r="Q16" s="259">
        <f>IFERROR(R16/H16, 0)</f>
        <v/>
      </c>
      <c r="R16" s="260" t="n">
        <v>1044.75</v>
      </c>
      <c r="S16" s="261" t="n">
        <v>18062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23</v>
      </c>
      <c r="I17" s="42" t="inlineStr"/>
      <c r="J17" s="42" t="inlineStr"/>
      <c r="K17" s="44" t="inlineStr">
        <is>
          <t>12IN MEDIUM MFM QN</t>
        </is>
      </c>
      <c r="L17" s="266" t="inlineStr">
        <is>
          <t>WA-MMF-12Q-IN</t>
        </is>
      </c>
      <c r="M17" s="42" t="inlineStr">
        <is>
          <t>MIWU00205</t>
        </is>
      </c>
      <c r="N17" s="44" t="inlineStr">
        <is>
          <t>F.MFM.12Q.005.BU</t>
        </is>
      </c>
      <c r="O17" s="86" t="n"/>
      <c r="P17" s="86" t="n"/>
      <c r="Q17" s="259">
        <f>IFERROR(R17/H17, 0)</f>
        <v/>
      </c>
      <c r="R17" s="260" t="n">
        <v>1862.31</v>
      </c>
      <c r="S17" s="261" t="n">
        <v>18062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57</v>
      </c>
      <c r="I18" s="42" t="inlineStr"/>
      <c r="J18" s="42" t="inlineStr"/>
      <c r="K18" s="44" t="inlineStr">
        <is>
          <t>12IN MEDIUM MFM TW</t>
        </is>
      </c>
      <c r="L18" s="84" t="inlineStr">
        <is>
          <t>WA-MMF-12T-IN</t>
        </is>
      </c>
      <c r="M18" s="85" t="inlineStr">
        <is>
          <t>MIWU00205</t>
        </is>
      </c>
      <c r="N18" s="44" t="inlineStr">
        <is>
          <t>F.MFM.12T.005.BU</t>
        </is>
      </c>
      <c r="O18" s="86" t="n"/>
      <c r="P18" s="86" t="n"/>
      <c r="Q18" s="259">
        <f>IFERROR(R18/H18, 0)</f>
        <v/>
      </c>
      <c r="R18" s="260" t="n">
        <v>2969.7</v>
      </c>
      <c r="S18" s="261" t="n">
        <v>18062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42</v>
      </c>
      <c r="I19" s="42" t="inlineStr"/>
      <c r="J19" s="42" t="inlineStr"/>
      <c r="K19" s="44" t="inlineStr">
        <is>
          <t>6IN MEDIUM MFM FL</t>
        </is>
      </c>
      <c r="L19" s="84" t="inlineStr">
        <is>
          <t>WA-MMF-6F-IN</t>
        </is>
      </c>
      <c r="M19" s="85" t="inlineStr">
        <is>
          <t>MIWU00205</t>
        </is>
      </c>
      <c r="N19" s="44" t="inlineStr">
        <is>
          <t>F.MFM.06F.002.BU</t>
        </is>
      </c>
      <c r="O19" s="86" t="n"/>
      <c r="P19" s="86" t="n"/>
      <c r="Q19" s="259">
        <f>IFERROR(R19/H19, 0)</f>
        <v/>
      </c>
      <c r="R19" s="260" t="n">
        <v>1790.04</v>
      </c>
      <c r="S19" s="261" t="n">
        <v>18062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59</v>
      </c>
      <c r="I20" s="42" t="inlineStr"/>
      <c r="J20" s="42" t="inlineStr"/>
      <c r="K20" s="44" t="inlineStr">
        <is>
          <t>6IN MEDIUM MFM TW</t>
        </is>
      </c>
      <c r="L20" s="84" t="inlineStr">
        <is>
          <t>WA-MMF-6T-IN</t>
        </is>
      </c>
      <c r="M20" s="85" t="inlineStr">
        <is>
          <t>MIWU00205</t>
        </is>
      </c>
      <c r="N20" s="44" t="inlineStr">
        <is>
          <t>F.MFM.06T.002.BU</t>
        </is>
      </c>
      <c r="O20" s="86" t="n"/>
      <c r="P20" s="86" t="n"/>
      <c r="Q20" s="259">
        <f>IFERROR(R20/H20, 0)</f>
        <v/>
      </c>
      <c r="R20" s="260" t="n">
        <v>1893.9</v>
      </c>
      <c r="S20" s="261" t="n">
        <v>18062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52</v>
      </c>
      <c r="I21" s="42" t="inlineStr"/>
      <c r="J21" s="42" t="inlineStr"/>
      <c r="K21" s="44" t="inlineStr">
        <is>
          <t>8IN MEDIUM MFM FL</t>
        </is>
      </c>
      <c r="L21" s="84" t="inlineStr">
        <is>
          <t>WA-MMF-8F-IN</t>
        </is>
      </c>
      <c r="M21" s="85" t="inlineStr">
        <is>
          <t>MIWU00205</t>
        </is>
      </c>
      <c r="N21" s="44" t="inlineStr">
        <is>
          <t>F.MFM.08F.005.BU</t>
        </is>
      </c>
      <c r="O21" s="86" t="n"/>
      <c r="P21" s="86" t="n"/>
      <c r="Q21" s="259">
        <f>IFERROR(R21/H21, 0)</f>
        <v/>
      </c>
      <c r="R21" s="260" t="n">
        <v>2709.2</v>
      </c>
      <c r="S21" s="261" t="n">
        <v>18062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>
        <v>32</v>
      </c>
      <c r="I22" s="42" t="inlineStr"/>
      <c r="J22" s="42" t="inlineStr"/>
      <c r="K22" s="44" t="inlineStr">
        <is>
          <t>8IN MEDIUM MFM QN</t>
        </is>
      </c>
      <c r="L22" s="84" t="inlineStr">
        <is>
          <t>WA-MMF-8Q-IN</t>
        </is>
      </c>
      <c r="M22" s="85" t="inlineStr">
        <is>
          <t>MIWU00205</t>
        </is>
      </c>
      <c r="N22" s="44" t="inlineStr">
        <is>
          <t>F.MFM.08Q.005.BU</t>
        </is>
      </c>
      <c r="O22" s="86" t="n"/>
      <c r="P22" s="86" t="n"/>
      <c r="Q22" s="259">
        <f>IFERROR(R22/H22, 0)</f>
        <v/>
      </c>
      <c r="R22" s="260" t="n">
        <v>1974.08</v>
      </c>
      <c r="S22" s="261" t="n">
        <v>18062</v>
      </c>
      <c r="T22" s="261">
        <f>IFERROR(S22*R22, 0)</f>
        <v/>
      </c>
      <c r="U22" s="48" t="n"/>
      <c r="V22" s="49" t="n"/>
      <c r="W22" s="50" t="n"/>
      <c r="X22" s="51" t="n"/>
      <c r="Y22" s="52" t="n"/>
      <c r="Z22" s="258" t="n"/>
    </row>
    <row r="23" ht="16.5" customFormat="1" customHeight="1" s="262">
      <c r="A23" s="79" t="n"/>
      <c r="B23" s="80" t="n"/>
      <c r="C23" s="263" t="n"/>
      <c r="D23" s="263" t="n"/>
      <c r="E23" s="264" t="n"/>
      <c r="F23" s="265" t="n"/>
      <c r="G23" s="264" t="n"/>
      <c r="H23" s="42" t="n">
        <v>45</v>
      </c>
      <c r="I23" s="42" t="inlineStr"/>
      <c r="J23" s="42" t="inlineStr"/>
      <c r="K23" s="44" t="inlineStr">
        <is>
          <t>8IN MEDIUM MFM TW</t>
        </is>
      </c>
      <c r="L23" s="266" t="inlineStr">
        <is>
          <t>WA-MMF-8T-IN</t>
        </is>
      </c>
      <c r="M23" s="42" t="inlineStr">
        <is>
          <t>MIWU00205</t>
        </is>
      </c>
      <c r="N23" s="44" t="inlineStr">
        <is>
          <t>F.MFM.08T.005.BU</t>
        </is>
      </c>
      <c r="O23" s="86" t="n"/>
      <c r="P23" s="86" t="n"/>
      <c r="Q23" s="259">
        <f>IFERROR(R23/H23, 0)</f>
        <v/>
      </c>
      <c r="R23" s="260" t="n">
        <v>1749.6</v>
      </c>
      <c r="S23" s="261" t="n">
        <v>18062</v>
      </c>
      <c r="T23" s="261">
        <f>IFERROR(S23*R23, 0)</f>
        <v/>
      </c>
      <c r="U23" s="48" t="n"/>
      <c r="V23" s="49" t="n"/>
      <c r="W23" s="50" t="n"/>
      <c r="X23" s="51" t="n"/>
      <c r="Y23" s="267" t="n"/>
      <c r="Z23" s="268" t="n"/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34</v>
      </c>
      <c r="I24" s="42" t="inlineStr"/>
      <c r="J24" s="42" t="inlineStr"/>
      <c r="K24" s="44" t="inlineStr">
        <is>
          <t>12IN PLUSH MFM QN</t>
        </is>
      </c>
      <c r="L24" s="84" t="inlineStr">
        <is>
          <t>WA-PMF-12Q-IN</t>
        </is>
      </c>
      <c r="M24" s="42" t="inlineStr">
        <is>
          <t>MIWU00205</t>
        </is>
      </c>
      <c r="N24" s="44" t="inlineStr">
        <is>
          <t>F.MFM.12Q.006.BU</t>
        </is>
      </c>
      <c r="O24" s="86" t="n"/>
      <c r="P24" s="86" t="n"/>
      <c r="Q24" s="259">
        <f>IFERROR(R24/H24, 0)</f>
        <v/>
      </c>
      <c r="R24" s="260" t="n">
        <v>2911.08</v>
      </c>
      <c r="S24" s="261" t="n">
        <v>18062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7.1" customHeight="1" s="223" thickBot="1">
      <c r="A25" s="64" t="n"/>
      <c r="B25" s="65" t="n"/>
      <c r="C25" s="269" t="n"/>
      <c r="D25" s="270" t="n"/>
      <c r="E25" s="271" t="n"/>
      <c r="F25" s="271" t="n"/>
      <c r="G25" s="271" t="n"/>
      <c r="H25" s="272">
        <f>SUM(H12:H24)</f>
        <v/>
      </c>
      <c r="I25" s="273">
        <f>COUNTA(I12:I24)</f>
        <v/>
      </c>
      <c r="J25" s="272" t="n"/>
      <c r="K25" s="272" t="n"/>
      <c r="L25" s="274" t="n"/>
      <c r="M25" s="272" t="n"/>
      <c r="N25" s="272" t="n"/>
      <c r="O25" s="275">
        <f>SUM(O12:O24)</f>
        <v/>
      </c>
      <c r="P25" s="275">
        <f>SUM(P12:P24)</f>
        <v/>
      </c>
      <c r="Q25" s="276" t="n"/>
      <c r="R25" s="277">
        <f>SUM(R12:R24)</f>
        <v/>
      </c>
      <c r="S25" s="278" t="n"/>
      <c r="T25" s="278">
        <f>SUM(T12:T24)</f>
        <v/>
      </c>
      <c r="U25" s="279" t="n"/>
      <c r="V25" s="280" t="n"/>
      <c r="W25" s="281" t="n"/>
      <c r="X25" s="282" t="n"/>
      <c r="Y25" s="282" t="n"/>
      <c r="Z25" s="282" t="n"/>
    </row>
    <row r="26" ht="16.5" customFormat="1" customHeight="1" s="231" thickBot="1">
      <c r="A26" s="79" t="n">
        <v>2</v>
      </c>
      <c r="B26" s="80" t="inlineStr">
        <is>
          <t>000030ZIK48020260805000566</t>
        </is>
      </c>
      <c r="C26" s="283" t="n">
        <v>487492</v>
      </c>
      <c r="D26" s="283" t="n">
        <v>487439</v>
      </c>
      <c r="E26" s="268" t="n">
        <v>46239</v>
      </c>
      <c r="F26" s="284" t="inlineStr">
        <is>
          <t>ID2608-8033</t>
        </is>
      </c>
      <c r="G26" s="268" t="n">
        <v>46239</v>
      </c>
      <c r="H26" s="285" t="n">
        <v>900</v>
      </c>
      <c r="I26" s="285" t="inlineStr">
        <is>
          <t>TCKU7836966</t>
        </is>
      </c>
      <c r="J26" s="51" t="inlineStr">
        <is>
          <t>40FT</t>
        </is>
      </c>
      <c r="K26" s="286" t="inlineStr">
        <is>
          <t>8IN GREEN TEA MF MATTRESS QN</t>
        </is>
      </c>
      <c r="L26" s="287" t="inlineStr">
        <is>
          <t>SCF-STR-800Q</t>
        </is>
      </c>
      <c r="M26" s="51" t="inlineStr">
        <is>
          <t>0993631008</t>
        </is>
      </c>
      <c r="N26" s="286" t="inlineStr">
        <is>
          <t>F.MFM.08Q.000.WS</t>
        </is>
      </c>
      <c r="O26" s="288" t="n">
        <v>21510</v>
      </c>
      <c r="P26" s="288" t="n">
        <v>19188</v>
      </c>
      <c r="Q26" s="289">
        <f>IFERROR(R26/H26, 0)</f>
        <v/>
      </c>
      <c r="R26" s="290" t="n">
        <v>84573</v>
      </c>
      <c r="S26" s="291" t="n">
        <v>18062</v>
      </c>
      <c r="T26" s="291">
        <f>IFERROR(S26*R26, 0)</f>
        <v/>
      </c>
      <c r="U26" s="292" t="inlineStr">
        <is>
          <t>040300/KPPBC</t>
        </is>
      </c>
      <c r="V26" s="293" t="inlineStr">
        <is>
          <t>TG. PRIOK</t>
        </is>
      </c>
      <c r="W26" s="294" t="inlineStr">
        <is>
          <t>NORFOLK, US</t>
        </is>
      </c>
      <c r="X26" s="295" t="inlineStr">
        <is>
          <t>WALMART, INC.</t>
        </is>
      </c>
      <c r="Y26" s="293" t="inlineStr">
        <is>
          <t>CMDUDJA1511956</t>
        </is>
      </c>
      <c r="Z26" s="296" t="n">
        <v>46239</v>
      </c>
    </row>
    <row r="27" ht="16.5" customHeight="1" s="223">
      <c r="A27" s="79" t="n"/>
      <c r="B27" s="80" t="n"/>
      <c r="C27" s="297" t="n"/>
      <c r="D27" s="298" t="n"/>
      <c r="E27" s="299" t="n"/>
      <c r="F27" s="300" t="n"/>
      <c r="G27" s="299" t="n"/>
      <c r="H27" s="301" t="n"/>
      <c r="I27" s="301" t="inlineStr">
        <is>
          <t>CMAU3559086</t>
        </is>
      </c>
      <c r="J27" s="301" t="inlineStr">
        <is>
          <t>40FT</t>
        </is>
      </c>
      <c r="K27" s="286" t="n"/>
      <c r="L27" s="287" t="n"/>
      <c r="M27" s="51" t="n"/>
      <c r="N27" s="286" t="n"/>
      <c r="O27" s="302" t="n"/>
      <c r="P27" s="302" t="n"/>
      <c r="Q27" s="289" t="n"/>
      <c r="R27" s="303" t="n"/>
      <c r="S27" s="304" t="n"/>
      <c r="T27" s="304" t="n"/>
      <c r="U27" s="292" t="n"/>
      <c r="V27" s="293" t="n"/>
      <c r="W27" s="294" t="inlineStr">
        <is>
          <t>ETD : 10-08-2026</t>
        </is>
      </c>
      <c r="X27" s="295" t="n"/>
      <c r="Y27" s="293" t="n"/>
      <c r="Z27" s="296" t="n"/>
    </row>
    <row r="28" ht="17.1" customHeight="1" s="223">
      <c r="A28" s="64" t="n"/>
      <c r="B28" s="65" t="n"/>
      <c r="C28" s="270" t="n"/>
      <c r="D28" s="305" t="n"/>
      <c r="E28" s="271" t="n"/>
      <c r="F28" s="271" t="n"/>
      <c r="G28" s="271" t="n"/>
      <c r="H28" s="279">
        <f>SUM(H26:H27)</f>
        <v/>
      </c>
      <c r="I28" s="306">
        <f>COUNTA(I26:I27)</f>
        <v/>
      </c>
      <c r="J28" s="279" t="n"/>
      <c r="K28" s="272" t="n"/>
      <c r="L28" s="274" t="n"/>
      <c r="M28" s="272" t="n"/>
      <c r="N28" s="272" t="n"/>
      <c r="O28" s="307">
        <f>SUM(O26:O27)</f>
        <v/>
      </c>
      <c r="P28" s="307">
        <f>SUM(P26:P27)</f>
        <v/>
      </c>
      <c r="Q28" s="308" t="n"/>
      <c r="R28" s="309">
        <f>SUM(R26:R27)</f>
        <v/>
      </c>
      <c r="S28" s="310" t="n"/>
      <c r="T28" s="310">
        <f>SUM(T26:T27)</f>
        <v/>
      </c>
      <c r="U28" s="311" t="n"/>
      <c r="V28" s="282" t="n"/>
      <c r="W28" s="312" t="n"/>
      <c r="X28" s="282" t="n"/>
      <c r="Y28" s="282" t="n"/>
      <c r="Z28" s="282" t="n"/>
    </row>
    <row r="29" ht="16.5" customHeight="1" s="223">
      <c r="A29" s="79" t="n">
        <v>3</v>
      </c>
      <c r="B29" s="80" t="inlineStr">
        <is>
          <t>000030ZIK48020260805000567</t>
        </is>
      </c>
      <c r="C29" s="297" t="n">
        <v>487510</v>
      </c>
      <c r="D29" s="298" t="n">
        <v>487457</v>
      </c>
      <c r="E29" s="299" t="n">
        <v>46239</v>
      </c>
      <c r="F29" s="300" t="inlineStr">
        <is>
          <t>ID2608-8034</t>
        </is>
      </c>
      <c r="G29" s="299" t="n">
        <v>46239</v>
      </c>
      <c r="H29" s="301" t="n">
        <v>520</v>
      </c>
      <c r="I29" s="301" t="inlineStr">
        <is>
          <t>CMAU9377725</t>
        </is>
      </c>
      <c r="J29" s="301" t="inlineStr">
        <is>
          <t>40FT</t>
        </is>
      </c>
      <c r="K29" s="313" t="inlineStr">
        <is>
          <t>8IN GREEN TEA MF MATTRESS FL</t>
        </is>
      </c>
      <c r="L29" s="314" t="inlineStr">
        <is>
          <t>SCF-STR-800F</t>
        </is>
      </c>
      <c r="M29" s="315" t="inlineStr">
        <is>
          <t>0993630591</t>
        </is>
      </c>
      <c r="N29" s="313" t="inlineStr">
        <is>
          <t>F.MFM.08F.000.WS</t>
        </is>
      </c>
      <c r="O29" s="302" t="n">
        <v>10618.4</v>
      </c>
      <c r="P29" s="302" t="n">
        <v>9370.4</v>
      </c>
      <c r="Q29" s="316">
        <f>IFERROR(R29/H29, 0)</f>
        <v/>
      </c>
      <c r="R29" s="303" t="n">
        <v>41480.4</v>
      </c>
      <c r="S29" s="304" t="n">
        <v>18062</v>
      </c>
      <c r="T29" s="261">
        <f>IFERROR(S29*R29, 0)</f>
        <v/>
      </c>
      <c r="U29" s="317" t="inlineStr">
        <is>
          <t>040300/KPPBC</t>
        </is>
      </c>
      <c r="V29" s="293" t="inlineStr">
        <is>
          <t>TG. PRIOK</t>
        </is>
      </c>
      <c r="W29" s="294" t="inlineStr">
        <is>
          <t>NORFOLK, US</t>
        </is>
      </c>
      <c r="X29" s="295" t="inlineStr">
        <is>
          <t>WALMART, INC.</t>
        </is>
      </c>
      <c r="Y29" s="293" t="inlineStr">
        <is>
          <t>CMDUDJA1512017</t>
        </is>
      </c>
      <c r="Z29" s="296" t="n">
        <v>46239</v>
      </c>
    </row>
    <row r="30" ht="16.5" customHeight="1" s="223" thickBot="1">
      <c r="A30" s="79" t="n"/>
      <c r="B30" s="80" t="n"/>
      <c r="C30" s="297" t="n"/>
      <c r="D30" s="297" t="n"/>
      <c r="E30" s="299" t="n"/>
      <c r="F30" s="300" t="n"/>
      <c r="G30" s="299" t="n"/>
      <c r="H30" s="301" t="n"/>
      <c r="I30" s="301" t="n"/>
      <c r="J30" s="301" t="n"/>
      <c r="K30" s="286" t="n"/>
      <c r="L30" s="287" t="n"/>
      <c r="M30" s="51" t="n"/>
      <c r="N30" s="313" t="n"/>
      <c r="O30" s="302" t="n"/>
      <c r="P30" s="302" t="n"/>
      <c r="Q30" s="316" t="n"/>
      <c r="R30" s="260" t="n"/>
      <c r="S30" s="261" t="n"/>
      <c r="T30" s="304" t="n"/>
      <c r="U30" s="318" t="n"/>
      <c r="V30" s="319" t="n"/>
      <c r="W30" s="320" t="inlineStr">
        <is>
          <t>ETD : 10-08-2026</t>
        </is>
      </c>
      <c r="X30" s="315" t="n"/>
      <c r="Y30" s="319" t="n"/>
      <c r="Z30" s="321" t="n"/>
    </row>
    <row r="31" ht="17.1" customHeight="1" s="223" thickTop="1">
      <c r="A31" s="64" t="n"/>
      <c r="B31" s="65" t="n"/>
      <c r="C31" s="270" t="n"/>
      <c r="D31" s="270" t="n"/>
      <c r="E31" s="271" t="n"/>
      <c r="F31" s="271" t="n"/>
      <c r="G31" s="271" t="n"/>
      <c r="H31" s="272">
        <f>SUM(H29:H30)</f>
        <v/>
      </c>
      <c r="I31" s="273">
        <f>COUNTA(I29:I30)</f>
        <v/>
      </c>
      <c r="J31" s="322" t="n"/>
      <c r="K31" s="272" t="n"/>
      <c r="L31" s="274" t="n"/>
      <c r="M31" s="272" t="n"/>
      <c r="N31" s="272" t="n"/>
      <c r="O31" s="307">
        <f>SUM(O29:O30)</f>
        <v/>
      </c>
      <c r="P31" s="323">
        <f>SUM(P29:P30)</f>
        <v/>
      </c>
      <c r="Q31" s="324" t="n"/>
      <c r="R31" s="325">
        <f>SUM(R29:R30)</f>
        <v/>
      </c>
      <c r="S31" s="326" t="n"/>
      <c r="T31" s="326">
        <f>SUM(T29:T30)</f>
        <v/>
      </c>
      <c r="U31" s="272" t="n"/>
      <c r="V31" s="327" t="n"/>
      <c r="W31" s="328" t="n"/>
      <c r="X31" s="327" t="n"/>
      <c r="Y31" s="327" t="n"/>
      <c r="Z31" s="327" t="n"/>
    </row>
    <row r="32" ht="16.5" customHeight="1" s="223">
      <c r="A32" s="329" t="n">
        <v>4</v>
      </c>
      <c r="B32" s="80" t="inlineStr">
        <is>
          <t>000030ZIK48020260805000568</t>
        </is>
      </c>
      <c r="C32" s="283" t="n">
        <v>394318</v>
      </c>
      <c r="D32" s="298" t="n">
        <v>394072</v>
      </c>
      <c r="E32" s="321" t="n">
        <v>46239</v>
      </c>
      <c r="F32" s="330" t="inlineStr">
        <is>
          <t>SPL/027/ZDI/VIII/2026</t>
        </is>
      </c>
      <c r="G32" s="299" t="n">
        <v>46239</v>
      </c>
      <c r="H32" s="51" t="n">
        <v>1</v>
      </c>
      <c r="I32" s="51" t="inlineStr"/>
      <c r="J32" s="315" t="inlineStr"/>
      <c r="K32" s="286" t="inlineStr">
        <is>
          <t>OUTCOVER SAMPLE (MFGN-10Q NEW DESIGN)</t>
        </is>
      </c>
      <c r="L32" s="287" t="inlineStr"/>
      <c r="M32" s="51" t="inlineStr"/>
      <c r="N32" s="286" t="inlineStr">
        <is>
          <t>S.SMPL.Z0001</t>
        </is>
      </c>
      <c r="O32" s="302" t="n">
        <v>2.92</v>
      </c>
      <c r="P32" s="86" t="n">
        <v>2.14</v>
      </c>
      <c r="Q32" s="331">
        <f>IFERROR(R32/H32, 0)</f>
        <v/>
      </c>
      <c r="R32" s="260" t="n">
        <v>9.880000000000001</v>
      </c>
      <c r="S32" s="261" t="n">
        <v>18062</v>
      </c>
      <c r="T32" s="261">
        <f>IFERROR(S32*R32, 0)</f>
        <v/>
      </c>
      <c r="U32" s="318" t="inlineStr">
        <is>
          <t>050100/KPPBC</t>
        </is>
      </c>
      <c r="V32" s="319" t="inlineStr">
        <is>
          <t>S. HATTA</t>
        </is>
      </c>
      <c r="W32" s="320" t="inlineStr">
        <is>
          <t>XIAMEN, US</t>
        </is>
      </c>
      <c r="X32" s="315" t="inlineStr">
        <is>
          <t>ZINUS (XIAMEN) INC.</t>
        </is>
      </c>
      <c r="Y32" s="319" t="inlineStr">
        <is>
          <t>875344753250</t>
        </is>
      </c>
      <c r="Z32" s="321" t="n">
        <v>46239</v>
      </c>
    </row>
    <row r="33" ht="16.5" customHeight="1" s="223">
      <c r="A33" s="329" t="n"/>
      <c r="B33" s="332" t="n"/>
      <c r="C33" s="283" t="n"/>
      <c r="D33" s="298" t="n"/>
      <c r="E33" s="321" t="n"/>
      <c r="F33" s="330" t="n"/>
      <c r="G33" s="321" t="n"/>
      <c r="H33" s="51" t="n"/>
      <c r="I33" s="51" t="n"/>
      <c r="J33" s="315" t="n"/>
      <c r="K33" s="286" t="n"/>
      <c r="L33" s="287" t="n"/>
      <c r="M33" s="51" t="n"/>
      <c r="N33" s="286" t="n"/>
      <c r="O33" s="302" t="n"/>
      <c r="P33" s="86" t="n"/>
      <c r="Q33" s="331" t="n"/>
      <c r="R33" s="260" t="n"/>
      <c r="S33" s="261" t="n"/>
      <c r="T33" s="261" t="n"/>
      <c r="U33" s="318" t="n"/>
      <c r="V33" s="319" t="n"/>
      <c r="W33" s="320" t="inlineStr">
        <is>
          <t>ETD : 12-08-2026</t>
        </is>
      </c>
      <c r="X33" s="315" t="n"/>
      <c r="Y33" s="319" t="n"/>
      <c r="Z33" s="321" t="n"/>
    </row>
    <row r="34" ht="17.1" customHeight="1" s="223">
      <c r="A34" s="333" t="n"/>
      <c r="B34" s="334" t="n"/>
      <c r="C34" s="335" t="n"/>
      <c r="D34" s="305" t="n"/>
      <c r="E34" s="336" t="n"/>
      <c r="F34" s="336" t="n"/>
      <c r="G34" s="336" t="n"/>
      <c r="H34" s="322">
        <f>SUM(H32:H33)</f>
        <v/>
      </c>
      <c r="I34" s="337">
        <f>COUNTA(I32:I33)</f>
        <v/>
      </c>
      <c r="J34" s="322" t="n"/>
      <c r="K34" s="272" t="n"/>
      <c r="L34" s="274" t="n"/>
      <c r="M34" s="272" t="n"/>
      <c r="N34" s="272" t="n"/>
      <c r="O34" s="307">
        <f>SUM(O32:O33)</f>
        <v/>
      </c>
      <c r="P34" s="323">
        <f>SUM(P32:P33)</f>
        <v/>
      </c>
      <c r="Q34" s="324" t="n"/>
      <c r="R34" s="325">
        <f>SUM(R32:R33)</f>
        <v/>
      </c>
      <c r="S34" s="326" t="n"/>
      <c r="T34" s="326">
        <f>SUM(T32:T33)</f>
        <v/>
      </c>
      <c r="U34" s="272" t="n"/>
      <c r="V34" s="327" t="n"/>
      <c r="W34" s="328" t="n"/>
      <c r="X34" s="327" t="n"/>
      <c r="Y34" s="327" t="n"/>
      <c r="Z34" s="327" t="n"/>
    </row>
    <row r="35" ht="16.5" customHeight="1" s="223">
      <c r="A35" s="329" t="n">
        <v>5</v>
      </c>
      <c r="B35" s="332" t="inlineStr">
        <is>
          <t>000030ZIK48020260805000569</t>
        </is>
      </c>
      <c r="C35" s="283" t="n">
        <v>490284</v>
      </c>
      <c r="D35" s="298" t="n">
        <v>490223</v>
      </c>
      <c r="E35" s="321" t="n">
        <v>46240</v>
      </c>
      <c r="F35" s="330" t="inlineStr">
        <is>
          <t>ID2608-8037</t>
        </is>
      </c>
      <c r="G35" s="321" t="n">
        <v>46239</v>
      </c>
      <c r="H35" s="315" t="n">
        <v>900</v>
      </c>
      <c r="I35" s="315" t="inlineStr">
        <is>
          <t>ONEU0943340</t>
        </is>
      </c>
      <c r="J35" s="315" t="inlineStr">
        <is>
          <t>40FT</t>
        </is>
      </c>
      <c r="K35" s="286" t="inlineStr">
        <is>
          <t>8IN GREEN TEA MF MATTRESS QN</t>
        </is>
      </c>
      <c r="L35" s="287" t="inlineStr">
        <is>
          <t>SCF-STR-800Q</t>
        </is>
      </c>
      <c r="M35" s="51" t="inlineStr">
        <is>
          <t>0993630480</t>
        </is>
      </c>
      <c r="N35" s="286" t="inlineStr">
        <is>
          <t>F.MFM.08Q.000.WS</t>
        </is>
      </c>
      <c r="O35" s="302" t="n">
        <v>21510</v>
      </c>
      <c r="P35" s="86" t="n">
        <v>19188</v>
      </c>
      <c r="Q35" s="331">
        <f>IFERROR(R35/H35, 0)</f>
        <v/>
      </c>
      <c r="R35" s="260" t="n">
        <v>84573</v>
      </c>
      <c r="S35" s="261" t="n">
        <v>18062</v>
      </c>
      <c r="T35" s="261">
        <f>IFERROR(S35*R35, 0)</f>
        <v/>
      </c>
      <c r="U35" s="318" t="inlineStr">
        <is>
          <t>040300/KPPBC</t>
        </is>
      </c>
      <c r="V35" s="319" t="inlineStr">
        <is>
          <t>TG. PRIOK</t>
        </is>
      </c>
      <c r="W35" s="320" t="inlineStr">
        <is>
          <t>MOBILE, US</t>
        </is>
      </c>
      <c r="X35" s="315" t="inlineStr">
        <is>
          <t>WALMART, INC.</t>
        </is>
      </c>
      <c r="Y35" s="319" t="inlineStr">
        <is>
          <t>ONEYJKTG63665700</t>
        </is>
      </c>
      <c r="Z35" s="321" t="n">
        <v>46240</v>
      </c>
    </row>
    <row r="36" ht="16.5" customHeight="1" s="223">
      <c r="A36" s="329" t="n"/>
      <c r="B36" s="332" t="n"/>
      <c r="C36" s="283" t="n"/>
      <c r="D36" s="298" t="n"/>
      <c r="E36" s="321" t="n"/>
      <c r="F36" s="330" t="n"/>
      <c r="G36" s="321" t="n"/>
      <c r="H36" s="315" t="n"/>
      <c r="I36" s="315" t="inlineStr">
        <is>
          <t>ONEU5894613</t>
        </is>
      </c>
      <c r="J36" s="315" t="inlineStr">
        <is>
          <t>40FT</t>
        </is>
      </c>
      <c r="K36" s="286" t="n"/>
      <c r="L36" s="287" t="n"/>
      <c r="M36" s="51" t="n"/>
      <c r="N36" s="286" t="n"/>
      <c r="O36" s="302" t="n"/>
      <c r="P36" s="86" t="n"/>
      <c r="Q36" s="331" t="n"/>
      <c r="R36" s="260" t="n"/>
      <c r="S36" s="261" t="n"/>
      <c r="T36" s="261" t="n"/>
      <c r="U36" s="318" t="n"/>
      <c r="V36" s="319" t="n"/>
      <c r="W36" s="320" t="inlineStr">
        <is>
          <t>ETD : 12-08-2026</t>
        </is>
      </c>
      <c r="X36" s="315" t="n"/>
      <c r="Y36" s="319" t="n"/>
      <c r="Z36" s="321" t="n"/>
    </row>
    <row r="37" ht="17.1" customHeight="1" s="223">
      <c r="A37" s="333" t="n"/>
      <c r="B37" s="334" t="n"/>
      <c r="C37" s="335" t="n"/>
      <c r="D37" s="305" t="n"/>
      <c r="E37" s="336" t="n"/>
      <c r="F37" s="336" t="n"/>
      <c r="G37" s="336" t="n"/>
      <c r="H37" s="322">
        <f>SUM(H35:H36)</f>
        <v/>
      </c>
      <c r="I37" s="337">
        <f>COUNTA(I35:I36)</f>
        <v/>
      </c>
      <c r="J37" s="322" t="n"/>
      <c r="K37" s="272" t="n"/>
      <c r="L37" s="274" t="n"/>
      <c r="M37" s="272" t="n"/>
      <c r="N37" s="272" t="n"/>
      <c r="O37" s="307">
        <f>SUM(O35:O36)</f>
        <v/>
      </c>
      <c r="P37" s="323">
        <f>SUM(P35:P36)</f>
        <v/>
      </c>
      <c r="Q37" s="324" t="n"/>
      <c r="R37" s="325">
        <f>SUM(R35:R36)</f>
        <v/>
      </c>
      <c r="S37" s="326" t="n"/>
      <c r="T37" s="326">
        <f>SUM(T35:T36)</f>
        <v/>
      </c>
      <c r="U37" s="272" t="n"/>
      <c r="V37" s="327" t="n"/>
      <c r="W37" s="328" t="n"/>
      <c r="X37" s="327" t="n"/>
      <c r="Y37" s="327" t="n"/>
      <c r="Z37" s="327" t="n"/>
    </row>
    <row r="38" ht="16.5" customHeight="1" s="223">
      <c r="A38" s="329" t="n">
        <v>6</v>
      </c>
      <c r="B38" s="332" t="inlineStr">
        <is>
          <t>000030ZIK48020260805000570</t>
        </is>
      </c>
      <c r="C38" s="283" t="n">
        <v>490466</v>
      </c>
      <c r="D38" s="298" t="n">
        <v>490405</v>
      </c>
      <c r="E38" s="321" t="n">
        <v>46240</v>
      </c>
      <c r="F38" s="330" t="inlineStr">
        <is>
          <t>ID2608-8038</t>
        </is>
      </c>
      <c r="G38" s="321" t="n">
        <v>46239</v>
      </c>
      <c r="H38" s="315" t="n">
        <v>520</v>
      </c>
      <c r="I38" s="315" t="inlineStr">
        <is>
          <t>ONEU6596470</t>
        </is>
      </c>
      <c r="J38" s="315" t="inlineStr">
        <is>
          <t>40FT</t>
        </is>
      </c>
      <c r="K38" s="286" t="inlineStr">
        <is>
          <t>8IN GREEN TEA MF MATTRESS FL</t>
        </is>
      </c>
      <c r="L38" s="287" t="inlineStr">
        <is>
          <t>SCF-STR-800F</t>
        </is>
      </c>
      <c r="M38" s="51" t="inlineStr">
        <is>
          <t>0993630677</t>
        </is>
      </c>
      <c r="N38" s="286" t="inlineStr">
        <is>
          <t>F.MFM.08F.000.WS</t>
        </is>
      </c>
      <c r="O38" s="302" t="n">
        <v>10618.4</v>
      </c>
      <c r="P38" s="302" t="n">
        <v>9370.4</v>
      </c>
      <c r="Q38" s="316">
        <f>IFERROR(R38/H38, 0)</f>
        <v/>
      </c>
      <c r="R38" s="303" t="n">
        <v>41480.4</v>
      </c>
      <c r="S38" s="304" t="n">
        <v>18062</v>
      </c>
      <c r="T38" s="304">
        <f>IFERROR(S38*R38, 0)</f>
        <v/>
      </c>
      <c r="U38" s="317" t="inlineStr">
        <is>
          <t>040300/KPPBC</t>
        </is>
      </c>
      <c r="V38" s="319" t="inlineStr">
        <is>
          <t>TG. PRIOK</t>
        </is>
      </c>
      <c r="W38" s="320" t="inlineStr">
        <is>
          <t>MOBILE, US</t>
        </is>
      </c>
      <c r="X38" s="315" t="inlineStr">
        <is>
          <t>WALMART, INC.</t>
        </is>
      </c>
      <c r="Y38" s="319" t="inlineStr">
        <is>
          <t>ONEYJKTG63665701</t>
        </is>
      </c>
      <c r="Z38" s="321" t="n">
        <v>46240</v>
      </c>
    </row>
    <row r="39" ht="16.5" customHeight="1" s="223" thickBot="1">
      <c r="A39" s="329" t="n"/>
      <c r="B39" s="332" t="n"/>
      <c r="C39" s="283" t="n"/>
      <c r="D39" s="283" t="n"/>
      <c r="E39" s="321" t="n"/>
      <c r="F39" s="330" t="n"/>
      <c r="G39" s="321" t="n"/>
      <c r="H39" s="315" t="n"/>
      <c r="I39" s="315" t="n"/>
      <c r="J39" s="315" t="n"/>
      <c r="K39" s="313" t="n"/>
      <c r="L39" s="314" t="n"/>
      <c r="M39" s="315" t="n"/>
      <c r="N39" s="313" t="n"/>
      <c r="O39" s="302" t="n"/>
      <c r="P39" s="302" t="n"/>
      <c r="Q39" s="316" t="n"/>
      <c r="R39" s="303" t="n"/>
      <c r="S39" s="304" t="n"/>
      <c r="T39" s="304" t="n"/>
      <c r="U39" s="317" t="n"/>
      <c r="V39" s="319" t="n"/>
      <c r="W39" s="320" t="inlineStr">
        <is>
          <t>ETD : 12-08-2026</t>
        </is>
      </c>
      <c r="X39" s="315" t="n"/>
      <c r="Y39" s="319" t="n"/>
      <c r="Z39" s="321" t="n"/>
    </row>
    <row r="40" ht="17.1" customFormat="1" customHeight="1" s="17" thickTop="1">
      <c r="A40" s="338" t="n"/>
      <c r="B40" s="334" t="n"/>
      <c r="C40" s="335" t="n"/>
      <c r="D40" s="335" t="n"/>
      <c r="E40" s="339" t="n"/>
      <c r="F40" s="339" t="n"/>
      <c r="G40" s="339" t="n"/>
      <c r="H40" s="272">
        <f>SUM(H38:H39)</f>
        <v/>
      </c>
      <c r="I40" s="273">
        <f>COUNTA(I38:I39)</f>
        <v/>
      </c>
      <c r="J40" s="272" t="n"/>
      <c r="K40" s="272" t="n"/>
      <c r="L40" s="274" t="n"/>
      <c r="M40" s="272" t="n"/>
      <c r="N40" s="272" t="n"/>
      <c r="O40" s="323">
        <f>SUM(O38:O39)</f>
        <v/>
      </c>
      <c r="P40" s="323">
        <f>SUM(P38:P39)</f>
        <v/>
      </c>
      <c r="Q40" s="324" t="n"/>
      <c r="R40" s="325">
        <f>SUM(R38:R39)</f>
        <v/>
      </c>
      <c r="S40" s="326" t="n"/>
      <c r="T40" s="326">
        <f>SUM(T38:T39)</f>
        <v/>
      </c>
      <c r="U40" s="272" t="n"/>
      <c r="V40" s="77" t="n"/>
      <c r="W40" s="340" t="n"/>
      <c r="X40" s="77" t="n"/>
      <c r="Y40" s="77" t="n"/>
      <c r="Z40" s="77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41" t="n">
        <v>7</v>
      </c>
      <c r="B41" s="342" t="inlineStr">
        <is>
          <t>000030ZIK48020260805000571</t>
        </is>
      </c>
      <c r="C41" s="298" t="n">
        <v>490062</v>
      </c>
      <c r="D41" s="298" t="n">
        <v>490002</v>
      </c>
      <c r="E41" s="321" t="n">
        <v>46240</v>
      </c>
      <c r="F41" s="330" t="inlineStr">
        <is>
          <t>ID2608-8042</t>
        </is>
      </c>
      <c r="G41" s="321" t="n">
        <v>46239</v>
      </c>
      <c r="H41" s="315" t="n">
        <v>42</v>
      </c>
      <c r="I41" s="315" t="inlineStr">
        <is>
          <t>NYKU5109082</t>
        </is>
      </c>
      <c r="J41" s="315" t="inlineStr">
        <is>
          <t>40FT</t>
        </is>
      </c>
      <c r="K41" s="313" t="inlineStr">
        <is>
          <t>10IN MEDIUM MFM FL</t>
        </is>
      </c>
      <c r="L41" s="314" t="inlineStr">
        <is>
          <t>WA-MMF-10F-IN</t>
        </is>
      </c>
      <c r="M41" s="315" t="inlineStr">
        <is>
          <t>MIWU00206</t>
        </is>
      </c>
      <c r="N41" s="313" t="inlineStr">
        <is>
          <t>F.MFM.10F.005.BU</t>
        </is>
      </c>
      <c r="O41" s="302" t="n">
        <v>12421.9</v>
      </c>
      <c r="P41" s="302" t="n">
        <v>11283.9</v>
      </c>
      <c r="Q41" s="316">
        <f>IFERROR(R41/H41, 0)</f>
        <v/>
      </c>
      <c r="R41" s="303" t="n">
        <v>2535.96</v>
      </c>
      <c r="S41" s="304" t="n">
        <v>18062</v>
      </c>
      <c r="T41" s="304">
        <f>IFERROR(S41*R41, 0)</f>
        <v/>
      </c>
      <c r="U41" s="317" t="inlineStr">
        <is>
          <t>040300/KPPBC</t>
        </is>
      </c>
      <c r="V41" s="319" t="inlineStr">
        <is>
          <t>TG. PRIOK</t>
        </is>
      </c>
      <c r="W41" s="320" t="inlineStr">
        <is>
          <t>TACOMA, US</t>
        </is>
      </c>
      <c r="X41" s="315" t="inlineStr">
        <is>
          <t>MELLOW INC</t>
        </is>
      </c>
      <c r="Y41" s="319" t="inlineStr">
        <is>
          <t>ONEYJKTG57219500</t>
        </is>
      </c>
      <c r="Z41" s="321" t="n">
        <v>46240</v>
      </c>
    </row>
    <row r="42" ht="16.5" customHeight="1" s="223">
      <c r="A42" s="341" t="n"/>
      <c r="B42" s="342" t="n"/>
      <c r="C42" s="298" t="n"/>
      <c r="D42" s="298" t="n"/>
      <c r="E42" s="321" t="n"/>
      <c r="F42" s="330" t="n"/>
      <c r="G42" s="321" t="n"/>
      <c r="H42" s="315" t="n">
        <v>142</v>
      </c>
      <c r="I42" s="315" t="inlineStr"/>
      <c r="J42" s="315" t="inlineStr"/>
      <c r="K42" s="313" t="inlineStr">
        <is>
          <t>10IN MEDIUM MFM QN</t>
        </is>
      </c>
      <c r="L42" s="314" t="inlineStr">
        <is>
          <t>WA-MMF-10Q-IN</t>
        </is>
      </c>
      <c r="M42" s="315" t="inlineStr">
        <is>
          <t>MIWU00206</t>
        </is>
      </c>
      <c r="N42" s="313" t="inlineStr">
        <is>
          <t>F.MFM.10Q.005.BU</t>
        </is>
      </c>
      <c r="O42" s="302" t="n"/>
      <c r="P42" s="302" t="n"/>
      <c r="Q42" s="316">
        <f>IFERROR(R42/H42, 0)</f>
        <v/>
      </c>
      <c r="R42" s="303" t="n">
        <v>10161.52</v>
      </c>
      <c r="S42" s="304" t="n">
        <v>18062</v>
      </c>
      <c r="T42" s="304">
        <f>IFERROR(S42*R42, 0)</f>
        <v/>
      </c>
      <c r="U42" s="317" t="n"/>
      <c r="V42" s="319" t="n"/>
      <c r="W42" s="320" t="inlineStr">
        <is>
          <t>ETD : 12-08-2026</t>
        </is>
      </c>
      <c r="X42" s="315" t="n"/>
      <c r="Y42" s="319" t="n"/>
      <c r="Z42" s="321" t="n"/>
    </row>
    <row r="43" ht="16.5" customHeight="1" s="223">
      <c r="A43" s="341" t="n"/>
      <c r="B43" s="342" t="n"/>
      <c r="C43" s="298" t="n"/>
      <c r="D43" s="298" t="n"/>
      <c r="E43" s="321" t="n"/>
      <c r="F43" s="330" t="n"/>
      <c r="G43" s="321" t="n"/>
      <c r="H43" s="315" t="n">
        <v>102</v>
      </c>
      <c r="I43" s="315" t="inlineStr"/>
      <c r="J43" s="315" t="inlineStr"/>
      <c r="K43" s="313" t="inlineStr">
        <is>
          <t>10IN MEDIUM MFM TW</t>
        </is>
      </c>
      <c r="L43" s="314" t="inlineStr">
        <is>
          <t>WA-MMF-10T-IN</t>
        </is>
      </c>
      <c r="M43" s="315" t="inlineStr">
        <is>
          <t>MIWU00206</t>
        </is>
      </c>
      <c r="N43" s="313" t="inlineStr">
        <is>
          <t>F.MFM.10T.005.BU</t>
        </is>
      </c>
      <c r="O43" s="302" t="n"/>
      <c r="P43" s="302" t="n"/>
      <c r="Q43" s="316">
        <f>IFERROR(R43/H43, 0)</f>
        <v/>
      </c>
      <c r="R43" s="303" t="n">
        <v>4694.04</v>
      </c>
      <c r="S43" s="304" t="n">
        <v>18062</v>
      </c>
      <c r="T43" s="304">
        <f>IFERROR(S43*R43, 0)</f>
        <v/>
      </c>
      <c r="U43" s="317" t="n"/>
      <c r="V43" s="319" t="n"/>
      <c r="W43" s="320" t="n"/>
      <c r="X43" s="315" t="n"/>
      <c r="Y43" s="319" t="n"/>
      <c r="Z43" s="321" t="n"/>
    </row>
    <row r="44" ht="16.5" customHeight="1" s="223">
      <c r="A44" s="341" t="n"/>
      <c r="B44" s="342" t="n"/>
      <c r="C44" s="298" t="n"/>
      <c r="D44" s="298" t="n"/>
      <c r="E44" s="321" t="n"/>
      <c r="F44" s="330" t="n"/>
      <c r="G44" s="321" t="n"/>
      <c r="H44" s="315" t="n">
        <v>17</v>
      </c>
      <c r="I44" s="315" t="inlineStr"/>
      <c r="J44" s="315" t="inlineStr"/>
      <c r="K44" s="313" t="inlineStr">
        <is>
          <t>12IN MEDIUM MFM EK</t>
        </is>
      </c>
      <c r="L44" s="314" t="inlineStr">
        <is>
          <t>WA-MMF-12K-IN</t>
        </is>
      </c>
      <c r="M44" s="315" t="inlineStr">
        <is>
          <t>MIWU00206</t>
        </is>
      </c>
      <c r="N44" s="313" t="inlineStr">
        <is>
          <t>F.MFM.12K.005.BU</t>
        </is>
      </c>
      <c r="O44" s="302" t="n"/>
      <c r="P44" s="302" t="n"/>
      <c r="Q44" s="316">
        <f>IFERROR(R44/H44, 0)</f>
        <v/>
      </c>
      <c r="R44" s="303" t="n">
        <v>1680.62</v>
      </c>
      <c r="S44" s="304" t="n">
        <v>18062</v>
      </c>
      <c r="T44" s="304">
        <f>IFERROR(S44*R44, 0)</f>
        <v/>
      </c>
      <c r="U44" s="317" t="n"/>
      <c r="V44" s="319" t="n"/>
      <c r="W44" s="320" t="n"/>
      <c r="X44" s="315" t="n"/>
      <c r="Y44" s="319" t="n"/>
      <c r="Z44" s="321" t="n"/>
    </row>
    <row r="45" ht="16.5" customHeight="1" s="223">
      <c r="A45" s="341" t="n"/>
      <c r="B45" s="342" t="n"/>
      <c r="C45" s="298" t="n"/>
      <c r="D45" s="298" t="n"/>
      <c r="E45" s="321" t="n"/>
      <c r="F45" s="330" t="n"/>
      <c r="G45" s="321" t="n"/>
      <c r="H45" s="315" t="n">
        <v>31</v>
      </c>
      <c r="I45" s="315" t="inlineStr"/>
      <c r="J45" s="315" t="inlineStr"/>
      <c r="K45" s="313" t="inlineStr">
        <is>
          <t>6IN MEDIUM MFM TW</t>
        </is>
      </c>
      <c r="L45" s="314" t="inlineStr">
        <is>
          <t>WA-MMF-6T-IN</t>
        </is>
      </c>
      <c r="M45" s="315" t="inlineStr">
        <is>
          <t>MIWU00206</t>
        </is>
      </c>
      <c r="N45" s="313" t="inlineStr">
        <is>
          <t>F.MFM.06T.002.BU</t>
        </is>
      </c>
      <c r="O45" s="302" t="n"/>
      <c r="P45" s="302" t="n"/>
      <c r="Q45" s="316">
        <f>IFERROR(R45/H45, 0)</f>
        <v/>
      </c>
      <c r="R45" s="303" t="n">
        <v>995.1</v>
      </c>
      <c r="S45" s="304" t="n">
        <v>18062</v>
      </c>
      <c r="T45" s="304">
        <f>IFERROR(S45*R45, 0)</f>
        <v/>
      </c>
      <c r="U45" s="317" t="n"/>
      <c r="V45" s="319" t="n"/>
      <c r="W45" s="320" t="n"/>
      <c r="X45" s="315" t="n"/>
      <c r="Y45" s="319" t="n"/>
      <c r="Z45" s="321" t="n"/>
    </row>
    <row r="46" ht="16.5" customHeight="1" s="223">
      <c r="A46" s="341" t="n"/>
      <c r="B46" s="342" t="n"/>
      <c r="C46" s="298" t="n"/>
      <c r="D46" s="298" t="n"/>
      <c r="E46" s="321" t="n"/>
      <c r="F46" s="330" t="n"/>
      <c r="G46" s="321" t="n"/>
      <c r="H46" s="315" t="n">
        <v>21</v>
      </c>
      <c r="I46" s="315" t="inlineStr"/>
      <c r="J46" s="315" t="inlineStr"/>
      <c r="K46" s="313" t="inlineStr">
        <is>
          <t>10IN PLUSH MFM FL</t>
        </is>
      </c>
      <c r="L46" s="314" t="inlineStr">
        <is>
          <t>WA-PMF-10F-IN</t>
        </is>
      </c>
      <c r="M46" s="315" t="inlineStr">
        <is>
          <t>MIWU00206</t>
        </is>
      </c>
      <c r="N46" s="313" t="inlineStr">
        <is>
          <t>F.MFM.10F.006.BU</t>
        </is>
      </c>
      <c r="O46" s="302" t="n"/>
      <c r="P46" s="302" t="n"/>
      <c r="Q46" s="316">
        <f>IFERROR(R46/H46, 0)</f>
        <v/>
      </c>
      <c r="R46" s="303" t="n">
        <v>1316.7</v>
      </c>
      <c r="S46" s="304" t="n">
        <v>18062</v>
      </c>
      <c r="T46" s="304">
        <f>IFERROR(S46*R46, 0)</f>
        <v/>
      </c>
      <c r="U46" s="317" t="n"/>
      <c r="V46" s="319" t="n"/>
      <c r="W46" s="320" t="n"/>
      <c r="X46" s="315" t="n"/>
      <c r="Y46" s="319" t="n"/>
      <c r="Z46" s="321" t="n"/>
    </row>
    <row r="47" ht="16.5" customHeight="1" s="223">
      <c r="A47" s="341" t="n"/>
      <c r="B47" s="342" t="n"/>
      <c r="C47" s="298" t="n"/>
      <c r="D47" s="298" t="n"/>
      <c r="E47" s="321" t="n"/>
      <c r="F47" s="330" t="n"/>
      <c r="G47" s="321" t="n"/>
      <c r="H47" s="315" t="n">
        <v>50</v>
      </c>
      <c r="I47" s="315" t="inlineStr"/>
      <c r="J47" s="315" t="inlineStr"/>
      <c r="K47" s="313" t="inlineStr">
        <is>
          <t>10IN PLUSH MFM QN</t>
        </is>
      </c>
      <c r="L47" s="314" t="inlineStr">
        <is>
          <t>WA-PMF-10Q-IN</t>
        </is>
      </c>
      <c r="M47" s="315" t="inlineStr">
        <is>
          <t>MIWU00206</t>
        </is>
      </c>
      <c r="N47" s="313" t="inlineStr">
        <is>
          <t>F.MFM.10Q.006.BU</t>
        </is>
      </c>
      <c r="O47" s="302" t="n"/>
      <c r="P47" s="302" t="n"/>
      <c r="Q47" s="316">
        <f>IFERROR(R47/H47, 0)</f>
        <v/>
      </c>
      <c r="R47" s="303" t="n">
        <v>3705</v>
      </c>
      <c r="S47" s="304" t="n">
        <v>18062</v>
      </c>
      <c r="T47" s="304">
        <f>IFERROR(S47*R47, 0)</f>
        <v/>
      </c>
      <c r="U47" s="317" t="n"/>
      <c r="V47" s="319" t="n"/>
      <c r="W47" s="320" t="n"/>
      <c r="X47" s="315" t="n"/>
      <c r="Y47" s="319" t="n"/>
      <c r="Z47" s="321" t="n"/>
    </row>
    <row r="48" ht="16.5" customHeight="1" s="223">
      <c r="A48" s="341" t="n"/>
      <c r="B48" s="342" t="n"/>
      <c r="C48" s="298" t="n"/>
      <c r="D48" s="298" t="n"/>
      <c r="E48" s="321" t="n"/>
      <c r="F48" s="330" t="n"/>
      <c r="G48" s="321" t="n"/>
      <c r="H48" s="315" t="n">
        <v>50</v>
      </c>
      <c r="I48" s="315" t="inlineStr"/>
      <c r="J48" s="315" t="inlineStr"/>
      <c r="K48" s="313" t="inlineStr">
        <is>
          <t>12IN PLUSH MFM FL</t>
        </is>
      </c>
      <c r="L48" s="314" t="inlineStr">
        <is>
          <t>WA-PMF-12F-IN</t>
        </is>
      </c>
      <c r="M48" s="315" t="inlineStr">
        <is>
          <t>MIWU00206</t>
        </is>
      </c>
      <c r="N48" s="313" t="inlineStr">
        <is>
          <t>F.MFM.12F.006.BU</t>
        </is>
      </c>
      <c r="O48" s="302" t="n"/>
      <c r="P48" s="302" t="n"/>
      <c r="Q48" s="316">
        <f>IFERROR(R48/H48, 0)</f>
        <v/>
      </c>
      <c r="R48" s="303" t="n">
        <v>3681.5</v>
      </c>
      <c r="S48" s="304" t="n">
        <v>18062</v>
      </c>
      <c r="T48" s="304">
        <f>IFERROR(S48*R48, 0)</f>
        <v/>
      </c>
      <c r="U48" s="317" t="n"/>
      <c r="V48" s="319" t="n"/>
      <c r="W48" s="320" t="n"/>
      <c r="X48" s="315" t="n"/>
      <c r="Y48" s="319" t="n"/>
      <c r="Z48" s="321" t="n"/>
    </row>
    <row r="49" ht="16.5" customHeight="1" s="223">
      <c r="A49" s="341" t="n"/>
      <c r="B49" s="342" t="n"/>
      <c r="C49" s="298" t="n"/>
      <c r="D49" s="298" t="n"/>
      <c r="E49" s="321" t="n"/>
      <c r="F49" s="330" t="n"/>
      <c r="G49" s="321" t="n"/>
      <c r="H49" s="315" t="n">
        <v>50</v>
      </c>
      <c r="I49" s="315" t="inlineStr"/>
      <c r="J49" s="315" t="inlineStr"/>
      <c r="K49" s="313" t="inlineStr">
        <is>
          <t>8IN PLUSH MFM QN</t>
        </is>
      </c>
      <c r="L49" s="314" t="inlineStr">
        <is>
          <t>WA-PMF-8Q-IN</t>
        </is>
      </c>
      <c r="M49" s="315" t="inlineStr">
        <is>
          <t>MIWU00206</t>
        </is>
      </c>
      <c r="N49" s="313" t="inlineStr">
        <is>
          <t>F.MFM.08Q.006.BU</t>
        </is>
      </c>
      <c r="O49" s="302" t="n"/>
      <c r="P49" s="302" t="n"/>
      <c r="Q49" s="316">
        <f>IFERROR(R49/H49, 0)</f>
        <v/>
      </c>
      <c r="R49" s="303" t="n">
        <v>2811</v>
      </c>
      <c r="S49" s="304" t="n">
        <v>18062</v>
      </c>
      <c r="T49" s="304">
        <f>IFERROR(S49*R49, 0)</f>
        <v/>
      </c>
      <c r="U49" s="317" t="n"/>
      <c r="V49" s="319" t="n"/>
      <c r="W49" s="320" t="n"/>
      <c r="X49" s="315" t="n"/>
      <c r="Y49" s="319" t="n"/>
      <c r="Z49" s="321" t="n"/>
    </row>
    <row r="50" ht="16.5" customHeight="1" s="223">
      <c r="A50" s="341" t="n"/>
      <c r="B50" s="342" t="n"/>
      <c r="C50" s="298" t="n"/>
      <c r="D50" s="298" t="n"/>
      <c r="E50" s="321" t="n"/>
      <c r="F50" s="330" t="n"/>
      <c r="G50" s="321" t="n"/>
      <c r="H50" s="315" t="n">
        <v>54</v>
      </c>
      <c r="I50" s="315" t="inlineStr"/>
      <c r="J50" s="315" t="inlineStr"/>
      <c r="K50" s="313" t="inlineStr">
        <is>
          <t>8IN PLUSH MFM TW</t>
        </is>
      </c>
      <c r="L50" s="314" t="inlineStr">
        <is>
          <t>WA-PMF-8T-IN</t>
        </is>
      </c>
      <c r="M50" s="315" t="inlineStr">
        <is>
          <t>MIWU00206</t>
        </is>
      </c>
      <c r="N50" s="313" t="inlineStr">
        <is>
          <t>F.MFM.08T.006.BU</t>
        </is>
      </c>
      <c r="O50" s="302" t="n"/>
      <c r="P50" s="302" t="n"/>
      <c r="Q50" s="316">
        <f>IFERROR(R50/H50, 0)</f>
        <v/>
      </c>
      <c r="R50" s="303" t="n">
        <v>1952.64</v>
      </c>
      <c r="S50" s="304" t="n">
        <v>18062</v>
      </c>
      <c r="T50" s="304">
        <f>IFERROR(S50*R50, 0)</f>
        <v/>
      </c>
      <c r="U50" s="317" t="n"/>
      <c r="V50" s="319" t="n"/>
      <c r="W50" s="320" t="n"/>
      <c r="X50" s="315" t="n"/>
      <c r="Y50" s="319" t="n"/>
      <c r="Z50" s="321" t="n"/>
    </row>
    <row r="51" ht="17.1" customHeight="1" s="223">
      <c r="A51" s="338" t="n"/>
      <c r="B51" s="343" t="n"/>
      <c r="C51" s="305" t="n"/>
      <c r="D51" s="305" t="n"/>
      <c r="E51" s="336" t="n"/>
      <c r="F51" s="336" t="n"/>
      <c r="G51" s="336" t="n"/>
      <c r="H51" s="322">
        <f>SUM(H41:H50)</f>
        <v/>
      </c>
      <c r="I51" s="337">
        <f>COUNTA(I41:I50)</f>
        <v/>
      </c>
      <c r="J51" s="322" t="n"/>
      <c r="K51" s="322" t="n"/>
      <c r="L51" s="344" t="n"/>
      <c r="M51" s="322" t="n"/>
      <c r="N51" s="322" t="n"/>
      <c r="O51" s="307">
        <f>SUM(O41:O50)</f>
        <v/>
      </c>
      <c r="P51" s="307">
        <f>SUM(P41:P50)</f>
        <v/>
      </c>
      <c r="Q51" s="345" t="n"/>
      <c r="R51" s="309">
        <f>SUM(R41:R50)</f>
        <v/>
      </c>
      <c r="S51" s="310" t="n"/>
      <c r="T51" s="310">
        <f>SUM(T41:T50)</f>
        <v/>
      </c>
      <c r="U51" s="322" t="n"/>
      <c r="V51" s="327" t="n"/>
      <c r="W51" s="328" t="n"/>
      <c r="X51" s="327" t="n"/>
      <c r="Y51" s="327" t="n"/>
      <c r="Z51" s="327" t="n"/>
    </row>
    <row r="52" ht="16.5" customHeight="1" s="223">
      <c r="A52" s="341" t="n">
        <v>8</v>
      </c>
      <c r="B52" s="342" t="inlineStr">
        <is>
          <t>000030ZIK48020260805000572</t>
        </is>
      </c>
      <c r="C52" s="298" t="n">
        <v>490521</v>
      </c>
      <c r="D52" s="298" t="n">
        <v>490461</v>
      </c>
      <c r="E52" s="321" t="n">
        <v>46240</v>
      </c>
      <c r="F52" s="330" t="inlineStr">
        <is>
          <t>ID2608-8043</t>
        </is>
      </c>
      <c r="G52" s="321" t="n">
        <v>46239</v>
      </c>
      <c r="H52" s="315" t="n">
        <v>75</v>
      </c>
      <c r="I52" s="315" t="inlineStr">
        <is>
          <t>TCKU4384630</t>
        </is>
      </c>
      <c r="J52" s="315" t="inlineStr">
        <is>
          <t>40FT</t>
        </is>
      </c>
      <c r="K52" s="313" t="inlineStr">
        <is>
          <t>10IN MEDIUM MFM FL</t>
        </is>
      </c>
      <c r="L52" s="314" t="inlineStr">
        <is>
          <t>WA-MMF-10F-IN</t>
        </is>
      </c>
      <c r="M52" s="315" t="inlineStr">
        <is>
          <t>MIWU00209</t>
        </is>
      </c>
      <c r="N52" s="313" t="inlineStr">
        <is>
          <t>F.MFM.10F.005.BU</t>
        </is>
      </c>
      <c r="O52" s="302" t="n">
        <v>10332.9</v>
      </c>
      <c r="P52" s="302" t="n">
        <v>9425</v>
      </c>
      <c r="Q52" s="316">
        <f>IFERROR(R52/H52, 0)</f>
        <v/>
      </c>
      <c r="R52" s="303" t="n">
        <v>4528.5</v>
      </c>
      <c r="S52" s="304" t="n">
        <v>18062</v>
      </c>
      <c r="T52" s="304">
        <f>IFERROR(S52*R52, 0)</f>
        <v/>
      </c>
      <c r="U52" s="317" t="inlineStr">
        <is>
          <t>040300/KPPBC</t>
        </is>
      </c>
      <c r="V52" s="319" t="inlineStr">
        <is>
          <t>TG. PRIOK</t>
        </is>
      </c>
      <c r="W52" s="320" t="inlineStr">
        <is>
          <t>VANCOUVER, CA</t>
        </is>
      </c>
      <c r="X52" s="315" t="inlineStr">
        <is>
          <t>MELLOW INC</t>
        </is>
      </c>
      <c r="Y52" s="319" t="inlineStr">
        <is>
          <t>ONEYJKTG56970800</t>
        </is>
      </c>
      <c r="Z52" s="321" t="n">
        <v>46240</v>
      </c>
    </row>
    <row r="53" ht="16.5" customHeight="1" s="223">
      <c r="A53" s="341" t="n"/>
      <c r="B53" s="342" t="n"/>
      <c r="C53" s="298" t="n"/>
      <c r="D53" s="298" t="n"/>
      <c r="E53" s="321" t="n"/>
      <c r="F53" s="330" t="n"/>
      <c r="G53" s="321" t="n"/>
      <c r="H53" s="315" t="n">
        <v>161</v>
      </c>
      <c r="I53" s="315" t="inlineStr"/>
      <c r="J53" s="315" t="inlineStr"/>
      <c r="K53" s="313" t="inlineStr">
        <is>
          <t>10IN MEDIUM MFM QN</t>
        </is>
      </c>
      <c r="L53" s="314" t="inlineStr">
        <is>
          <t>WA-MMF-10Q-IN</t>
        </is>
      </c>
      <c r="M53" s="315" t="inlineStr">
        <is>
          <t>MIWU00209</t>
        </is>
      </c>
      <c r="N53" s="313" t="inlineStr">
        <is>
          <t>F.MFM.10Q.005.BU</t>
        </is>
      </c>
      <c r="O53" s="302" t="n"/>
      <c r="P53" s="302" t="n"/>
      <c r="Q53" s="316">
        <f>IFERROR(R53/H53, 0)</f>
        <v/>
      </c>
      <c r="R53" s="303" t="n">
        <v>11521.16</v>
      </c>
      <c r="S53" s="304" t="n">
        <v>18062</v>
      </c>
      <c r="T53" s="304">
        <f>IFERROR(S53*R53, 0)</f>
        <v/>
      </c>
      <c r="U53" s="317" t="n"/>
      <c r="V53" s="319" t="n"/>
      <c r="W53" s="320" t="inlineStr">
        <is>
          <t>ETD : 12-08-2026</t>
        </is>
      </c>
      <c r="X53" s="315" t="n"/>
      <c r="Y53" s="319" t="n"/>
      <c r="Z53" s="321" t="n"/>
    </row>
    <row r="54" ht="16.5" customHeight="1" s="223">
      <c r="A54" s="341" t="n"/>
      <c r="B54" s="342" t="n"/>
      <c r="C54" s="298" t="n"/>
      <c r="D54" s="298" t="n"/>
      <c r="E54" s="321" t="n"/>
      <c r="F54" s="330" t="n"/>
      <c r="G54" s="321" t="n"/>
      <c r="H54" s="315" t="n">
        <v>105</v>
      </c>
      <c r="I54" s="315" t="inlineStr"/>
      <c r="J54" s="315" t="inlineStr"/>
      <c r="K54" s="313" t="inlineStr">
        <is>
          <t>10IN MEDIUM MFM TW</t>
        </is>
      </c>
      <c r="L54" s="314" t="inlineStr">
        <is>
          <t>WA-MMF-10T-IN</t>
        </is>
      </c>
      <c r="M54" s="315" t="inlineStr">
        <is>
          <t>MIWU00209</t>
        </is>
      </c>
      <c r="N54" s="313" t="inlineStr">
        <is>
          <t>F.MFM.10T.005.BU</t>
        </is>
      </c>
      <c r="O54" s="302" t="n"/>
      <c r="P54" s="302" t="n"/>
      <c r="Q54" s="316">
        <f>IFERROR(R54/H54, 0)</f>
        <v/>
      </c>
      <c r="R54" s="303" t="n">
        <v>4832.1</v>
      </c>
      <c r="S54" s="304" t="n">
        <v>18062</v>
      </c>
      <c r="T54" s="304">
        <f>IFERROR(S54*R54, 0)</f>
        <v/>
      </c>
      <c r="U54" s="317" t="n"/>
      <c r="V54" s="319" t="n"/>
      <c r="W54" s="320" t="n"/>
      <c r="X54" s="315" t="n"/>
      <c r="Y54" s="319" t="n"/>
      <c r="Z54" s="321" t="n"/>
    </row>
    <row r="55" ht="16.5" customHeight="1" s="223">
      <c r="A55" s="341" t="n"/>
      <c r="B55" s="342" t="n"/>
      <c r="C55" s="298" t="n"/>
      <c r="D55" s="298" t="n"/>
      <c r="E55" s="321" t="n"/>
      <c r="F55" s="330" t="n"/>
      <c r="G55" s="321" t="n"/>
      <c r="H55" s="315" t="n">
        <v>15</v>
      </c>
      <c r="I55" s="315" t="inlineStr"/>
      <c r="J55" s="315" t="inlineStr"/>
      <c r="K55" s="313" t="inlineStr">
        <is>
          <t>12IN MEDIUM MFM EK</t>
        </is>
      </c>
      <c r="L55" s="314" t="inlineStr">
        <is>
          <t>WA-MMF-12K-IN</t>
        </is>
      </c>
      <c r="M55" s="315" t="inlineStr">
        <is>
          <t>MIWU00209</t>
        </is>
      </c>
      <c r="N55" s="313" t="inlineStr">
        <is>
          <t>F.MFM.12K.005.BU</t>
        </is>
      </c>
      <c r="O55" s="302" t="n"/>
      <c r="P55" s="302" t="n"/>
      <c r="Q55" s="316">
        <f>IFERROR(R55/H55, 0)</f>
        <v/>
      </c>
      <c r="R55" s="303" t="n">
        <v>1482.9</v>
      </c>
      <c r="S55" s="304" t="n">
        <v>18062</v>
      </c>
      <c r="T55" s="304">
        <f>IFERROR(S55*R55, 0)</f>
        <v/>
      </c>
      <c r="U55" s="317" t="n"/>
      <c r="V55" s="319" t="n"/>
      <c r="W55" s="320" t="n"/>
      <c r="X55" s="315" t="n"/>
      <c r="Y55" s="319" t="n"/>
      <c r="Z55" s="321" t="n"/>
    </row>
    <row r="56" ht="16.5" customHeight="1" s="223">
      <c r="A56" s="341" t="n"/>
      <c r="B56" s="342" t="n"/>
      <c r="C56" s="298" t="n"/>
      <c r="D56" s="298" t="n"/>
      <c r="E56" s="321" t="n"/>
      <c r="F56" s="330" t="n"/>
      <c r="G56" s="321" t="n"/>
      <c r="H56" s="315" t="n">
        <v>20</v>
      </c>
      <c r="I56" s="315" t="inlineStr"/>
      <c r="J56" s="315" t="inlineStr"/>
      <c r="K56" s="313" t="inlineStr">
        <is>
          <t>12IN MEDIUM MFM QN</t>
        </is>
      </c>
      <c r="L56" s="314" t="inlineStr">
        <is>
          <t>WA-MMF-12Q-IN</t>
        </is>
      </c>
      <c r="M56" s="315" t="inlineStr">
        <is>
          <t>MIWU00209</t>
        </is>
      </c>
      <c r="N56" s="313" t="inlineStr">
        <is>
          <t>F.MFM.12Q.005.BU</t>
        </is>
      </c>
      <c r="O56" s="302" t="n"/>
      <c r="P56" s="302" t="n"/>
      <c r="Q56" s="316">
        <f>IFERROR(R56/H56, 0)</f>
        <v/>
      </c>
      <c r="R56" s="303" t="n">
        <v>1619.4</v>
      </c>
      <c r="S56" s="304" t="n">
        <v>18062</v>
      </c>
      <c r="T56" s="304">
        <f>IFERROR(S56*R56, 0)</f>
        <v/>
      </c>
      <c r="U56" s="317" t="n"/>
      <c r="V56" s="319" t="n"/>
      <c r="W56" s="320" t="n"/>
      <c r="X56" s="315" t="n"/>
      <c r="Y56" s="319" t="n"/>
      <c r="Z56" s="321" t="n"/>
    </row>
    <row r="57" ht="16.5" customHeight="1" s="223">
      <c r="A57" s="341" t="n"/>
      <c r="B57" s="342" t="n"/>
      <c r="C57" s="298" t="n"/>
      <c r="D57" s="298" t="n"/>
      <c r="E57" s="321" t="n"/>
      <c r="F57" s="330" t="n"/>
      <c r="G57" s="321" t="n"/>
      <c r="H57" s="315" t="n">
        <v>25</v>
      </c>
      <c r="I57" s="315" t="inlineStr"/>
      <c r="J57" s="315" t="inlineStr"/>
      <c r="K57" s="313" t="inlineStr">
        <is>
          <t>6IN MEDIUM MFM TW</t>
        </is>
      </c>
      <c r="L57" s="314" t="inlineStr">
        <is>
          <t>WA-MMF-6T-IN</t>
        </is>
      </c>
      <c r="M57" s="315" t="inlineStr">
        <is>
          <t>MIWU00209</t>
        </is>
      </c>
      <c r="N57" s="313" t="inlineStr">
        <is>
          <t>F.MFM.06T.002.BU</t>
        </is>
      </c>
      <c r="O57" s="302" t="n"/>
      <c r="P57" s="302" t="n"/>
      <c r="Q57" s="316">
        <f>IFERROR(R57/H57, 0)</f>
        <v/>
      </c>
      <c r="R57" s="303" t="n">
        <v>802.5</v>
      </c>
      <c r="S57" s="304" t="n">
        <v>18062</v>
      </c>
      <c r="T57" s="304">
        <f>IFERROR(S57*R57, 0)</f>
        <v/>
      </c>
      <c r="U57" s="317" t="n"/>
      <c r="V57" s="319" t="n"/>
      <c r="W57" s="320" t="n"/>
      <c r="X57" s="315" t="n"/>
      <c r="Y57" s="319" t="n"/>
      <c r="Z57" s="321" t="n"/>
    </row>
    <row r="58" ht="16.5" customHeight="1" s="223">
      <c r="A58" s="341" t="n"/>
      <c r="B58" s="342" t="n"/>
      <c r="C58" s="298" t="n"/>
      <c r="D58" s="298" t="n"/>
      <c r="E58" s="321" t="n"/>
      <c r="F58" s="330" t="n"/>
      <c r="G58" s="321" t="n"/>
      <c r="H58" s="315" t="n">
        <v>20</v>
      </c>
      <c r="I58" s="315" t="inlineStr"/>
      <c r="J58" s="315" t="inlineStr"/>
      <c r="K58" s="313" t="inlineStr">
        <is>
          <t>8IN MEDIUM MFM FL</t>
        </is>
      </c>
      <c r="L58" s="314" t="inlineStr">
        <is>
          <t>WA-MMF-8F-IN</t>
        </is>
      </c>
      <c r="M58" s="315" t="inlineStr">
        <is>
          <t>MIWU00209</t>
        </is>
      </c>
      <c r="N58" s="313" t="inlineStr">
        <is>
          <t>F.MFM.08F.005.BU</t>
        </is>
      </c>
      <c r="O58" s="302" t="n"/>
      <c r="P58" s="302" t="n"/>
      <c r="Q58" s="316">
        <f>IFERROR(R58/H58, 0)</f>
        <v/>
      </c>
      <c r="R58" s="303" t="n">
        <v>1042</v>
      </c>
      <c r="S58" s="304" t="n">
        <v>18062</v>
      </c>
      <c r="T58" s="304">
        <f>IFERROR(S58*R58, 0)</f>
        <v/>
      </c>
      <c r="U58" s="317" t="n"/>
      <c r="V58" s="319" t="n"/>
      <c r="W58" s="320" t="n"/>
      <c r="X58" s="315" t="n"/>
      <c r="Y58" s="319" t="n"/>
      <c r="Z58" s="321" t="n"/>
    </row>
    <row r="59" ht="16.5" customHeight="1" s="223">
      <c r="A59" s="341" t="n"/>
      <c r="B59" s="342" t="n"/>
      <c r="C59" s="298" t="n"/>
      <c r="D59" s="298" t="n"/>
      <c r="E59" s="321" t="n"/>
      <c r="F59" s="330" t="n"/>
      <c r="G59" s="321" t="n"/>
      <c r="H59" s="315" t="n">
        <v>20</v>
      </c>
      <c r="I59" s="315" t="inlineStr"/>
      <c r="J59" s="315" t="inlineStr"/>
      <c r="K59" s="313" t="inlineStr">
        <is>
          <t>8IN MEDIUM MFM TW</t>
        </is>
      </c>
      <c r="L59" s="314" t="inlineStr">
        <is>
          <t>WA-MMF-8T-IN</t>
        </is>
      </c>
      <c r="M59" s="315" t="inlineStr">
        <is>
          <t>MIWU00209</t>
        </is>
      </c>
      <c r="N59" s="313" t="inlineStr">
        <is>
          <t>F.MFM.08T.005.BU</t>
        </is>
      </c>
      <c r="O59" s="302" t="n"/>
      <c r="P59" s="302" t="n"/>
      <c r="Q59" s="316">
        <f>IFERROR(R59/H59, 0)</f>
        <v/>
      </c>
      <c r="R59" s="303" t="n">
        <v>777.6</v>
      </c>
      <c r="S59" s="304" t="n">
        <v>18062</v>
      </c>
      <c r="T59" s="304">
        <f>IFERROR(S59*R59, 0)</f>
        <v/>
      </c>
      <c r="U59" s="317" t="n"/>
      <c r="V59" s="319" t="n"/>
      <c r="W59" s="320" t="n"/>
      <c r="X59" s="315" t="n"/>
      <c r="Y59" s="319" t="n"/>
      <c r="Z59" s="321" t="n"/>
    </row>
    <row r="60" ht="16.5" customHeight="1" s="223">
      <c r="A60" s="341" t="n"/>
      <c r="B60" s="342" t="n"/>
      <c r="C60" s="298" t="n"/>
      <c r="D60" s="298" t="n"/>
      <c r="E60" s="321" t="n"/>
      <c r="F60" s="330" t="n"/>
      <c r="G60" s="321" t="n"/>
      <c r="H60" s="315" t="n">
        <v>29</v>
      </c>
      <c r="I60" s="315" t="inlineStr"/>
      <c r="J60" s="315" t="inlineStr"/>
      <c r="K60" s="313" t="inlineStr">
        <is>
          <t>10IN PLUSH MFM FL</t>
        </is>
      </c>
      <c r="L60" s="314" t="inlineStr">
        <is>
          <t>WA-PMF-10F-IN</t>
        </is>
      </c>
      <c r="M60" s="315" t="inlineStr">
        <is>
          <t>MIWU00209</t>
        </is>
      </c>
      <c r="N60" s="313" t="inlineStr">
        <is>
          <t>F.MFM.10F.006.BU</t>
        </is>
      </c>
      <c r="O60" s="302" t="n"/>
      <c r="P60" s="302" t="n"/>
      <c r="Q60" s="316">
        <f>IFERROR(R60/H60, 0)</f>
        <v/>
      </c>
      <c r="R60" s="303" t="n">
        <v>1818.3</v>
      </c>
      <c r="S60" s="304" t="n">
        <v>18062</v>
      </c>
      <c r="T60" s="304">
        <f>IFERROR(S60*R60, 0)</f>
        <v/>
      </c>
      <c r="U60" s="317" t="n"/>
      <c r="V60" s="319" t="n"/>
      <c r="W60" s="320" t="n"/>
      <c r="X60" s="315" t="n"/>
      <c r="Y60" s="319" t="n"/>
      <c r="Z60" s="321" t="n"/>
    </row>
    <row r="61" ht="17.1" customHeight="1" s="223">
      <c r="A61" s="338" t="n"/>
      <c r="B61" s="343" t="n"/>
      <c r="C61" s="305" t="n"/>
      <c r="D61" s="305" t="n"/>
      <c r="E61" s="336" t="n"/>
      <c r="F61" s="336" t="n"/>
      <c r="G61" s="336" t="n"/>
      <c r="H61" s="322">
        <f>SUM(H52:H60)</f>
        <v/>
      </c>
      <c r="I61" s="337">
        <f>COUNTA(I52:I60)</f>
        <v/>
      </c>
      <c r="J61" s="322" t="n"/>
      <c r="K61" s="322" t="n"/>
      <c r="L61" s="344" t="n"/>
      <c r="M61" s="322" t="n"/>
      <c r="N61" s="322" t="n"/>
      <c r="O61" s="307">
        <f>SUM(O52:O60)</f>
        <v/>
      </c>
      <c r="P61" s="307">
        <f>SUM(P52:P60)</f>
        <v/>
      </c>
      <c r="Q61" s="345" t="n"/>
      <c r="R61" s="309">
        <f>SUM(R52:R60)</f>
        <v/>
      </c>
      <c r="S61" s="310" t="n"/>
      <c r="T61" s="310">
        <f>SUM(T52:T60)</f>
        <v/>
      </c>
      <c r="U61" s="322" t="n"/>
      <c r="V61" s="327" t="n"/>
      <c r="W61" s="328" t="n"/>
      <c r="X61" s="327" t="n"/>
      <c r="Y61" s="327" t="n"/>
      <c r="Z61" s="327" t="n"/>
    </row>
    <row r="62" ht="16.5" customHeight="1" s="223">
      <c r="A62" s="341" t="n">
        <v>9</v>
      </c>
      <c r="B62" s="342" t="inlineStr">
        <is>
          <t>000030ZIK48020260805000573</t>
        </is>
      </c>
      <c r="C62" s="298" t="n">
        <v>489820</v>
      </c>
      <c r="D62" s="298" t="n">
        <v>489761</v>
      </c>
      <c r="E62" s="321" t="n">
        <v>46240</v>
      </c>
      <c r="F62" s="330" t="inlineStr">
        <is>
          <t>ID2608-8044</t>
        </is>
      </c>
      <c r="G62" s="321" t="n">
        <v>46239</v>
      </c>
      <c r="H62" s="315" t="n">
        <v>75</v>
      </c>
      <c r="I62" s="315" t="inlineStr">
        <is>
          <t>TCLU4449533</t>
        </is>
      </c>
      <c r="J62" s="315" t="inlineStr">
        <is>
          <t>40FT</t>
        </is>
      </c>
      <c r="K62" s="313" t="inlineStr">
        <is>
          <t>10IN MEDIUM MFM FL</t>
        </is>
      </c>
      <c r="L62" s="314" t="inlineStr">
        <is>
          <t>WA-MMF-10F-IN</t>
        </is>
      </c>
      <c r="M62" s="315" t="inlineStr">
        <is>
          <t>MIWU00207</t>
        </is>
      </c>
      <c r="N62" s="313" t="inlineStr">
        <is>
          <t>F.MFM.10F.005.BU</t>
        </is>
      </c>
      <c r="O62" s="302" t="n">
        <v>10332.9</v>
      </c>
      <c r="P62" s="302" t="n">
        <v>9425</v>
      </c>
      <c r="Q62" s="316">
        <f>IFERROR(R62/H62, 0)</f>
        <v/>
      </c>
      <c r="R62" s="303" t="n">
        <v>4528.5</v>
      </c>
      <c r="S62" s="304" t="n">
        <v>18062</v>
      </c>
      <c r="T62" s="304">
        <f>IFERROR(S62*R62, 0)</f>
        <v/>
      </c>
      <c r="U62" s="317" t="inlineStr">
        <is>
          <t>040300/KPPBC</t>
        </is>
      </c>
      <c r="V62" s="319" t="inlineStr">
        <is>
          <t>TG. PRIOK</t>
        </is>
      </c>
      <c r="W62" s="320" t="inlineStr">
        <is>
          <t>TACOMA, US</t>
        </is>
      </c>
      <c r="X62" s="315" t="inlineStr">
        <is>
          <t>MELLOW INC</t>
        </is>
      </c>
      <c r="Y62" s="319" t="inlineStr">
        <is>
          <t>ONEYJKTG57229600</t>
        </is>
      </c>
      <c r="Z62" s="321" t="n">
        <v>46240</v>
      </c>
    </row>
    <row r="63" ht="16.5" customHeight="1" s="223">
      <c r="A63" s="341" t="n"/>
      <c r="B63" s="342" t="n"/>
      <c r="C63" s="298" t="n"/>
      <c r="D63" s="298" t="n"/>
      <c r="E63" s="321" t="n"/>
      <c r="F63" s="330" t="n"/>
      <c r="G63" s="321" t="n"/>
      <c r="H63" s="315" t="n">
        <v>161</v>
      </c>
      <c r="I63" s="315" t="inlineStr"/>
      <c r="J63" s="315" t="inlineStr"/>
      <c r="K63" s="313" t="inlineStr">
        <is>
          <t>10IN MEDIUM MFM QN</t>
        </is>
      </c>
      <c r="L63" s="314" t="inlineStr">
        <is>
          <t>WA-MMF-10Q-IN</t>
        </is>
      </c>
      <c r="M63" s="315" t="inlineStr">
        <is>
          <t>MIWU00207</t>
        </is>
      </c>
      <c r="N63" s="313" t="inlineStr">
        <is>
          <t>F.MFM.10Q.005.BU</t>
        </is>
      </c>
      <c r="O63" s="302" t="n"/>
      <c r="P63" s="302" t="n"/>
      <c r="Q63" s="316">
        <f>IFERROR(R63/H63, 0)</f>
        <v/>
      </c>
      <c r="R63" s="303" t="n">
        <v>11521.16</v>
      </c>
      <c r="S63" s="304" t="n">
        <v>18062</v>
      </c>
      <c r="T63" s="304">
        <f>IFERROR(S63*R63, 0)</f>
        <v/>
      </c>
      <c r="U63" s="317" t="n"/>
      <c r="V63" s="319" t="n"/>
      <c r="W63" s="320" t="inlineStr">
        <is>
          <t>ETD : 13-08-2026</t>
        </is>
      </c>
      <c r="X63" s="315" t="n"/>
      <c r="Y63" s="319" t="n"/>
      <c r="Z63" s="321" t="n"/>
    </row>
    <row r="64" ht="16.5" customHeight="1" s="223">
      <c r="A64" s="341" t="n"/>
      <c r="B64" s="342" t="n"/>
      <c r="C64" s="298" t="n"/>
      <c r="D64" s="298" t="n"/>
      <c r="E64" s="321" t="n"/>
      <c r="F64" s="330" t="n"/>
      <c r="G64" s="321" t="n"/>
      <c r="H64" s="315" t="n">
        <v>105</v>
      </c>
      <c r="I64" s="315" t="inlineStr"/>
      <c r="J64" s="315" t="inlineStr"/>
      <c r="K64" s="313" t="inlineStr">
        <is>
          <t>10IN MEDIUM MFM TW</t>
        </is>
      </c>
      <c r="L64" s="314" t="inlineStr">
        <is>
          <t>WA-MMF-10T-IN</t>
        </is>
      </c>
      <c r="M64" s="315" t="inlineStr">
        <is>
          <t>MIWU00207</t>
        </is>
      </c>
      <c r="N64" s="313" t="inlineStr">
        <is>
          <t>F.MFM.10T.005.BU</t>
        </is>
      </c>
      <c r="O64" s="302" t="n"/>
      <c r="P64" s="302" t="n"/>
      <c r="Q64" s="316">
        <f>IFERROR(R64/H64, 0)</f>
        <v/>
      </c>
      <c r="R64" s="303" t="n">
        <v>4832.1</v>
      </c>
      <c r="S64" s="304" t="n">
        <v>18062</v>
      </c>
      <c r="T64" s="304">
        <f>IFERROR(S64*R64, 0)</f>
        <v/>
      </c>
      <c r="U64" s="317" t="n"/>
      <c r="V64" s="319" t="n"/>
      <c r="W64" s="320" t="n"/>
      <c r="X64" s="315" t="n"/>
      <c r="Y64" s="319" t="n"/>
      <c r="Z64" s="321" t="n"/>
    </row>
    <row r="65" ht="16.5" customHeight="1" s="223">
      <c r="A65" s="341" t="n"/>
      <c r="B65" s="342" t="n"/>
      <c r="C65" s="298" t="n"/>
      <c r="D65" s="298" t="n"/>
      <c r="E65" s="321" t="n"/>
      <c r="F65" s="330" t="n"/>
      <c r="G65" s="321" t="n"/>
      <c r="H65" s="315" t="n">
        <v>15</v>
      </c>
      <c r="I65" s="315" t="inlineStr"/>
      <c r="J65" s="315" t="inlineStr"/>
      <c r="K65" s="313" t="inlineStr">
        <is>
          <t>12IN MEDIUM MFM EK</t>
        </is>
      </c>
      <c r="L65" s="314" t="inlineStr">
        <is>
          <t>WA-MMF-12K-IN</t>
        </is>
      </c>
      <c r="M65" s="315" t="inlineStr">
        <is>
          <t>MIWU00207</t>
        </is>
      </c>
      <c r="N65" s="313" t="inlineStr">
        <is>
          <t>F.MFM.12K.005.BU</t>
        </is>
      </c>
      <c r="O65" s="302" t="n"/>
      <c r="P65" s="302" t="n"/>
      <c r="Q65" s="316">
        <f>IFERROR(R65/H65, 0)</f>
        <v/>
      </c>
      <c r="R65" s="303" t="n">
        <v>1482.9</v>
      </c>
      <c r="S65" s="304" t="n">
        <v>18062</v>
      </c>
      <c r="T65" s="304">
        <f>IFERROR(S65*R65, 0)</f>
        <v/>
      </c>
      <c r="U65" s="317" t="n"/>
      <c r="V65" s="319" t="n"/>
      <c r="W65" s="320" t="n"/>
      <c r="X65" s="315" t="n"/>
      <c r="Y65" s="319" t="n"/>
      <c r="Z65" s="321" t="n"/>
    </row>
    <row r="66" ht="16.5" customHeight="1" s="223">
      <c r="A66" s="341" t="n"/>
      <c r="B66" s="342" t="n"/>
      <c r="C66" s="298" t="n"/>
      <c r="D66" s="298" t="n"/>
      <c r="E66" s="321" t="n"/>
      <c r="F66" s="330" t="n"/>
      <c r="G66" s="321" t="n"/>
      <c r="H66" s="315" t="n">
        <v>20</v>
      </c>
      <c r="I66" s="315" t="inlineStr"/>
      <c r="J66" s="315" t="inlineStr"/>
      <c r="K66" s="313" t="inlineStr">
        <is>
          <t>12IN MEDIUM MFM QN</t>
        </is>
      </c>
      <c r="L66" s="314" t="inlineStr">
        <is>
          <t>WA-MMF-12Q-IN</t>
        </is>
      </c>
      <c r="M66" s="315" t="inlineStr">
        <is>
          <t>MIWU00207</t>
        </is>
      </c>
      <c r="N66" s="313" t="inlineStr">
        <is>
          <t>F.MFM.12Q.005.BU</t>
        </is>
      </c>
      <c r="O66" s="302" t="n"/>
      <c r="P66" s="302" t="n"/>
      <c r="Q66" s="316">
        <f>IFERROR(R66/H66, 0)</f>
        <v/>
      </c>
      <c r="R66" s="303" t="n">
        <v>1619.4</v>
      </c>
      <c r="S66" s="304" t="n">
        <v>18062</v>
      </c>
      <c r="T66" s="304">
        <f>IFERROR(S66*R66, 0)</f>
        <v/>
      </c>
      <c r="U66" s="317" t="n"/>
      <c r="V66" s="319" t="n"/>
      <c r="W66" s="320" t="n"/>
      <c r="X66" s="315" t="n"/>
      <c r="Y66" s="319" t="n"/>
      <c r="Z66" s="321" t="n"/>
    </row>
    <row r="67" ht="16.5" customHeight="1" s="223">
      <c r="A67" s="341" t="n"/>
      <c r="B67" s="342" t="n"/>
      <c r="C67" s="298" t="n"/>
      <c r="D67" s="298" t="n"/>
      <c r="E67" s="321" t="n"/>
      <c r="F67" s="330" t="n"/>
      <c r="G67" s="321" t="n"/>
      <c r="H67" s="315" t="n">
        <v>25</v>
      </c>
      <c r="I67" s="315" t="inlineStr"/>
      <c r="J67" s="315" t="inlineStr"/>
      <c r="K67" s="313" t="inlineStr">
        <is>
          <t>6IN MEDIUM MFM TW</t>
        </is>
      </c>
      <c r="L67" s="314" t="inlineStr">
        <is>
          <t>WA-MMF-6T-IN</t>
        </is>
      </c>
      <c r="M67" s="315" t="inlineStr">
        <is>
          <t>MIWU00207</t>
        </is>
      </c>
      <c r="N67" s="313" t="inlineStr">
        <is>
          <t>F.MFM.06T.002.BU</t>
        </is>
      </c>
      <c r="O67" s="302" t="n"/>
      <c r="P67" s="302" t="n"/>
      <c r="Q67" s="316">
        <f>IFERROR(R67/H67, 0)</f>
        <v/>
      </c>
      <c r="R67" s="303" t="n">
        <v>802.5</v>
      </c>
      <c r="S67" s="304" t="n">
        <v>18062</v>
      </c>
      <c r="T67" s="304">
        <f>IFERROR(S67*R67, 0)</f>
        <v/>
      </c>
      <c r="U67" s="317" t="n"/>
      <c r="V67" s="319" t="n"/>
      <c r="W67" s="320" t="n"/>
      <c r="X67" s="315" t="n"/>
      <c r="Y67" s="319" t="n"/>
      <c r="Z67" s="321" t="n"/>
    </row>
    <row r="68" ht="16.5" customHeight="1" s="223">
      <c r="A68" s="341" t="n"/>
      <c r="B68" s="342" t="n"/>
      <c r="C68" s="298" t="n"/>
      <c r="D68" s="298" t="n"/>
      <c r="E68" s="321" t="n"/>
      <c r="F68" s="330" t="n"/>
      <c r="G68" s="321" t="n"/>
      <c r="H68" s="315" t="n">
        <v>20</v>
      </c>
      <c r="I68" s="315" t="inlineStr"/>
      <c r="J68" s="315" t="inlineStr"/>
      <c r="K68" s="313" t="inlineStr">
        <is>
          <t>8IN MEDIUM MFM FL</t>
        </is>
      </c>
      <c r="L68" s="314" t="inlineStr">
        <is>
          <t>WA-MMF-8F-IN</t>
        </is>
      </c>
      <c r="M68" s="315" t="inlineStr">
        <is>
          <t>MIWU00207</t>
        </is>
      </c>
      <c r="N68" s="313" t="inlineStr">
        <is>
          <t>F.MFM.08F.005.BU</t>
        </is>
      </c>
      <c r="O68" s="302" t="n"/>
      <c r="P68" s="302" t="n"/>
      <c r="Q68" s="316">
        <f>IFERROR(R68/H68, 0)</f>
        <v/>
      </c>
      <c r="R68" s="303" t="n">
        <v>1042</v>
      </c>
      <c r="S68" s="304" t="n">
        <v>18062</v>
      </c>
      <c r="T68" s="304">
        <f>IFERROR(S68*R68, 0)</f>
        <v/>
      </c>
      <c r="U68" s="317" t="n"/>
      <c r="V68" s="319" t="n"/>
      <c r="W68" s="320" t="n"/>
      <c r="X68" s="315" t="n"/>
      <c r="Y68" s="319" t="n"/>
      <c r="Z68" s="321" t="n"/>
    </row>
    <row r="69" ht="16.5" customHeight="1" s="223">
      <c r="A69" s="341" t="n"/>
      <c r="B69" s="342" t="n"/>
      <c r="C69" s="298" t="n"/>
      <c r="D69" s="298" t="n"/>
      <c r="E69" s="321" t="n"/>
      <c r="F69" s="330" t="n"/>
      <c r="G69" s="321" t="n"/>
      <c r="H69" s="315" t="n">
        <v>20</v>
      </c>
      <c r="I69" s="315" t="inlineStr"/>
      <c r="J69" s="315" t="inlineStr"/>
      <c r="K69" s="313" t="inlineStr">
        <is>
          <t>8IN MEDIUM MFM TW</t>
        </is>
      </c>
      <c r="L69" s="314" t="inlineStr">
        <is>
          <t>WA-MMF-8T-IN</t>
        </is>
      </c>
      <c r="M69" s="315" t="inlineStr">
        <is>
          <t>MIWU00207</t>
        </is>
      </c>
      <c r="N69" s="313" t="inlineStr">
        <is>
          <t>F.MFM.08T.005.BU</t>
        </is>
      </c>
      <c r="O69" s="302" t="n"/>
      <c r="P69" s="302" t="n"/>
      <c r="Q69" s="316">
        <f>IFERROR(R69/H69, 0)</f>
        <v/>
      </c>
      <c r="R69" s="303" t="n">
        <v>777.6</v>
      </c>
      <c r="S69" s="304" t="n">
        <v>18062</v>
      </c>
      <c r="T69" s="304">
        <f>IFERROR(S69*R69, 0)</f>
        <v/>
      </c>
      <c r="U69" s="317" t="n"/>
      <c r="V69" s="319" t="n"/>
      <c r="W69" s="320" t="n"/>
      <c r="X69" s="315" t="n"/>
      <c r="Y69" s="319" t="n"/>
      <c r="Z69" s="321" t="n"/>
    </row>
    <row r="70" ht="16.5" customHeight="1" s="223">
      <c r="A70" s="341" t="n"/>
      <c r="B70" s="342" t="n"/>
      <c r="C70" s="298" t="n"/>
      <c r="D70" s="298" t="n"/>
      <c r="E70" s="321" t="n"/>
      <c r="F70" s="330" t="n"/>
      <c r="G70" s="321" t="n"/>
      <c r="H70" s="315" t="n">
        <v>29</v>
      </c>
      <c r="I70" s="315" t="inlineStr"/>
      <c r="J70" s="315" t="inlineStr"/>
      <c r="K70" s="313" t="inlineStr">
        <is>
          <t>10IN PLUSH MFM FL</t>
        </is>
      </c>
      <c r="L70" s="314" t="inlineStr">
        <is>
          <t>WA-PMF-10F-IN</t>
        </is>
      </c>
      <c r="M70" s="315" t="inlineStr">
        <is>
          <t>MIWU00207</t>
        </is>
      </c>
      <c r="N70" s="313" t="inlineStr">
        <is>
          <t>F.MFM.10F.006.BU</t>
        </is>
      </c>
      <c r="O70" s="302" t="n"/>
      <c r="P70" s="302" t="n"/>
      <c r="Q70" s="316">
        <f>IFERROR(R70/H70, 0)</f>
        <v/>
      </c>
      <c r="R70" s="303" t="n">
        <v>1818.3</v>
      </c>
      <c r="S70" s="304" t="n">
        <v>18062</v>
      </c>
      <c r="T70" s="304">
        <f>IFERROR(S70*R70, 0)</f>
        <v/>
      </c>
      <c r="U70" s="317" t="n"/>
      <c r="V70" s="319" t="n"/>
      <c r="W70" s="320" t="n"/>
      <c r="X70" s="315" t="n"/>
      <c r="Y70" s="319" t="n"/>
      <c r="Z70" s="321" t="n"/>
    </row>
    <row r="71" ht="17.1" customHeight="1" s="223">
      <c r="A71" s="338" t="n"/>
      <c r="B71" s="343" t="n"/>
      <c r="C71" s="305" t="n"/>
      <c r="D71" s="305" t="n"/>
      <c r="E71" s="336" t="n"/>
      <c r="F71" s="336" t="n"/>
      <c r="G71" s="336" t="n"/>
      <c r="H71" s="322">
        <f>SUM(H62:H70)</f>
        <v/>
      </c>
      <c r="I71" s="337">
        <f>COUNTA(I62:I70)</f>
        <v/>
      </c>
      <c r="J71" s="322" t="n"/>
      <c r="K71" s="322" t="n"/>
      <c r="L71" s="344" t="n"/>
      <c r="M71" s="322" t="n"/>
      <c r="N71" s="322" t="n"/>
      <c r="O71" s="307">
        <f>SUM(O62:O70)</f>
        <v/>
      </c>
      <c r="P71" s="307">
        <f>SUM(P62:P70)</f>
        <v/>
      </c>
      <c r="Q71" s="345" t="n"/>
      <c r="R71" s="309">
        <f>SUM(R62:R70)</f>
        <v/>
      </c>
      <c r="S71" s="310" t="n"/>
      <c r="T71" s="310">
        <f>SUM(T62:T70)</f>
        <v/>
      </c>
      <c r="U71" s="322" t="n"/>
      <c r="V71" s="327" t="n"/>
      <c r="W71" s="328" t="n"/>
      <c r="X71" s="327" t="n"/>
      <c r="Y71" s="327" t="n"/>
      <c r="Z71" s="327" t="n"/>
    </row>
    <row r="72" ht="16.5" customHeight="1" s="223">
      <c r="A72" s="341" t="n">
        <v>10</v>
      </c>
      <c r="B72" s="342" t="inlineStr">
        <is>
          <t>000030ZIK48020260805000574</t>
        </is>
      </c>
      <c r="C72" s="298" t="n">
        <v>490010</v>
      </c>
      <c r="D72" s="298" t="n">
        <v>489950</v>
      </c>
      <c r="E72" s="321" t="n">
        <v>46240</v>
      </c>
      <c r="F72" s="330" t="inlineStr">
        <is>
          <t>ID2608-8045</t>
        </is>
      </c>
      <c r="G72" s="321" t="n">
        <v>46239</v>
      </c>
      <c r="H72" s="315" t="n">
        <v>75</v>
      </c>
      <c r="I72" s="315" t="inlineStr">
        <is>
          <t>TCLU4437980</t>
        </is>
      </c>
      <c r="J72" s="315" t="inlineStr">
        <is>
          <t>40FT</t>
        </is>
      </c>
      <c r="K72" s="313" t="inlineStr">
        <is>
          <t>10IN MEDIUM MFM FL</t>
        </is>
      </c>
      <c r="L72" s="314" t="inlineStr">
        <is>
          <t>WA-MMF-10F-IN</t>
        </is>
      </c>
      <c r="M72" s="315" t="inlineStr">
        <is>
          <t>MIWU00208</t>
        </is>
      </c>
      <c r="N72" s="313" t="inlineStr">
        <is>
          <t>F.MFM.10F.005.BU</t>
        </is>
      </c>
      <c r="O72" s="302" t="n">
        <v>10332.9</v>
      </c>
      <c r="P72" s="302" t="n">
        <v>9425</v>
      </c>
      <c r="Q72" s="316">
        <f>IFERROR(R72/H72, 0)</f>
        <v/>
      </c>
      <c r="R72" s="303" t="n">
        <v>4528.5</v>
      </c>
      <c r="S72" s="304" t="n">
        <v>18062</v>
      </c>
      <c r="T72" s="304">
        <f>IFERROR(S72*R72, 0)</f>
        <v/>
      </c>
      <c r="U72" s="317" t="inlineStr">
        <is>
          <t>040300/KPPBC</t>
        </is>
      </c>
      <c r="V72" s="319" t="inlineStr">
        <is>
          <t>TG. PRIOK</t>
        </is>
      </c>
      <c r="W72" s="320" t="inlineStr">
        <is>
          <t>TACOMA, US</t>
        </is>
      </c>
      <c r="X72" s="315" t="inlineStr">
        <is>
          <t>MELLOW INC</t>
        </is>
      </c>
      <c r="Y72" s="319" t="inlineStr">
        <is>
          <t>ONEYJKTG57225900</t>
        </is>
      </c>
      <c r="Z72" s="321" t="n">
        <v>46240</v>
      </c>
    </row>
    <row r="73" ht="16.5" customHeight="1" s="223">
      <c r="A73" s="341" t="n"/>
      <c r="B73" s="342" t="n"/>
      <c r="C73" s="298" t="n"/>
      <c r="D73" s="298" t="n"/>
      <c r="E73" s="321" t="n"/>
      <c r="F73" s="330" t="n"/>
      <c r="G73" s="321" t="n"/>
      <c r="H73" s="315" t="n">
        <v>161</v>
      </c>
      <c r="I73" s="315" t="inlineStr"/>
      <c r="J73" s="315" t="inlineStr"/>
      <c r="K73" s="313" t="inlineStr">
        <is>
          <t>10IN MEDIUM MFM QN</t>
        </is>
      </c>
      <c r="L73" s="314" t="inlineStr">
        <is>
          <t>WA-MMF-10Q-IN</t>
        </is>
      </c>
      <c r="M73" s="315" t="inlineStr">
        <is>
          <t>MIWU00208</t>
        </is>
      </c>
      <c r="N73" s="313" t="inlineStr">
        <is>
          <t>F.MFM.10Q.005.BU</t>
        </is>
      </c>
      <c r="O73" s="302" t="n"/>
      <c r="P73" s="302" t="n"/>
      <c r="Q73" s="316">
        <f>IFERROR(R73/H73, 0)</f>
        <v/>
      </c>
      <c r="R73" s="303" t="n">
        <v>11521.16</v>
      </c>
      <c r="S73" s="304" t="n">
        <v>18062</v>
      </c>
      <c r="T73" s="304">
        <f>IFERROR(S73*R73, 0)</f>
        <v/>
      </c>
      <c r="U73" s="317" t="n"/>
      <c r="V73" s="319" t="n"/>
      <c r="W73" s="320" t="inlineStr">
        <is>
          <t>ETD : 13-08-2026</t>
        </is>
      </c>
      <c r="X73" s="315" t="n"/>
      <c r="Y73" s="319" t="n"/>
      <c r="Z73" s="321" t="n"/>
    </row>
    <row r="74" ht="16.5" customHeight="1" s="223">
      <c r="A74" s="341" t="n"/>
      <c r="B74" s="342" t="n"/>
      <c r="C74" s="298" t="n"/>
      <c r="D74" s="298" t="n"/>
      <c r="E74" s="321" t="n"/>
      <c r="F74" s="330" t="n"/>
      <c r="G74" s="321" t="n"/>
      <c r="H74" s="315" t="n">
        <v>105</v>
      </c>
      <c r="I74" s="315" t="inlineStr"/>
      <c r="J74" s="315" t="inlineStr"/>
      <c r="K74" s="313" t="inlineStr">
        <is>
          <t>10IN MEDIUM MFM TW</t>
        </is>
      </c>
      <c r="L74" s="314" t="inlineStr">
        <is>
          <t>WA-MMF-10T-IN</t>
        </is>
      </c>
      <c r="M74" s="315" t="inlineStr">
        <is>
          <t>MIWU00208</t>
        </is>
      </c>
      <c r="N74" s="313" t="inlineStr">
        <is>
          <t>F.MFM.10T.005.BU</t>
        </is>
      </c>
      <c r="O74" s="302" t="n"/>
      <c r="P74" s="302" t="n"/>
      <c r="Q74" s="316">
        <f>IFERROR(R74/H74, 0)</f>
        <v/>
      </c>
      <c r="R74" s="303" t="n">
        <v>4832.1</v>
      </c>
      <c r="S74" s="304" t="n">
        <v>18062</v>
      </c>
      <c r="T74" s="304">
        <f>IFERROR(S74*R74, 0)</f>
        <v/>
      </c>
      <c r="U74" s="317" t="n"/>
      <c r="V74" s="319" t="n"/>
      <c r="W74" s="320" t="n"/>
      <c r="X74" s="315" t="n"/>
      <c r="Y74" s="319" t="n"/>
      <c r="Z74" s="321" t="n"/>
    </row>
    <row r="75" ht="16.5" customHeight="1" s="223">
      <c r="A75" s="341" t="n"/>
      <c r="B75" s="342" t="n"/>
      <c r="C75" s="298" t="n"/>
      <c r="D75" s="298" t="n"/>
      <c r="E75" s="321" t="n"/>
      <c r="F75" s="330" t="n"/>
      <c r="G75" s="321" t="n"/>
      <c r="H75" s="315" t="n">
        <v>15</v>
      </c>
      <c r="I75" s="315" t="inlineStr"/>
      <c r="J75" s="315" t="inlineStr"/>
      <c r="K75" s="313" t="inlineStr">
        <is>
          <t>12IN MEDIUM MFM EK</t>
        </is>
      </c>
      <c r="L75" s="314" t="inlineStr">
        <is>
          <t>WA-MMF-12K-IN</t>
        </is>
      </c>
      <c r="M75" s="315" t="inlineStr">
        <is>
          <t>MIWU00208</t>
        </is>
      </c>
      <c r="N75" s="313" t="inlineStr">
        <is>
          <t>F.MFM.12K.005.BU</t>
        </is>
      </c>
      <c r="O75" s="302" t="n"/>
      <c r="P75" s="302" t="n"/>
      <c r="Q75" s="316">
        <f>IFERROR(R75/H75, 0)</f>
        <v/>
      </c>
      <c r="R75" s="303" t="n">
        <v>1482.9</v>
      </c>
      <c r="S75" s="304" t="n">
        <v>18062</v>
      </c>
      <c r="T75" s="304">
        <f>IFERROR(S75*R75, 0)</f>
        <v/>
      </c>
      <c r="U75" s="317" t="n"/>
      <c r="V75" s="319" t="n"/>
      <c r="W75" s="320" t="n"/>
      <c r="X75" s="315" t="n"/>
      <c r="Y75" s="319" t="n"/>
      <c r="Z75" s="321" t="n"/>
    </row>
    <row r="76" ht="16.5" customHeight="1" s="223">
      <c r="A76" s="341" t="n"/>
      <c r="B76" s="342" t="n"/>
      <c r="C76" s="298" t="n"/>
      <c r="D76" s="298" t="n"/>
      <c r="E76" s="321" t="n"/>
      <c r="F76" s="330" t="n"/>
      <c r="G76" s="321" t="n"/>
      <c r="H76" s="315" t="n">
        <v>20</v>
      </c>
      <c r="I76" s="315" t="inlineStr"/>
      <c r="J76" s="315" t="inlineStr"/>
      <c r="K76" s="313" t="inlineStr">
        <is>
          <t>12IN MEDIUM MFM QN</t>
        </is>
      </c>
      <c r="L76" s="314" t="inlineStr">
        <is>
          <t>WA-MMF-12Q-IN</t>
        </is>
      </c>
      <c r="M76" s="315" t="inlineStr">
        <is>
          <t>MIWU00208</t>
        </is>
      </c>
      <c r="N76" s="313" t="inlineStr">
        <is>
          <t>F.MFM.12Q.005.BU</t>
        </is>
      </c>
      <c r="O76" s="302" t="n"/>
      <c r="P76" s="302" t="n"/>
      <c r="Q76" s="316">
        <f>IFERROR(R76/H76, 0)</f>
        <v/>
      </c>
      <c r="R76" s="303" t="n">
        <v>1619.4</v>
      </c>
      <c r="S76" s="304" t="n">
        <v>18062</v>
      </c>
      <c r="T76" s="304">
        <f>IFERROR(S76*R76, 0)</f>
        <v/>
      </c>
      <c r="U76" s="317" t="n"/>
      <c r="V76" s="319" t="n"/>
      <c r="W76" s="320" t="n"/>
      <c r="X76" s="315" t="n"/>
      <c r="Y76" s="319" t="n"/>
      <c r="Z76" s="321" t="n"/>
    </row>
    <row r="77" ht="16.5" customHeight="1" s="223">
      <c r="A77" s="341" t="n"/>
      <c r="B77" s="342" t="n"/>
      <c r="C77" s="298" t="n"/>
      <c r="D77" s="298" t="n"/>
      <c r="E77" s="321" t="n"/>
      <c r="F77" s="330" t="n"/>
      <c r="G77" s="321" t="n"/>
      <c r="H77" s="315" t="n">
        <v>25</v>
      </c>
      <c r="I77" s="315" t="inlineStr"/>
      <c r="J77" s="315" t="inlineStr"/>
      <c r="K77" s="313" t="inlineStr">
        <is>
          <t>6IN MEDIUM MFM TW</t>
        </is>
      </c>
      <c r="L77" s="314" t="inlineStr">
        <is>
          <t>WA-MMF-6T-IN</t>
        </is>
      </c>
      <c r="M77" s="315" t="inlineStr">
        <is>
          <t>MIWU00208</t>
        </is>
      </c>
      <c r="N77" s="313" t="inlineStr">
        <is>
          <t>F.MFM.06T.002.BU</t>
        </is>
      </c>
      <c r="O77" s="302" t="n"/>
      <c r="P77" s="302" t="n"/>
      <c r="Q77" s="316">
        <f>IFERROR(R77/H77, 0)</f>
        <v/>
      </c>
      <c r="R77" s="303" t="n">
        <v>802.5</v>
      </c>
      <c r="S77" s="304" t="n">
        <v>18062</v>
      </c>
      <c r="T77" s="304">
        <f>IFERROR(S77*R77, 0)</f>
        <v/>
      </c>
      <c r="U77" s="317" t="n"/>
      <c r="V77" s="319" t="n"/>
      <c r="W77" s="320" t="n"/>
      <c r="X77" s="315" t="n"/>
      <c r="Y77" s="319" t="n"/>
      <c r="Z77" s="321" t="n"/>
    </row>
    <row r="78" ht="16.5" customHeight="1" s="223">
      <c r="A78" s="341" t="n"/>
      <c r="B78" s="342" t="n"/>
      <c r="C78" s="298" t="n"/>
      <c r="D78" s="298" t="n"/>
      <c r="E78" s="321" t="n"/>
      <c r="F78" s="330" t="n"/>
      <c r="G78" s="321" t="n"/>
      <c r="H78" s="315" t="n">
        <v>20</v>
      </c>
      <c r="I78" s="315" t="inlineStr"/>
      <c r="J78" s="315" t="inlineStr"/>
      <c r="K78" s="313" t="inlineStr">
        <is>
          <t>8IN MEDIUM MFM FL</t>
        </is>
      </c>
      <c r="L78" s="314" t="inlineStr">
        <is>
          <t>WA-MMF-8F-IN</t>
        </is>
      </c>
      <c r="M78" s="315" t="inlineStr">
        <is>
          <t>MIWU00208</t>
        </is>
      </c>
      <c r="N78" s="313" t="inlineStr">
        <is>
          <t>F.MFM.08F.005.BU</t>
        </is>
      </c>
      <c r="O78" s="302" t="n"/>
      <c r="P78" s="302" t="n"/>
      <c r="Q78" s="316">
        <f>IFERROR(R78/H78, 0)</f>
        <v/>
      </c>
      <c r="R78" s="303" t="n">
        <v>1042</v>
      </c>
      <c r="S78" s="304" t="n">
        <v>18062</v>
      </c>
      <c r="T78" s="304">
        <f>IFERROR(S78*R78, 0)</f>
        <v/>
      </c>
      <c r="U78" s="317" t="n"/>
      <c r="V78" s="319" t="n"/>
      <c r="W78" s="320" t="n"/>
      <c r="X78" s="315" t="n"/>
      <c r="Y78" s="319" t="n"/>
      <c r="Z78" s="321" t="n"/>
    </row>
    <row r="79" ht="16.5" customHeight="1" s="223">
      <c r="A79" s="341" t="n"/>
      <c r="B79" s="342" t="n"/>
      <c r="C79" s="298" t="n"/>
      <c r="D79" s="298" t="n"/>
      <c r="E79" s="321" t="n"/>
      <c r="F79" s="330" t="n"/>
      <c r="G79" s="321" t="n"/>
      <c r="H79" s="315" t="n">
        <v>20</v>
      </c>
      <c r="I79" s="315" t="inlineStr"/>
      <c r="J79" s="315" t="inlineStr"/>
      <c r="K79" s="313" t="inlineStr">
        <is>
          <t>8IN MEDIUM MFM TW</t>
        </is>
      </c>
      <c r="L79" s="314" t="inlineStr">
        <is>
          <t>WA-MMF-8T-IN</t>
        </is>
      </c>
      <c r="M79" s="315" t="inlineStr">
        <is>
          <t>MIWU00208</t>
        </is>
      </c>
      <c r="N79" s="313" t="inlineStr">
        <is>
          <t>F.MFM.08T.005.BU</t>
        </is>
      </c>
      <c r="O79" s="302" t="n"/>
      <c r="P79" s="302" t="n"/>
      <c r="Q79" s="316">
        <f>IFERROR(R79/H79, 0)</f>
        <v/>
      </c>
      <c r="R79" s="303" t="n">
        <v>777.6</v>
      </c>
      <c r="S79" s="304" t="n">
        <v>18062</v>
      </c>
      <c r="T79" s="304">
        <f>IFERROR(S79*R79, 0)</f>
        <v/>
      </c>
      <c r="U79" s="317" t="n"/>
      <c r="V79" s="319" t="n"/>
      <c r="W79" s="320" t="n"/>
      <c r="X79" s="315" t="n"/>
      <c r="Y79" s="319" t="n"/>
      <c r="Z79" s="321" t="n"/>
    </row>
    <row r="80" ht="16.5" customHeight="1" s="223">
      <c r="A80" s="341" t="n"/>
      <c r="B80" s="342" t="n"/>
      <c r="C80" s="298" t="n"/>
      <c r="D80" s="298" t="n"/>
      <c r="E80" s="321" t="n"/>
      <c r="F80" s="330" t="n"/>
      <c r="G80" s="321" t="n"/>
      <c r="H80" s="315" t="n">
        <v>29</v>
      </c>
      <c r="I80" s="315" t="inlineStr"/>
      <c r="J80" s="315" t="inlineStr"/>
      <c r="K80" s="313" t="inlineStr">
        <is>
          <t>10IN PLUSH MFM FL</t>
        </is>
      </c>
      <c r="L80" s="314" t="inlineStr">
        <is>
          <t>WA-PMF-10F-IN</t>
        </is>
      </c>
      <c r="M80" s="315" t="inlineStr">
        <is>
          <t>MIWU00208</t>
        </is>
      </c>
      <c r="N80" s="313" t="inlineStr">
        <is>
          <t>F.MFM.10F.006.BU</t>
        </is>
      </c>
      <c r="O80" s="302" t="n"/>
      <c r="P80" s="302" t="n"/>
      <c r="Q80" s="316">
        <f>IFERROR(R80/H80, 0)</f>
        <v/>
      </c>
      <c r="R80" s="303" t="n">
        <v>1818.3</v>
      </c>
      <c r="S80" s="304" t="n">
        <v>18062</v>
      </c>
      <c r="T80" s="304">
        <f>IFERROR(S80*R80, 0)</f>
        <v/>
      </c>
      <c r="U80" s="317" t="n"/>
      <c r="V80" s="319" t="n"/>
      <c r="W80" s="320" t="n"/>
      <c r="X80" s="315" t="n"/>
      <c r="Y80" s="319" t="n"/>
      <c r="Z80" s="321" t="n"/>
    </row>
    <row r="81" ht="17.1" customHeight="1" s="223">
      <c r="A81" s="338" t="n"/>
      <c r="B81" s="343" t="n"/>
      <c r="C81" s="305" t="n"/>
      <c r="D81" s="305" t="n"/>
      <c r="E81" s="336" t="n"/>
      <c r="F81" s="336" t="n"/>
      <c r="G81" s="336" t="n"/>
      <c r="H81" s="322">
        <f>SUM(H72:H80)</f>
        <v/>
      </c>
      <c r="I81" s="337">
        <f>COUNTA(I72:I80)</f>
        <v/>
      </c>
      <c r="J81" s="322" t="n"/>
      <c r="K81" s="322" t="n"/>
      <c r="L81" s="344" t="n"/>
      <c r="M81" s="322" t="n"/>
      <c r="N81" s="322" t="n"/>
      <c r="O81" s="307">
        <f>SUM(O72:O80)</f>
        <v/>
      </c>
      <c r="P81" s="307">
        <f>SUM(P72:P80)</f>
        <v/>
      </c>
      <c r="Q81" s="345" t="n"/>
      <c r="R81" s="309">
        <f>SUM(R72:R80)</f>
        <v/>
      </c>
      <c r="S81" s="310" t="n"/>
      <c r="T81" s="310">
        <f>SUM(T72:T80)</f>
        <v/>
      </c>
      <c r="U81" s="322" t="n"/>
      <c r="V81" s="327" t="n"/>
      <c r="W81" s="328" t="n"/>
      <c r="X81" s="327" t="n"/>
      <c r="Y81" s="327" t="n"/>
      <c r="Z81" s="327" t="n"/>
    </row>
    <row r="82" ht="16.5" customHeight="1" s="223">
      <c r="A82" s="341">
        <f>COUNT(A12:A81)</f>
        <v/>
      </c>
      <c r="B82" s="342" t="n"/>
      <c r="C82" s="298" t="n"/>
      <c r="D82" s="298" t="n"/>
      <c r="E82" s="321" t="n"/>
      <c r="F82" s="330" t="n"/>
      <c r="G82" s="321" t="n"/>
      <c r="H82" s="315">
        <f>SUM(H25,H28,H31,H34,H37,H40,H51,H61,H71,H81)</f>
        <v/>
      </c>
      <c r="I82" s="315">
        <f>SUM(I25,I28,I31,I34,I37,I40,I51,I61,I71,I81)</f>
        <v/>
      </c>
      <c r="J82" s="315" t="n"/>
      <c r="K82" s="313" t="n"/>
      <c r="L82" s="314" t="n"/>
      <c r="M82" s="315" t="n"/>
      <c r="N82" s="313" t="n"/>
      <c r="O82" s="302">
        <f>SUM(O25,O28,O31,O34,O37,O40,O51,O61,O71,O81)</f>
        <v/>
      </c>
      <c r="P82" s="302">
        <f>SUM(P25,P28,P31,P34,P37,P40,P51,P61,P71,P81)</f>
        <v/>
      </c>
      <c r="Q82" s="316" t="n"/>
      <c r="R82" s="303">
        <f>SUM(R25,R28,R31,R34,R37,R40,R51,R61,R71,R81)</f>
        <v/>
      </c>
      <c r="S82" s="304" t="n"/>
      <c r="T82" s="304">
        <f>SUM(T25,T28,T31,T34,T37,T40,T51,T61,T71,T81)</f>
        <v/>
      </c>
      <c r="U82" s="317" t="n"/>
      <c r="V82" s="319" t="n"/>
      <c r="W82" s="320" t="n"/>
      <c r="X82" s="315" t="n"/>
      <c r="Y82" s="319" t="n"/>
      <c r="Z82" s="321" t="n"/>
    </row>
    <row r="83"/>
    <row r="84" ht="20" customHeight="1" s="223">
      <c r="B84" s="346" t="inlineStr">
        <is>
          <t>Total Qty Export :</t>
        </is>
      </c>
      <c r="C84" s="347">
        <f>H82-C85</f>
        <v/>
      </c>
    </row>
    <row r="85" ht="20" customHeight="1" s="223">
      <c r="B85" s="348" t="inlineStr">
        <is>
          <t>Total Qty Export Sample :</t>
        </is>
      </c>
      <c r="C85" s="349" t="n">
        <v>0</v>
      </c>
    </row>
    <row r="86"/>
    <row r="87" ht="20" customHeight="1" s="223">
      <c r="U87" s="348" t="inlineStr">
        <is>
          <t>Tangerang, 09 August 2026</t>
        </is>
      </c>
    </row>
    <row r="88" ht="20" customHeight="1" s="223">
      <c r="A88" s="350" t="inlineStr">
        <is>
          <t>Total Document</t>
        </is>
      </c>
      <c r="C88" s="350">
        <f>A82</f>
        <v/>
      </c>
      <c r="U88" s="348" t="inlineStr">
        <is>
          <t>Kasubsi Hanggar Pabean dan Cukai</t>
        </is>
      </c>
    </row>
    <row r="89" ht="20" customHeight="1" s="223">
      <c r="A89" s="350" t="inlineStr">
        <is>
          <t>Gross Weight</t>
        </is>
      </c>
      <c r="C89" s="350">
        <f>O82</f>
        <v/>
      </c>
    </row>
    <row r="90" ht="20" customHeight="1" s="223">
      <c r="A90" s="350" t="inlineStr">
        <is>
          <t>Nett Weight</t>
        </is>
      </c>
      <c r="C90" s="350">
        <f>P82</f>
        <v/>
      </c>
    </row>
    <row r="91" ht="20" customHeight="1" s="223">
      <c r="A91" s="350" t="inlineStr">
        <is>
          <t>Amount</t>
        </is>
      </c>
      <c r="C91" s="350">
        <f>R82</f>
        <v/>
      </c>
    </row>
    <row r="92" ht="20" customHeight="1" s="223">
      <c r="A92" s="350" t="inlineStr">
        <is>
          <t>Jumlah Container</t>
        </is>
      </c>
      <c r="C92" s="350">
        <f>I82</f>
        <v/>
      </c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1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52" t="n"/>
      <c r="L333" s="352" t="n"/>
      <c r="M333" s="352" t="n"/>
      <c r="N333" s="353" t="n"/>
      <c r="O333" s="354" t="n"/>
      <c r="P333" s="354" t="n"/>
      <c r="Q333" s="355" t="n"/>
      <c r="R333" s="356" t="n"/>
      <c r="S333" s="357" t="n"/>
      <c r="T333" s="357" t="n"/>
      <c r="U333" s="358" t="n"/>
      <c r="V333" s="358" t="n"/>
      <c r="W333" s="358" t="n"/>
      <c r="X333" s="358" t="n"/>
      <c r="Y333" s="358" t="n"/>
      <c r="Z333" s="358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2026-08-09T16:27:13Z</dcterms:modified>
  <cp:lastModifiedBy>Chiswa Dian Hermansyah(ZINUS ZDI)</cp:lastModifiedBy>
</cp:coreProperties>
</file>