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inlineStr">
        <is>
          <t>23/07/2026</t>
        </is>
      </c>
      <c r="F12" s="107" t="inlineStr">
        <is>
          <t>ID2607-7886</t>
        </is>
      </c>
      <c r="G12" s="258" t="inlineStr">
        <is>
          <t>22/07/2026</t>
        </is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>
        <f>SUM(O12:O16)</f>
        <v/>
      </c>
      <c r="P17" s="111">
        <f>SUM(P12:P16)</f>
        <v/>
      </c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inlineStr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inlineStr">
        <is>
          <t>23/07/2026</t>
        </is>
      </c>
      <c r="F23" s="265" t="inlineStr">
        <is>
          <t>ID2607-7887</t>
        </is>
      </c>
      <c r="G23" s="264" t="inlineStr">
        <is>
          <t>22/07/2026</t>
        </is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/>
      <c r="Y23" s="267" t="inlineStr"/>
      <c r="Z23" s="268" t="inlineStr"/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>
        <f>COUNT(A12:A25)</f>
        <v/>
      </c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>
        <f>O17+O23</f>
        <v/>
      </c>
      <c r="P26" s="298">
        <f>P17+P23</f>
        <v/>
      </c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inlineStr">
        <is>
          <t>Total Qty Export :</t>
        </is>
      </c>
      <c r="C28" s="281">
        <f>H26-C29</f>
        <v/>
      </c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inlineStr">
        <is>
          <t>Total Qty Export Sample :</t>
        </is>
      </c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inlineStr">
        <is>
          <t>Tangerang, 31 July 2026</t>
        </is>
      </c>
      <c r="V31" s="315" t="n"/>
      <c r="W31" s="316" t="n"/>
      <c r="X31" s="311" t="n"/>
      <c r="Y31" s="315" t="n"/>
      <c r="Z31" s="317" t="n"/>
    </row>
    <row r="32" ht="16.5" customHeight="1" s="223">
      <c r="A32" s="319" t="inlineStr">
        <is>
          <t>Total Document</t>
        </is>
      </c>
      <c r="B32" s="105" t="n"/>
      <c r="C32" s="295">
        <f>A26</f>
        <v/>
      </c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>
        <f>+[1]REKAP!X34</f>
        <v/>
      </c>
      <c r="V32" s="315" t="n"/>
      <c r="W32" s="316" t="n"/>
      <c r="X32" s="311" t="n"/>
      <c r="Y32" s="315" t="n"/>
      <c r="Z32" s="317" t="n"/>
    </row>
    <row r="33" ht="16.5" customHeight="1" s="223">
      <c r="A33" s="319" t="inlineStr">
        <is>
          <t>Gross Weight</t>
        </is>
      </c>
      <c r="B33" s="322" t="n"/>
      <c r="C33" s="295">
        <f>O26</f>
        <v/>
      </c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inlineStr">
        <is>
          <t>Nett Weight</t>
        </is>
      </c>
      <c r="B34" s="322" t="n"/>
      <c r="C34" s="295">
        <f>P26</f>
        <v/>
      </c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inlineStr">
        <is>
          <t>Amount</t>
        </is>
      </c>
      <c r="B35" s="322" t="n"/>
      <c r="C35" s="295">
        <f>R26</f>
        <v/>
      </c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inlineStr">
        <is>
          <t>Jumlah Container</t>
        </is>
      </c>
      <c r="B36" s="322" t="n"/>
      <c r="C36" s="295">
        <f>I26-C37</f>
        <v/>
      </c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>
        <f>I28</f>
        <v/>
      </c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>
        <f>C36*2+C37</f>
        <v/>
      </c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inlineStr">
        <is>
          <t>23/07/2026</t>
        </is>
      </c>
      <c r="F51" s="321" t="inlineStr">
        <is>
          <t>ID2607-7885</t>
        </is>
      </c>
      <c r="G51" s="317" t="inlineStr">
        <is>
          <t>22/07/2026</t>
        </is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/>
      <c r="Y51" s="315" t="inlineStr"/>
      <c r="Z51" s="317" t="inlineStr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inlineStr">
        <is>
          <t>23/07/2026</t>
        </is>
      </c>
      <c r="F80" s="321" t="inlineStr">
        <is>
          <t>ID2607-7865</t>
        </is>
      </c>
      <c r="G80" s="317" t="inlineStr">
        <is>
          <t>20/07/2026</t>
        </is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/>
      <c r="Y80" s="315" t="inlineStr"/>
      <c r="Z80" s="317" t="inlineStr"/>
    </row>
    <row r="81" ht="17.1" customHeight="1" s="223">
      <c r="A81" s="326" t="n"/>
      <c r="B81" s="327" t="n"/>
      <c r="C81" s="328" t="n"/>
      <c r="D81" s="328" t="n"/>
      <c r="E81" s="329" t="n"/>
      <c r="F81" s="329" t="n"/>
      <c r="G81" s="329" t="n"/>
      <c r="H81" s="330">
        <f>SUM(H80:H80)</f>
        <v/>
      </c>
      <c r="I81" s="331">
        <f>COUNTA(I80:I80)</f>
        <v/>
      </c>
      <c r="J81" s="330" t="n"/>
      <c r="K81" s="330" t="n"/>
      <c r="L81" s="332" t="n"/>
      <c r="M81" s="330" t="n"/>
      <c r="N81" s="330" t="n"/>
      <c r="O81" s="333">
        <f>SUM(O80:O80)</f>
        <v/>
      </c>
      <c r="P81" s="333">
        <f>SUM(P80:P80)</f>
        <v/>
      </c>
      <c r="Q81" s="334" t="n"/>
      <c r="R81" s="335">
        <f>SUM(R80:R80)</f>
        <v/>
      </c>
      <c r="S81" s="336" t="n"/>
      <c r="T81" s="336">
        <f>SUM(T80:T80)</f>
        <v/>
      </c>
      <c r="U81" s="330" t="n"/>
      <c r="V81" s="337" t="n"/>
      <c r="W81" s="338" t="n"/>
      <c r="X81" s="337" t="n"/>
      <c r="Y81" s="337" t="n"/>
      <c r="Z81" s="337" t="n"/>
    </row>
    <row r="82" ht="16.5" customHeight="1" s="223">
      <c r="A82" s="323" t="n">
        <v>5</v>
      </c>
      <c r="B82" s="325" t="inlineStr">
        <is>
          <t>000030ZIK48020260723000508</t>
        </is>
      </c>
      <c r="C82" s="304" t="n">
        <v>458709</v>
      </c>
      <c r="D82" s="304" t="n">
        <v>458650</v>
      </c>
      <c r="E82" s="317" t="inlineStr">
        <is>
          <t>24/07/2026</t>
        </is>
      </c>
      <c r="F82" s="321" t="inlineStr">
        <is>
          <t>ID2607-7881</t>
        </is>
      </c>
      <c r="G82" s="317" t="inlineStr">
        <is>
          <t>21/07/2026</t>
        </is>
      </c>
      <c r="H82" s="311" t="n">
        <v>900</v>
      </c>
      <c r="I82" s="311" t="inlineStr">
        <is>
          <t>TLLU4381447</t>
        </is>
      </c>
      <c r="J82" s="311" t="inlineStr">
        <is>
          <t>40FT</t>
        </is>
      </c>
      <c r="K82" s="309" t="inlineStr">
        <is>
          <t>8IN GREEN TEA MF MATTRESS QN</t>
        </is>
      </c>
      <c r="L82" s="310" t="inlineStr">
        <is>
          <t>SCF-STR-800Q</t>
        </is>
      </c>
      <c r="M82" s="311" t="inlineStr">
        <is>
          <t>0993631021</t>
        </is>
      </c>
      <c r="N82" s="309" t="inlineStr">
        <is>
          <t>F.MFM.08Q.000.WS</t>
        </is>
      </c>
      <c r="O82" s="306" t="n">
        <v>21510</v>
      </c>
      <c r="P82" s="306" t="n">
        <v>19188</v>
      </c>
      <c r="Q82" s="312">
        <f>IFERROR(R82/H82, 0)</f>
        <v/>
      </c>
      <c r="R82" s="307" t="n">
        <v>84573</v>
      </c>
      <c r="S82" s="308" t="n">
        <v>18056</v>
      </c>
      <c r="T82" s="308">
        <f>IFERROR(S82*R82, 0)</f>
        <v/>
      </c>
      <c r="U82" s="313" t="inlineStr">
        <is>
          <t>040300/KPPBC</t>
        </is>
      </c>
      <c r="V82" s="315" t="inlineStr">
        <is>
          <t>TG. PRIOK</t>
        </is>
      </c>
      <c r="W82" s="316" t="inlineStr">
        <is>
          <t>MOBILE</t>
        </is>
      </c>
      <c r="X82" s="311" t="inlineStr"/>
      <c r="Y82" s="315" t="inlineStr"/>
      <c r="Z82" s="317" t="inlineStr"/>
    </row>
    <row r="83" ht="17.1" customHeight="1" s="223">
      <c r="A83" s="326" t="n"/>
      <c r="B83" s="327" t="n"/>
      <c r="C83" s="328" t="n"/>
      <c r="D83" s="328" t="n"/>
      <c r="E83" s="329" t="n"/>
      <c r="F83" s="329" t="n"/>
      <c r="G83" s="329" t="n"/>
      <c r="H83" s="330">
        <f>SUM(H82:H82)</f>
        <v/>
      </c>
      <c r="I83" s="331">
        <f>COUNTA(I82:I82)</f>
        <v/>
      </c>
      <c r="J83" s="330" t="n"/>
      <c r="K83" s="330" t="n"/>
      <c r="L83" s="332" t="n"/>
      <c r="M83" s="330" t="n"/>
      <c r="N83" s="330" t="n"/>
      <c r="O83" s="333">
        <f>SUM(O82:O82)</f>
        <v/>
      </c>
      <c r="P83" s="333">
        <f>SUM(P82:P82)</f>
        <v/>
      </c>
      <c r="Q83" s="334" t="n"/>
      <c r="R83" s="335">
        <f>SUM(R82:R82)</f>
        <v/>
      </c>
      <c r="S83" s="336" t="n"/>
      <c r="T83" s="336">
        <f>SUM(T82:T82)</f>
        <v/>
      </c>
      <c r="U83" s="330" t="n"/>
      <c r="V83" s="337" t="n"/>
      <c r="W83" s="338" t="n"/>
      <c r="X83" s="337" t="n"/>
      <c r="Y83" s="337" t="n"/>
      <c r="Z83" s="337" t="n"/>
    </row>
    <row r="84" ht="16.5" customHeight="1" s="223">
      <c r="A84" s="323" t="n">
        <v>6</v>
      </c>
      <c r="B84" s="325" t="inlineStr">
        <is>
          <t>000030ZIK48020260724000509</t>
        </is>
      </c>
      <c r="C84" s="304" t="n">
        <v>372816</v>
      </c>
      <c r="D84" s="304" t="n">
        <v>372575</v>
      </c>
      <c r="E84" s="317" t="inlineStr">
        <is>
          <t>24/07/2026</t>
        </is>
      </c>
      <c r="F84" s="321" t="inlineStr">
        <is>
          <t>SPL/026/ZDI/VII/2026</t>
        </is>
      </c>
      <c r="G84" s="317" t="inlineStr">
        <is>
          <t>24/07/2026</t>
        </is>
      </c>
      <c r="H84" s="311" t="n">
        <v>1</v>
      </c>
      <c r="I84" s="311" t="inlineStr"/>
      <c r="J84" s="311" t="inlineStr"/>
      <c r="K84" s="309" t="inlineStr">
        <is>
          <t>TOPPER</t>
        </is>
      </c>
      <c r="L84" s="310" t="inlineStr">
        <is>
          <t>ECMF-LV3T</t>
        </is>
      </c>
      <c r="M84" s="311" t="inlineStr"/>
      <c r="N84" s="309" t="inlineStr">
        <is>
          <t>F.TGT.SAMP</t>
        </is>
      </c>
      <c r="O84" s="306" t="n">
        <v>9.039999999999999</v>
      </c>
      <c r="P84" s="306" t="n">
        <v>7.44</v>
      </c>
      <c r="Q84" s="312">
        <f>IFERROR(R84/H84, 0)</f>
        <v/>
      </c>
      <c r="R84" s="307" t="n">
        <v>20</v>
      </c>
      <c r="S84" s="308" t="n">
        <v>18056</v>
      </c>
      <c r="T84" s="308">
        <f>IFERROR(S84*R84, 0)</f>
        <v/>
      </c>
      <c r="U84" s="313" t="inlineStr">
        <is>
          <t>050100/KPPBC</t>
        </is>
      </c>
      <c r="V84" s="315" t="inlineStr">
        <is>
          <t>S. HATTA</t>
        </is>
      </c>
      <c r="W84" s="316" t="inlineStr">
        <is>
          <t>LESTER B. PEARSON INTERNATIONAL/TORONTO</t>
        </is>
      </c>
      <c r="X84" s="311" t="inlineStr"/>
      <c r="Y84" s="315" t="inlineStr"/>
      <c r="Z84" s="317" t="inlineStr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</v>
      </c>
      <c r="I85" s="311" t="inlineStr"/>
      <c r="J85" s="311" t="inlineStr"/>
      <c r="K85" s="309" t="inlineStr">
        <is>
          <t>TOPPER</t>
        </is>
      </c>
      <c r="L85" s="310" t="inlineStr">
        <is>
          <t>GMT-3T</t>
        </is>
      </c>
      <c r="M85" s="311" t="inlineStr"/>
      <c r="N85" s="309" t="inlineStr">
        <is>
          <t>F.TGT.SAMP</t>
        </is>
      </c>
      <c r="O85" s="306" t="n"/>
      <c r="P85" s="306" t="n"/>
      <c r="Q85" s="312">
        <f>IFERROR(R85/H85, 0)</f>
        <v/>
      </c>
      <c r="R85" s="307" t="n">
        <v>20</v>
      </c>
      <c r="S85" s="308" t="n">
        <v>18056</v>
      </c>
      <c r="T85" s="308">
        <f>IFERROR(S85*R85, 0)</f>
        <v/>
      </c>
      <c r="U85" s="313" t="n"/>
      <c r="V85" s="315" t="n"/>
      <c r="W85" s="316" t="inlineStr">
        <is>
          <t>ETD : 27-07-2026</t>
        </is>
      </c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SUM(H84:H85)</f>
        <v/>
      </c>
      <c r="I86" s="331">
        <f>COUNTA(I84:I85)</f>
        <v/>
      </c>
      <c r="J86" s="330" t="n"/>
      <c r="K86" s="330" t="n"/>
      <c r="L86" s="332" t="n"/>
      <c r="M86" s="330" t="n"/>
      <c r="N86" s="330" t="n"/>
      <c r="O86" s="333">
        <f>SUM(O84:O85)</f>
        <v/>
      </c>
      <c r="P86" s="333">
        <f>SUM(P84:P85)</f>
        <v/>
      </c>
      <c r="Q86" s="334" t="n"/>
      <c r="R86" s="335">
        <f>SUM(R84:R85)</f>
        <v/>
      </c>
      <c r="S86" s="336" t="n"/>
      <c r="T86" s="336">
        <f>SUM(T84:T85)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SUM(H22,H50,H79,H81,H83,H86)</f>
        <v/>
      </c>
      <c r="I87" s="311">
        <f>SUM(I22,I50,I79,I81,I83,I86)</f>
        <v/>
      </c>
      <c r="J87" s="311" t="n"/>
      <c r="K87" s="309" t="n"/>
      <c r="L87" s="310" t="n"/>
      <c r="M87" s="311" t="n"/>
      <c r="N87" s="309" t="n"/>
      <c r="O87" s="306">
        <f>SUM(O22,O50,O79,O81,O83,O86)</f>
        <v/>
      </c>
      <c r="P87" s="306">
        <f>SUM(P22,P50,P79,P81,P83,P86)</f>
        <v/>
      </c>
      <c r="Q87" s="312" t="n"/>
      <c r="R87" s="307">
        <f>SUM(R22,R50,R79,R81,R83,R86)</f>
        <v/>
      </c>
      <c r="S87" s="308" t="n"/>
      <c r="T87" s="308">
        <f>SUM(T22,T50,T79,T81,T83,T86)</f>
        <v/>
      </c>
      <c r="U87" s="313" t="n"/>
      <c r="V87" s="315" t="n"/>
      <c r="W87" s="316" t="n"/>
      <c r="X87" s="311" t="n"/>
      <c r="Y87" s="315" t="n"/>
      <c r="Z87" s="317" t="n"/>
    </row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2026-07-26T08:28:35Z</dcterms:modified>
  <cp:lastModifiedBy>Chiswa Dian Hermansyah(ZINUS ZDI)</cp:lastModifiedBy>
</cp:coreProperties>
</file>