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5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000030ZIK48020260722000504</t>
        </is>
      </c>
      <c r="C12" s="81" t="n">
        <v>455806</v>
      </c>
      <c r="D12" s="81" t="n">
        <v>455745</v>
      </c>
      <c r="E12" s="258" t="n">
        <v>46226</v>
      </c>
      <c r="F12" s="82" t="inlineStr">
        <is>
          <t>ID2607-7886</t>
        </is>
      </c>
      <c r="G12" s="258" t="n">
        <v>46225</v>
      </c>
      <c r="H12" s="83" t="n">
        <v>966</v>
      </c>
      <c r="I12" s="42" t="inlineStr">
        <is>
          <t>EGHU9205621</t>
        </is>
      </c>
      <c r="J12" s="42" t="inlineStr">
        <is>
          <t>40FT</t>
        </is>
      </c>
      <c r="K12" s="44" t="inlineStr">
        <is>
          <t>8IN OPP HD TW</t>
        </is>
      </c>
      <c r="L12" s="84" t="inlineStr">
        <is>
          <t>ZU-MFMA1OZI-08T</t>
        </is>
      </c>
      <c r="M12" s="85" t="inlineStr">
        <is>
          <t>3NDHMI4R</t>
        </is>
      </c>
      <c r="N12" s="44" t="inlineStr">
        <is>
          <t>F.MFM.08T.013.AD</t>
        </is>
      </c>
      <c r="O12" s="86" t="n">
        <v>79248.28999999999</v>
      </c>
      <c r="P12" s="86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SAVANNAH, US</t>
        </is>
      </c>
      <c r="X12" s="51" t="inlineStr">
        <is>
          <t>AMAZON.COM SERVICES LLC</t>
        </is>
      </c>
      <c r="Y12" s="52" t="inlineStr">
        <is>
          <t>EGLV080600441792</t>
        </is>
      </c>
      <c r="Z12" s="258" t="n">
        <v>46226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1145</v>
      </c>
      <c r="I13" s="42" t="inlineStr">
        <is>
          <t>EGHU9121367</t>
        </is>
      </c>
      <c r="J13" s="42" t="inlineStr">
        <is>
          <t>40FT</t>
        </is>
      </c>
      <c r="K13" s="44" t="inlineStr">
        <is>
          <t>5IN GREEN TEA MF MATTRESS TW</t>
        </is>
      </c>
      <c r="L13" s="84" t="inlineStr">
        <is>
          <t>ZU-MFMA1ZZI-05T</t>
        </is>
      </c>
      <c r="M13" s="85" t="inlineStr">
        <is>
          <t>4I3CD5IH</t>
        </is>
      </c>
      <c r="N13" s="44" t="inlineStr">
        <is>
          <t>F.MFM.05T.007.AD</t>
        </is>
      </c>
      <c r="O13" s="86" t="n"/>
      <c r="P13" s="86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1144</v>
      </c>
      <c r="I14" s="42" t="inlineStr">
        <is>
          <t>EGHU9713330</t>
        </is>
      </c>
      <c r="J14" s="42" t="inlineStr">
        <is>
          <t>40FT</t>
        </is>
      </c>
      <c r="K14" s="44" t="inlineStr">
        <is>
          <t>5IN GREEN TEA MF MATTRESS TW</t>
        </is>
      </c>
      <c r="L14" s="84" t="inlineStr">
        <is>
          <t>ZU-MFMA1ZZI-05T</t>
        </is>
      </c>
      <c r="M14" s="85" t="inlineStr">
        <is>
          <t>88Y96MHS</t>
        </is>
      </c>
      <c r="N14" s="44" t="inlineStr">
        <is>
          <t>F.MFM.05T.007.AD</t>
        </is>
      </c>
      <c r="O14" s="86" t="n"/>
      <c r="P14" s="86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502</v>
      </c>
      <c r="I15" s="42" t="inlineStr">
        <is>
          <t>EMCU8701869</t>
        </is>
      </c>
      <c r="J15" s="42" t="inlineStr">
        <is>
          <t>40FT</t>
        </is>
      </c>
      <c r="K15" s="44" t="inlineStr">
        <is>
          <t>12IN GREEN TEA MF MATTRESS QN</t>
        </is>
      </c>
      <c r="L15" s="84" t="inlineStr">
        <is>
          <t>ZU-MFMA1ZZI-12Q</t>
        </is>
      </c>
      <c r="M15" s="85" t="inlineStr">
        <is>
          <t>8B4RWISK</t>
        </is>
      </c>
      <c r="N15" s="44" t="inlineStr">
        <is>
          <t>F.MFM.12Q.006.AD</t>
        </is>
      </c>
      <c r="O15" s="86" t="n"/>
      <c r="P15" s="86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3</v>
      </c>
      <c r="I16" s="42" t="inlineStr">
        <is>
          <t>EMCU1598276</t>
        </is>
      </c>
      <c r="J16" s="42" t="inlineStr">
        <is>
          <t>40FT</t>
        </is>
      </c>
      <c r="K16" s="44" t="inlineStr">
        <is>
          <t>8IN OPP HD FL</t>
        </is>
      </c>
      <c r="L16" s="84" t="inlineStr">
        <is>
          <t>ZU-MFMA1OZI-08F</t>
        </is>
      </c>
      <c r="M16" s="85" t="inlineStr">
        <is>
          <t>8GO2PUDD</t>
        </is>
      </c>
      <c r="N16" s="44" t="inlineStr">
        <is>
          <t>F.MFM.08F.013.AD</t>
        </is>
      </c>
      <c r="O16" s="86" t="n"/>
      <c r="P16" s="86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400</v>
      </c>
      <c r="I17" s="42" t="inlineStr">
        <is>
          <t>EGSU1735716</t>
        </is>
      </c>
      <c r="J17" s="42" t="inlineStr">
        <is>
          <t>40FT</t>
        </is>
      </c>
      <c r="K17" s="44" t="inlineStr">
        <is>
          <t>8IN GREEN TEA MF MATTRESS TW</t>
        </is>
      </c>
      <c r="L17" s="266" t="inlineStr">
        <is>
          <t>ZU-MFMA1ZZI-08T</t>
        </is>
      </c>
      <c r="M17" s="42" t="inlineStr">
        <is>
          <t>8GO2PUDD</t>
        </is>
      </c>
      <c r="N17" s="44" t="inlineStr">
        <is>
          <t>F.MFM.08T.008.AD</t>
        </is>
      </c>
      <c r="O17" s="86" t="n"/>
      <c r="P17" s="86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206</v>
      </c>
      <c r="I18" s="42" t="inlineStr">
        <is>
          <t>EGHU9733906</t>
        </is>
      </c>
      <c r="J18" s="42" t="inlineStr">
        <is>
          <t>40FT</t>
        </is>
      </c>
      <c r="K18" s="44" t="inlineStr">
        <is>
          <t>12IN GREEN TEA MF MATTRESS QN</t>
        </is>
      </c>
      <c r="L18" s="84" t="inlineStr">
        <is>
          <t>ZU-MFMA1ZZI-12Q</t>
        </is>
      </c>
      <c r="M18" s="85" t="inlineStr">
        <is>
          <t>8GO2PUDD</t>
        </is>
      </c>
      <c r="N18" s="44" t="inlineStr">
        <is>
          <t>F.MFM.12Q.006.AD</t>
        </is>
      </c>
      <c r="O18" s="86" t="n"/>
      <c r="P18" s="86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605</v>
      </c>
      <c r="I19" s="42" t="inlineStr"/>
      <c r="J19" s="42" t="inlineStr"/>
      <c r="K19" s="44" t="inlineStr">
        <is>
          <t>8IN OPP HD TW</t>
        </is>
      </c>
      <c r="L19" s="84" t="inlineStr">
        <is>
          <t>ZU-MFMA1OZI-08T</t>
        </is>
      </c>
      <c r="M19" s="85" t="inlineStr">
        <is>
          <t>8VH5JQ8T</t>
        </is>
      </c>
      <c r="N19" s="44" t="inlineStr">
        <is>
          <t>F.MFM.08T.013.AD</t>
        </is>
      </c>
      <c r="O19" s="86" t="n"/>
      <c r="P19" s="86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427</v>
      </c>
      <c r="I20" s="42" t="inlineStr"/>
      <c r="J20" s="42" t="inlineStr"/>
      <c r="K20" s="44" t="inlineStr">
        <is>
          <t>5IN GREEN TEA MF MATTRESS TW</t>
        </is>
      </c>
      <c r="L20" s="84" t="inlineStr">
        <is>
          <t>ZU-MFMA1ZZI-05T</t>
        </is>
      </c>
      <c r="M20" s="85" t="inlineStr">
        <is>
          <t>8VH5JQ8T</t>
        </is>
      </c>
      <c r="N20" s="44" t="inlineStr">
        <is>
          <t>F.MFM.05T.007.AD</t>
        </is>
      </c>
      <c r="O20" s="86" t="n"/>
      <c r="P20" s="86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1</v>
      </c>
      <c r="I21" s="42" t="inlineStr"/>
      <c r="J21" s="42" t="inlineStr"/>
      <c r="K21" s="44" t="inlineStr">
        <is>
          <t>12IN GREEN TEA MF MATTRESS QN</t>
        </is>
      </c>
      <c r="L21" s="84" t="inlineStr">
        <is>
          <t>ZU-MFMA1ZZI-12Q</t>
        </is>
      </c>
      <c r="M21" s="85" t="inlineStr">
        <is>
          <t>8VH5JQ8T</t>
        </is>
      </c>
      <c r="N21" s="44" t="inlineStr">
        <is>
          <t>F.MFM.12Q.006.AD</t>
        </is>
      </c>
      <c r="O21" s="86" t="n"/>
      <c r="P21" s="86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7.1" customFormat="1" customHeight="1" s="257">
      <c r="A22" s="64" t="n"/>
      <c r="B22" s="65" t="n"/>
      <c r="C22" s="269" t="n"/>
      <c r="D22" s="269" t="n"/>
      <c r="E22" s="270" t="n"/>
      <c r="F22" s="270" t="n"/>
      <c r="G22" s="270" t="n"/>
      <c r="H22" s="271">
        <f>SUM(H12:H21)</f>
        <v/>
      </c>
      <c r="I22" s="69">
        <f>COUNTA(I12:I21)</f>
        <v/>
      </c>
      <c r="J22" s="68" t="n"/>
      <c r="K22" s="68" t="n"/>
      <c r="L22" s="272" t="n"/>
      <c r="M22" s="273" t="n"/>
      <c r="N22" s="68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68" t="n"/>
      <c r="V22" s="75" t="n"/>
      <c r="W22" s="76" t="n"/>
      <c r="X22" s="77" t="n"/>
      <c r="Y22" s="278" t="n"/>
      <c r="Z22" s="279" t="n"/>
    </row>
    <row r="23" ht="16.5" customFormat="1" customHeight="1" s="262">
      <c r="A23" s="79" t="n">
        <v>2</v>
      </c>
      <c r="B23" s="80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42" t="n">
        <v>1</v>
      </c>
      <c r="I23" s="42" t="inlineStr">
        <is>
          <t>EMCU0087902</t>
        </is>
      </c>
      <c r="J23" s="42" t="inlineStr">
        <is>
          <t>40FT</t>
        </is>
      </c>
      <c r="K23" s="44" t="inlineStr">
        <is>
          <t>8IN MYGEL FOAM MATTRESS TW</t>
        </is>
      </c>
      <c r="L23" s="266" t="inlineStr">
        <is>
          <t>ZU-MFGN1YZI-08T</t>
        </is>
      </c>
      <c r="M23" s="42" t="inlineStr">
        <is>
          <t>1CPXSUHR</t>
        </is>
      </c>
      <c r="N23" s="44" t="inlineStr">
        <is>
          <t>F.MFG.08T.003.AD</t>
        </is>
      </c>
      <c r="O23" s="86" t="n">
        <v>70550.23</v>
      </c>
      <c r="P23" s="86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48" t="inlineStr">
        <is>
          <t>040300/KPPBC</t>
        </is>
      </c>
      <c r="V23" s="49" t="inlineStr">
        <is>
          <t>TG. PRIOK</t>
        </is>
      </c>
      <c r="W23" s="50" t="inlineStr">
        <is>
          <t>SAVANNAH, US</t>
        </is>
      </c>
      <c r="X23" s="51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6</v>
      </c>
      <c r="I24" s="42" t="inlineStr">
        <is>
          <t>GAOU6330736</t>
        </is>
      </c>
      <c r="J24" s="42" t="inlineStr">
        <is>
          <t>40FT</t>
        </is>
      </c>
      <c r="K24" s="44" t="inlineStr">
        <is>
          <t>8IN GREEN TEA MF MATTRESS SQ</t>
        </is>
      </c>
      <c r="L24" s="84" t="inlineStr">
        <is>
          <t>ZU-MFMA1FZI-08S</t>
        </is>
      </c>
      <c r="M24" s="42" t="inlineStr">
        <is>
          <t>1CPXSUHR</t>
        </is>
      </c>
      <c r="N24" s="44" t="inlineStr">
        <is>
          <t>F.MFM.08S.012.AD</t>
        </is>
      </c>
      <c r="O24" s="86" t="n"/>
      <c r="P24" s="86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48" t="n"/>
      <c r="V24" s="49" t="n"/>
      <c r="W24" s="50" t="inlineStr">
        <is>
          <t>ETD : 27-07-2026</t>
        </is>
      </c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>
        <is>
          <t>EISU8561414</t>
        </is>
      </c>
      <c r="J25" s="51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51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51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51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51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51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51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197</v>
      </c>
      <c r="I31" s="51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51" t="inlineStr">
        <is>
          <t>23OYBVEV</t>
        </is>
      </c>
      <c r="N31" s="284" t="inlineStr">
        <is>
          <t>F.MFM.08F.013.AD</t>
        </is>
      </c>
      <c r="O31" s="306" t="n"/>
      <c r="P31" s="86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18</v>
      </c>
      <c r="I32" s="51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51" t="inlineStr">
        <is>
          <t>23OYBVEV</t>
        </is>
      </c>
      <c r="N32" s="284" t="inlineStr">
        <is>
          <t>F.MFM.08Q.013.AD</t>
        </is>
      </c>
      <c r="O32" s="306" t="n"/>
      <c r="P32" s="86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1</v>
      </c>
      <c r="I33" s="51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51" t="inlineStr">
        <is>
          <t>23OYBVEV</t>
        </is>
      </c>
      <c r="N33" s="284" t="inlineStr">
        <is>
          <t>F.MFM.12Q.010.AD</t>
        </is>
      </c>
      <c r="O33" s="306" t="n"/>
      <c r="P33" s="86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51" t="inlineStr">
        <is>
          <t>23OYBVEV</t>
        </is>
      </c>
      <c r="N34" s="284" t="inlineStr">
        <is>
          <t>F.MFM.10K.014.AD</t>
        </is>
      </c>
      <c r="O34" s="306" t="n"/>
      <c r="P34" s="86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51" t="inlineStr">
        <is>
          <t>299957YO</t>
        </is>
      </c>
      <c r="N35" s="284" t="inlineStr">
        <is>
          <t>F.MFG.06F.002.AD</t>
        </is>
      </c>
      <c r="O35" s="306" t="n"/>
      <c r="P35" s="86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51" t="inlineStr">
        <is>
          <t>299957YO</t>
        </is>
      </c>
      <c r="N36" s="284" t="inlineStr">
        <is>
          <t>F.MFM.08F.013.AD</t>
        </is>
      </c>
      <c r="O36" s="306" t="n"/>
      <c r="P36" s="86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51" t="inlineStr">
        <is>
          <t>299957YO</t>
        </is>
      </c>
      <c r="N37" s="284" t="inlineStr">
        <is>
          <t>F.MFM.08S.011.AD</t>
        </is>
      </c>
      <c r="O37" s="306" t="n"/>
      <c r="P37" s="86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51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51" t="n">
        <v>2</v>
      </c>
      <c r="I40" s="51" t="inlineStr"/>
      <c r="J40" s="51" t="inlineStr"/>
      <c r="K40" s="284" t="inlineStr">
        <is>
          <t>10IN OPP HD FL</t>
        </is>
      </c>
      <c r="L40" s="285" t="inlineStr">
        <is>
          <t>ZU-MFMA1OZI-10F</t>
        </is>
      </c>
      <c r="M40" s="51" t="inlineStr">
        <is>
          <t>2OD43VAH</t>
        </is>
      </c>
      <c r="N40" s="284" t="inlineStr">
        <is>
          <t>F.MFM.10F.013.AD</t>
        </is>
      </c>
      <c r="O40" s="86" t="n"/>
      <c r="P40" s="86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51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BEACH, US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28-07-2026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MOBILE, US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28-07-2026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MOBILE, US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28-07-2026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INTERNATIONAL/TORONTO, CA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31-07-2026</t>
        </is>
      </c>
      <c r="X87" s="311" t="n"/>
      <c r="Y87" s="315" t="n"/>
      <c r="Z87" s="317" t="n"/>
    </row>
    <row r="88" ht="17.1" customHeight="1" s="223">
      <c r="A88" s="325" t="n"/>
      <c r="B88" s="326" t="n"/>
      <c r="C88" s="327" t="n"/>
      <c r="D88" s="327" t="n"/>
      <c r="E88" s="328" t="n"/>
      <c r="F88" s="328" t="n"/>
      <c r="G88" s="328" t="n"/>
      <c r="H88" s="329">
        <f>SUM(H86:H87)</f>
        <v/>
      </c>
      <c r="I88" s="330">
        <f>COUNTA(I86:I87)</f>
        <v/>
      </c>
      <c r="J88" s="329" t="n"/>
      <c r="K88" s="329" t="n"/>
      <c r="L88" s="331" t="n"/>
      <c r="M88" s="329" t="n"/>
      <c r="N88" s="329" t="n"/>
      <c r="O88" s="332">
        <f>SUM(O86:O87)</f>
        <v/>
      </c>
      <c r="P88" s="332">
        <f>SUM(P86:P87)</f>
        <v/>
      </c>
      <c r="Q88" s="333" t="n"/>
      <c r="R88" s="334">
        <f>SUM(R86:R87)</f>
        <v/>
      </c>
      <c r="S88" s="335" t="n"/>
      <c r="T88" s="335">
        <f>SUM(T86:T87)</f>
        <v/>
      </c>
      <c r="U88" s="329" t="n"/>
      <c r="V88" s="336" t="n"/>
      <c r="W88" s="337" t="n"/>
      <c r="X88" s="336" t="n"/>
      <c r="Y88" s="336" t="n"/>
      <c r="Z88" s="336" t="n"/>
    </row>
    <row r="89" ht="16.5" customHeight="1" s="223">
      <c r="A89" s="322">
        <f>COUNT(A12:A88)</f>
        <v/>
      </c>
      <c r="B89" s="324" t="n"/>
      <c r="C89" s="304" t="n"/>
      <c r="D89" s="304" t="n"/>
      <c r="E89" s="317" t="n"/>
      <c r="F89" s="320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B91" s="338" t="inlineStr">
        <is>
          <t>Total Qty Export :</t>
        </is>
      </c>
      <c r="C91" s="339">
        <f>H89-C92</f>
        <v/>
      </c>
    </row>
    <row r="92" ht="20" customHeight="1" s="223">
      <c r="B92" s="340" t="inlineStr">
        <is>
          <t>Total Qty Export Sample :</t>
        </is>
      </c>
      <c r="C92" s="341" t="n">
        <v>0</v>
      </c>
    </row>
    <row r="93"/>
    <row r="94" ht="20" customHeight="1" s="223">
      <c r="U94" s="340" t="inlineStr">
        <is>
          <t>Tangerang, 08 August 2026</t>
        </is>
      </c>
    </row>
    <row r="95" ht="20" customHeight="1" s="223">
      <c r="A95" s="342" t="inlineStr">
        <is>
          <t>Total Document</t>
        </is>
      </c>
      <c r="C95" s="342">
        <f>A89</f>
        <v/>
      </c>
      <c r="U95" s="340" t="inlineStr">
        <is>
          <t>Kasubsi Hanggar Pabean dan Cukai</t>
        </is>
      </c>
    </row>
    <row r="96" ht="20" customHeight="1" s="223">
      <c r="A96" s="342" t="inlineStr">
        <is>
          <t>Gross Weight</t>
        </is>
      </c>
      <c r="C96" s="342">
        <f>O89</f>
        <v/>
      </c>
    </row>
    <row r="97" ht="20" customHeight="1" s="223">
      <c r="A97" s="342" t="inlineStr">
        <is>
          <t>Nett Weight</t>
        </is>
      </c>
      <c r="C97" s="342">
        <f>P89</f>
        <v/>
      </c>
    </row>
    <row r="98" ht="20" customHeight="1" s="223">
      <c r="A98" s="342" t="inlineStr">
        <is>
          <t>Amount</t>
        </is>
      </c>
      <c r="C98" s="342">
        <f>R89</f>
        <v/>
      </c>
    </row>
    <row r="99" ht="20" customHeight="1" s="223">
      <c r="A99" s="342" t="inlineStr">
        <is>
          <t>Jumlah Container</t>
        </is>
      </c>
      <c r="C99" s="342">
        <f>I89</f>
        <v/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3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44" t="n"/>
      <c r="L333" s="344" t="n"/>
      <c r="M333" s="344" t="n"/>
      <c r="N333" s="345" t="n"/>
      <c r="O333" s="346" t="n"/>
      <c r="P333" s="346" t="n"/>
      <c r="Q333" s="347" t="n"/>
      <c r="R333" s="348" t="n"/>
      <c r="S333" s="349" t="n"/>
      <c r="T333" s="349" t="n"/>
      <c r="U333" s="350" t="n"/>
      <c r="V333" s="350" t="n"/>
      <c r="W333" s="350" t="n"/>
      <c r="X333" s="350" t="n"/>
      <c r="Y333" s="350" t="n"/>
      <c r="Z333" s="350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2026-08-08T03:25:38Z</dcterms:modified>
  <cp:lastModifiedBy>Chiswa Dian Hermansyah(ZINUS ZDI)</cp:lastModifiedBy>
</cp:coreProperties>
</file>