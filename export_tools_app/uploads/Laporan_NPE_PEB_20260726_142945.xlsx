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6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9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" customWidth="1" style="17" min="1" max="1"/>
    <col width="28" customWidth="1" style="6" min="2" max="2"/>
    <col width="15" customWidth="1" style="3" min="3" max="4"/>
    <col width="15" customWidth="1" style="215" min="4" max="4"/>
    <col width="14" customWidth="1" style="4" min="5" max="5"/>
    <col width="25" customWidth="1" style="5" min="6" max="6"/>
    <col width="14" customWidth="1" style="5" min="7" max="7"/>
    <col width="15" customWidth="1" style="6" min="8" max="8"/>
    <col width="18" customWidth="1" style="6" min="9" max="9"/>
    <col width="10" customWidth="1" style="6" min="10" max="10"/>
    <col width="35" customWidth="1" style="216" min="11" max="11"/>
    <col width="28" customWidth="1" style="216" min="12" max="12"/>
    <col width="16" customWidth="1" style="216" min="13" max="13"/>
    <col width="20" customWidth="1" style="217" min="14" max="14"/>
    <col width="15" customWidth="1" style="218" min="15" max="16"/>
    <col width="15" customWidth="1" style="215" min="16" max="16"/>
    <col width="14" customWidth="1" style="219" min="17" max="17"/>
    <col width="16" customWidth="1" style="220" min="18" max="18"/>
    <col width="14" customWidth="1" style="221" min="19" max="19"/>
    <col width="20" customWidth="1" style="221" min="20" max="20"/>
    <col width="25" customWidth="1" style="222" min="21" max="21"/>
    <col width="20" customWidth="1" style="222" min="22" max="22"/>
    <col width="18" customWidth="1" style="222" min="23" max="23"/>
    <col width="30" customWidth="1" style="222" min="24" max="24"/>
    <col width="22" customWidth="1" style="222" min="25" max="25"/>
    <col width="14" customWidth="1" style="222" min="26" max="26"/>
    <col width="9.109375" customWidth="1" style="223" min="27" max="289"/>
    <col width="24.88671875" bestFit="1" customWidth="1" style="223" min="290" max="290"/>
    <col width="9.109375" customWidth="1" style="223" min="291" max="16384"/>
  </cols>
  <sheetData>
    <row r="1" hidden="1" ht="18" customHeight="1" s="215">
      <c r="A1" s="1" t="inlineStr">
        <is>
          <t>KEMENTERIAN KEUANGAN REPUBLIK INDONESIA</t>
        </is>
      </c>
      <c r="B1" s="2" t="n"/>
    </row>
    <row r="2" hidden="1" ht="18" customHeight="1" s="215">
      <c r="A2" s="1" t="inlineStr">
        <is>
          <t>DIREKTORAT JENDERAL BEA DAN CUKAI</t>
        </is>
      </c>
      <c r="B2" s="2" t="n"/>
    </row>
    <row r="3" hidden="1" ht="18" customHeight="1" s="215">
      <c r="A3" s="15" t="inlineStr">
        <is>
          <t>KANTOR WILAYAH DJBC BANTEN</t>
        </is>
      </c>
      <c r="B3" s="16" t="n"/>
    </row>
    <row r="4" hidden="1" ht="18" customHeight="1" s="215">
      <c r="A4" s="15" t="inlineStr">
        <is>
          <t>KANTOR PENGAWASAN DAN PELAYANAN BEA DAN CUKAI TIPE MADYA PABEAN A TANGERANG</t>
        </is>
      </c>
      <c r="B4" s="16" t="n"/>
    </row>
    <row r="5" ht="14.25" customHeight="1" s="215"/>
    <row r="6" ht="24.75" customHeight="1" s="215">
      <c r="A6" s="224" t="inlineStr">
        <is>
          <t>LAPORAN BULANAN  EKSPOR (BC 3.0)</t>
        </is>
      </c>
    </row>
    <row r="7" ht="24.75" customHeight="1" s="215">
      <c r="A7" s="224" t="inlineStr">
        <is>
          <t>PT. ZINUS DREAM INDONESIA</t>
        </is>
      </c>
    </row>
    <row r="8" ht="24.75" customHeight="1" s="215">
      <c r="A8" s="19" t="inlineStr">
        <is>
          <t>BULAN : JULY 2026</t>
        </is>
      </c>
    </row>
    <row r="9" ht="14.25" customHeight="1" s="215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TOPPER</t>
        </is>
      </c>
      <c r="L12" s="109" t="inlineStr">
        <is>
          <t>ECMF-LV3T</t>
        </is>
      </c>
      <c r="M12" s="110" t="inlineStr"/>
      <c r="N12" s="69" t="inlineStr">
        <is>
          <t>F.TGT.SAMP</t>
        </is>
      </c>
      <c r="O12" s="111" t="n">
        <v>9.039999999999999</v>
      </c>
      <c r="P12" s="111" t="n">
        <v>7.44</v>
      </c>
      <c r="Q12" s="259">
        <f>IFERROR(R12/H12, 0)</f>
        <v/>
      </c>
      <c r="R12" s="260" t="n">
        <v>20</v>
      </c>
      <c r="S12" s="261" t="n">
        <v>18056</v>
      </c>
      <c r="T12" s="261">
        <f>IFERROR(S12*R12, 0)</f>
        <v/>
      </c>
      <c r="U12" s="73" t="inlineStr">
        <is>
          <t>050100/KPPBC</t>
        </is>
      </c>
      <c r="V12" s="74" t="inlineStr">
        <is>
          <t>CENGKARENG / SOEKARNO</t>
        </is>
      </c>
      <c r="W12" s="75" t="inlineStr"/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TOPPER</t>
        </is>
      </c>
      <c r="L13" s="109" t="inlineStr">
        <is>
          <t>GMT-3T</t>
        </is>
      </c>
      <c r="M13" s="110" t="inlineStr"/>
      <c r="N13" s="69" t="inlineStr">
        <is>
          <t>F.TGT.SAMP</t>
        </is>
      </c>
      <c r="O13" s="111" t="n"/>
      <c r="P13" s="111" t="n"/>
      <c r="Q13" s="259">
        <f>IFERROR(R13/H13, 0)</f>
        <v/>
      </c>
      <c r="R13" s="260" t="n">
        <v>20</v>
      </c>
      <c r="S13" s="261" t="n">
        <v>18056</v>
      </c>
      <c r="T13" s="261">
        <f>IFERROR(S13*R13, 0)</f>
        <v/>
      </c>
      <c r="U13" s="73" t="n"/>
      <c r="V13" s="74" t="n"/>
      <c r="W13" s="75" t="n"/>
      <c r="X13" s="76" t="n"/>
      <c r="Y13" s="77" t="n"/>
      <c r="Z13" s="258" t="n"/>
    </row>
    <row r="14" ht="17.1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n">
        <v>46227</v>
      </c>
      <c r="F15" s="107" t="inlineStr">
        <is>
          <t>ID2607-7881</t>
        </is>
      </c>
      <c r="G15" s="258" t="n">
        <v>46224</v>
      </c>
      <c r="H15" s="108" t="n">
        <v>900</v>
      </c>
      <c r="I15" s="67" t="inlineStr">
        <is>
          <t>TLLU4381447</t>
        </is>
      </c>
      <c r="J15" s="67" t="inlineStr">
        <is>
          <t>40FT</t>
        </is>
      </c>
      <c r="K15" s="69" t="inlineStr">
        <is>
          <t>8IN GREEN TEA MF MATTRESS QN</t>
        </is>
      </c>
      <c r="L15" s="109" t="inlineStr">
        <is>
          <t>SCF-STR-800Q</t>
        </is>
      </c>
      <c r="M15" s="110" t="inlineStr">
        <is>
          <t>0993631021</t>
        </is>
      </c>
      <c r="N15" s="69" t="inlineStr">
        <is>
          <t>F.MFM.08Q.000.WS</t>
        </is>
      </c>
      <c r="O15" s="111" t="n">
        <v>21510</v>
      </c>
      <c r="P15" s="111" t="n">
        <v>19188</v>
      </c>
      <c r="Q15" s="259">
        <f>IFERROR(R15/H15, 0)</f>
        <v/>
      </c>
      <c r="R15" s="260" t="n">
        <v>84573</v>
      </c>
      <c r="S15" s="261" t="n">
        <v>18056</v>
      </c>
      <c r="T15" s="261">
        <f>IFERROR(S15*R15, 0)</f>
        <v/>
      </c>
      <c r="U15" s="73" t="inlineStr">
        <is>
          <t>040300/KPPBC</t>
        </is>
      </c>
      <c r="V15" s="74" t="inlineStr">
        <is>
          <t>TANJUNG PRIOK</t>
        </is>
      </c>
      <c r="W15" s="75" t="inlineStr"/>
      <c r="X15" s="76" t="inlineStr"/>
      <c r="Y15" s="77" t="inlineStr"/>
      <c r="Z15" s="258" t="inlineStr"/>
    </row>
    <row r="16" ht="17.1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6.5" customFormat="1" customHeight="1" s="273">
      <c r="A17" s="104" t="n">
        <v>3</v>
      </c>
      <c r="B17" s="105" t="inlineStr">
        <is>
          <t>000030ZIK48020260722000507</t>
        </is>
      </c>
      <c r="C17" s="274" t="n">
        <v>457157</v>
      </c>
      <c r="D17" s="274" t="n">
        <v>457102</v>
      </c>
      <c r="E17" s="275" t="n">
        <v>46226</v>
      </c>
      <c r="F17" s="276" t="inlineStr">
        <is>
          <t>ID2607-7865</t>
        </is>
      </c>
      <c r="G17" s="275" t="n">
        <v>46223</v>
      </c>
      <c r="H17" s="67" t="n">
        <v>520</v>
      </c>
      <c r="I17" s="67" t="inlineStr">
        <is>
          <t>CMAU3883460</t>
        </is>
      </c>
      <c r="J17" s="67" t="inlineStr">
        <is>
          <t>40FT</t>
        </is>
      </c>
      <c r="K17" s="69" t="inlineStr">
        <is>
          <t>8IN GREEN TEA MF MATTRESS FL</t>
        </is>
      </c>
      <c r="L17" s="277" t="inlineStr">
        <is>
          <t>SCF-STR-800F</t>
        </is>
      </c>
      <c r="M17" s="67" t="inlineStr">
        <is>
          <t>0993630656</t>
        </is>
      </c>
      <c r="N17" s="69" t="inlineStr">
        <is>
          <t>F.MFM.08F.000.WS</t>
        </is>
      </c>
      <c r="O17" s="111" t="n">
        <v>10618.4</v>
      </c>
      <c r="P17" s="111" t="n">
        <v>9370.4</v>
      </c>
      <c r="Q17" s="259">
        <f>IFERROR(R17/H17, 0)</f>
        <v/>
      </c>
      <c r="R17" s="260" t="n">
        <v>41480.4</v>
      </c>
      <c r="S17" s="261" t="n">
        <v>18056</v>
      </c>
      <c r="T17" s="261">
        <f>IFERROR(S17*R17, 0)</f>
        <v/>
      </c>
      <c r="U17" s="73" t="inlineStr">
        <is>
          <t>040300/KPPBC</t>
        </is>
      </c>
      <c r="V17" s="74" t="inlineStr">
        <is>
          <t>TANJUNG PRIOK</t>
        </is>
      </c>
      <c r="W17" s="75" t="inlineStr"/>
      <c r="X17" s="76" t="inlineStr"/>
      <c r="Y17" s="278" t="inlineStr"/>
      <c r="Z17" s="279" t="inlineStr"/>
    </row>
    <row r="18" ht="17.1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n"/>
      <c r="K18" s="93" t="n"/>
      <c r="L18" s="265" t="n"/>
      <c r="M18" s="266" t="n"/>
      <c r="N18" s="93" t="n"/>
      <c r="O18" s="267">
        <f>SUM(O17:O17)</f>
        <v/>
      </c>
      <c r="P18" s="267">
        <f>SUM(P17:P17)</f>
        <v/>
      </c>
      <c r="Q18" s="268" t="n"/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000030ZIK48020260722000505</t>
        </is>
      </c>
      <c r="C19" s="106" t="n">
        <v>457069</v>
      </c>
      <c r="D19" s="106" t="n">
        <v>457014</v>
      </c>
      <c r="E19" s="258" t="n">
        <v>46226</v>
      </c>
      <c r="F19" s="107" t="inlineStr">
        <is>
          <t>ID2607-7887</t>
        </is>
      </c>
      <c r="G19" s="258" t="n">
        <v>46225</v>
      </c>
      <c r="H19" s="108" t="n">
        <v>1</v>
      </c>
      <c r="I19" s="67" t="inlineStr">
        <is>
          <t>EMCU0087902</t>
        </is>
      </c>
      <c r="J19" s="67" t="inlineStr">
        <is>
          <t>40FT</t>
        </is>
      </c>
      <c r="K19" s="69" t="inlineStr">
        <is>
          <t>8IN MYGEL FOAM MATTRESS TW</t>
        </is>
      </c>
      <c r="L19" s="109" t="inlineStr">
        <is>
          <t>ZU-MFGN1YZI-08T</t>
        </is>
      </c>
      <c r="M19" s="110" t="inlineStr">
        <is>
          <t>1CPXSUHR</t>
        </is>
      </c>
      <c r="N19" s="69" t="inlineStr">
        <is>
          <t>F.MFG.08T.003.AD</t>
        </is>
      </c>
      <c r="O19" s="111" t="n">
        <v>70550.23</v>
      </c>
      <c r="P19" s="111" t="n">
        <v>61053.73</v>
      </c>
      <c r="Q19" s="259">
        <f>IFERROR(R19/H19, 0)</f>
        <v/>
      </c>
      <c r="R19" s="260" t="n">
        <v>35.93</v>
      </c>
      <c r="S19" s="261" t="n">
        <v>18056</v>
      </c>
      <c r="T19" s="261">
        <f>IFERROR(S19*R19, 0)</f>
        <v/>
      </c>
      <c r="U19" s="73" t="inlineStr">
        <is>
          <t>040300/KPPBC</t>
        </is>
      </c>
      <c r="V19" s="74" t="inlineStr">
        <is>
          <t>TANJUNG PRIOK</t>
        </is>
      </c>
      <c r="W19" s="75" t="inlineStr"/>
      <c r="X19" s="76" t="inlineStr"/>
      <c r="Y19" s="77" t="inlineStr"/>
      <c r="Z19" s="258" t="inlineStr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>
        <is>
          <t>GAOU6330736</t>
        </is>
      </c>
      <c r="J20" s="67" t="inlineStr">
        <is>
          <t>40FT</t>
        </is>
      </c>
      <c r="K20" s="69" t="inlineStr">
        <is>
          <t>8IN GREEN TEA MF MATTRESS SQ</t>
        </is>
      </c>
      <c r="L20" s="109" t="inlineStr">
        <is>
          <t>ZU-MFMA1FZI-08S</t>
        </is>
      </c>
      <c r="M20" s="110" t="inlineStr">
        <is>
          <t>1CPXSUHR</t>
        </is>
      </c>
      <c r="N20" s="69" t="inlineStr">
        <is>
          <t>F.MFM.08S.012.AD</t>
        </is>
      </c>
      <c r="O20" s="111" t="n"/>
      <c r="P20" s="111" t="n"/>
      <c r="Q20" s="259">
        <f>IFERROR(R20/H20, 0)</f>
        <v/>
      </c>
      <c r="R20" s="260" t="n">
        <v>372.9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>
        <is>
          <t>EISU8561414</t>
        </is>
      </c>
      <c r="J21" s="67" t="inlineStr">
        <is>
          <t>40FT</t>
        </is>
      </c>
      <c r="K21" s="69" t="inlineStr">
        <is>
          <t>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>
        <is>
          <t>F.MFM.10F.013.AD</t>
        </is>
      </c>
      <c r="O21" s="111" t="n"/>
      <c r="P21" s="111" t="n"/>
      <c r="Q21" s="259">
        <f>IFERROR(R21/H21, 0)</f>
        <v/>
      </c>
      <c r="R21" s="260" t="n">
        <v>47.91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>
        <is>
          <t>EITU1674433</t>
        </is>
      </c>
      <c r="J22" s="67" t="inlineStr">
        <is>
          <t>40FT</t>
        </is>
      </c>
      <c r="K22" s="69" t="inlineStr">
        <is>
          <t>10IN AIRFLOW GEL FOAM MATT QN</t>
        </is>
      </c>
      <c r="L22" s="109" t="inlineStr">
        <is>
          <t>ZU-MFMA1RZI-10Q</t>
        </is>
      </c>
      <c r="M22" s="110" t="inlineStr">
        <is>
          <t>1CPXSUHR</t>
        </is>
      </c>
      <c r="N22" s="69" t="inlineStr">
        <is>
          <t>F.MFM.10Q.014.AD</t>
        </is>
      </c>
      <c r="O22" s="111" t="n"/>
      <c r="P22" s="111" t="n"/>
      <c r="Q22" s="259">
        <f>IFERROR(R22/H22, 0)</f>
        <v/>
      </c>
      <c r="R22" s="260" t="n">
        <v>107.8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6.5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>
        <is>
          <t>TCKU6083451</t>
        </is>
      </c>
      <c r="J23" s="67" t="inlineStr">
        <is>
          <t>40FT</t>
        </is>
      </c>
      <c r="K23" s="69" t="inlineStr">
        <is>
          <t>6IN GREEN TEA MF MATTRESS FL</t>
        </is>
      </c>
      <c r="L23" s="277" t="inlineStr">
        <is>
          <t>ZU-MFMA1ZZI-06F</t>
        </is>
      </c>
      <c r="M23" s="67" t="inlineStr">
        <is>
          <t>1CPXSUHR</t>
        </is>
      </c>
      <c r="N23" s="69" t="inlineStr">
        <is>
          <t>F.MFM.06F.007.AD</t>
        </is>
      </c>
      <c r="O23" s="111" t="n"/>
      <c r="P23" s="111" t="n"/>
      <c r="Q23" s="259">
        <f>IFERROR(R23/H23, 0)</f>
        <v/>
      </c>
      <c r="R23" s="260" t="n">
        <v>11920.63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6.5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>
        <is>
          <t>EITU1661164</t>
        </is>
      </c>
      <c r="J24" s="67" t="inlineStr">
        <is>
          <t>40FT</t>
        </is>
      </c>
      <c r="K24" s="69" t="inlineStr">
        <is>
          <t>8IN GREEN TEA MF MATTRESS FL</t>
        </is>
      </c>
      <c r="L24" s="109" t="inlineStr">
        <is>
          <t>ZU-MFMA1ZZI-08F</t>
        </is>
      </c>
      <c r="M24" s="67" t="inlineStr">
        <is>
          <t>1CPXSUHR</t>
        </is>
      </c>
      <c r="N24" s="69" t="inlineStr">
        <is>
          <t>F.MFM.08F.008.AD</t>
        </is>
      </c>
      <c r="O24" s="111" t="n"/>
      <c r="P24" s="111" t="n"/>
      <c r="Q24" s="259">
        <f>IFERROR(R24/H24, 0)</f>
        <v/>
      </c>
      <c r="R24" s="260" t="n">
        <v>19876.45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16.5" customHeight="1" s="215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/>
      <c r="J25" s="76" t="inlineStr"/>
      <c r="K25" s="284" t="inlineStr">
        <is>
          <t>12IN GREEN TEA MF MATTRESS EK</t>
        </is>
      </c>
      <c r="L25" s="285" t="inlineStr">
        <is>
          <t>ZU-MFMA1ZZI-12K</t>
        </is>
      </c>
      <c r="M25" s="76" t="inlineStr">
        <is>
          <t>1CPXSUHR</t>
        </is>
      </c>
      <c r="N25" s="284" t="inlineStr">
        <is>
          <t>F.MFM.12K.006.AD</t>
        </is>
      </c>
      <c r="O25" s="286" t="n"/>
      <c r="P25" s="286" t="n"/>
      <c r="Q25" s="287">
        <f>IFERROR(R25/H25, 0)</f>
        <v/>
      </c>
      <c r="R25" s="288" t="n">
        <v>101.97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295" t="n"/>
      <c r="B26" s="296" t="n"/>
      <c r="C26" s="297" t="n"/>
      <c r="D26" s="297" t="n"/>
      <c r="E26" s="298" t="n"/>
      <c r="F26" s="299" t="n"/>
      <c r="G26" s="298" t="n"/>
      <c r="H26" s="300" t="n">
        <v>5</v>
      </c>
      <c r="I26" s="300" t="inlineStr"/>
      <c r="J26" s="300" t="inlineStr"/>
      <c r="K26" s="301" t="inlineStr">
        <is>
          <t>8IN GREEN TEA MF MATTRESS SQ</t>
        </is>
      </c>
      <c r="L26" s="302" t="inlineStr">
        <is>
          <t>ZU-MFMA1FZI-08S</t>
        </is>
      </c>
      <c r="M26" s="300" t="inlineStr">
        <is>
          <t>23OYBVEV</t>
        </is>
      </c>
      <c r="N26" s="301" t="inlineStr">
        <is>
          <t>F.MFM.08S.012.AD</t>
        </is>
      </c>
      <c r="O26" s="303" t="n"/>
      <c r="P26" s="303" t="n"/>
      <c r="Q26" s="304">
        <f>IFERROR(R26/H26, 0)</f>
        <v/>
      </c>
      <c r="R26" s="305" t="n">
        <v>310.75</v>
      </c>
      <c r="S26" s="306" t="n">
        <v>18056</v>
      </c>
      <c r="T26" s="306">
        <f>IFERROR(S26*R26, 0)</f>
        <v/>
      </c>
      <c r="U26" s="307" t="n"/>
      <c r="V26" s="308" t="n"/>
      <c r="W26" s="309" t="n"/>
      <c r="X26" s="300" t="n"/>
      <c r="Y26" s="308" t="n"/>
      <c r="Z26" s="298" t="n"/>
    </row>
    <row r="27" ht="16.5" customHeight="1" s="215">
      <c r="A27" s="295" t="n"/>
      <c r="B27" s="296" t="n"/>
      <c r="C27" s="297" t="n"/>
      <c r="D27" s="297" t="n"/>
      <c r="E27" s="298" t="n"/>
      <c r="F27" s="299" t="n"/>
      <c r="G27" s="298" t="n"/>
      <c r="H27" s="300" t="n">
        <v>197</v>
      </c>
      <c r="I27" s="300" t="inlineStr"/>
      <c r="J27" s="300" t="inlineStr"/>
      <c r="K27" s="301" t="inlineStr">
        <is>
          <t>8IN OPP HD FL</t>
        </is>
      </c>
      <c r="L27" s="302" t="inlineStr">
        <is>
          <t>ZU-MFMA1OZI-08F</t>
        </is>
      </c>
      <c r="M27" s="300" t="inlineStr">
        <is>
          <t>23OYBVEV</t>
        </is>
      </c>
      <c r="N27" s="301" t="inlineStr">
        <is>
          <t>F.MFM.08F.013.AD</t>
        </is>
      </c>
      <c r="O27" s="303" t="n"/>
      <c r="P27" s="303" t="n"/>
      <c r="Q27" s="304">
        <f>IFERROR(R27/H27, 0)</f>
        <v/>
      </c>
      <c r="R27" s="305" t="n">
        <v>7669.21</v>
      </c>
      <c r="S27" s="306" t="n">
        <v>18056</v>
      </c>
      <c r="T27" s="306">
        <f>IFERROR(S27*R27, 0)</f>
        <v/>
      </c>
      <c r="U27" s="307" t="n"/>
      <c r="V27" s="308" t="n"/>
      <c r="W27" s="309" t="n"/>
      <c r="X27" s="300" t="n"/>
      <c r="Y27" s="308" t="n"/>
      <c r="Z27" s="298" t="n"/>
    </row>
    <row r="28" ht="16.5" customHeight="1" s="215">
      <c r="A28" s="295" t="n"/>
      <c r="B28" s="296" t="n"/>
      <c r="C28" s="297" t="n"/>
      <c r="D28" s="297" t="n"/>
      <c r="E28" s="298" t="n"/>
      <c r="F28" s="299" t="n"/>
      <c r="G28" s="298" t="n"/>
      <c r="H28" s="300" t="n">
        <v>18</v>
      </c>
      <c r="I28" s="300" t="inlineStr"/>
      <c r="J28" s="300" t="inlineStr"/>
      <c r="K28" s="301" t="inlineStr">
        <is>
          <t>8IN OPP HD QN</t>
        </is>
      </c>
      <c r="L28" s="302" t="inlineStr">
        <is>
          <t>ZU-MFMA1OZI-08Q</t>
        </is>
      </c>
      <c r="M28" s="300" t="inlineStr">
        <is>
          <t>23OYBVEV</t>
        </is>
      </c>
      <c r="N28" s="301" t="inlineStr">
        <is>
          <t>F.MFM.08Q.013.AD</t>
        </is>
      </c>
      <c r="O28" s="303" t="n"/>
      <c r="P28" s="303" t="n"/>
      <c r="Q28" s="304">
        <f>IFERROR(R28/H28, 0)</f>
        <v/>
      </c>
      <c r="R28" s="305" t="n">
        <v>1010.52</v>
      </c>
      <c r="S28" s="306" t="n">
        <v>18056</v>
      </c>
      <c r="T28" s="306">
        <f>IFERROR(S28*R28, 0)</f>
        <v/>
      </c>
      <c r="U28" s="307" t="n"/>
      <c r="V28" s="308" t="n"/>
      <c r="W28" s="309" t="n"/>
      <c r="X28" s="300" t="n"/>
      <c r="Y28" s="308" t="n"/>
      <c r="Z28" s="298" t="n"/>
    </row>
    <row r="29" ht="16.5" customHeight="1" s="215">
      <c r="A29" s="295" t="n"/>
      <c r="B29" s="296" t="n"/>
      <c r="C29" s="297" t="n"/>
      <c r="D29" s="297" t="n"/>
      <c r="E29" s="298" t="n"/>
      <c r="F29" s="299" t="n"/>
      <c r="G29" s="298" t="n"/>
      <c r="H29" s="300" t="n">
        <v>1</v>
      </c>
      <c r="I29" s="300" t="inlineStr"/>
      <c r="J29" s="300" t="inlineStr"/>
      <c r="K29" s="301" t="inlineStr">
        <is>
          <t>12IN OPP HD QN</t>
        </is>
      </c>
      <c r="L29" s="302" t="inlineStr">
        <is>
          <t>ZU-MFMA1OZI-12Q</t>
        </is>
      </c>
      <c r="M29" s="300" t="inlineStr">
        <is>
          <t>23OYBVEV</t>
        </is>
      </c>
      <c r="N29" s="301" t="inlineStr">
        <is>
          <t>F.MFM.12Q.010.AD</t>
        </is>
      </c>
      <c r="O29" s="303" t="n"/>
      <c r="P29" s="303" t="n"/>
      <c r="Q29" s="304">
        <f>IFERROR(R29/H29, 0)</f>
        <v/>
      </c>
      <c r="R29" s="305" t="n">
        <v>67.56999999999999</v>
      </c>
      <c r="S29" s="306" t="n">
        <v>18056</v>
      </c>
      <c r="T29" s="306">
        <f>IFERROR(S29*R29, 0)</f>
        <v/>
      </c>
      <c r="U29" s="307" t="n"/>
      <c r="V29" s="308" t="n"/>
      <c r="W29" s="309" t="n"/>
      <c r="X29" s="300" t="n"/>
      <c r="Y29" s="308" t="n"/>
      <c r="Z29" s="298" t="n"/>
    </row>
    <row r="30" ht="16.5" customHeight="1" s="215" thickBot="1">
      <c r="A30" s="295" t="n"/>
      <c r="B30" s="296" t="n"/>
      <c r="C30" s="297" t="n"/>
      <c r="D30" s="297" t="n"/>
      <c r="E30" s="298" t="n"/>
      <c r="F30" s="299" t="n"/>
      <c r="G30" s="298" t="n"/>
      <c r="H30" s="300" t="n">
        <v>2</v>
      </c>
      <c r="I30" s="300" t="inlineStr"/>
      <c r="J30" s="300" t="inlineStr"/>
      <c r="K30" s="301" t="inlineStr">
        <is>
          <t>10IN AIRFLOW GEL FOAM MATT EK</t>
        </is>
      </c>
      <c r="L30" s="302" t="inlineStr">
        <is>
          <t>ZU-MFMA1RZI-10K</t>
        </is>
      </c>
      <c r="M30" s="300" t="inlineStr">
        <is>
          <t>23OYBVEV</t>
        </is>
      </c>
      <c r="N30" s="301" t="inlineStr">
        <is>
          <t>F.MFM.10K.014.AD</t>
        </is>
      </c>
      <c r="O30" s="303" t="n"/>
      <c r="P30" s="303" t="n"/>
      <c r="Q30" s="304">
        <f>IFERROR(R30/H30, 0)</f>
        <v/>
      </c>
      <c r="R30" s="305" t="n">
        <v>131.76</v>
      </c>
      <c r="S30" s="306" t="n">
        <v>18056</v>
      </c>
      <c r="T30" s="306">
        <f>IFERROR(S30*R30, 0)</f>
        <v/>
      </c>
      <c r="U30" s="307" t="n"/>
      <c r="V30" s="308" t="n"/>
      <c r="W30" s="309" t="n"/>
      <c r="X30" s="300" t="n"/>
      <c r="Y30" s="308" t="n"/>
      <c r="Z30" s="298" t="n"/>
    </row>
    <row r="31" ht="16.5" customHeight="1" s="215" thickTop="1">
      <c r="A31" s="295" t="n"/>
      <c r="B31" s="296" t="n"/>
      <c r="C31" s="297" t="n"/>
      <c r="D31" s="297" t="n"/>
      <c r="E31" s="298" t="n"/>
      <c r="F31" s="299" t="n"/>
      <c r="G31" s="298" t="n"/>
      <c r="H31" s="300" t="n">
        <v>302</v>
      </c>
      <c r="I31" s="300" t="inlineStr"/>
      <c r="J31" s="300" t="inlineStr"/>
      <c r="K31" s="301" t="inlineStr">
        <is>
          <t>6IN MYGEL FOAM MATTRESS FL</t>
        </is>
      </c>
      <c r="L31" s="302" t="inlineStr">
        <is>
          <t>ZU-MFGN1YZI-06F</t>
        </is>
      </c>
      <c r="M31" s="300" t="inlineStr">
        <is>
          <t>299957YO</t>
        </is>
      </c>
      <c r="N31" s="301" t="inlineStr">
        <is>
          <t>F.MFG.06F.002.AD</t>
        </is>
      </c>
      <c r="O31" s="303" t="n"/>
      <c r="P31" s="303" t="n"/>
      <c r="Q31" s="304">
        <f>IFERROR(R31/H31, 0)</f>
        <v/>
      </c>
      <c r="R31" s="305" t="n">
        <v>11756.86</v>
      </c>
      <c r="S31" s="306" t="n">
        <v>18056</v>
      </c>
      <c r="T31" s="306">
        <f>IFERROR(S31*R31, 0)</f>
        <v/>
      </c>
      <c r="U31" s="307" t="n"/>
      <c r="V31" s="308" t="n"/>
      <c r="W31" s="309" t="n"/>
      <c r="X31" s="300" t="n"/>
      <c r="Y31" s="308" t="n"/>
      <c r="Z31" s="298" t="n"/>
    </row>
    <row r="32" ht="16.5" customHeight="1" s="215">
      <c r="A32" s="295" t="n"/>
      <c r="B32" s="296" t="n"/>
      <c r="C32" s="297" t="n"/>
      <c r="D32" s="297" t="n"/>
      <c r="E32" s="298" t="n"/>
      <c r="F32" s="299" t="n"/>
      <c r="G32" s="298" t="n"/>
      <c r="H32" s="300" t="n">
        <v>450</v>
      </c>
      <c r="I32" s="300" t="inlineStr"/>
      <c r="J32" s="300" t="inlineStr"/>
      <c r="K32" s="301" t="inlineStr">
        <is>
          <t>8IN OPP HD FL</t>
        </is>
      </c>
      <c r="L32" s="302" t="inlineStr">
        <is>
          <t>ZU-MFMA1OZI-08F</t>
        </is>
      </c>
      <c r="M32" s="300" t="inlineStr">
        <is>
          <t>299957YO</t>
        </is>
      </c>
      <c r="N32" s="301" t="inlineStr">
        <is>
          <t>F.MFM.08F.013.AD</t>
        </is>
      </c>
      <c r="O32" s="303" t="n"/>
      <c r="P32" s="303" t="n"/>
      <c r="Q32" s="304">
        <f>IFERROR(R32/H32, 0)</f>
        <v/>
      </c>
      <c r="R32" s="305" t="n">
        <v>17518.5</v>
      </c>
      <c r="S32" s="306" t="n">
        <v>18056</v>
      </c>
      <c r="T32" s="306">
        <f>IFERROR(S32*R32, 0)</f>
        <v/>
      </c>
      <c r="U32" s="307" t="n"/>
      <c r="V32" s="308" t="n"/>
      <c r="W32" s="309" t="n"/>
      <c r="X32" s="300" t="n"/>
      <c r="Y32" s="308" t="n"/>
      <c r="Z32" s="298" t="n"/>
    </row>
    <row r="33" ht="16.5" customHeight="1" s="215">
      <c r="A33" s="295" t="n"/>
      <c r="B33" s="296" t="n"/>
      <c r="C33" s="297" t="n"/>
      <c r="D33" s="297" t="n"/>
      <c r="E33" s="298" t="n"/>
      <c r="F33" s="299" t="n"/>
      <c r="G33" s="298" t="n"/>
      <c r="H33" s="300" t="n">
        <v>1</v>
      </c>
      <c r="I33" s="300" t="inlineStr"/>
      <c r="J33" s="300" t="inlineStr"/>
      <c r="K33" s="301" t="inlineStr">
        <is>
          <t>8IN GREEN TEA MF MATTRESS SQ</t>
        </is>
      </c>
      <c r="L33" s="302" t="inlineStr">
        <is>
          <t>ZU-MFMA1ZZI-08S</t>
        </is>
      </c>
      <c r="M33" s="300" t="inlineStr">
        <is>
          <t>299957YO</t>
        </is>
      </c>
      <c r="N33" s="301" t="inlineStr">
        <is>
          <t>F.MFM.08S.011.AD</t>
        </is>
      </c>
      <c r="O33" s="303" t="n"/>
      <c r="P33" s="303" t="n"/>
      <c r="Q33" s="304">
        <f>IFERROR(R33/H33, 0)</f>
        <v/>
      </c>
      <c r="R33" s="305" t="n">
        <v>59.1</v>
      </c>
      <c r="S33" s="306" t="n">
        <v>18056</v>
      </c>
      <c r="T33" s="306">
        <f>IFERROR(S33*R33, 0)</f>
        <v/>
      </c>
      <c r="U33" s="307" t="n"/>
      <c r="V33" s="308" t="n"/>
      <c r="W33" s="309" t="n"/>
      <c r="X33" s="300" t="n"/>
      <c r="Y33" s="308" t="n"/>
      <c r="Z33" s="298" t="n"/>
    </row>
    <row r="34" ht="16.5" customHeight="1" s="215">
      <c r="A34" s="295" t="n"/>
      <c r="B34" s="296" t="n"/>
      <c r="C34" s="297" t="n"/>
      <c r="D34" s="297" t="n"/>
      <c r="E34" s="298" t="n"/>
      <c r="F34" s="299" t="n"/>
      <c r="G34" s="298" t="n"/>
      <c r="H34" s="300" t="n">
        <v>6</v>
      </c>
      <c r="I34" s="300" t="inlineStr"/>
      <c r="J34" s="300" t="inlineStr"/>
      <c r="K34" s="301" t="inlineStr">
        <is>
          <t>10IN GREEN TEA MF MATTRESS EK</t>
        </is>
      </c>
      <c r="L34" s="302" t="inlineStr">
        <is>
          <t>ZU-MFMA1ZZI-10K</t>
        </is>
      </c>
      <c r="M34" s="300" t="inlineStr">
        <is>
          <t>299957YO</t>
        </is>
      </c>
      <c r="N34" s="301" t="inlineStr">
        <is>
          <t>F.MFM.10K.007.AD</t>
        </is>
      </c>
      <c r="O34" s="303" t="n"/>
      <c r="P34" s="303" t="n"/>
      <c r="Q34" s="304">
        <f>IFERROR(R34/H34, 0)</f>
        <v/>
      </c>
      <c r="R34" s="305" t="n">
        <v>582.66</v>
      </c>
      <c r="S34" s="306" t="n">
        <v>18056</v>
      </c>
      <c r="T34" s="306">
        <f>IFERROR(S34*R34, 0)</f>
        <v/>
      </c>
      <c r="U34" s="307" t="n"/>
      <c r="V34" s="308" t="n"/>
      <c r="W34" s="309" t="n"/>
      <c r="X34" s="300" t="n"/>
      <c r="Y34" s="308" t="n"/>
      <c r="Z34" s="298" t="n"/>
    </row>
    <row r="35" ht="16.5" customHeight="1" s="215">
      <c r="A35" s="295" t="n"/>
      <c r="B35" s="296" t="n"/>
      <c r="C35" s="297" t="n"/>
      <c r="D35" s="297" t="n"/>
      <c r="E35" s="298" t="n"/>
      <c r="F35" s="299" t="n"/>
      <c r="G35" s="298" t="n"/>
      <c r="H35" s="300" t="n">
        <v>149</v>
      </c>
      <c r="I35" s="300" t="inlineStr"/>
      <c r="J35" s="300" t="inlineStr"/>
      <c r="K35" s="301" t="inlineStr">
        <is>
          <t>8IN MYGEL FOAM MATTRESS TW</t>
        </is>
      </c>
      <c r="L35" s="302" t="inlineStr">
        <is>
          <t>ZU-MFGN1YZI-08T</t>
        </is>
      </c>
      <c r="M35" s="300" t="inlineStr">
        <is>
          <t>2OD43VAH</t>
        </is>
      </c>
      <c r="N35" s="301" t="inlineStr">
        <is>
          <t>F.MFG.08T.003.AD</t>
        </is>
      </c>
      <c r="O35" s="303" t="n"/>
      <c r="P35" s="303" t="n"/>
      <c r="Q35" s="304">
        <f>IFERROR(R35/H35, 0)</f>
        <v/>
      </c>
      <c r="R35" s="305" t="n">
        <v>5353.57</v>
      </c>
      <c r="S35" s="306" t="n">
        <v>18056</v>
      </c>
      <c r="T35" s="306">
        <f>IFERROR(S35*R35, 0)</f>
        <v/>
      </c>
      <c r="U35" s="307" t="n"/>
      <c r="V35" s="308" t="n"/>
      <c r="W35" s="309" t="n"/>
      <c r="X35" s="300" t="n"/>
      <c r="Y35" s="308" t="n"/>
      <c r="Z35" s="298" t="n"/>
    </row>
    <row r="36" ht="16.5" customHeight="1" s="215">
      <c r="A36" s="295" t="n"/>
      <c r="B36" s="296" t="n"/>
      <c r="C36" s="297" t="n"/>
      <c r="D36" s="297" t="n"/>
      <c r="E36" s="298" t="n"/>
      <c r="F36" s="299" t="n"/>
      <c r="G36" s="298" t="n"/>
      <c r="H36" s="300" t="n">
        <v>2</v>
      </c>
      <c r="I36" s="300" t="inlineStr"/>
      <c r="J36" s="300" t="inlineStr"/>
      <c r="K36" s="301" t="inlineStr">
        <is>
          <t>10IN OPP HD FL</t>
        </is>
      </c>
      <c r="L36" s="302" t="inlineStr">
        <is>
          <t>ZU-MFMA1OZI-10F</t>
        </is>
      </c>
      <c r="M36" s="300" t="inlineStr">
        <is>
          <t>2OD43VAH</t>
        </is>
      </c>
      <c r="N36" s="301" t="inlineStr">
        <is>
          <t>F.MFM.10F.013.AD</t>
        </is>
      </c>
      <c r="O36" s="303" t="n"/>
      <c r="P36" s="303" t="n"/>
      <c r="Q36" s="304">
        <f>IFERROR(R36/H36, 0)</f>
        <v/>
      </c>
      <c r="R36" s="305" t="n">
        <v>95.81999999999999</v>
      </c>
      <c r="S36" s="306" t="n">
        <v>18056</v>
      </c>
      <c r="T36" s="306">
        <f>IFERROR(S36*R36, 0)</f>
        <v/>
      </c>
      <c r="U36" s="307" t="n"/>
      <c r="V36" s="308" t="n"/>
      <c r="W36" s="309" t="n"/>
      <c r="X36" s="300" t="n"/>
      <c r="Y36" s="308" t="n"/>
      <c r="Z36" s="298" t="n"/>
    </row>
    <row r="37" ht="16.5" customHeight="1" s="215">
      <c r="A37" s="295" t="n"/>
      <c r="B37" s="296" t="n"/>
      <c r="C37" s="297" t="n"/>
      <c r="D37" s="297" t="n"/>
      <c r="E37" s="298" t="n"/>
      <c r="F37" s="299" t="n"/>
      <c r="G37" s="298" t="n"/>
      <c r="H37" s="300" t="n">
        <v>400</v>
      </c>
      <c r="I37" s="300" t="inlineStr"/>
      <c r="J37" s="300" t="inlineStr"/>
      <c r="K37" s="301" t="inlineStr">
        <is>
          <t>12IN OPP HD QN</t>
        </is>
      </c>
      <c r="L37" s="302" t="inlineStr">
        <is>
          <t>ZU-MFMA1OZI-12Q</t>
        </is>
      </c>
      <c r="M37" s="300" t="inlineStr">
        <is>
          <t>2OD43VAH</t>
        </is>
      </c>
      <c r="N37" s="301" t="inlineStr">
        <is>
          <t>F.MFM.12Q.010.AD</t>
        </is>
      </c>
      <c r="O37" s="303" t="n"/>
      <c r="P37" s="303" t="n"/>
      <c r="Q37" s="304">
        <f>IFERROR(R37/H37, 0)</f>
        <v/>
      </c>
      <c r="R37" s="305" t="n">
        <v>27028</v>
      </c>
      <c r="S37" s="306" t="n">
        <v>18056</v>
      </c>
      <c r="T37" s="306">
        <f>IFERROR(S37*R37, 0)</f>
        <v/>
      </c>
      <c r="U37" s="307" t="n"/>
      <c r="V37" s="308" t="n"/>
      <c r="W37" s="309" t="n"/>
      <c r="X37" s="300" t="n"/>
      <c r="Y37" s="308" t="n"/>
      <c r="Z37" s="298" t="n"/>
    </row>
    <row r="38" ht="16.5" customHeight="1" s="215">
      <c r="A38" s="295" t="n"/>
      <c r="B38" s="296" t="n"/>
      <c r="C38" s="297" t="n"/>
      <c r="D38" s="297" t="n"/>
      <c r="E38" s="298" t="n"/>
      <c r="F38" s="299" t="n"/>
      <c r="G38" s="298" t="n"/>
      <c r="H38" s="300" t="n">
        <v>1</v>
      </c>
      <c r="I38" s="300" t="inlineStr"/>
      <c r="J38" s="300" t="inlineStr"/>
      <c r="K38" s="301" t="inlineStr">
        <is>
          <t>10IN AIRFLOW GEL FOAM MATT QN</t>
        </is>
      </c>
      <c r="L38" s="302" t="inlineStr">
        <is>
          <t>ZU-MFMA1RZI-10Q</t>
        </is>
      </c>
      <c r="M38" s="300" t="inlineStr">
        <is>
          <t>2OD43VAH</t>
        </is>
      </c>
      <c r="N38" s="301" t="inlineStr">
        <is>
          <t>F.MFM.10Q.014.AD</t>
        </is>
      </c>
      <c r="O38" s="303" t="n"/>
      <c r="P38" s="303" t="n"/>
      <c r="Q38" s="304">
        <f>IFERROR(R38/H38, 0)</f>
        <v/>
      </c>
      <c r="R38" s="305" t="n">
        <v>53.9</v>
      </c>
      <c r="S38" s="306" t="n">
        <v>18056</v>
      </c>
      <c r="T38" s="306">
        <f>IFERROR(S38*R38, 0)</f>
        <v/>
      </c>
      <c r="U38" s="307" t="n"/>
      <c r="V38" s="308" t="n"/>
      <c r="W38" s="309" t="n"/>
      <c r="X38" s="300" t="n"/>
      <c r="Y38" s="308" t="n"/>
      <c r="Z38" s="298" t="n"/>
    </row>
    <row r="39" ht="16.5" customHeight="1" s="215" thickBot="1">
      <c r="A39" s="295" t="n"/>
      <c r="B39" s="296" t="n"/>
      <c r="C39" s="297" t="n"/>
      <c r="D39" s="297" t="n"/>
      <c r="E39" s="298" t="n"/>
      <c r="F39" s="299" t="n"/>
      <c r="G39" s="298" t="n"/>
      <c r="H39" s="300" t="n">
        <v>1</v>
      </c>
      <c r="I39" s="300" t="inlineStr"/>
      <c r="J39" s="300" t="inlineStr"/>
      <c r="K39" s="301" t="inlineStr">
        <is>
          <t>12IN AIRFLOW GEL FOAM MATT QN</t>
        </is>
      </c>
      <c r="L39" s="302" t="inlineStr">
        <is>
          <t>ZU-MFMA1RZI-12Q</t>
        </is>
      </c>
      <c r="M39" s="300" t="inlineStr">
        <is>
          <t>2OD43VAH</t>
        </is>
      </c>
      <c r="N39" s="301" t="inlineStr">
        <is>
          <t>F.MFM.12Q.011.AD</t>
        </is>
      </c>
      <c r="O39" s="303" t="n"/>
      <c r="P39" s="303" t="n"/>
      <c r="Q39" s="304">
        <f>IFERROR(R39/H39, 0)</f>
        <v/>
      </c>
      <c r="R39" s="305" t="n">
        <v>67.56999999999999</v>
      </c>
      <c r="S39" s="306" t="n">
        <v>18056</v>
      </c>
      <c r="T39" s="306">
        <f>IFERROR(S39*R39, 0)</f>
        <v/>
      </c>
      <c r="U39" s="307" t="n"/>
      <c r="V39" s="308" t="n"/>
      <c r="W39" s="309" t="n"/>
      <c r="X39" s="300" t="n"/>
      <c r="Y39" s="308" t="n"/>
      <c r="Z39" s="298" t="n"/>
    </row>
    <row r="40" ht="16.5" customFormat="1" customHeight="1" s="17" thickTop="1">
      <c r="A40" s="295" t="n"/>
      <c r="B40" s="296" t="n"/>
      <c r="C40" s="297" t="n"/>
      <c r="D40" s="297" t="n"/>
      <c r="E40" s="298" t="n"/>
      <c r="F40" s="299" t="n"/>
      <c r="G40" s="298" t="n"/>
      <c r="H40" s="300" t="n">
        <v>1</v>
      </c>
      <c r="I40" s="300" t="inlineStr"/>
      <c r="J40" s="300" t="inlineStr"/>
      <c r="K40" s="301" t="inlineStr">
        <is>
          <t>8IN GREEN TEA MF MATTRESS SQ</t>
        </is>
      </c>
      <c r="L40" s="302" t="inlineStr">
        <is>
          <t>ZU-MFMA1ZZI-08S</t>
        </is>
      </c>
      <c r="M40" s="300" t="inlineStr">
        <is>
          <t>2OD43VAH</t>
        </is>
      </c>
      <c r="N40" s="301" t="inlineStr">
        <is>
          <t>F.MFM.08S.011.AD</t>
        </is>
      </c>
      <c r="O40" s="303" t="n"/>
      <c r="P40" s="303" t="n"/>
      <c r="Q40" s="304">
        <f>IFERROR(R40/H40, 0)</f>
        <v/>
      </c>
      <c r="R40" s="305" t="n">
        <v>59.1</v>
      </c>
      <c r="S40" s="306" t="n">
        <v>18056</v>
      </c>
      <c r="T40" s="306">
        <f>IFERROR(S40*R40, 0)</f>
        <v/>
      </c>
      <c r="U40" s="307" t="n"/>
      <c r="V40" s="308" t="n"/>
      <c r="W40" s="309" t="n"/>
      <c r="X40" s="300" t="n"/>
      <c r="Y40" s="308" t="n"/>
      <c r="Z40" s="298" t="n"/>
    </row>
    <row r="41" ht="16.5" customHeight="1" s="215">
      <c r="A41" s="295" t="n"/>
      <c r="B41" s="296" t="n"/>
      <c r="C41" s="297" t="n"/>
      <c r="D41" s="297" t="n"/>
      <c r="E41" s="298" t="n"/>
      <c r="F41" s="299" t="n"/>
      <c r="G41" s="298" t="n"/>
      <c r="H41" s="300" t="n">
        <v>368</v>
      </c>
      <c r="I41" s="300" t="inlineStr"/>
      <c r="J41" s="300" t="inlineStr"/>
      <c r="K41" s="301" t="inlineStr">
        <is>
          <t>8IN OPP HD FL</t>
        </is>
      </c>
      <c r="L41" s="302" t="inlineStr">
        <is>
          <t>ZU-MFMA1OZI-08F</t>
        </is>
      </c>
      <c r="M41" s="300" t="inlineStr">
        <is>
          <t>2XLW4FKE</t>
        </is>
      </c>
      <c r="N41" s="301" t="inlineStr">
        <is>
          <t>F.MFM.08F.013.AD</t>
        </is>
      </c>
      <c r="O41" s="303" t="n"/>
      <c r="P41" s="303" t="n"/>
      <c r="Q41" s="304">
        <f>IFERROR(R41/H41, 0)</f>
        <v/>
      </c>
      <c r="R41" s="305" t="n">
        <v>14326.24</v>
      </c>
      <c r="S41" s="306" t="n">
        <v>18056</v>
      </c>
      <c r="T41" s="306">
        <f>IFERROR(S41*R41, 0)</f>
        <v/>
      </c>
      <c r="U41" s="307" t="n"/>
      <c r="V41" s="308" t="n"/>
      <c r="W41" s="309" t="n"/>
      <c r="X41" s="300" t="n"/>
      <c r="Y41" s="308" t="n"/>
      <c r="Z41" s="298" t="n"/>
    </row>
    <row r="42" ht="16.5" customHeight="1" s="215">
      <c r="A42" s="295" t="n"/>
      <c r="B42" s="296" t="n"/>
      <c r="C42" s="297" t="n"/>
      <c r="D42" s="297" t="n"/>
      <c r="E42" s="298" t="n"/>
      <c r="F42" s="299" t="n"/>
      <c r="G42" s="298" t="n"/>
      <c r="H42" s="300" t="n">
        <v>198</v>
      </c>
      <c r="I42" s="300" t="inlineStr"/>
      <c r="J42" s="300" t="inlineStr"/>
      <c r="K42" s="301" t="inlineStr">
        <is>
          <t>12IN OPP HD QN</t>
        </is>
      </c>
      <c r="L42" s="302" t="inlineStr">
        <is>
          <t>ZU-MFMA1OZI-12Q</t>
        </is>
      </c>
      <c r="M42" s="300" t="inlineStr">
        <is>
          <t>2XLW4FKE</t>
        </is>
      </c>
      <c r="N42" s="301" t="inlineStr">
        <is>
          <t>F.MFM.12Q.010.AD</t>
        </is>
      </c>
      <c r="O42" s="303" t="n"/>
      <c r="P42" s="303" t="n"/>
      <c r="Q42" s="304">
        <f>IFERROR(R42/H42, 0)</f>
        <v/>
      </c>
      <c r="R42" s="305" t="n">
        <v>13378.86</v>
      </c>
      <c r="S42" s="306" t="n">
        <v>18056</v>
      </c>
      <c r="T42" s="306">
        <f>IFERROR(S42*R42, 0)</f>
        <v/>
      </c>
      <c r="U42" s="307" t="n"/>
      <c r="V42" s="308" t="n"/>
      <c r="W42" s="309" t="n"/>
      <c r="X42" s="300" t="n"/>
      <c r="Y42" s="308" t="n"/>
      <c r="Z42" s="298" t="n"/>
    </row>
    <row r="43" ht="16.5" customHeight="1" s="215">
      <c r="A43" s="295" t="n"/>
      <c r="B43" s="296" t="n"/>
      <c r="C43" s="297" t="n"/>
      <c r="D43" s="297" t="n"/>
      <c r="E43" s="298" t="n"/>
      <c r="F43" s="299" t="n"/>
      <c r="G43" s="298" t="n"/>
      <c r="H43" s="300" t="n">
        <v>56</v>
      </c>
      <c r="I43" s="300" t="inlineStr"/>
      <c r="J43" s="300" t="inlineStr"/>
      <c r="K43" s="301" t="inlineStr">
        <is>
          <t>12IN GREEN TEA MF MATTRESS TX</t>
        </is>
      </c>
      <c r="L43" s="302" t="inlineStr">
        <is>
          <t>ZU-MFMA1ZZI-12X</t>
        </is>
      </c>
      <c r="M43" s="300" t="inlineStr">
        <is>
          <t>2XLW4FKE</t>
        </is>
      </c>
      <c r="N43" s="301" t="inlineStr">
        <is>
          <t>F.MFM.12X.006.AD</t>
        </is>
      </c>
      <c r="O43" s="303" t="n"/>
      <c r="P43" s="303" t="n"/>
      <c r="Q43" s="304">
        <f>IFERROR(R43/H43, 0)</f>
        <v/>
      </c>
      <c r="R43" s="305" t="n">
        <v>3264.8</v>
      </c>
      <c r="S43" s="306" t="n">
        <v>18056</v>
      </c>
      <c r="T43" s="306">
        <f>IFERROR(S43*R43, 0)</f>
        <v/>
      </c>
      <c r="U43" s="307" t="n"/>
      <c r="V43" s="308" t="n"/>
      <c r="W43" s="309" t="n"/>
      <c r="X43" s="300" t="n"/>
      <c r="Y43" s="308" t="n"/>
      <c r="Z43" s="298" t="n"/>
    </row>
    <row r="44" ht="16.5" customHeight="1" s="215">
      <c r="A44" s="295" t="n"/>
      <c r="B44" s="296" t="n"/>
      <c r="C44" s="297" t="n"/>
      <c r="D44" s="297" t="n"/>
      <c r="E44" s="298" t="n"/>
      <c r="F44" s="299" t="n"/>
      <c r="G44" s="298" t="n"/>
      <c r="H44" s="300" t="n">
        <v>1</v>
      </c>
      <c r="I44" s="300" t="inlineStr"/>
      <c r="J44" s="300" t="inlineStr"/>
      <c r="K44" s="301" t="inlineStr">
        <is>
          <t>5IN OPP HD TW</t>
        </is>
      </c>
      <c r="L44" s="302" t="inlineStr">
        <is>
          <t>ZU-MFMA1OZI-05T</t>
        </is>
      </c>
      <c r="M44" s="300" t="inlineStr">
        <is>
          <t>4JWS37TM</t>
        </is>
      </c>
      <c r="N44" s="301" t="inlineStr">
        <is>
          <t>F.MFM.05T.008.AD</t>
        </is>
      </c>
      <c r="O44" s="303" t="n"/>
      <c r="P44" s="303" t="n"/>
      <c r="Q44" s="304">
        <f>IFERROR(R44/H44, 0)</f>
        <v/>
      </c>
      <c r="R44" s="305" t="n">
        <v>23.95</v>
      </c>
      <c r="S44" s="306" t="n">
        <v>18056</v>
      </c>
      <c r="T44" s="306">
        <f>IFERROR(S44*R44, 0)</f>
        <v/>
      </c>
      <c r="U44" s="307" t="n"/>
      <c r="V44" s="308" t="n"/>
      <c r="W44" s="309" t="n"/>
      <c r="X44" s="300" t="n"/>
      <c r="Y44" s="308" t="n"/>
      <c r="Z44" s="298" t="n"/>
    </row>
    <row r="45" ht="16.5" customHeight="1" s="215">
      <c r="A45" s="295" t="n"/>
      <c r="B45" s="296" t="n"/>
      <c r="C45" s="297" t="n"/>
      <c r="D45" s="297" t="n"/>
      <c r="E45" s="298" t="n"/>
      <c r="F45" s="299" t="n"/>
      <c r="G45" s="298" t="n"/>
      <c r="H45" s="300" t="n">
        <v>1138</v>
      </c>
      <c r="I45" s="300" t="inlineStr"/>
      <c r="J45" s="300" t="inlineStr"/>
      <c r="K45" s="301" t="inlineStr">
        <is>
          <t>5IN GREEN TEA MF MATTRESS TW</t>
        </is>
      </c>
      <c r="L45" s="302" t="inlineStr">
        <is>
          <t>ZU-MFMA1ZZI-05T</t>
        </is>
      </c>
      <c r="M45" s="300" t="inlineStr">
        <is>
          <t>4JWS37TM</t>
        </is>
      </c>
      <c r="N45" s="301" t="inlineStr">
        <is>
          <t>F.MFM.05T.007.AD</t>
        </is>
      </c>
      <c r="O45" s="303" t="n"/>
      <c r="P45" s="303" t="n"/>
      <c r="Q45" s="304">
        <f>IFERROR(R45/H45, 0)</f>
        <v/>
      </c>
      <c r="R45" s="305" t="n">
        <v>26925.08</v>
      </c>
      <c r="S45" s="306" t="n">
        <v>18056</v>
      </c>
      <c r="T45" s="306">
        <f>IFERROR(S45*R45, 0)</f>
        <v/>
      </c>
      <c r="U45" s="307" t="n"/>
      <c r="V45" s="308" t="n"/>
      <c r="W45" s="309" t="n"/>
      <c r="X45" s="300" t="n"/>
      <c r="Y45" s="308" t="n"/>
      <c r="Z45" s="298" t="n"/>
    </row>
    <row r="46" ht="17.1" customHeight="1" s="215">
      <c r="A46" s="310" t="n"/>
      <c r="B46" s="311" t="n"/>
      <c r="C46" s="312" t="n"/>
      <c r="D46" s="312" t="n"/>
      <c r="E46" s="313" t="n"/>
      <c r="F46" s="313" t="n"/>
      <c r="G46" s="313" t="n"/>
      <c r="H46" s="314">
        <f>SUM(H19:H45)</f>
        <v/>
      </c>
      <c r="I46" s="315">
        <f>COUNTA(I19:I45)</f>
        <v/>
      </c>
      <c r="J46" s="314" t="n"/>
      <c r="K46" s="314" t="n"/>
      <c r="L46" s="316" t="n"/>
      <c r="M46" s="314" t="n"/>
      <c r="N46" s="314" t="n"/>
      <c r="O46" s="317">
        <f>SUM(O19:O45)</f>
        <v/>
      </c>
      <c r="P46" s="317">
        <f>SUM(P19:P45)</f>
        <v/>
      </c>
      <c r="Q46" s="318" t="n"/>
      <c r="R46" s="319">
        <f>SUM(R19:R45)</f>
        <v/>
      </c>
      <c r="S46" s="320" t="n"/>
      <c r="T46" s="320">
        <f>SUM(T19:T45)</f>
        <v/>
      </c>
      <c r="U46" s="314" t="n"/>
      <c r="V46" s="321" t="n"/>
      <c r="W46" s="322" t="n"/>
      <c r="X46" s="321" t="n"/>
      <c r="Y46" s="321" t="n"/>
      <c r="Z46" s="321" t="n"/>
    </row>
    <row r="47" ht="16.5" customHeight="1" s="215">
      <c r="A47" s="295" t="n">
        <v>5</v>
      </c>
      <c r="B47" s="296" t="inlineStr">
        <is>
          <t>000030ZIK48020260722000504</t>
        </is>
      </c>
      <c r="C47" s="297" t="n">
        <v>455806</v>
      </c>
      <c r="D47" s="297" t="n">
        <v>455745</v>
      </c>
      <c r="E47" s="298" t="n">
        <v>46226</v>
      </c>
      <c r="F47" s="299" t="inlineStr">
        <is>
          <t>ID2607-7886</t>
        </is>
      </c>
      <c r="G47" s="298" t="n">
        <v>46225</v>
      </c>
      <c r="H47" s="300" t="n">
        <v>966</v>
      </c>
      <c r="I47" s="300" t="inlineStr">
        <is>
          <t>EGHU9205621</t>
        </is>
      </c>
      <c r="J47" s="300" t="inlineStr">
        <is>
          <t>40FT</t>
        </is>
      </c>
      <c r="K47" s="301" t="inlineStr">
        <is>
          <t>8IN OPP HD TW</t>
        </is>
      </c>
      <c r="L47" s="302" t="inlineStr">
        <is>
          <t>ZU-MFMA1OZI-08T</t>
        </is>
      </c>
      <c r="M47" s="300" t="inlineStr">
        <is>
          <t>3NDHMI4R</t>
        </is>
      </c>
      <c r="N47" s="301" t="inlineStr">
        <is>
          <t>F.MFM.08T.013.AD</t>
        </is>
      </c>
      <c r="O47" s="303" t="n">
        <v>79248.28999999999</v>
      </c>
      <c r="P47" s="303" t="n">
        <v>68661.08</v>
      </c>
      <c r="Q47" s="304">
        <f>IFERROR(R47/H47, 0)</f>
        <v/>
      </c>
      <c r="R47" s="305" t="n">
        <v>28922.04</v>
      </c>
      <c r="S47" s="306" t="n">
        <v>18056</v>
      </c>
      <c r="T47" s="306">
        <f>IFERROR(S47*R47, 0)</f>
        <v/>
      </c>
      <c r="U47" s="307" t="inlineStr">
        <is>
          <t>040300/KPPBC</t>
        </is>
      </c>
      <c r="V47" s="308" t="inlineStr">
        <is>
          <t>TANJUNG PRIOK</t>
        </is>
      </c>
      <c r="W47" s="309" t="inlineStr"/>
      <c r="X47" s="300" t="inlineStr"/>
      <c r="Y47" s="308" t="inlineStr"/>
      <c r="Z47" s="298" t="inlineStr"/>
    </row>
    <row r="48" ht="16.5" customHeight="1" s="215">
      <c r="A48" s="295" t="n"/>
      <c r="B48" s="296" t="n"/>
      <c r="C48" s="297" t="n"/>
      <c r="D48" s="297" t="n"/>
      <c r="E48" s="298" t="n"/>
      <c r="F48" s="299" t="n"/>
      <c r="G48" s="298" t="n"/>
      <c r="H48" s="300" t="n">
        <v>1145</v>
      </c>
      <c r="I48" s="300" t="inlineStr">
        <is>
          <t>EGHU9121367</t>
        </is>
      </c>
      <c r="J48" s="300" t="inlineStr">
        <is>
          <t>40FT</t>
        </is>
      </c>
      <c r="K48" s="301" t="inlineStr">
        <is>
          <t>5IN GREEN TEA MF MATTRESS TW</t>
        </is>
      </c>
      <c r="L48" s="302" t="inlineStr">
        <is>
          <t>ZU-MFMA1ZZI-05T</t>
        </is>
      </c>
      <c r="M48" s="300" t="inlineStr">
        <is>
          <t>4I3CD5IH</t>
        </is>
      </c>
      <c r="N48" s="301" t="inlineStr">
        <is>
          <t>F.MFM.05T.007.AD</t>
        </is>
      </c>
      <c r="O48" s="303" t="n"/>
      <c r="P48" s="303" t="n"/>
      <c r="Q48" s="304">
        <f>IFERROR(R48/H48, 0)</f>
        <v/>
      </c>
      <c r="R48" s="305" t="n">
        <v>27090.7</v>
      </c>
      <c r="S48" s="306" t="n">
        <v>18056</v>
      </c>
      <c r="T48" s="306">
        <f>IFERROR(S48*R48, 0)</f>
        <v/>
      </c>
      <c r="U48" s="307" t="n"/>
      <c r="V48" s="308" t="n"/>
      <c r="W48" s="309" t="n"/>
      <c r="X48" s="300" t="n"/>
      <c r="Y48" s="308" t="n"/>
      <c r="Z48" s="298" t="n"/>
    </row>
    <row r="49" ht="16.5" customHeight="1" s="215">
      <c r="A49" s="295" t="n"/>
      <c r="B49" s="296" t="n"/>
      <c r="C49" s="297" t="n"/>
      <c r="D49" s="297" t="n"/>
      <c r="E49" s="298" t="n"/>
      <c r="F49" s="299" t="n"/>
      <c r="G49" s="298" t="n"/>
      <c r="H49" s="300" t="n">
        <v>1144</v>
      </c>
      <c r="I49" s="300" t="inlineStr">
        <is>
          <t>EGHU9713330</t>
        </is>
      </c>
      <c r="J49" s="300" t="inlineStr">
        <is>
          <t>40FT</t>
        </is>
      </c>
      <c r="K49" s="301" t="inlineStr">
        <is>
          <t>5IN GREEN TEA MF MATTRESS TW</t>
        </is>
      </c>
      <c r="L49" s="302" t="inlineStr">
        <is>
          <t>ZU-MFMA1ZZI-05T</t>
        </is>
      </c>
      <c r="M49" s="300" t="inlineStr">
        <is>
          <t>88Y96MHS</t>
        </is>
      </c>
      <c r="N49" s="301" t="inlineStr">
        <is>
          <t>F.MFM.05T.007.AD</t>
        </is>
      </c>
      <c r="O49" s="303" t="n"/>
      <c r="P49" s="303" t="n"/>
      <c r="Q49" s="304">
        <f>IFERROR(R49/H49, 0)</f>
        <v/>
      </c>
      <c r="R49" s="305" t="n">
        <v>27067.04</v>
      </c>
      <c r="S49" s="306" t="n">
        <v>18056</v>
      </c>
      <c r="T49" s="306">
        <f>IFERROR(S49*R49, 0)</f>
        <v/>
      </c>
      <c r="U49" s="307" t="n"/>
      <c r="V49" s="308" t="n"/>
      <c r="W49" s="309" t="n"/>
      <c r="X49" s="300" t="n"/>
      <c r="Y49" s="308" t="n"/>
      <c r="Z49" s="298" t="n"/>
    </row>
    <row r="50" ht="16.5" customHeight="1" s="215">
      <c r="A50" s="295" t="n"/>
      <c r="B50" s="296" t="n"/>
      <c r="C50" s="297" t="n"/>
      <c r="D50" s="297" t="n"/>
      <c r="E50" s="298" t="n"/>
      <c r="F50" s="299" t="n"/>
      <c r="G50" s="298" t="n"/>
      <c r="H50" s="300" t="n">
        <v>502</v>
      </c>
      <c r="I50" s="300" t="inlineStr">
        <is>
          <t>EMCU8701869</t>
        </is>
      </c>
      <c r="J50" s="300" t="inlineStr">
        <is>
          <t>40FT</t>
        </is>
      </c>
      <c r="K50" s="301" t="inlineStr">
        <is>
          <t>12IN GREEN TEA MF MATTRESS QN</t>
        </is>
      </c>
      <c r="L50" s="302" t="inlineStr">
        <is>
          <t>ZU-MFMA1ZZI-12Q</t>
        </is>
      </c>
      <c r="M50" s="300" t="inlineStr">
        <is>
          <t>8B4RWISK</t>
        </is>
      </c>
      <c r="N50" s="301" t="inlineStr">
        <is>
          <t>F.MFM.12Q.006.AD</t>
        </is>
      </c>
      <c r="O50" s="303" t="n"/>
      <c r="P50" s="303" t="n"/>
      <c r="Q50" s="304">
        <f>IFERROR(R50/H50, 0)</f>
        <v/>
      </c>
      <c r="R50" s="305" t="n">
        <v>42062.58</v>
      </c>
      <c r="S50" s="306" t="n">
        <v>18056</v>
      </c>
      <c r="T50" s="306">
        <f>IFERROR(S50*R50, 0)</f>
        <v/>
      </c>
      <c r="U50" s="307" t="n"/>
      <c r="V50" s="308" t="n"/>
      <c r="W50" s="309" t="n"/>
      <c r="X50" s="300" t="n"/>
      <c r="Y50" s="308" t="n"/>
      <c r="Z50" s="298" t="n"/>
    </row>
    <row r="51" ht="16.5" customHeight="1" s="215">
      <c r="A51" s="295" t="n"/>
      <c r="B51" s="296" t="n"/>
      <c r="C51" s="297" t="n"/>
      <c r="D51" s="297" t="n"/>
      <c r="E51" s="298" t="n"/>
      <c r="F51" s="299" t="n"/>
      <c r="G51" s="298" t="n"/>
      <c r="H51" s="300" t="n">
        <v>3</v>
      </c>
      <c r="I51" s="300" t="inlineStr">
        <is>
          <t>EMCU1598276</t>
        </is>
      </c>
      <c r="J51" s="300" t="inlineStr">
        <is>
          <t>40FT</t>
        </is>
      </c>
      <c r="K51" s="301" t="inlineStr">
        <is>
          <t>8IN OPP HD FL</t>
        </is>
      </c>
      <c r="L51" s="302" t="inlineStr">
        <is>
          <t>ZU-MFMA1OZI-08F</t>
        </is>
      </c>
      <c r="M51" s="300" t="inlineStr">
        <is>
          <t>8GO2PUDD</t>
        </is>
      </c>
      <c r="N51" s="301" t="inlineStr">
        <is>
          <t>F.MFM.08F.013.AD</t>
        </is>
      </c>
      <c r="O51" s="303" t="n"/>
      <c r="P51" s="303" t="n"/>
      <c r="Q51" s="304">
        <f>IFERROR(R51/H51, 0)</f>
        <v/>
      </c>
      <c r="R51" s="305" t="n">
        <v>116.79</v>
      </c>
      <c r="S51" s="306" t="n">
        <v>18056</v>
      </c>
      <c r="T51" s="306">
        <f>IFERROR(S51*R51, 0)</f>
        <v/>
      </c>
      <c r="U51" s="307" t="n"/>
      <c r="V51" s="308" t="n"/>
      <c r="W51" s="309" t="n"/>
      <c r="X51" s="300" t="n"/>
      <c r="Y51" s="308" t="n"/>
      <c r="Z51" s="298" t="n"/>
    </row>
    <row r="52" ht="16.5" customHeight="1" s="215">
      <c r="A52" s="295" t="n"/>
      <c r="B52" s="296" t="n"/>
      <c r="C52" s="297" t="n"/>
      <c r="D52" s="297" t="n"/>
      <c r="E52" s="298" t="n"/>
      <c r="F52" s="299" t="n"/>
      <c r="G52" s="298" t="n"/>
      <c r="H52" s="300" t="n">
        <v>400</v>
      </c>
      <c r="I52" s="300" t="inlineStr">
        <is>
          <t>EGSU1735716</t>
        </is>
      </c>
      <c r="J52" s="300" t="inlineStr">
        <is>
          <t>40FT</t>
        </is>
      </c>
      <c r="K52" s="301" t="inlineStr">
        <is>
          <t>8IN GREEN TEA MF MATTRESS TW</t>
        </is>
      </c>
      <c r="L52" s="302" t="inlineStr">
        <is>
          <t>ZU-MFMA1ZZI-08T</t>
        </is>
      </c>
      <c r="M52" s="300" t="inlineStr">
        <is>
          <t>8GO2PUDD</t>
        </is>
      </c>
      <c r="N52" s="301" t="inlineStr">
        <is>
          <t>F.MFM.08T.008.AD</t>
        </is>
      </c>
      <c r="O52" s="303" t="n"/>
      <c r="P52" s="303" t="n"/>
      <c r="Q52" s="304">
        <f>IFERROR(R52/H52, 0)</f>
        <v/>
      </c>
      <c r="R52" s="305" t="n">
        <v>14372</v>
      </c>
      <c r="S52" s="306" t="n">
        <v>18056</v>
      </c>
      <c r="T52" s="306">
        <f>IFERROR(S52*R52, 0)</f>
        <v/>
      </c>
      <c r="U52" s="307" t="n"/>
      <c r="V52" s="308" t="n"/>
      <c r="W52" s="309" t="n"/>
      <c r="X52" s="300" t="n"/>
      <c r="Y52" s="308" t="n"/>
      <c r="Z52" s="298" t="n"/>
    </row>
    <row r="53" ht="16.5" customHeight="1" s="215">
      <c r="A53" s="295" t="n"/>
      <c r="B53" s="296" t="n"/>
      <c r="C53" s="297" t="n"/>
      <c r="D53" s="297" t="n"/>
      <c r="E53" s="298" t="n"/>
      <c r="F53" s="299" t="n"/>
      <c r="G53" s="298" t="n"/>
      <c r="H53" s="300" t="n">
        <v>206</v>
      </c>
      <c r="I53" s="300" t="inlineStr">
        <is>
          <t>EGHU9733906</t>
        </is>
      </c>
      <c r="J53" s="300" t="inlineStr">
        <is>
          <t>40FT</t>
        </is>
      </c>
      <c r="K53" s="301" t="inlineStr">
        <is>
          <t>12IN GREEN TEA MF MATTRESS QN</t>
        </is>
      </c>
      <c r="L53" s="302" t="inlineStr">
        <is>
          <t>ZU-MFMA1ZZI-12Q</t>
        </is>
      </c>
      <c r="M53" s="300" t="inlineStr">
        <is>
          <t>8GO2PUDD</t>
        </is>
      </c>
      <c r="N53" s="301" t="inlineStr">
        <is>
          <t>F.MFM.12Q.006.AD</t>
        </is>
      </c>
      <c r="O53" s="303" t="n"/>
      <c r="P53" s="303" t="n"/>
      <c r="Q53" s="304">
        <f>IFERROR(R53/H53, 0)</f>
        <v/>
      </c>
      <c r="R53" s="305" t="n">
        <v>17260.74</v>
      </c>
      <c r="S53" s="306" t="n">
        <v>18056</v>
      </c>
      <c r="T53" s="306">
        <f>IFERROR(S53*R53, 0)</f>
        <v/>
      </c>
      <c r="U53" s="307" t="n"/>
      <c r="V53" s="308" t="n"/>
      <c r="W53" s="309" t="n"/>
      <c r="X53" s="300" t="n"/>
      <c r="Y53" s="308" t="n"/>
      <c r="Z53" s="298" t="n"/>
    </row>
    <row r="54" ht="16.5" customHeight="1" s="215">
      <c r="A54" s="295" t="n"/>
      <c r="B54" s="296" t="n"/>
      <c r="C54" s="297" t="n"/>
      <c r="D54" s="297" t="n"/>
      <c r="E54" s="298" t="n"/>
      <c r="F54" s="299" t="n"/>
      <c r="G54" s="298" t="n"/>
      <c r="H54" s="300" t="n">
        <v>605</v>
      </c>
      <c r="I54" s="300" t="inlineStr"/>
      <c r="J54" s="300" t="inlineStr"/>
      <c r="K54" s="301" t="inlineStr">
        <is>
          <t>8IN OPP HD TW</t>
        </is>
      </c>
      <c r="L54" s="302" t="inlineStr">
        <is>
          <t>ZU-MFMA1OZI-08T</t>
        </is>
      </c>
      <c r="M54" s="300" t="inlineStr">
        <is>
          <t>8VH5JQ8T</t>
        </is>
      </c>
      <c r="N54" s="301" t="inlineStr">
        <is>
          <t>F.MFM.08T.013.AD</t>
        </is>
      </c>
      <c r="O54" s="303" t="n"/>
      <c r="P54" s="303" t="n"/>
      <c r="Q54" s="304">
        <f>IFERROR(R54/H54, 0)</f>
        <v/>
      </c>
      <c r="R54" s="305" t="n">
        <v>18113.7</v>
      </c>
      <c r="S54" s="306" t="n">
        <v>18056</v>
      </c>
      <c r="T54" s="306">
        <f>IFERROR(S54*R54, 0)</f>
        <v/>
      </c>
      <c r="U54" s="307" t="n"/>
      <c r="V54" s="308" t="n"/>
      <c r="W54" s="309" t="n"/>
      <c r="X54" s="300" t="n"/>
      <c r="Y54" s="308" t="n"/>
      <c r="Z54" s="298" t="n"/>
    </row>
    <row r="55" ht="16.5" customHeight="1" s="215">
      <c r="A55" s="295" t="n"/>
      <c r="B55" s="296" t="n"/>
      <c r="C55" s="297" t="n"/>
      <c r="D55" s="297" t="n"/>
      <c r="E55" s="298" t="n"/>
      <c r="F55" s="299" t="n"/>
      <c r="G55" s="298" t="n"/>
      <c r="H55" s="300" t="n">
        <v>427</v>
      </c>
      <c r="I55" s="300" t="inlineStr"/>
      <c r="J55" s="300" t="inlineStr"/>
      <c r="K55" s="301" t="inlineStr">
        <is>
          <t>5IN GREEN TEA MF MATTRESS TW</t>
        </is>
      </c>
      <c r="L55" s="302" t="inlineStr">
        <is>
          <t>ZU-MFMA1ZZI-05T</t>
        </is>
      </c>
      <c r="M55" s="300" t="inlineStr">
        <is>
          <t>8VH5JQ8T</t>
        </is>
      </c>
      <c r="N55" s="301" t="inlineStr">
        <is>
          <t>F.MFM.05T.007.AD</t>
        </is>
      </c>
      <c r="O55" s="303" t="n"/>
      <c r="P55" s="303" t="n"/>
      <c r="Q55" s="304">
        <f>IFERROR(R55/H55, 0)</f>
        <v/>
      </c>
      <c r="R55" s="305" t="n">
        <v>10102.82</v>
      </c>
      <c r="S55" s="306" t="n">
        <v>18056</v>
      </c>
      <c r="T55" s="306">
        <f>IFERROR(S55*R55, 0)</f>
        <v/>
      </c>
      <c r="U55" s="307" t="n"/>
      <c r="V55" s="308" t="n"/>
      <c r="W55" s="309" t="n"/>
      <c r="X55" s="300" t="n"/>
      <c r="Y55" s="308" t="n"/>
      <c r="Z55" s="298" t="n"/>
    </row>
    <row r="56" ht="16.5" customHeight="1" s="215">
      <c r="A56" s="295" t="n"/>
      <c r="B56" s="296" t="n"/>
      <c r="C56" s="297" t="n"/>
      <c r="D56" s="297" t="n"/>
      <c r="E56" s="298" t="n"/>
      <c r="F56" s="299" t="n"/>
      <c r="G56" s="298" t="n"/>
      <c r="H56" s="300" t="n">
        <v>1</v>
      </c>
      <c r="I56" s="300" t="inlineStr"/>
      <c r="J56" s="300" t="inlineStr"/>
      <c r="K56" s="301" t="inlineStr">
        <is>
          <t>12IN GREEN TEA MF MATTRESS QN</t>
        </is>
      </c>
      <c r="L56" s="302" t="inlineStr">
        <is>
          <t>ZU-MFMA1ZZI-12Q</t>
        </is>
      </c>
      <c r="M56" s="300" t="inlineStr">
        <is>
          <t>8VH5JQ8T</t>
        </is>
      </c>
      <c r="N56" s="301" t="inlineStr">
        <is>
          <t>F.MFM.12Q.006.AD</t>
        </is>
      </c>
      <c r="O56" s="303" t="n"/>
      <c r="P56" s="303" t="n"/>
      <c r="Q56" s="304">
        <f>IFERROR(R56/H56, 0)</f>
        <v/>
      </c>
      <c r="R56" s="305" t="n">
        <v>83.79000000000001</v>
      </c>
      <c r="S56" s="306" t="n">
        <v>18056</v>
      </c>
      <c r="T56" s="306">
        <f>IFERROR(S56*R56, 0)</f>
        <v/>
      </c>
      <c r="U56" s="307" t="n"/>
      <c r="V56" s="308" t="n"/>
      <c r="W56" s="309" t="n"/>
      <c r="X56" s="300" t="n"/>
      <c r="Y56" s="308" t="n"/>
      <c r="Z56" s="298" t="n"/>
    </row>
    <row r="57" ht="17.1" customHeight="1" s="215">
      <c r="A57" s="310" t="n"/>
      <c r="B57" s="311" t="n"/>
      <c r="C57" s="312" t="n"/>
      <c r="D57" s="312" t="n"/>
      <c r="E57" s="313" t="n"/>
      <c r="F57" s="313" t="n"/>
      <c r="G57" s="313" t="n"/>
      <c r="H57" s="314">
        <f>SUM(H47:H56)</f>
        <v/>
      </c>
      <c r="I57" s="315">
        <f>COUNTA(I47:I56)</f>
        <v/>
      </c>
      <c r="J57" s="314" t="n"/>
      <c r="K57" s="314" t="n"/>
      <c r="L57" s="316" t="n"/>
      <c r="M57" s="314" t="n"/>
      <c r="N57" s="314" t="n"/>
      <c r="O57" s="317">
        <f>SUM(O47:O56)</f>
        <v/>
      </c>
      <c r="P57" s="317">
        <f>SUM(P47:P56)</f>
        <v/>
      </c>
      <c r="Q57" s="318" t="n"/>
      <c r="R57" s="319">
        <f>SUM(R47:R56)</f>
        <v/>
      </c>
      <c r="S57" s="320" t="n"/>
      <c r="T57" s="320">
        <f>SUM(T47:T56)</f>
        <v/>
      </c>
      <c r="U57" s="314" t="n"/>
      <c r="V57" s="321" t="n"/>
      <c r="W57" s="322" t="n"/>
      <c r="X57" s="321" t="n"/>
      <c r="Y57" s="321" t="n"/>
      <c r="Z57" s="321" t="n"/>
    </row>
    <row r="58" ht="16.5" customHeight="1" s="215">
      <c r="A58" s="295" t="n">
        <v>6</v>
      </c>
      <c r="B58" s="296" t="inlineStr">
        <is>
          <t>000030ZIK48020260722000506</t>
        </is>
      </c>
      <c r="C58" s="297" t="n">
        <v>454283</v>
      </c>
      <c r="D58" s="297" t="n">
        <v>454227</v>
      </c>
      <c r="E58" s="298" t="n">
        <v>46226</v>
      </c>
      <c r="F58" s="299" t="inlineStr">
        <is>
          <t>ID2607-7885</t>
        </is>
      </c>
      <c r="G58" s="298" t="n">
        <v>46225</v>
      </c>
      <c r="H58" s="300" t="n">
        <v>182</v>
      </c>
      <c r="I58" s="300" t="inlineStr">
        <is>
          <t>MSMU5513960</t>
        </is>
      </c>
      <c r="J58" s="300" t="inlineStr">
        <is>
          <t>40FT</t>
        </is>
      </c>
      <c r="K58" s="301" t="inlineStr">
        <is>
          <t>10IN GREEN TEA MF MATTRESS TX</t>
        </is>
      </c>
      <c r="L58" s="302" t="inlineStr">
        <is>
          <t>OLC-FMS-1000TXL-IN</t>
        </is>
      </c>
      <c r="M58" s="300" t="inlineStr">
        <is>
          <t>5FFUUH8B</t>
        </is>
      </c>
      <c r="N58" s="301" t="inlineStr">
        <is>
          <t>F.MFM.10X.003.BD</t>
        </is>
      </c>
      <c r="O58" s="303" t="n">
        <v>55657.92</v>
      </c>
      <c r="P58" s="303" t="n">
        <v>41484.87</v>
      </c>
      <c r="Q58" s="304">
        <f>IFERROR(R58/H58, 0)</f>
        <v/>
      </c>
      <c r="R58" s="305" t="n">
        <v>10437.7</v>
      </c>
      <c r="S58" s="306" t="n">
        <v>18056</v>
      </c>
      <c r="T58" s="306">
        <f>IFERROR(S58*R58, 0)</f>
        <v/>
      </c>
      <c r="U58" s="307" t="inlineStr">
        <is>
          <t>040300/KPPBC</t>
        </is>
      </c>
      <c r="V58" s="308" t="inlineStr">
        <is>
          <t>TANJUNG PRIOK</t>
        </is>
      </c>
      <c r="W58" s="309" t="inlineStr"/>
      <c r="X58" s="300" t="inlineStr"/>
      <c r="Y58" s="308" t="inlineStr"/>
      <c r="Z58" s="298" t="inlineStr"/>
    </row>
    <row r="59" ht="16.5" customHeight="1" s="215">
      <c r="A59" s="295" t="n"/>
      <c r="B59" s="296" t="n"/>
      <c r="C59" s="297" t="n"/>
      <c r="D59" s="297" t="n"/>
      <c r="E59" s="298" t="n"/>
      <c r="F59" s="299" t="n"/>
      <c r="G59" s="298" t="n"/>
      <c r="H59" s="300" t="n">
        <v>101</v>
      </c>
      <c r="I59" s="300" t="inlineStr">
        <is>
          <t>TLLU5166027</t>
        </is>
      </c>
      <c r="J59" s="300" t="inlineStr">
        <is>
          <t>40FT</t>
        </is>
      </c>
      <c r="K59" s="301" t="inlineStr">
        <is>
          <t>12IN GEL FOAM MATTRESS TW</t>
        </is>
      </c>
      <c r="L59" s="302" t="inlineStr">
        <is>
          <t>GFM-12T</t>
        </is>
      </c>
      <c r="M59" s="300" t="inlineStr">
        <is>
          <t>77K91MJU</t>
        </is>
      </c>
      <c r="N59" s="301" t="inlineStr">
        <is>
          <t>F.MFG.12T.000.BD</t>
        </is>
      </c>
      <c r="O59" s="303" t="n"/>
      <c r="P59" s="303" t="n"/>
      <c r="Q59" s="304">
        <f>IFERROR(R59/H59, 0)</f>
        <v/>
      </c>
      <c r="R59" s="305" t="n">
        <v>5225.74</v>
      </c>
      <c r="S59" s="306" t="n">
        <v>18056</v>
      </c>
      <c r="T59" s="306">
        <f>IFERROR(S59*R59, 0)</f>
        <v/>
      </c>
      <c r="U59" s="307" t="n"/>
      <c r="V59" s="308" t="n"/>
      <c r="W59" s="309" t="n"/>
      <c r="X59" s="300" t="n"/>
      <c r="Y59" s="308" t="n"/>
      <c r="Z59" s="298" t="n"/>
    </row>
    <row r="60" ht="16.5" customHeight="1" s="215">
      <c r="A60" s="295" t="n"/>
      <c r="B60" s="296" t="n"/>
      <c r="C60" s="297" t="n"/>
      <c r="D60" s="297" t="n"/>
      <c r="E60" s="298" t="n"/>
      <c r="F60" s="299" t="n"/>
      <c r="G60" s="298" t="n"/>
      <c r="H60" s="300" t="n">
        <v>174</v>
      </c>
      <c r="I60" s="300" t="inlineStr">
        <is>
          <t>MSMU4309479</t>
        </is>
      </c>
      <c r="J60" s="300" t="inlineStr">
        <is>
          <t>40FT</t>
        </is>
      </c>
      <c r="K60" s="301" t="inlineStr">
        <is>
          <t>10IN GREEN TEA MF MATTRESS TX</t>
        </is>
      </c>
      <c r="L60" s="302" t="inlineStr">
        <is>
          <t>OLC-FMS-1000TXL-IN</t>
        </is>
      </c>
      <c r="M60" s="300" t="inlineStr">
        <is>
          <t>77K91MJU</t>
        </is>
      </c>
      <c r="N60" s="301" t="inlineStr">
        <is>
          <t>F.MFM.10X.003.BD</t>
        </is>
      </c>
      <c r="O60" s="303" t="n"/>
      <c r="P60" s="303" t="n"/>
      <c r="Q60" s="304">
        <f>IFERROR(R60/H60, 0)</f>
        <v/>
      </c>
      <c r="R60" s="305" t="n">
        <v>9978.9</v>
      </c>
      <c r="S60" s="306" t="n">
        <v>18056</v>
      </c>
      <c r="T60" s="306">
        <f>IFERROR(S60*R60, 0)</f>
        <v/>
      </c>
      <c r="U60" s="307" t="n"/>
      <c r="V60" s="308" t="n"/>
      <c r="W60" s="309" t="n"/>
      <c r="X60" s="300" t="n"/>
      <c r="Y60" s="308" t="n"/>
      <c r="Z60" s="298" t="n"/>
    </row>
    <row r="61" ht="16.5" customHeight="1" s="215">
      <c r="A61" s="295" t="n"/>
      <c r="B61" s="296" t="n"/>
      <c r="C61" s="297" t="n"/>
      <c r="D61" s="297" t="n"/>
      <c r="E61" s="298" t="n"/>
      <c r="F61" s="299" t="n"/>
      <c r="G61" s="298" t="n"/>
      <c r="H61" s="300" t="n">
        <v>64</v>
      </c>
      <c r="I61" s="300" t="inlineStr">
        <is>
          <t>TGHU4968395</t>
        </is>
      </c>
      <c r="J61" s="300" t="inlineStr">
        <is>
          <t>40FT</t>
        </is>
      </c>
      <c r="K61" s="301" t="inlineStr">
        <is>
          <t>12IN GEL FOAM MATTRESS TW</t>
        </is>
      </c>
      <c r="L61" s="302" t="inlineStr">
        <is>
          <t>GFM-12T</t>
        </is>
      </c>
      <c r="M61" s="300" t="inlineStr">
        <is>
          <t>7D4ITY4N</t>
        </is>
      </c>
      <c r="N61" s="301" t="inlineStr">
        <is>
          <t>F.MFG.12T.000.BD</t>
        </is>
      </c>
      <c r="O61" s="303" t="n"/>
      <c r="P61" s="303" t="n"/>
      <c r="Q61" s="304">
        <f>IFERROR(R61/H61, 0)</f>
        <v/>
      </c>
      <c r="R61" s="305" t="n">
        <v>3311.36</v>
      </c>
      <c r="S61" s="306" t="n">
        <v>18056</v>
      </c>
      <c r="T61" s="306">
        <f>IFERROR(S61*R61, 0)</f>
        <v/>
      </c>
      <c r="U61" s="307" t="n"/>
      <c r="V61" s="308" t="n"/>
      <c r="W61" s="309" t="n"/>
      <c r="X61" s="300" t="n"/>
      <c r="Y61" s="308" t="n"/>
      <c r="Z61" s="298" t="n"/>
    </row>
    <row r="62" ht="16.5" customHeight="1" s="215">
      <c r="A62" s="295" t="n"/>
      <c r="B62" s="296" t="n"/>
      <c r="C62" s="297" t="n"/>
      <c r="D62" s="297" t="n"/>
      <c r="E62" s="298" t="n"/>
      <c r="F62" s="299" t="n"/>
      <c r="G62" s="298" t="n"/>
      <c r="H62" s="300" t="n">
        <v>99</v>
      </c>
      <c r="I62" s="300" t="inlineStr">
        <is>
          <t>MSBU4617117</t>
        </is>
      </c>
      <c r="J62" s="300" t="inlineStr">
        <is>
          <t>40FT</t>
        </is>
      </c>
      <c r="K62" s="301" t="inlineStr">
        <is>
          <t>10IN GREEN TEA MF MATTRESS TX</t>
        </is>
      </c>
      <c r="L62" s="302" t="inlineStr">
        <is>
          <t>OLC-FMS-1000TXL-IN</t>
        </is>
      </c>
      <c r="M62" s="300" t="inlineStr">
        <is>
          <t>7D4ITY4N</t>
        </is>
      </c>
      <c r="N62" s="301" t="inlineStr">
        <is>
          <t>F.MFM.10X.003.BD</t>
        </is>
      </c>
      <c r="O62" s="303" t="n"/>
      <c r="P62" s="303" t="n"/>
      <c r="Q62" s="304">
        <f>IFERROR(R62/H62, 0)</f>
        <v/>
      </c>
      <c r="R62" s="305" t="n">
        <v>5677.65</v>
      </c>
      <c r="S62" s="306" t="n">
        <v>18056</v>
      </c>
      <c r="T62" s="306">
        <f>IFERROR(S62*R62, 0)</f>
        <v/>
      </c>
      <c r="U62" s="307" t="n"/>
      <c r="V62" s="308" t="n"/>
      <c r="W62" s="309" t="n"/>
      <c r="X62" s="300" t="n"/>
      <c r="Y62" s="308" t="n"/>
      <c r="Z62" s="298" t="n"/>
    </row>
    <row r="63" ht="16.5" customHeight="1" s="215">
      <c r="A63" s="295" t="n"/>
      <c r="B63" s="296" t="n"/>
      <c r="C63" s="297" t="n"/>
      <c r="D63" s="297" t="n"/>
      <c r="E63" s="298" t="n"/>
      <c r="F63" s="299" t="n"/>
      <c r="G63" s="298" t="n"/>
      <c r="H63" s="300" t="n">
        <v>1</v>
      </c>
      <c r="I63" s="300" t="inlineStr"/>
      <c r="J63" s="300" t="inlineStr"/>
      <c r="K63" s="301" t="inlineStr">
        <is>
          <t>10IN GREEN TEA MF MATTRESS TX</t>
        </is>
      </c>
      <c r="L63" s="302" t="inlineStr">
        <is>
          <t>OLC-FMS-1000TXL-IN</t>
        </is>
      </c>
      <c r="M63" s="300" t="inlineStr">
        <is>
          <t>7MO3ZAUN</t>
        </is>
      </c>
      <c r="N63" s="301" t="inlineStr">
        <is>
          <t>F.MFM.10X.003.BD</t>
        </is>
      </c>
      <c r="O63" s="303" t="n"/>
      <c r="P63" s="303" t="n"/>
      <c r="Q63" s="304">
        <f>IFERROR(R63/H63, 0)</f>
        <v/>
      </c>
      <c r="R63" s="305" t="n">
        <v>57.35</v>
      </c>
      <c r="S63" s="306" t="n">
        <v>18056</v>
      </c>
      <c r="T63" s="306">
        <f>IFERROR(S63*R63, 0)</f>
        <v/>
      </c>
      <c r="U63" s="307" t="n"/>
      <c r="V63" s="308" t="n"/>
      <c r="W63" s="309" t="n"/>
      <c r="X63" s="300" t="n"/>
      <c r="Y63" s="308" t="n"/>
      <c r="Z63" s="298" t="n"/>
    </row>
    <row r="64" ht="16.5" customHeight="1" s="215">
      <c r="A64" s="295" t="n"/>
      <c r="B64" s="296" t="n"/>
      <c r="C64" s="297" t="n"/>
      <c r="D64" s="297" t="n"/>
      <c r="E64" s="298" t="n"/>
      <c r="F64" s="299" t="n"/>
      <c r="G64" s="298" t="n"/>
      <c r="H64" s="300" t="n">
        <v>152</v>
      </c>
      <c r="I64" s="300" t="inlineStr"/>
      <c r="J64" s="300" t="inlineStr"/>
      <c r="K64" s="301" t="inlineStr">
        <is>
          <t>12IN GEL FOAM MATTRESS TW</t>
        </is>
      </c>
      <c r="L64" s="302" t="inlineStr">
        <is>
          <t>GFM-12T</t>
        </is>
      </c>
      <c r="M64" s="300" t="inlineStr">
        <is>
          <t>8Y39N9EN</t>
        </is>
      </c>
      <c r="N64" s="301" t="inlineStr">
        <is>
          <t>F.MFG.12T.000.BD</t>
        </is>
      </c>
      <c r="O64" s="303" t="n"/>
      <c r="P64" s="303" t="n"/>
      <c r="Q64" s="304">
        <f>IFERROR(R64/H64, 0)</f>
        <v/>
      </c>
      <c r="R64" s="305" t="n">
        <v>7864.48</v>
      </c>
      <c r="S64" s="306" t="n">
        <v>18056</v>
      </c>
      <c r="T64" s="306">
        <f>IFERROR(S64*R64, 0)</f>
        <v/>
      </c>
      <c r="U64" s="307" t="n"/>
      <c r="V64" s="308" t="n"/>
      <c r="W64" s="309" t="n"/>
      <c r="X64" s="300" t="n"/>
      <c r="Y64" s="308" t="n"/>
      <c r="Z64" s="298" t="n"/>
    </row>
    <row r="65" ht="16.5" customHeight="1" s="215">
      <c r="A65" s="295" t="n"/>
      <c r="B65" s="296" t="n"/>
      <c r="C65" s="297" t="n"/>
      <c r="D65" s="297" t="n"/>
      <c r="E65" s="298" t="n"/>
      <c r="F65" s="299" t="n"/>
      <c r="G65" s="298" t="n"/>
      <c r="H65" s="300" t="n">
        <v>390</v>
      </c>
      <c r="I65" s="300" t="inlineStr"/>
      <c r="J65" s="300" t="inlineStr"/>
      <c r="K65" s="301" t="inlineStr">
        <is>
          <t>3IN CV LAVENDER MF TOPPER FL</t>
        </is>
      </c>
      <c r="L65" s="302" t="inlineStr">
        <is>
          <t>ECMF-03FL-IN</t>
        </is>
      </c>
      <c r="M65" s="300" t="inlineStr">
        <is>
          <t>5FFUUH8B</t>
        </is>
      </c>
      <c r="N65" s="301" t="inlineStr">
        <is>
          <t>F.TMT.03F.010.BD</t>
        </is>
      </c>
      <c r="O65" s="303" t="n"/>
      <c r="P65" s="303" t="n"/>
      <c r="Q65" s="304">
        <f>IFERROR(R65/H65, 0)</f>
        <v/>
      </c>
      <c r="R65" s="305" t="n">
        <v>5697.9</v>
      </c>
      <c r="S65" s="306" t="n">
        <v>18056</v>
      </c>
      <c r="T65" s="306">
        <f>IFERROR(S65*R65, 0)</f>
        <v/>
      </c>
      <c r="U65" s="307" t="n"/>
      <c r="V65" s="308" t="n"/>
      <c r="W65" s="309" t="n"/>
      <c r="X65" s="300" t="n"/>
      <c r="Y65" s="308" t="n"/>
      <c r="Z65" s="298" t="n"/>
    </row>
    <row r="66" ht="16.5" customHeight="1" s="215">
      <c r="A66" s="295" t="n"/>
      <c r="B66" s="296" t="n"/>
      <c r="C66" s="297" t="n"/>
      <c r="D66" s="297" t="n"/>
      <c r="E66" s="298" t="n"/>
      <c r="F66" s="299" t="n"/>
      <c r="G66" s="298" t="n"/>
      <c r="H66" s="300" t="n">
        <v>874</v>
      </c>
      <c r="I66" s="300" t="inlineStr"/>
      <c r="J66" s="300" t="inlineStr"/>
      <c r="K66" s="301" t="inlineStr">
        <is>
          <t>3IN CV LAVENDER MF TOPPER TW</t>
        </is>
      </c>
      <c r="L66" s="302" t="inlineStr">
        <is>
          <t>ECMF-03TL-IN</t>
        </is>
      </c>
      <c r="M66" s="300" t="inlineStr">
        <is>
          <t>5FFUUH8B</t>
        </is>
      </c>
      <c r="N66" s="301" t="inlineStr">
        <is>
          <t>F.TMT.03T.010.BD</t>
        </is>
      </c>
      <c r="O66" s="303" t="n"/>
      <c r="P66" s="303" t="n"/>
      <c r="Q66" s="304">
        <f>IFERROR(R66/H66, 0)</f>
        <v/>
      </c>
      <c r="R66" s="305" t="n">
        <v>9657.700000000001</v>
      </c>
      <c r="S66" s="306" t="n">
        <v>18056</v>
      </c>
      <c r="T66" s="306">
        <f>IFERROR(S66*R66, 0)</f>
        <v/>
      </c>
      <c r="U66" s="307" t="n"/>
      <c r="V66" s="308" t="n"/>
      <c r="W66" s="309" t="n"/>
      <c r="X66" s="300" t="n"/>
      <c r="Y66" s="308" t="n"/>
      <c r="Z66" s="298" t="n"/>
    </row>
    <row r="67" ht="16.5" customHeight="1" s="215">
      <c r="A67" s="295" t="n"/>
      <c r="B67" s="296" t="n"/>
      <c r="C67" s="297" t="n"/>
      <c r="D67" s="297" t="n"/>
      <c r="E67" s="298" t="n"/>
      <c r="F67" s="299" t="n"/>
      <c r="G67" s="298" t="n"/>
      <c r="H67" s="300" t="n">
        <v>455</v>
      </c>
      <c r="I67" s="300" t="inlineStr"/>
      <c r="J67" s="300" t="inlineStr"/>
      <c r="K67" s="301" t="inlineStr">
        <is>
          <t>3IN CV LAVENDER MF TOPPER FL</t>
        </is>
      </c>
      <c r="L67" s="302" t="inlineStr">
        <is>
          <t>ECMF-03FL-IN</t>
        </is>
      </c>
      <c r="M67" s="300" t="inlineStr">
        <is>
          <t>77K91MJU</t>
        </is>
      </c>
      <c r="N67" s="301" t="inlineStr">
        <is>
          <t>F.TMT.03F.010.BD</t>
        </is>
      </c>
      <c r="O67" s="303" t="n"/>
      <c r="P67" s="303" t="n"/>
      <c r="Q67" s="304">
        <f>IFERROR(R67/H67, 0)</f>
        <v/>
      </c>
      <c r="R67" s="305" t="n">
        <v>6647.55</v>
      </c>
      <c r="S67" s="306" t="n">
        <v>18056</v>
      </c>
      <c r="T67" s="306">
        <f>IFERROR(S67*R67, 0)</f>
        <v/>
      </c>
      <c r="U67" s="307" t="n"/>
      <c r="V67" s="308" t="n"/>
      <c r="W67" s="309" t="n"/>
      <c r="X67" s="300" t="n"/>
      <c r="Y67" s="308" t="n"/>
      <c r="Z67" s="298" t="n"/>
    </row>
    <row r="68" ht="16.5" customHeight="1" s="215">
      <c r="A68" s="295" t="n"/>
      <c r="B68" s="296" t="n"/>
      <c r="C68" s="297" t="n"/>
      <c r="D68" s="297" t="n"/>
      <c r="E68" s="298" t="n"/>
      <c r="F68" s="299" t="n"/>
      <c r="G68" s="298" t="n"/>
      <c r="H68" s="300" t="n">
        <v>196</v>
      </c>
      <c r="I68" s="300" t="inlineStr"/>
      <c r="J68" s="300" t="inlineStr"/>
      <c r="K68" s="301" t="inlineStr">
        <is>
          <t>3IN CV LAVENDER MF TOPPER QN</t>
        </is>
      </c>
      <c r="L68" s="302" t="inlineStr">
        <is>
          <t>ECMF-03QL-IN</t>
        </is>
      </c>
      <c r="M68" s="300" t="inlineStr">
        <is>
          <t>77K91MJU</t>
        </is>
      </c>
      <c r="N68" s="301" t="inlineStr">
        <is>
          <t>F.TMT.03Q.010.BD</t>
        </is>
      </c>
      <c r="O68" s="303" t="n"/>
      <c r="P68" s="303" t="n"/>
      <c r="Q68" s="304">
        <f>IFERROR(R68/H68, 0)</f>
        <v/>
      </c>
      <c r="R68" s="305" t="n">
        <v>3661.28</v>
      </c>
      <c r="S68" s="306" t="n">
        <v>18056</v>
      </c>
      <c r="T68" s="306">
        <f>IFERROR(S68*R68, 0)</f>
        <v/>
      </c>
      <c r="U68" s="307" t="n"/>
      <c r="V68" s="308" t="n"/>
      <c r="W68" s="309" t="n"/>
      <c r="X68" s="300" t="n"/>
      <c r="Y68" s="308" t="n"/>
      <c r="Z68" s="298" t="n"/>
    </row>
    <row r="69" ht="16.5" customHeight="1" s="215">
      <c r="A69" s="295" t="n"/>
      <c r="B69" s="296" t="n"/>
      <c r="C69" s="297" t="n"/>
      <c r="D69" s="297" t="n"/>
      <c r="E69" s="298" t="n"/>
      <c r="F69" s="299" t="n"/>
      <c r="G69" s="298" t="n"/>
      <c r="H69" s="300" t="n">
        <v>500</v>
      </c>
      <c r="I69" s="300" t="inlineStr"/>
      <c r="J69" s="300" t="inlineStr"/>
      <c r="K69" s="301" t="inlineStr">
        <is>
          <t>3IN CV LAVENDER MF TOPPER TW</t>
        </is>
      </c>
      <c r="L69" s="302" t="inlineStr">
        <is>
          <t>ECMF-03TL-IN</t>
        </is>
      </c>
      <c r="M69" s="300" t="inlineStr">
        <is>
          <t>77K91MJU</t>
        </is>
      </c>
      <c r="N69" s="301" t="inlineStr">
        <is>
          <t>F.TMT.03T.010.BD</t>
        </is>
      </c>
      <c r="O69" s="303" t="n"/>
      <c r="P69" s="303" t="n"/>
      <c r="Q69" s="304">
        <f>IFERROR(R69/H69, 0)</f>
        <v/>
      </c>
      <c r="R69" s="305" t="n">
        <v>5525</v>
      </c>
      <c r="S69" s="306" t="n">
        <v>18056</v>
      </c>
      <c r="T69" s="306">
        <f>IFERROR(S69*R69, 0)</f>
        <v/>
      </c>
      <c r="U69" s="307" t="n"/>
      <c r="V69" s="308" t="n"/>
      <c r="W69" s="309" t="n"/>
      <c r="X69" s="300" t="n"/>
      <c r="Y69" s="308" t="n"/>
      <c r="Z69" s="298" t="n"/>
    </row>
    <row r="70" ht="16.5" customHeight="1" s="215">
      <c r="A70" s="295" t="n"/>
      <c r="B70" s="296" t="n"/>
      <c r="C70" s="297" t="n"/>
      <c r="D70" s="297" t="n"/>
      <c r="E70" s="298" t="n"/>
      <c r="F70" s="299" t="n"/>
      <c r="G70" s="298" t="n"/>
      <c r="H70" s="300" t="n">
        <v>8</v>
      </c>
      <c r="I70" s="300" t="inlineStr"/>
      <c r="J70" s="300" t="inlineStr"/>
      <c r="K70" s="301" t="inlineStr">
        <is>
          <t>3IN CV LAVENDER MF TOPPER TX</t>
        </is>
      </c>
      <c r="L70" s="302" t="inlineStr">
        <is>
          <t>ECMF-03TXLL-IN</t>
        </is>
      </c>
      <c r="M70" s="300" t="inlineStr">
        <is>
          <t>77K91MJU</t>
        </is>
      </c>
      <c r="N70" s="301" t="inlineStr">
        <is>
          <t>F.TMT.03X.010.BD</t>
        </is>
      </c>
      <c r="O70" s="303" t="n"/>
      <c r="P70" s="303" t="n"/>
      <c r="Q70" s="304">
        <f>IFERROR(R70/H70, 0)</f>
        <v/>
      </c>
      <c r="R70" s="305" t="n">
        <v>96.16</v>
      </c>
      <c r="S70" s="306" t="n">
        <v>18056</v>
      </c>
      <c r="T70" s="306">
        <f>IFERROR(S70*R70, 0)</f>
        <v/>
      </c>
      <c r="U70" s="307" t="n"/>
      <c r="V70" s="308" t="n"/>
      <c r="W70" s="309" t="n"/>
      <c r="X70" s="300" t="n"/>
      <c r="Y70" s="308" t="n"/>
      <c r="Z70" s="298" t="n"/>
    </row>
    <row r="71" ht="16.5" customHeight="1" s="215">
      <c r="A71" s="295" t="n"/>
      <c r="B71" s="296" t="n"/>
      <c r="C71" s="297" t="n"/>
      <c r="D71" s="297" t="n"/>
      <c r="E71" s="298" t="n"/>
      <c r="F71" s="299" t="n"/>
      <c r="G71" s="298" t="n"/>
      <c r="H71" s="300" t="n">
        <v>31</v>
      </c>
      <c r="I71" s="300" t="inlineStr"/>
      <c r="J71" s="300" t="inlineStr"/>
      <c r="K71" s="301" t="inlineStr">
        <is>
          <t>4IN CV LAVENDER MF TOPPER TW</t>
        </is>
      </c>
      <c r="L71" s="302" t="inlineStr">
        <is>
          <t>ECMF-LV4T-IN</t>
        </is>
      </c>
      <c r="M71" s="300" t="inlineStr">
        <is>
          <t>77K91MJU</t>
        </is>
      </c>
      <c r="N71" s="301" t="inlineStr">
        <is>
          <t>F.TMT.04T.012.BD</t>
        </is>
      </c>
      <c r="O71" s="303" t="n"/>
      <c r="P71" s="303" t="n"/>
      <c r="Q71" s="304">
        <f>IFERROR(R71/H71, 0)</f>
        <v/>
      </c>
      <c r="R71" s="305" t="n">
        <v>438.34</v>
      </c>
      <c r="S71" s="306" t="n">
        <v>18056</v>
      </c>
      <c r="T71" s="306">
        <f>IFERROR(S71*R71, 0)</f>
        <v/>
      </c>
      <c r="U71" s="307" t="n"/>
      <c r="V71" s="308" t="n"/>
      <c r="W71" s="309" t="n"/>
      <c r="X71" s="300" t="n"/>
      <c r="Y71" s="308" t="n"/>
      <c r="Z71" s="298" t="n"/>
    </row>
    <row r="72" ht="16.5" customHeight="1" s="215">
      <c r="A72" s="295" t="n"/>
      <c r="B72" s="296" t="n"/>
      <c r="C72" s="297" t="n"/>
      <c r="D72" s="297" t="n"/>
      <c r="E72" s="298" t="n"/>
      <c r="F72" s="299" t="n"/>
      <c r="G72" s="298" t="n"/>
      <c r="H72" s="300" t="n">
        <v>284</v>
      </c>
      <c r="I72" s="300" t="inlineStr"/>
      <c r="J72" s="300" t="inlineStr"/>
      <c r="K72" s="301" t="inlineStr">
        <is>
          <t>3IN CV LAVENDER MF TOPPER FL</t>
        </is>
      </c>
      <c r="L72" s="302" t="inlineStr">
        <is>
          <t>ECMF-03FL-IN</t>
        </is>
      </c>
      <c r="M72" s="300" t="inlineStr">
        <is>
          <t>7D4ITY4N</t>
        </is>
      </c>
      <c r="N72" s="301" t="inlineStr">
        <is>
          <t>F.TMT.03F.010.BD</t>
        </is>
      </c>
      <c r="O72" s="303" t="n"/>
      <c r="P72" s="303" t="n"/>
      <c r="Q72" s="304">
        <f>IFERROR(R72/H72, 0)</f>
        <v/>
      </c>
      <c r="R72" s="305" t="n">
        <v>4149.24</v>
      </c>
      <c r="S72" s="306" t="n">
        <v>18056</v>
      </c>
      <c r="T72" s="306">
        <f>IFERROR(S72*R72, 0)</f>
        <v/>
      </c>
      <c r="U72" s="307" t="n"/>
      <c r="V72" s="308" t="n"/>
      <c r="W72" s="309" t="n"/>
      <c r="X72" s="300" t="n"/>
      <c r="Y72" s="308" t="n"/>
      <c r="Z72" s="298" t="n"/>
    </row>
    <row r="73" ht="16.5" customHeight="1" s="215">
      <c r="A73" s="295" t="n"/>
      <c r="B73" s="296" t="n"/>
      <c r="C73" s="297" t="n"/>
      <c r="D73" s="297" t="n"/>
      <c r="E73" s="298" t="n"/>
      <c r="F73" s="299" t="n"/>
      <c r="G73" s="298" t="n"/>
      <c r="H73" s="300" t="n">
        <v>337</v>
      </c>
      <c r="I73" s="300" t="inlineStr"/>
      <c r="J73" s="300" t="inlineStr"/>
      <c r="K73" s="301" t="inlineStr">
        <is>
          <t>3IN CV LAVENDER MF TOPPER QN</t>
        </is>
      </c>
      <c r="L73" s="302" t="inlineStr">
        <is>
          <t>ECMF-03QL-IN</t>
        </is>
      </c>
      <c r="M73" s="300" t="inlineStr">
        <is>
          <t>7D4ITY4N</t>
        </is>
      </c>
      <c r="N73" s="301" t="inlineStr">
        <is>
          <t>F.TMT.03Q.010.BD</t>
        </is>
      </c>
      <c r="O73" s="303" t="n"/>
      <c r="P73" s="303" t="n"/>
      <c r="Q73" s="304">
        <f>IFERROR(R73/H73, 0)</f>
        <v/>
      </c>
      <c r="R73" s="305" t="n">
        <v>6295.16</v>
      </c>
      <c r="S73" s="306" t="n">
        <v>18056</v>
      </c>
      <c r="T73" s="306">
        <f>IFERROR(S73*R73, 0)</f>
        <v/>
      </c>
      <c r="U73" s="307" t="n"/>
      <c r="V73" s="308" t="n"/>
      <c r="W73" s="309" t="n"/>
      <c r="X73" s="300" t="n"/>
      <c r="Y73" s="308" t="n"/>
      <c r="Z73" s="298" t="n"/>
    </row>
    <row r="74" ht="16.5" customHeight="1" s="215">
      <c r="A74" s="295" t="n"/>
      <c r="B74" s="296" t="n"/>
      <c r="C74" s="297" t="n"/>
      <c r="D74" s="297" t="n"/>
      <c r="E74" s="298" t="n"/>
      <c r="F74" s="299" t="n"/>
      <c r="G74" s="298" t="n"/>
      <c r="H74" s="300" t="n">
        <v>715</v>
      </c>
      <c r="I74" s="300" t="inlineStr"/>
      <c r="J74" s="300" t="inlineStr"/>
      <c r="K74" s="301" t="inlineStr">
        <is>
          <t>3IN CV LAVENDER MF TOPPER TW</t>
        </is>
      </c>
      <c r="L74" s="302" t="inlineStr">
        <is>
          <t>ECMF-03TL-IN</t>
        </is>
      </c>
      <c r="M74" s="300" t="inlineStr">
        <is>
          <t>7D4ITY4N</t>
        </is>
      </c>
      <c r="N74" s="301" t="inlineStr">
        <is>
          <t>F.TMT.03T.010.BD</t>
        </is>
      </c>
      <c r="O74" s="303" t="n"/>
      <c r="P74" s="303" t="n"/>
      <c r="Q74" s="304">
        <f>IFERROR(R74/H74, 0)</f>
        <v/>
      </c>
      <c r="R74" s="305" t="n">
        <v>7900.75</v>
      </c>
      <c r="S74" s="306" t="n">
        <v>18056</v>
      </c>
      <c r="T74" s="306">
        <f>IFERROR(S74*R74, 0)</f>
        <v/>
      </c>
      <c r="U74" s="307" t="n"/>
      <c r="V74" s="308" t="n"/>
      <c r="W74" s="309" t="n"/>
      <c r="X74" s="300" t="n"/>
      <c r="Y74" s="308" t="n"/>
      <c r="Z74" s="298" t="n"/>
    </row>
    <row r="75" ht="16.5" customHeight="1" s="215">
      <c r="A75" s="295" t="n"/>
      <c r="B75" s="296" t="n"/>
      <c r="C75" s="297" t="n"/>
      <c r="D75" s="297" t="n"/>
      <c r="E75" s="298" t="n"/>
      <c r="F75" s="299" t="n"/>
      <c r="G75" s="298" t="n"/>
      <c r="H75" s="300" t="n">
        <v>37</v>
      </c>
      <c r="I75" s="300" t="inlineStr"/>
      <c r="J75" s="300" t="inlineStr"/>
      <c r="K75" s="301" t="inlineStr">
        <is>
          <t>3IN CV LAVENDER MF TOPPER TX</t>
        </is>
      </c>
      <c r="L75" s="302" t="inlineStr">
        <is>
          <t>ECMF-03TXLL-IN</t>
        </is>
      </c>
      <c r="M75" s="300" t="inlineStr">
        <is>
          <t>7D4ITY4N</t>
        </is>
      </c>
      <c r="N75" s="301" t="inlineStr">
        <is>
          <t>F.TMT.03X.010.BD</t>
        </is>
      </c>
      <c r="O75" s="303" t="n"/>
      <c r="P75" s="303" t="n"/>
      <c r="Q75" s="304">
        <f>IFERROR(R75/H75, 0)</f>
        <v/>
      </c>
      <c r="R75" s="305" t="n">
        <v>444.74</v>
      </c>
      <c r="S75" s="306" t="n">
        <v>18056</v>
      </c>
      <c r="T75" s="306">
        <f>IFERROR(S75*R75, 0)</f>
        <v/>
      </c>
      <c r="U75" s="307" t="n"/>
      <c r="V75" s="308" t="n"/>
      <c r="W75" s="309" t="n"/>
      <c r="X75" s="300" t="n"/>
      <c r="Y75" s="308" t="n"/>
      <c r="Z75" s="298" t="n"/>
    </row>
    <row r="76" ht="16.5" customHeight="1" s="215">
      <c r="A76" s="295" t="n"/>
      <c r="B76" s="296" t="n"/>
      <c r="C76" s="297" t="n"/>
      <c r="D76" s="297" t="n"/>
      <c r="E76" s="298" t="n"/>
      <c r="F76" s="299" t="n"/>
      <c r="G76" s="298" t="n"/>
      <c r="H76" s="300" t="n">
        <v>3</v>
      </c>
      <c r="I76" s="300" t="inlineStr"/>
      <c r="J76" s="300" t="inlineStr"/>
      <c r="K76" s="301" t="inlineStr">
        <is>
          <t>2IN CV LAVENDER MF TOPPER QN</t>
        </is>
      </c>
      <c r="L76" s="302" t="inlineStr">
        <is>
          <t>ECMF-LV2Q-IN</t>
        </is>
      </c>
      <c r="M76" s="300" t="inlineStr">
        <is>
          <t>7D4ITY4N</t>
        </is>
      </c>
      <c r="N76" s="301" t="inlineStr">
        <is>
          <t>F.TMT.02Q.008.BD</t>
        </is>
      </c>
      <c r="O76" s="303" t="n"/>
      <c r="P76" s="303" t="n"/>
      <c r="Q76" s="304">
        <f>IFERROR(R76/H76, 0)</f>
        <v/>
      </c>
      <c r="R76" s="305" t="n">
        <v>36.39</v>
      </c>
      <c r="S76" s="306" t="n">
        <v>18056</v>
      </c>
      <c r="T76" s="306">
        <f>IFERROR(S76*R76, 0)</f>
        <v/>
      </c>
      <c r="U76" s="307" t="n"/>
      <c r="V76" s="308" t="n"/>
      <c r="W76" s="309" t="n"/>
      <c r="X76" s="300" t="n"/>
      <c r="Y76" s="308" t="n"/>
      <c r="Z76" s="298" t="n"/>
    </row>
    <row r="77" ht="16.5" customHeight="1" s="215">
      <c r="A77" s="295" t="n"/>
      <c r="B77" s="296" t="n"/>
      <c r="C77" s="297" t="n"/>
      <c r="D77" s="297" t="n"/>
      <c r="E77" s="298" t="n"/>
      <c r="F77" s="299" t="n"/>
      <c r="G77" s="298" t="n"/>
      <c r="H77" s="300" t="n">
        <v>86</v>
      </c>
      <c r="I77" s="300" t="inlineStr"/>
      <c r="J77" s="300" t="inlineStr"/>
      <c r="K77" s="301" t="inlineStr">
        <is>
          <t>4IN CV LAVENDER MF TOPPER TW</t>
        </is>
      </c>
      <c r="L77" s="302" t="inlineStr">
        <is>
          <t>ECMF-LV4T-IN</t>
        </is>
      </c>
      <c r="M77" s="300" t="inlineStr">
        <is>
          <t>7D4ITY4N</t>
        </is>
      </c>
      <c r="N77" s="301" t="inlineStr">
        <is>
          <t>F.TMT.04T.012.BD</t>
        </is>
      </c>
      <c r="O77" s="303" t="n"/>
      <c r="P77" s="303" t="n"/>
      <c r="Q77" s="304">
        <f>IFERROR(R77/H77, 0)</f>
        <v/>
      </c>
      <c r="R77" s="305" t="n">
        <v>1216.04</v>
      </c>
      <c r="S77" s="306" t="n">
        <v>18056</v>
      </c>
      <c r="T77" s="306">
        <f>IFERROR(S77*R77, 0)</f>
        <v/>
      </c>
      <c r="U77" s="307" t="n"/>
      <c r="V77" s="308" t="n"/>
      <c r="W77" s="309" t="n"/>
      <c r="X77" s="300" t="n"/>
      <c r="Y77" s="308" t="n"/>
      <c r="Z77" s="298" t="n"/>
    </row>
    <row r="78" ht="16.5" customHeight="1" s="215">
      <c r="A78" s="295" t="n"/>
      <c r="B78" s="296" t="n"/>
      <c r="C78" s="297" t="n"/>
      <c r="D78" s="297" t="n"/>
      <c r="E78" s="298" t="n"/>
      <c r="F78" s="299" t="n"/>
      <c r="G78" s="298" t="n"/>
      <c r="H78" s="300" t="n">
        <v>455</v>
      </c>
      <c r="I78" s="300" t="inlineStr"/>
      <c r="J78" s="300" t="inlineStr"/>
      <c r="K78" s="301" t="inlineStr">
        <is>
          <t>3IN CV LAVENDER MF TOPPER QN</t>
        </is>
      </c>
      <c r="L78" s="302" t="inlineStr">
        <is>
          <t>ECMF-03QL-IN</t>
        </is>
      </c>
      <c r="M78" s="300" t="inlineStr">
        <is>
          <t>7MO3ZAUN</t>
        </is>
      </c>
      <c r="N78" s="301" t="inlineStr">
        <is>
          <t>F.TMT.03Q.010.BD</t>
        </is>
      </c>
      <c r="O78" s="303" t="n"/>
      <c r="P78" s="303" t="n"/>
      <c r="Q78" s="304">
        <f>IFERROR(R78/H78, 0)</f>
        <v/>
      </c>
      <c r="R78" s="305" t="n">
        <v>8499.4</v>
      </c>
      <c r="S78" s="306" t="n">
        <v>18056</v>
      </c>
      <c r="T78" s="306">
        <f>IFERROR(S78*R78, 0)</f>
        <v/>
      </c>
      <c r="U78" s="307" t="n"/>
      <c r="V78" s="308" t="n"/>
      <c r="W78" s="309" t="n"/>
      <c r="X78" s="300" t="n"/>
      <c r="Y78" s="308" t="n"/>
      <c r="Z78" s="298" t="n"/>
    </row>
    <row r="79" ht="16.5" customHeight="1" s="215">
      <c r="A79" s="295" t="n"/>
      <c r="B79" s="296" t="n"/>
      <c r="C79" s="297" t="n"/>
      <c r="D79" s="297" t="n"/>
      <c r="E79" s="298" t="n"/>
      <c r="F79" s="299" t="n"/>
      <c r="G79" s="298" t="n"/>
      <c r="H79" s="300" t="n">
        <v>1490</v>
      </c>
      <c r="I79" s="300" t="inlineStr"/>
      <c r="J79" s="300" t="inlineStr"/>
      <c r="K79" s="301" t="inlineStr">
        <is>
          <t>3IN CV LAVENDER MF TOPPER TW</t>
        </is>
      </c>
      <c r="L79" s="302" t="inlineStr">
        <is>
          <t>ECMF-03TL-IN</t>
        </is>
      </c>
      <c r="M79" s="300" t="inlineStr">
        <is>
          <t>7MO3ZAUN</t>
        </is>
      </c>
      <c r="N79" s="301" t="inlineStr">
        <is>
          <t>F.TMT.03T.010.BD</t>
        </is>
      </c>
      <c r="O79" s="303" t="n"/>
      <c r="P79" s="303" t="n"/>
      <c r="Q79" s="304">
        <f>IFERROR(R79/H79, 0)</f>
        <v/>
      </c>
      <c r="R79" s="305" t="n">
        <v>16464.5</v>
      </c>
      <c r="S79" s="306" t="n">
        <v>18056</v>
      </c>
      <c r="T79" s="306">
        <f>IFERROR(S79*R79, 0)</f>
        <v/>
      </c>
      <c r="U79" s="307" t="n"/>
      <c r="V79" s="308" t="n"/>
      <c r="W79" s="309" t="n"/>
      <c r="X79" s="300" t="n"/>
      <c r="Y79" s="308" t="n"/>
      <c r="Z79" s="298" t="n"/>
    </row>
    <row r="80" ht="16.5" customHeight="1" s="215">
      <c r="A80" s="295" t="n"/>
      <c r="B80" s="296" t="n"/>
      <c r="C80" s="297" t="n"/>
      <c r="D80" s="297" t="n"/>
      <c r="E80" s="298" t="n"/>
      <c r="F80" s="299" t="n"/>
      <c r="G80" s="298" t="n"/>
      <c r="H80" s="300" t="n">
        <v>35</v>
      </c>
      <c r="I80" s="300" t="inlineStr"/>
      <c r="J80" s="300" t="inlineStr"/>
      <c r="K80" s="301" t="inlineStr">
        <is>
          <t>3IN CV LAVENDER MF TOPPER TX</t>
        </is>
      </c>
      <c r="L80" s="302" t="inlineStr">
        <is>
          <t>ECMF-03TXLL-IN</t>
        </is>
      </c>
      <c r="M80" s="300" t="inlineStr">
        <is>
          <t>7MO3ZAUN</t>
        </is>
      </c>
      <c r="N80" s="301" t="inlineStr">
        <is>
          <t>F.TMT.03X.010.BD</t>
        </is>
      </c>
      <c r="O80" s="303" t="n"/>
      <c r="P80" s="303" t="n"/>
      <c r="Q80" s="304">
        <f>IFERROR(R80/H80, 0)</f>
        <v/>
      </c>
      <c r="R80" s="305" t="n">
        <v>420.7</v>
      </c>
      <c r="S80" s="306" t="n">
        <v>18056</v>
      </c>
      <c r="T80" s="306">
        <f>IFERROR(S80*R80, 0)</f>
        <v/>
      </c>
      <c r="U80" s="307" t="n"/>
      <c r="V80" s="308" t="n"/>
      <c r="W80" s="309" t="n"/>
      <c r="X80" s="300" t="n"/>
      <c r="Y80" s="308" t="n"/>
      <c r="Z80" s="298" t="n"/>
    </row>
    <row r="81" ht="16.5" customHeight="1" s="215">
      <c r="A81" s="295" t="n"/>
      <c r="B81" s="296" t="n"/>
      <c r="C81" s="297" t="n"/>
      <c r="D81" s="297" t="n"/>
      <c r="E81" s="298" t="n"/>
      <c r="F81" s="299" t="n"/>
      <c r="G81" s="298" t="n"/>
      <c r="H81" s="300" t="n">
        <v>119</v>
      </c>
      <c r="I81" s="300" t="inlineStr"/>
      <c r="J81" s="300" t="inlineStr"/>
      <c r="K81" s="301" t="inlineStr">
        <is>
          <t>4IN CV LAVENDER MF TOPPER TW</t>
        </is>
      </c>
      <c r="L81" s="302" t="inlineStr">
        <is>
          <t>ECMF-LV4T-IN</t>
        </is>
      </c>
      <c r="M81" s="300" t="inlineStr">
        <is>
          <t>7MO3ZAUN</t>
        </is>
      </c>
      <c r="N81" s="301" t="inlineStr">
        <is>
          <t>F.TMT.04T.012.BD</t>
        </is>
      </c>
      <c r="O81" s="303" t="n"/>
      <c r="P81" s="303" t="n"/>
      <c r="Q81" s="304">
        <f>IFERROR(R81/H81, 0)</f>
        <v/>
      </c>
      <c r="R81" s="305" t="n">
        <v>1682.66</v>
      </c>
      <c r="S81" s="306" t="n">
        <v>18056</v>
      </c>
      <c r="T81" s="306">
        <f>IFERROR(S81*R81, 0)</f>
        <v/>
      </c>
      <c r="U81" s="307" t="n"/>
      <c r="V81" s="308" t="n"/>
      <c r="W81" s="309" t="n"/>
      <c r="X81" s="300" t="n"/>
      <c r="Y81" s="308" t="n"/>
      <c r="Z81" s="298" t="n"/>
    </row>
    <row r="82" ht="16.5" customHeight="1" s="215">
      <c r="A82" s="295" t="n"/>
      <c r="B82" s="296" t="n"/>
      <c r="C82" s="297" t="n"/>
      <c r="D82" s="297" t="n"/>
      <c r="E82" s="298" t="n"/>
      <c r="F82" s="299" t="n"/>
      <c r="G82" s="298" t="n"/>
      <c r="H82" s="300" t="n">
        <v>470</v>
      </c>
      <c r="I82" s="300" t="inlineStr"/>
      <c r="J82" s="300" t="inlineStr"/>
      <c r="K82" s="301" t="inlineStr">
        <is>
          <t>3IN CV LAVENDER MF TOPPER QN</t>
        </is>
      </c>
      <c r="L82" s="302" t="inlineStr">
        <is>
          <t>ECMF-03QL-IN</t>
        </is>
      </c>
      <c r="M82" s="300" t="inlineStr">
        <is>
          <t>8Y39N9EN</t>
        </is>
      </c>
      <c r="N82" s="301" t="inlineStr">
        <is>
          <t>F.TMT.03Q.010.BD</t>
        </is>
      </c>
      <c r="O82" s="303" t="n"/>
      <c r="P82" s="303" t="n"/>
      <c r="Q82" s="304">
        <f>IFERROR(R82/H82, 0)</f>
        <v/>
      </c>
      <c r="R82" s="305" t="n">
        <v>8779.6</v>
      </c>
      <c r="S82" s="306" t="n">
        <v>18056</v>
      </c>
      <c r="T82" s="306">
        <f>IFERROR(S82*R82, 0)</f>
        <v/>
      </c>
      <c r="U82" s="307" t="n"/>
      <c r="V82" s="308" t="n"/>
      <c r="W82" s="309" t="n"/>
      <c r="X82" s="300" t="n"/>
      <c r="Y82" s="308" t="n"/>
      <c r="Z82" s="298" t="n"/>
    </row>
    <row r="83" ht="16.5" customHeight="1" s="215">
      <c r="A83" s="295" t="n"/>
      <c r="B83" s="296" t="n"/>
      <c r="C83" s="297" t="n"/>
      <c r="D83" s="297" t="n"/>
      <c r="E83" s="298" t="n"/>
      <c r="F83" s="299" t="n"/>
      <c r="G83" s="298" t="n"/>
      <c r="H83" s="300" t="n">
        <v>323</v>
      </c>
      <c r="I83" s="300" t="inlineStr"/>
      <c r="J83" s="300" t="inlineStr"/>
      <c r="K83" s="301" t="inlineStr">
        <is>
          <t>3IN CV LAVENDER MF TOPPER TX</t>
        </is>
      </c>
      <c r="L83" s="302" t="inlineStr">
        <is>
          <t>ECMF-03TXLL-IN</t>
        </is>
      </c>
      <c r="M83" s="300" t="inlineStr">
        <is>
          <t>8Y39N9EN</t>
        </is>
      </c>
      <c r="N83" s="301" t="inlineStr">
        <is>
          <t>F.TMT.03X.010.BD</t>
        </is>
      </c>
      <c r="O83" s="303" t="n"/>
      <c r="P83" s="303" t="n"/>
      <c r="Q83" s="304">
        <f>IFERROR(R83/H83, 0)</f>
        <v/>
      </c>
      <c r="R83" s="305" t="n">
        <v>3882.46</v>
      </c>
      <c r="S83" s="306" t="n">
        <v>18056</v>
      </c>
      <c r="T83" s="306">
        <f>IFERROR(S83*R83, 0)</f>
        <v/>
      </c>
      <c r="U83" s="307" t="n"/>
      <c r="V83" s="308" t="n"/>
      <c r="W83" s="309" t="n"/>
      <c r="X83" s="300" t="n"/>
      <c r="Y83" s="308" t="n"/>
      <c r="Z83" s="298" t="n"/>
    </row>
    <row r="84" ht="16.5" customHeight="1" s="215">
      <c r="A84" s="295" t="n"/>
      <c r="B84" s="296" t="n"/>
      <c r="C84" s="297" t="n"/>
      <c r="D84" s="297" t="n"/>
      <c r="E84" s="298" t="n"/>
      <c r="F84" s="299" t="n"/>
      <c r="G84" s="298" t="n"/>
      <c r="H84" s="300" t="n">
        <v>19</v>
      </c>
      <c r="I84" s="300" t="inlineStr"/>
      <c r="J84" s="300" t="inlineStr"/>
      <c r="K84" s="301" t="inlineStr">
        <is>
          <t>2IN CV LAVENDER MF TOPPER QN</t>
        </is>
      </c>
      <c r="L84" s="302" t="inlineStr">
        <is>
          <t>ECMF-LV2Q-IN</t>
        </is>
      </c>
      <c r="M84" s="300" t="inlineStr">
        <is>
          <t>8Y39N9EN</t>
        </is>
      </c>
      <c r="N84" s="301" t="inlineStr">
        <is>
          <t>F.TMT.02Q.008.BD</t>
        </is>
      </c>
      <c r="O84" s="303" t="n"/>
      <c r="P84" s="303" t="n"/>
      <c r="Q84" s="304">
        <f>IFERROR(R84/H84, 0)</f>
        <v/>
      </c>
      <c r="R84" s="305" t="n">
        <v>230.47</v>
      </c>
      <c r="S84" s="306" t="n">
        <v>18056</v>
      </c>
      <c r="T84" s="306">
        <f>IFERROR(S84*R84, 0)</f>
        <v/>
      </c>
      <c r="U84" s="307" t="n"/>
      <c r="V84" s="308" t="n"/>
      <c r="W84" s="309" t="n"/>
      <c r="X84" s="300" t="n"/>
      <c r="Y84" s="308" t="n"/>
      <c r="Z84" s="298" t="n"/>
    </row>
    <row r="85" ht="16.5" customHeight="1" s="215">
      <c r="A85" s="295" t="n"/>
      <c r="B85" s="296" t="n"/>
      <c r="C85" s="297" t="n"/>
      <c r="D85" s="297" t="n"/>
      <c r="E85" s="298" t="n"/>
      <c r="F85" s="299" t="n"/>
      <c r="G85" s="298" t="n"/>
      <c r="H85" s="300" t="n">
        <v>127</v>
      </c>
      <c r="I85" s="300" t="inlineStr"/>
      <c r="J85" s="300" t="inlineStr"/>
      <c r="K85" s="301" t="inlineStr">
        <is>
          <t>4IN CV LAVENDER MF TOPPER TW</t>
        </is>
      </c>
      <c r="L85" s="302" t="inlineStr">
        <is>
          <t>ECMF-LV4T-IN</t>
        </is>
      </c>
      <c r="M85" s="300" t="inlineStr">
        <is>
          <t>8Y39N9EN</t>
        </is>
      </c>
      <c r="N85" s="301" t="inlineStr">
        <is>
          <t>F.TMT.04T.012.BD</t>
        </is>
      </c>
      <c r="O85" s="303" t="n"/>
      <c r="P85" s="303" t="n"/>
      <c r="Q85" s="304">
        <f>IFERROR(R85/H85, 0)</f>
        <v/>
      </c>
      <c r="R85" s="305" t="n">
        <v>1795.78</v>
      </c>
      <c r="S85" s="306" t="n">
        <v>18056</v>
      </c>
      <c r="T85" s="306">
        <f>IFERROR(S85*R85, 0)</f>
        <v/>
      </c>
      <c r="U85" s="307" t="n"/>
      <c r="V85" s="308" t="n"/>
      <c r="W85" s="309" t="n"/>
      <c r="X85" s="300" t="n"/>
      <c r="Y85" s="308" t="n"/>
      <c r="Z85" s="298" t="n"/>
    </row>
    <row r="86" ht="17.1" customHeight="1" s="215">
      <c r="A86" s="310" t="n"/>
      <c r="B86" s="311" t="n"/>
      <c r="C86" s="312" t="n"/>
      <c r="D86" s="312" t="n"/>
      <c r="E86" s="313" t="n"/>
      <c r="F86" s="313" t="n"/>
      <c r="G86" s="313" t="n"/>
      <c r="H86" s="314">
        <f>SUM(H58:H85)</f>
        <v/>
      </c>
      <c r="I86" s="315">
        <f>COUNTA(I58:I85)</f>
        <v/>
      </c>
      <c r="J86" s="314" t="n"/>
      <c r="K86" s="314" t="n"/>
      <c r="L86" s="316" t="n"/>
      <c r="M86" s="314" t="n"/>
      <c r="N86" s="314" t="n"/>
      <c r="O86" s="317">
        <f>SUM(O58:O85)</f>
        <v/>
      </c>
      <c r="P86" s="317">
        <f>SUM(P58:P85)</f>
        <v/>
      </c>
      <c r="Q86" s="318" t="n"/>
      <c r="R86" s="319">
        <f>SUM(R58:R85)</f>
        <v/>
      </c>
      <c r="S86" s="320" t="n"/>
      <c r="T86" s="320">
        <f>SUM(T58:T85)</f>
        <v/>
      </c>
      <c r="U86" s="314" t="n"/>
      <c r="V86" s="321" t="n"/>
      <c r="W86" s="322" t="n"/>
      <c r="X86" s="321" t="n"/>
      <c r="Y86" s="321" t="n"/>
      <c r="Z86" s="321" t="n"/>
    </row>
    <row r="87" ht="20.1" customHeight="1" s="215">
      <c r="A87" s="128">
        <f>COUNT(A12:A86)</f>
        <v/>
      </c>
      <c r="B87" s="129" t="n"/>
      <c r="C87" s="323" t="n"/>
      <c r="D87" s="324" t="n"/>
      <c r="E87" s="324" t="n"/>
      <c r="F87" s="324" t="n"/>
      <c r="G87" s="324" t="n"/>
      <c r="H87" s="132">
        <f>H14+H16+H18+H46+H57+H86</f>
        <v/>
      </c>
      <c r="I87" s="132">
        <f>I14+I16+I18+I46+I57+I86</f>
        <v/>
      </c>
      <c r="J87" s="133" t="n"/>
      <c r="K87" s="325" t="n"/>
      <c r="L87" s="326" t="n"/>
      <c r="M87" s="327" t="n"/>
      <c r="N87" s="328" t="n"/>
      <c r="O87" s="138">
        <f>O14+O16+O18+O46+O57+O86</f>
        <v/>
      </c>
      <c r="P87" s="138">
        <f>P14+P16+P18+P46+P57+P86</f>
        <v/>
      </c>
      <c r="Q87" s="329" t="n"/>
      <c r="R87" s="330">
        <f>R14+R16+R18+R46+R57+R86</f>
        <v/>
      </c>
      <c r="S87" s="331" t="n"/>
      <c r="T87" s="332">
        <f>T14+T16+T18+T46+T57+T86</f>
        <v/>
      </c>
      <c r="U87" s="143" t="n"/>
      <c r="V87" s="143" t="n"/>
      <c r="W87" s="143" t="n"/>
      <c r="X87" s="143" t="n"/>
      <c r="Y87" s="144" t="n"/>
      <c r="Z87" s="144" t="n"/>
    </row>
    <row r="88">
      <c r="A88" s="145" t="n"/>
      <c r="B88" s="146" t="n"/>
      <c r="C88" s="147" t="n"/>
      <c r="E88" s="148" t="n"/>
      <c r="F88" s="149" t="n"/>
      <c r="G88" s="149" t="n"/>
      <c r="H88" s="333" t="n"/>
      <c r="I88" s="333" t="n"/>
      <c r="J88" s="334" t="n"/>
      <c r="K88" s="222" t="n"/>
      <c r="L88" s="222" t="n"/>
      <c r="M88" s="222" t="n"/>
      <c r="N88" s="335" t="n"/>
      <c r="Q88" s="336" t="n"/>
      <c r="U88" s="154" t="n"/>
      <c r="V88" s="154" t="n"/>
      <c r="W88" s="154" t="n"/>
      <c r="X88" s="154" t="n"/>
      <c r="Y88" s="154" t="n"/>
      <c r="Z88" s="154" t="n"/>
    </row>
    <row r="89">
      <c r="A89" s="145" t="n"/>
      <c r="B89" s="155" t="inlineStr">
        <is>
          <t>Total Qty Export :</t>
        </is>
      </c>
      <c r="C89" s="156">
        <f>H87</f>
        <v/>
      </c>
      <c r="E89" s="148" t="n"/>
      <c r="F89" s="149" t="n"/>
      <c r="G89" s="149" t="n"/>
      <c r="H89" s="334" t="n"/>
      <c r="I89" s="334" t="n"/>
      <c r="J89" s="334" t="n"/>
      <c r="K89" s="222" t="n"/>
      <c r="L89" s="222" t="n"/>
      <c r="M89" s="222" t="n"/>
      <c r="N89" s="335" t="n"/>
      <c r="Q89" s="336" t="n"/>
      <c r="U89" s="154" t="n"/>
      <c r="V89" s="154" t="n"/>
      <c r="W89" s="154" t="n"/>
      <c r="X89" s="154" t="n"/>
      <c r="Y89" s="154" t="n"/>
      <c r="Z89" s="154" t="n"/>
    </row>
    <row r="90">
      <c r="A90" s="145" t="n"/>
      <c r="B90" s="157" t="inlineStr">
        <is>
          <t>Total Qty Export Sample :</t>
        </is>
      </c>
      <c r="C90" s="158" t="n"/>
      <c r="E90" s="148" t="n"/>
      <c r="F90" s="149" t="n"/>
      <c r="G90" s="149" t="n"/>
      <c r="H90" s="337" t="n"/>
      <c r="I90" s="337" t="n"/>
      <c r="J90" s="334" t="n"/>
      <c r="T90" s="338" t="n"/>
      <c r="V90" s="154" t="n"/>
      <c r="W90" s="154" t="n"/>
      <c r="X90" s="154" t="n"/>
      <c r="Y90" s="154" t="n"/>
      <c r="Z90" s="154" t="n"/>
    </row>
    <row r="91">
      <c r="A91" s="145" t="n"/>
      <c r="B91" s="161" t="n"/>
      <c r="C91" s="147" t="n"/>
      <c r="D91" s="147" t="n"/>
      <c r="E91" s="148" t="n"/>
      <c r="F91" s="149" t="n"/>
      <c r="G91" s="149" t="n"/>
      <c r="H91" s="334" t="n"/>
      <c r="I91" s="334" t="n"/>
      <c r="J91" s="334" t="n"/>
      <c r="K91" s="222" t="n"/>
      <c r="L91" s="222" t="n"/>
      <c r="M91" s="222" t="n"/>
      <c r="R91" s="339" t="n"/>
      <c r="S91" s="338" t="n"/>
      <c r="U91" s="163" t="n"/>
    </row>
    <row r="92">
      <c r="A92" s="164" t="n"/>
      <c r="B92" s="165" t="n"/>
      <c r="C92" s="166" t="n"/>
      <c r="D92" s="167" t="n"/>
      <c r="E92" s="168" t="n"/>
      <c r="F92" s="169" t="n"/>
      <c r="G92" s="169" t="n"/>
      <c r="H92" s="170" t="n"/>
      <c r="I92" s="170" t="n"/>
      <c r="K92" s="222" t="n"/>
      <c r="L92" s="222" t="n"/>
      <c r="M92" s="222" t="n"/>
      <c r="N92" s="335" t="n"/>
      <c r="P92" s="340" t="n"/>
      <c r="Q92" s="341" t="n"/>
      <c r="R92" s="339" t="n"/>
      <c r="S92" s="338" t="n"/>
      <c r="T92" s="338" t="n"/>
      <c r="U92" s="173" t="inlineStr">
        <is>
          <t>Tangerang, 26 July 2026</t>
        </is>
      </c>
    </row>
    <row r="93">
      <c r="A93" s="174" t="inlineStr">
        <is>
          <t>Total Document</t>
        </is>
      </c>
      <c r="B93" s="175" t="n"/>
      <c r="C93" s="342">
        <f>A87</f>
        <v/>
      </c>
      <c r="D93" s="343" t="n"/>
      <c r="G93" s="169" t="n"/>
      <c r="H93" s="178" t="n"/>
      <c r="I93" s="178" t="n"/>
      <c r="K93" s="222" t="n"/>
      <c r="L93" s="222" t="n"/>
      <c r="M93" s="222" t="n"/>
      <c r="N93" s="335" t="n"/>
      <c r="P93" s="340" t="n"/>
      <c r="Q93" s="341" t="n"/>
      <c r="R93" s="339" t="n"/>
      <c r="S93" s="338" t="n"/>
      <c r="T93" s="338" t="n"/>
      <c r="U93" s="173">
        <f>+[1]REKAP!X34</f>
        <v/>
      </c>
    </row>
    <row r="94">
      <c r="A94" s="174" t="inlineStr">
        <is>
          <t>Gross Weight</t>
        </is>
      </c>
      <c r="B94" s="179" t="n"/>
      <c r="C94" s="344">
        <f>O87</f>
        <v/>
      </c>
      <c r="D94" s="343" t="n"/>
      <c r="H94" s="182" t="n"/>
      <c r="I94" s="183" t="n"/>
      <c r="K94" s="222" t="n"/>
      <c r="L94" s="222" t="n"/>
      <c r="M94" s="222" t="n"/>
      <c r="N94" s="335" t="n"/>
      <c r="P94" s="345" t="n"/>
      <c r="Q94" s="346" t="n"/>
      <c r="R94" s="347" t="n"/>
      <c r="S94" s="348" t="n"/>
      <c r="T94" s="348" t="n"/>
      <c r="U94" s="4" t="n"/>
    </row>
    <row r="95">
      <c r="A95" s="174" t="inlineStr">
        <is>
          <t>Nett Weight</t>
        </is>
      </c>
      <c r="B95" s="179" t="n"/>
      <c r="C95" s="344">
        <f>P87</f>
        <v/>
      </c>
      <c r="D95" s="343" t="n"/>
      <c r="K95" s="222" t="n"/>
      <c r="L95" s="222" t="n"/>
      <c r="M95" s="222" t="n"/>
      <c r="N95" s="335" t="n"/>
      <c r="P95" s="345" t="n"/>
      <c r="Q95" s="346" t="n"/>
      <c r="R95" s="347" t="n"/>
      <c r="S95" s="348" t="n"/>
      <c r="T95" s="348" t="n"/>
      <c r="U95" s="4" t="n"/>
    </row>
    <row r="96">
      <c r="A96" s="174" t="inlineStr">
        <is>
          <t>Amount</t>
        </is>
      </c>
      <c r="B96" s="179" t="n"/>
      <c r="C96" s="349">
        <f>R87</f>
        <v/>
      </c>
      <c r="D96" s="343" t="n"/>
      <c r="K96" s="222" t="n"/>
      <c r="L96" s="222" t="n"/>
      <c r="M96" s="222" t="n"/>
      <c r="N96" s="335" t="n"/>
      <c r="P96" s="345" t="n"/>
      <c r="Q96" s="346" t="n"/>
      <c r="R96" s="347" t="n"/>
      <c r="S96" s="348" t="n"/>
      <c r="T96" s="348" t="n"/>
      <c r="U96" s="190" t="n"/>
    </row>
    <row r="97">
      <c r="A97" s="174" t="inlineStr">
        <is>
          <t>Jumlah Container</t>
        </is>
      </c>
      <c r="B97" s="179" t="n"/>
      <c r="C97" s="350">
        <f>I87</f>
        <v/>
      </c>
      <c r="D97" s="343" t="n"/>
      <c r="K97" s="222" t="n"/>
      <c r="L97" s="222" t="n"/>
      <c r="M97" s="222" t="n"/>
      <c r="N97" s="335" t="n"/>
      <c r="P97" s="345" t="n"/>
      <c r="Q97" s="346" t="n"/>
      <c r="R97" s="347" t="n"/>
      <c r="S97" s="348" t="n"/>
      <c r="T97" s="348" t="n"/>
      <c r="U97" s="173" t="n"/>
    </row>
    <row r="98">
      <c r="A98" s="174" t="n"/>
      <c r="B98" s="179" t="n"/>
      <c r="C98" s="351">
        <f>I28</f>
        <v/>
      </c>
      <c r="D98" s="343" t="n"/>
      <c r="K98" s="222" t="n"/>
      <c r="L98" s="222" t="n"/>
      <c r="M98" s="222" t="n"/>
      <c r="N98" s="335" t="n"/>
      <c r="P98" s="345" t="n"/>
      <c r="Q98" s="346" t="n"/>
      <c r="R98" s="347" t="n"/>
      <c r="S98" s="348" t="n"/>
      <c r="T98" s="348" t="n"/>
      <c r="U98" s="173" t="n"/>
    </row>
    <row r="99">
      <c r="A99" s="195" t="n"/>
      <c r="B99" s="179" t="n"/>
      <c r="C99" s="352">
        <f>C36*2+C37</f>
        <v/>
      </c>
      <c r="D99" s="343" t="n"/>
      <c r="K99" s="222" t="n"/>
      <c r="L99" s="222" t="n"/>
      <c r="M99" s="222" t="n"/>
      <c r="N99" s="335" t="n"/>
    </row>
    <row r="100">
      <c r="A100" s="198" t="n"/>
      <c r="B100" s="199" t="n"/>
      <c r="C100" s="200" t="n"/>
      <c r="D100" s="201" t="n"/>
    </row>
    <row r="101">
      <c r="B101" s="6" t="n"/>
      <c r="C101" s="3" t="n"/>
      <c r="D101" s="3" t="n"/>
      <c r="E101" s="4" t="n"/>
      <c r="F101" s="5" t="n"/>
      <c r="G101" s="5" t="n"/>
      <c r="H101" s="6" t="n"/>
      <c r="I101" s="6" t="n"/>
      <c r="J101" s="6" t="n"/>
      <c r="K101" s="216" t="n"/>
      <c r="L101" s="216" t="n"/>
      <c r="M101" s="216" t="n"/>
      <c r="N101" s="217" t="n"/>
      <c r="O101" s="218" t="n"/>
      <c r="P101" s="218" t="n"/>
      <c r="Q101" s="219" t="n"/>
      <c r="R101" s="220" t="n"/>
      <c r="S101" s="221" t="n"/>
      <c r="T101" s="221" t="n"/>
      <c r="U101" s="222" t="n"/>
      <c r="V101" s="222" t="n"/>
      <c r="W101" s="222" t="n"/>
      <c r="X101" s="222" t="n"/>
      <c r="Y101" s="222" t="n"/>
      <c r="Z101" s="222" t="n"/>
      <c r="AA101" s="223" t="n"/>
      <c r="AB101" s="223" t="n"/>
      <c r="AC101" s="223" t="n"/>
      <c r="AD101" s="223" t="n"/>
      <c r="AE101" s="223" t="n"/>
      <c r="AF101" s="223" t="n"/>
      <c r="AG101" s="223" t="n"/>
      <c r="AH101" s="223" t="n"/>
      <c r="AI101" s="223" t="n"/>
      <c r="AJ101" s="223" t="n"/>
      <c r="AK101" s="223" t="n"/>
      <c r="AL101" s="223" t="n"/>
      <c r="AM101" s="223" t="n"/>
      <c r="AN101" s="223" t="n"/>
      <c r="AO101" s="223" t="n"/>
      <c r="AP101" s="223" t="n"/>
      <c r="AQ101" s="223" t="n"/>
      <c r="AR101" s="223" t="n"/>
      <c r="AS101" s="223" t="n"/>
      <c r="AT101" s="223" t="n"/>
      <c r="AU101" s="223" t="n"/>
      <c r="AV101" s="223" t="n"/>
      <c r="AW101" s="223" t="n"/>
      <c r="AX101" s="223" t="n"/>
      <c r="AY101" s="223" t="n"/>
      <c r="AZ101" s="223" t="n"/>
      <c r="BA101" s="223" t="n"/>
      <c r="BB101" s="223" t="n"/>
      <c r="BC101" s="223" t="n"/>
      <c r="BD101" s="223" t="n"/>
      <c r="BE101" s="223" t="n"/>
      <c r="BF101" s="223" t="n"/>
      <c r="BG101" s="223" t="n"/>
      <c r="BH101" s="223" t="n"/>
      <c r="BI101" s="223" t="n"/>
      <c r="BJ101" s="223" t="n"/>
      <c r="BK101" s="223" t="n"/>
      <c r="BL101" s="223" t="n"/>
      <c r="BM101" s="223" t="n"/>
      <c r="BN101" s="223" t="n"/>
      <c r="BO101" s="223" t="n"/>
      <c r="BP101" s="223" t="n"/>
      <c r="BQ101" s="223" t="n"/>
      <c r="BR101" s="223" t="n"/>
      <c r="BS101" s="223" t="n"/>
      <c r="BT101" s="223" t="n"/>
      <c r="BU101" s="223" t="n"/>
      <c r="BV101" s="223" t="n"/>
      <c r="BW101" s="223" t="n"/>
      <c r="BX101" s="223" t="n"/>
      <c r="BY101" s="223" t="n"/>
      <c r="BZ101" s="223" t="n"/>
      <c r="CA101" s="223" t="n"/>
      <c r="CB101" s="223" t="n"/>
      <c r="CC101" s="223" t="n"/>
      <c r="CD101" s="223" t="n"/>
      <c r="CE101" s="223" t="n"/>
      <c r="CF101" s="223" t="n"/>
      <c r="CG101" s="223" t="n"/>
      <c r="CH101" s="223" t="n"/>
      <c r="CI101" s="223" t="n"/>
      <c r="CJ101" s="223" t="n"/>
      <c r="CK101" s="223" t="n"/>
      <c r="CL101" s="223" t="n"/>
      <c r="CM101" s="223" t="n"/>
      <c r="CN101" s="223" t="n"/>
      <c r="CO101" s="223" t="n"/>
      <c r="CP101" s="223" t="n"/>
      <c r="CQ101" s="223" t="n"/>
      <c r="CR101" s="223" t="n"/>
      <c r="CS101" s="223" t="n"/>
      <c r="CT101" s="223" t="n"/>
      <c r="CU101" s="223" t="n"/>
      <c r="CV101" s="223" t="n"/>
      <c r="CW101" s="223" t="n"/>
      <c r="CX101" s="223" t="n"/>
      <c r="CY101" s="223" t="n"/>
      <c r="CZ101" s="223" t="n"/>
      <c r="DA101" s="223" t="n"/>
      <c r="DB101" s="223" t="n"/>
      <c r="DC101" s="223" t="n"/>
      <c r="DD101" s="223" t="n"/>
      <c r="DE101" s="223" t="n"/>
      <c r="DF101" s="223" t="n"/>
      <c r="DG101" s="223" t="n"/>
      <c r="DH101" s="223" t="n"/>
      <c r="DI101" s="223" t="n"/>
      <c r="DJ101" s="223" t="n"/>
      <c r="DK101" s="223" t="n"/>
      <c r="DL101" s="223" t="n"/>
      <c r="DM101" s="223" t="n"/>
      <c r="DN101" s="223" t="n"/>
      <c r="DO101" s="223" t="n"/>
      <c r="DP101" s="223" t="n"/>
      <c r="DQ101" s="223" t="n"/>
      <c r="DR101" s="223" t="n"/>
      <c r="DS101" s="223" t="n"/>
      <c r="DT101" s="223" t="n"/>
      <c r="DU101" s="223" t="n"/>
      <c r="DV101" s="223" t="n"/>
      <c r="DW101" s="223" t="n"/>
      <c r="DX101" s="223" t="n"/>
      <c r="DY101" s="223" t="n"/>
      <c r="DZ101" s="223" t="n"/>
      <c r="EA101" s="223" t="n"/>
      <c r="EB101" s="223" t="n"/>
      <c r="EC101" s="223" t="n"/>
      <c r="ED101" s="223" t="n"/>
      <c r="EE101" s="223" t="n"/>
      <c r="EF101" s="223" t="n"/>
      <c r="EG101" s="223" t="n"/>
      <c r="EH101" s="223" t="n"/>
      <c r="EI101" s="223" t="n"/>
      <c r="EJ101" s="223" t="n"/>
      <c r="EK101" s="223" t="n"/>
      <c r="EL101" s="223" t="n"/>
      <c r="EM101" s="223" t="n"/>
      <c r="EN101" s="223" t="n"/>
      <c r="EO101" s="223" t="n"/>
      <c r="EP101" s="223" t="n"/>
      <c r="EQ101" s="223" t="n"/>
      <c r="ER101" s="223" t="n"/>
      <c r="ES101" s="223" t="n"/>
      <c r="ET101" s="223" t="n"/>
      <c r="EU101" s="223" t="n"/>
      <c r="EV101" s="223" t="n"/>
      <c r="EW101" s="223" t="n"/>
      <c r="EX101" s="223" t="n"/>
      <c r="EY101" s="223" t="n"/>
      <c r="EZ101" s="223" t="n"/>
      <c r="FA101" s="223" t="n"/>
      <c r="FB101" s="223" t="n"/>
      <c r="FC101" s="223" t="n"/>
      <c r="FD101" s="223" t="n"/>
      <c r="FE101" s="223" t="n"/>
      <c r="FF101" s="223" t="n"/>
      <c r="FG101" s="223" t="n"/>
      <c r="FH101" s="223" t="n"/>
      <c r="FI101" s="223" t="n"/>
      <c r="FJ101" s="223" t="n"/>
      <c r="FK101" s="223" t="n"/>
      <c r="FL101" s="223" t="n"/>
      <c r="FM101" s="223" t="n"/>
      <c r="FN101" s="223" t="n"/>
      <c r="FO101" s="223" t="n"/>
      <c r="FP101" s="223" t="n"/>
      <c r="FQ101" s="223" t="n"/>
      <c r="FR101" s="223" t="n"/>
      <c r="FS101" s="223" t="n"/>
      <c r="FT101" s="223" t="n"/>
      <c r="FU101" s="223" t="n"/>
      <c r="FV101" s="223" t="n"/>
      <c r="FW101" s="223" t="n"/>
      <c r="FX101" s="223" t="n"/>
      <c r="FY101" s="223" t="n"/>
      <c r="FZ101" s="223" t="n"/>
      <c r="GA101" s="223" t="n"/>
      <c r="GB101" s="223" t="n"/>
      <c r="GC101" s="223" t="n"/>
      <c r="GD101" s="223" t="n"/>
      <c r="GE101" s="223" t="n"/>
      <c r="GF101" s="223" t="n"/>
      <c r="GG101" s="223" t="n"/>
      <c r="GH101" s="223" t="n"/>
      <c r="GI101" s="223" t="n"/>
      <c r="GJ101" s="223" t="n"/>
      <c r="GK101" s="223" t="n"/>
      <c r="GL101" s="223" t="n"/>
      <c r="GM101" s="223" t="n"/>
      <c r="GN101" s="223" t="n"/>
      <c r="GO101" s="223" t="n"/>
      <c r="GP101" s="223" t="n"/>
      <c r="GQ101" s="223" t="n"/>
      <c r="GR101" s="223" t="n"/>
      <c r="GS101" s="223" t="n"/>
      <c r="GT101" s="223" t="n"/>
      <c r="GU101" s="223" t="n"/>
      <c r="GV101" s="223" t="n"/>
      <c r="GW101" s="223" t="n"/>
      <c r="GX101" s="223" t="n"/>
      <c r="GY101" s="223" t="n"/>
      <c r="GZ101" s="223" t="n"/>
      <c r="HA101" s="223" t="n"/>
      <c r="HB101" s="223" t="n"/>
      <c r="HC101" s="223" t="n"/>
      <c r="HD101" s="223" t="n"/>
      <c r="HE101" s="223" t="n"/>
      <c r="HF101" s="223" t="n"/>
      <c r="HG101" s="223" t="n"/>
      <c r="HH101" s="223" t="n"/>
      <c r="HI101" s="223" t="n"/>
      <c r="HJ101" s="223" t="n"/>
      <c r="HK101" s="223" t="n"/>
      <c r="HL101" s="223" t="n"/>
      <c r="HM101" s="223" t="n"/>
      <c r="HN101" s="223" t="n"/>
      <c r="HO101" s="223" t="n"/>
      <c r="HP101" s="223" t="n"/>
      <c r="HQ101" s="223" t="n"/>
      <c r="HR101" s="223" t="n"/>
      <c r="HS101" s="223" t="n"/>
      <c r="HT101" s="223" t="n"/>
      <c r="HU101" s="223" t="n"/>
      <c r="HV101" s="223" t="n"/>
      <c r="HW101" s="223" t="n"/>
      <c r="HX101" s="223" t="n"/>
      <c r="HY101" s="223" t="n"/>
      <c r="HZ101" s="223" t="n"/>
      <c r="IA101" s="223" t="n"/>
      <c r="IB101" s="223" t="n"/>
      <c r="IC101" s="223" t="n"/>
      <c r="ID101" s="223" t="n"/>
      <c r="IE101" s="223" t="n"/>
      <c r="IF101" s="223" t="n"/>
      <c r="IG101" s="223" t="n"/>
      <c r="IH101" s="223" t="n"/>
      <c r="II101" s="223" t="n"/>
      <c r="IJ101" s="223" t="n"/>
      <c r="IK101" s="223" t="n"/>
      <c r="IL101" s="223" t="n"/>
      <c r="IM101" s="223" t="n"/>
      <c r="IN101" s="223" t="n"/>
      <c r="IO101" s="223" t="n"/>
      <c r="IP101" s="223" t="n"/>
      <c r="IQ101" s="223" t="n"/>
      <c r="IR101" s="223" t="n"/>
      <c r="IS101" s="223" t="n"/>
      <c r="IT101" s="223" t="n"/>
      <c r="IU101" s="223" t="n"/>
      <c r="IV101" s="223" t="n"/>
      <c r="IW101" s="223" t="n"/>
      <c r="IX101" s="223" t="n"/>
      <c r="IY101" s="223" t="n"/>
      <c r="IZ101" s="223" t="n"/>
      <c r="JA101" s="223" t="n"/>
      <c r="JB101" s="223" t="n"/>
      <c r="JC101" s="223" t="n"/>
      <c r="JD101" s="223" t="n"/>
      <c r="JE101" s="223" t="n"/>
      <c r="JF101" s="223" t="n"/>
      <c r="JG101" s="223" t="n"/>
      <c r="JH101" s="223" t="n"/>
      <c r="JI101" s="223" t="n"/>
      <c r="JJ101" s="223" t="n"/>
      <c r="JK101" s="223" t="n"/>
      <c r="JL101" s="223" t="n"/>
      <c r="JM101" s="223" t="n"/>
      <c r="JN101" s="223" t="n"/>
      <c r="JO101" s="223" t="n"/>
      <c r="JP101" s="223" t="n"/>
      <c r="JQ101" s="223" t="n"/>
      <c r="JR101" s="223" t="n"/>
      <c r="JS101" s="223" t="n"/>
      <c r="JT101" s="223" t="n"/>
      <c r="JU101" s="223" t="n"/>
      <c r="JV101" s="223" t="n"/>
      <c r="JW101" s="223" t="n"/>
      <c r="JX101" s="223" t="n"/>
      <c r="JY101" s="223" t="n"/>
      <c r="JZ101" s="223" t="n"/>
      <c r="KA101" s="223" t="n"/>
      <c r="KB101" s="223" t="n"/>
      <c r="KC101" s="223" t="n"/>
      <c r="KD101" s="223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5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>
      <c r="A394" s="202" t="n"/>
      <c r="B394" s="203" t="n"/>
      <c r="C394" s="204" t="n"/>
      <c r="D394" s="204" t="n"/>
      <c r="E394" s="205" t="n"/>
      <c r="F394" s="206" t="n"/>
      <c r="G394" s="206" t="n"/>
      <c r="H394" s="6" t="n"/>
      <c r="I394" s="203" t="n"/>
      <c r="J394" s="203" t="n"/>
      <c r="K394" s="354" t="n"/>
      <c r="L394" s="354" t="n"/>
      <c r="M394" s="354" t="n"/>
      <c r="N394" s="355" t="n"/>
      <c r="O394" s="356" t="n"/>
      <c r="P394" s="356" t="n"/>
      <c r="Q394" s="357" t="n"/>
      <c r="R394" s="358" t="n"/>
      <c r="S394" s="359" t="n"/>
      <c r="T394" s="359" t="n"/>
      <c r="U394" s="360" t="n"/>
      <c r="V394" s="360" t="n"/>
      <c r="W394" s="360" t="n"/>
      <c r="X394" s="360" t="n"/>
      <c r="Y394" s="360" t="n"/>
      <c r="Z394" s="360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2026-07-26T07:29:45Z</dcterms:modified>
  <cp:lastModifiedBy>Chiswa Dian Hermansyah(ZINUS ZDI)</cp:lastModifiedBy>
</cp:coreProperties>
</file>