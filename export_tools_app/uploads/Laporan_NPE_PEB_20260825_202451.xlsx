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7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000030ZIK48020260818000637</t>
        </is>
      </c>
      <c r="C12" s="245" t="n">
        <v>519090</v>
      </c>
      <c r="D12" s="245" t="n">
        <v>519042</v>
      </c>
      <c r="E12" s="246" t="n">
        <v>46253</v>
      </c>
      <c r="F12" s="245" t="inlineStr">
        <is>
          <t>ID2608-8158</t>
        </is>
      </c>
      <c r="G12" s="246" t="n">
        <v>46248</v>
      </c>
      <c r="H12" s="247" t="n">
        <v>20</v>
      </c>
      <c r="I12" s="245" t="inlineStr">
        <is>
          <t>TCLU7961923</t>
        </is>
      </c>
      <c r="J12" s="245" t="inlineStr">
        <is>
          <t>40FT</t>
        </is>
      </c>
      <c r="K12" s="245" t="inlineStr">
        <is>
          <t>10IN FIRM MF MATTRESS FL</t>
        </is>
      </c>
      <c r="L12" s="245" t="inlineStr">
        <is>
          <t>WA-FMF-10F</t>
        </is>
      </c>
      <c r="M12" s="248" t="inlineStr">
        <is>
          <t>MIWU00233</t>
        </is>
      </c>
      <c r="N12" s="245" t="inlineStr">
        <is>
          <t>F.MFM.10F.000.BU</t>
        </is>
      </c>
      <c r="O12" s="249" t="n">
        <v>12453.01</v>
      </c>
      <c r="P12" s="249" t="n">
        <v>11218.5</v>
      </c>
      <c r="Q12" s="250">
        <f>R12/H12</f>
        <v/>
      </c>
      <c r="R12" s="251" t="n">
        <v>1229.8</v>
      </c>
      <c r="S12" s="249" t="n">
        <v>17843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VANCOUVER, CA</t>
        </is>
      </c>
      <c r="X12" s="245" t="inlineStr">
        <is>
          <t>MELLOW INC</t>
        </is>
      </c>
      <c r="Y12" s="245" t="inlineStr">
        <is>
          <t>ONEYJKTG63038800</t>
        </is>
      </c>
      <c r="Z12" s="246" t="n">
        <v>46253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20</v>
      </c>
      <c r="I13" s="245" t="inlineStr"/>
      <c r="J13" s="245" t="inlineStr"/>
      <c r="K13" s="245" t="inlineStr">
        <is>
          <t>10IN FIRM MF MATTRESS QN</t>
        </is>
      </c>
      <c r="L13" s="245" t="inlineStr">
        <is>
          <t>WA-FMF-10Q</t>
        </is>
      </c>
      <c r="M13" s="248" t="inlineStr">
        <is>
          <t>MIWU00233</t>
        </is>
      </c>
      <c r="N13" s="245" t="inlineStr">
        <is>
          <t>F.MFM.10Q.000.BU</t>
        </is>
      </c>
      <c r="O13" s="245" t="n"/>
      <c r="P13" s="245" t="n"/>
      <c r="Q13" s="250">
        <f>R13/H13</f>
        <v/>
      </c>
      <c r="R13" s="251" t="n">
        <v>1456.4</v>
      </c>
      <c r="S13" s="249" t="n">
        <v>17843</v>
      </c>
      <c r="T13" s="252">
        <f>S13*R13</f>
        <v/>
      </c>
      <c r="U13" s="245" t="n"/>
      <c r="V13" s="245" t="n"/>
      <c r="W13" s="245" t="inlineStr">
        <is>
          <t>ETD : 25-08-2026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20</v>
      </c>
      <c r="I14" s="245" t="inlineStr"/>
      <c r="J14" s="245" t="inlineStr"/>
      <c r="K14" s="245" t="inlineStr">
        <is>
          <t>10IN FIRM MF MATTRESS TW</t>
        </is>
      </c>
      <c r="L14" s="245" t="inlineStr">
        <is>
          <t>WA-FMF-10T</t>
        </is>
      </c>
      <c r="M14" s="248" t="inlineStr">
        <is>
          <t>MIWU00233</t>
        </is>
      </c>
      <c r="N14" s="245" t="inlineStr">
        <is>
          <t>F.MFM.10T.000.BU</t>
        </is>
      </c>
      <c r="O14" s="245" t="n"/>
      <c r="P14" s="245" t="n"/>
      <c r="Q14" s="250">
        <f>R14/H14</f>
        <v/>
      </c>
      <c r="R14" s="251" t="n">
        <v>938.4</v>
      </c>
      <c r="S14" s="249" t="n">
        <v>17843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25</v>
      </c>
      <c r="I15" s="245" t="inlineStr"/>
      <c r="J15" s="245" t="inlineStr"/>
      <c r="K15" s="245" t="inlineStr">
        <is>
          <t>12IN FIRM MF MATTRESS FL</t>
        </is>
      </c>
      <c r="L15" s="245" t="inlineStr">
        <is>
          <t>WA-FMF-12F</t>
        </is>
      </c>
      <c r="M15" s="248" t="inlineStr">
        <is>
          <t>MIWU00233</t>
        </is>
      </c>
      <c r="N15" s="245" t="inlineStr">
        <is>
          <t>F.MFM.12F.000.BU</t>
        </is>
      </c>
      <c r="O15" s="245" t="n"/>
      <c r="P15" s="245" t="n"/>
      <c r="Q15" s="250">
        <f>R15/H15</f>
        <v/>
      </c>
      <c r="R15" s="251" t="n">
        <v>1764</v>
      </c>
      <c r="S15" s="249" t="n">
        <v>17843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36</v>
      </c>
      <c r="I16" s="245" t="inlineStr"/>
      <c r="J16" s="245" t="inlineStr"/>
      <c r="K16" s="245" t="inlineStr">
        <is>
          <t>12IN FIRM MF MATTRESS QN</t>
        </is>
      </c>
      <c r="L16" s="245" t="inlineStr">
        <is>
          <t>WA-FMF-12Q</t>
        </is>
      </c>
      <c r="M16" s="248" t="inlineStr">
        <is>
          <t>MIWU00233</t>
        </is>
      </c>
      <c r="N16" s="245" t="inlineStr">
        <is>
          <t>F.MFM.12Q.000.BU</t>
        </is>
      </c>
      <c r="O16" s="245" t="n"/>
      <c r="P16" s="245" t="n"/>
      <c r="Q16" s="250">
        <f>R16/H16</f>
        <v/>
      </c>
      <c r="R16" s="251" t="n">
        <v>2959.2</v>
      </c>
      <c r="S16" s="249" t="n">
        <v>17843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92</v>
      </c>
      <c r="I17" s="245" t="inlineStr"/>
      <c r="J17" s="245" t="inlineStr"/>
      <c r="K17" s="245" t="inlineStr">
        <is>
          <t>/HS : - Kode Barang : DJT-330-3R (45) - Uraian: REC NIMBUS MESH P(45%), DJT-330-3R(45%) 44, M - Kemasan: 92 CT rk: -, Tipe: WH</t>
        </is>
      </c>
      <c r="L17" s="245" t="inlineStr">
        <is>
          <t>WH BK:0</t>
        </is>
      </c>
      <c r="M17" s="248" t="inlineStr"/>
      <c r="N17" s="245" t="inlineStr">
        <is>
          <t>DJT-330-3R</t>
        </is>
      </c>
      <c r="O17" s="245" t="n"/>
      <c r="P17" s="245" t="n"/>
      <c r="Q17" s="250">
        <f>R17/H17</f>
        <v/>
      </c>
      <c r="R17" s="251" t="n">
        <v>5554.96</v>
      </c>
      <c r="S17" s="249" t="n">
        <v>17843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85</v>
      </c>
      <c r="I18" s="245" t="inlineStr"/>
      <c r="J18" s="245" t="inlineStr"/>
      <c r="K18" s="245" t="inlineStr">
        <is>
          <t>10IN MEDIUM MFM QN</t>
        </is>
      </c>
      <c r="L18" s="245" t="inlineStr">
        <is>
          <t>WA-MMF-10Q-IN</t>
        </is>
      </c>
      <c r="M18" s="248" t="inlineStr">
        <is>
          <t>MIWU00233</t>
        </is>
      </c>
      <c r="N18" s="245" t="inlineStr">
        <is>
          <t>F.MFM.10Q.005.BU</t>
        </is>
      </c>
      <c r="O18" s="245" t="n"/>
      <c r="P18" s="245" t="n"/>
      <c r="Q18" s="250">
        <f>R18/H18</f>
        <v/>
      </c>
      <c r="R18" s="251" t="n">
        <v>6082.6</v>
      </c>
      <c r="S18" s="249" t="n">
        <v>17843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35</v>
      </c>
      <c r="I19" s="245" t="inlineStr"/>
      <c r="J19" s="245" t="inlineStr"/>
      <c r="K19" s="245" t="inlineStr">
        <is>
          <t>12IN MEDIUM MFM QN</t>
        </is>
      </c>
      <c r="L19" s="245" t="inlineStr">
        <is>
          <t>WA-MMF-12Q-IN</t>
        </is>
      </c>
      <c r="M19" s="248" t="inlineStr">
        <is>
          <t>MIWU00233</t>
        </is>
      </c>
      <c r="N19" s="245" t="inlineStr">
        <is>
          <t>F.MFM.12Q.005.BU</t>
        </is>
      </c>
      <c r="O19" s="245" t="n"/>
      <c r="P19" s="245" t="n"/>
      <c r="Q19" s="250">
        <f>R19/H19</f>
        <v/>
      </c>
      <c r="R19" s="251" t="n">
        <v>2833.95</v>
      </c>
      <c r="S19" s="249" t="n">
        <v>17843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48</v>
      </c>
      <c r="I20" s="245" t="inlineStr"/>
      <c r="J20" s="245" t="inlineStr"/>
      <c r="K20" s="245" t="inlineStr">
        <is>
          <t>/HS : - Kode Barang : G200359 - Uraian: 100PCT POLYESTER FDY 250D/48F (275DTEX/48F) SD RW REC - Kemasan: 48 CT N\N</t>
        </is>
      </c>
      <c r="L20" s="245" t="inlineStr">
        <is>
          <t>G200359</t>
        </is>
      </c>
      <c r="M20" s="248" t="inlineStr">
        <is>
          <t>LYESTER</t>
        </is>
      </c>
      <c r="N20" s="245" t="inlineStr">
        <is>
          <t>G200359</t>
        </is>
      </c>
      <c r="O20" s="245" t="n"/>
      <c r="P20" s="245" t="n"/>
      <c r="Q20" s="250">
        <f>R20/H20</f>
        <v/>
      </c>
      <c r="R20" s="251" t="n">
        <v>4352.16</v>
      </c>
      <c r="S20" s="249" t="n">
        <v>17843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73</v>
      </c>
      <c r="I21" s="245" t="inlineStr"/>
      <c r="J21" s="245" t="inlineStr"/>
      <c r="K21" s="245" t="inlineStr">
        <is>
          <t>6IN MEDIUM MFM TW</t>
        </is>
      </c>
      <c r="L21" s="245" t="inlineStr">
        <is>
          <t>WA-MMF-6T-IN</t>
        </is>
      </c>
      <c r="M21" s="248" t="inlineStr">
        <is>
          <t>MIWU00233</t>
        </is>
      </c>
      <c r="N21" s="245" t="inlineStr">
        <is>
          <t>F.MFM.06T.002.BU</t>
        </is>
      </c>
      <c r="O21" s="245" t="n"/>
      <c r="P21" s="245" t="n"/>
      <c r="Q21" s="250">
        <f>R21/H21</f>
        <v/>
      </c>
      <c r="R21" s="251" t="n">
        <v>2343.3</v>
      </c>
      <c r="S21" s="249" t="n">
        <v>17843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28</v>
      </c>
      <c r="I22" s="245" t="inlineStr"/>
      <c r="J22" s="245" t="inlineStr"/>
      <c r="K22" s="245" t="inlineStr">
        <is>
          <t>10IN PLUSH MFM FL</t>
        </is>
      </c>
      <c r="L22" s="245" t="inlineStr">
        <is>
          <t>WA-PMF-10F-IN</t>
        </is>
      </c>
      <c r="M22" s="248" t="inlineStr">
        <is>
          <t>MIWU00233</t>
        </is>
      </c>
      <c r="N22" s="245" t="inlineStr">
        <is>
          <t>F.MFM.10F.006.BU</t>
        </is>
      </c>
      <c r="O22" s="245" t="n"/>
      <c r="P22" s="245" t="n"/>
      <c r="Q22" s="250">
        <f>R22/H22</f>
        <v/>
      </c>
      <c r="R22" s="251" t="n">
        <v>1755.6</v>
      </c>
      <c r="S22" s="249" t="n">
        <v>17843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20</v>
      </c>
      <c r="I23" s="245" t="inlineStr"/>
      <c r="J23" s="245" t="inlineStr"/>
      <c r="K23" s="245" t="inlineStr">
        <is>
          <t>8IN PLUSH MFM FL</t>
        </is>
      </c>
      <c r="L23" s="245" t="inlineStr">
        <is>
          <t>WA-PMF-8F-IN</t>
        </is>
      </c>
      <c r="M23" s="248" t="inlineStr">
        <is>
          <t>MIWU00233</t>
        </is>
      </c>
      <c r="N23" s="245" t="inlineStr">
        <is>
          <t>F.MFM.08F.006.BU</t>
        </is>
      </c>
      <c r="O23" s="245" t="n"/>
      <c r="P23" s="245" t="n"/>
      <c r="Q23" s="250">
        <f>R23/H23</f>
        <v/>
      </c>
      <c r="R23" s="251" t="n">
        <v>956.4</v>
      </c>
      <c r="S23" s="249" t="n">
        <v>17843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42</v>
      </c>
      <c r="I24" s="245" t="inlineStr"/>
      <c r="J24" s="245" t="inlineStr"/>
      <c r="K24" s="245" t="inlineStr">
        <is>
          <t>8IN PLUSH MFM TW</t>
        </is>
      </c>
      <c r="L24" s="245" t="inlineStr">
        <is>
          <t>WA-PMF-8T-IN</t>
        </is>
      </c>
      <c r="M24" s="248" t="inlineStr">
        <is>
          <t>MIWU00233</t>
        </is>
      </c>
      <c r="N24" s="245" t="inlineStr">
        <is>
          <t>F.MFM.08T.006.BU</t>
        </is>
      </c>
      <c r="O24" s="245" t="n"/>
      <c r="P24" s="245" t="n"/>
      <c r="Q24" s="250">
        <f>R24/H24</f>
        <v/>
      </c>
      <c r="R24" s="251" t="n">
        <v>1518.72</v>
      </c>
      <c r="S24" s="249" t="n">
        <v>17843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7.1" customHeight="1" s="202">
      <c r="A25" s="254" t="n"/>
      <c r="B25" s="254" t="n"/>
      <c r="C25" s="254" t="n"/>
      <c r="D25" s="254" t="n"/>
      <c r="E25" s="254" t="n"/>
      <c r="F25" s="254" t="n"/>
      <c r="G25" s="254" t="n"/>
      <c r="H25" s="255">
        <f>SUM(H12:H24)</f>
        <v/>
      </c>
      <c r="I25" s="254">
        <f>COUNTA(I12:I24)</f>
        <v/>
      </c>
      <c r="J25" s="254" t="n"/>
      <c r="K25" s="254" t="n"/>
      <c r="L25" s="254" t="n"/>
      <c r="M25" s="254" t="n"/>
      <c r="N25" s="254" t="n"/>
      <c r="O25" s="256">
        <f>SUM(O12:O24)</f>
        <v/>
      </c>
      <c r="P25" s="256">
        <f>SUM(P12:P24)</f>
        <v/>
      </c>
      <c r="Q25" s="254" t="n"/>
      <c r="R25" s="257">
        <f>SUM(R12:R24)</f>
        <v/>
      </c>
      <c r="S25" s="254" t="n"/>
      <c r="T25" s="258">
        <f>SUM(T12:T24)</f>
        <v/>
      </c>
      <c r="U25" s="254" t="n"/>
      <c r="V25" s="254" t="n"/>
      <c r="W25" s="254" t="n"/>
      <c r="X25" s="254" t="n"/>
      <c r="Y25" s="254" t="n"/>
      <c r="Z25" s="254" t="n"/>
    </row>
    <row r="26" ht="16.5" customHeight="1" s="202">
      <c r="A26" s="245" t="n">
        <v>2</v>
      </c>
      <c r="B26" s="245" t="inlineStr">
        <is>
          <t>000030ZIK48020260818000638</t>
        </is>
      </c>
      <c r="C26" s="245" t="n">
        <v>518878</v>
      </c>
      <c r="D26" s="245" t="n">
        <v>518829</v>
      </c>
      <c r="E26" s="246" t="n">
        <v>46253</v>
      </c>
      <c r="F26" s="245" t="inlineStr">
        <is>
          <t>ID2608-8161</t>
        </is>
      </c>
      <c r="G26" s="246" t="n">
        <v>46252</v>
      </c>
      <c r="H26" s="247" t="n">
        <v>50</v>
      </c>
      <c r="I26" s="245" t="inlineStr">
        <is>
          <t>EGHU9225269</t>
        </is>
      </c>
      <c r="J26" s="245" t="inlineStr">
        <is>
          <t>40FT</t>
        </is>
      </c>
      <c r="K26" s="245" t="inlineStr">
        <is>
          <t>12IN MYGEL FOAM MATTRESS EK</t>
        </is>
      </c>
      <c r="L26" s="245" t="inlineStr">
        <is>
          <t>ZU-MFGNSWZU-12K</t>
        </is>
      </c>
      <c r="M26" s="248" t="inlineStr">
        <is>
          <t>TIN60182</t>
        </is>
      </c>
      <c r="N26" s="245" t="inlineStr">
        <is>
          <t>F.MFG.12K.000.ZU</t>
        </is>
      </c>
      <c r="O26" s="249" t="n">
        <v>10925.6</v>
      </c>
      <c r="P26" s="249" t="n">
        <v>9167.1</v>
      </c>
      <c r="Q26" s="250">
        <f>R26/H26</f>
        <v/>
      </c>
      <c r="R26" s="251" t="n">
        <v>6088.5</v>
      </c>
      <c r="S26" s="249" t="n">
        <v>17843</v>
      </c>
      <c r="T26" s="252">
        <f>S26*R26</f>
        <v/>
      </c>
      <c r="U26" s="245" t="inlineStr">
        <is>
          <t>040300/KPPBC</t>
        </is>
      </c>
      <c r="V26" s="245" t="inlineStr">
        <is>
          <t>TG. PRIOK</t>
        </is>
      </c>
      <c r="W26" s="245" t="inlineStr">
        <is>
          <t>OAKLAND, US</t>
        </is>
      </c>
      <c r="X26" s="245" t="inlineStr">
        <is>
          <t>ZINUS INC.</t>
        </is>
      </c>
      <c r="Y26" s="245" t="inlineStr">
        <is>
          <t>EGLV080600544272</t>
        </is>
      </c>
      <c r="Z26" s="246" t="n">
        <v>46253</v>
      </c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50</v>
      </c>
      <c r="I27" s="245" t="inlineStr"/>
      <c r="J27" s="245" t="inlineStr"/>
      <c r="K27" s="245" t="inlineStr">
        <is>
          <t>6IN TRI FOLD MF MATTRESS QN</t>
        </is>
      </c>
      <c r="L27" s="245" t="inlineStr">
        <is>
          <t>ZU-MFMA1HZI-06Q</t>
        </is>
      </c>
      <c r="M27" s="248" t="inlineStr">
        <is>
          <t>TIN60182</t>
        </is>
      </c>
      <c r="N27" s="245" t="inlineStr">
        <is>
          <t>F.MFM.06Q.009.ZU</t>
        </is>
      </c>
      <c r="O27" s="245" t="n"/>
      <c r="P27" s="245" t="n"/>
      <c r="Q27" s="250">
        <f>R27/H27</f>
        <v/>
      </c>
      <c r="R27" s="251" t="n">
        <v>2985.5</v>
      </c>
      <c r="S27" s="249" t="n">
        <v>17843</v>
      </c>
      <c r="T27" s="252">
        <f>S27*R27</f>
        <v/>
      </c>
      <c r="U27" s="245" t="n"/>
      <c r="V27" s="245" t="n"/>
      <c r="W27" s="245" t="inlineStr">
        <is>
          <t>ETD : 24-08-2026</t>
        </is>
      </c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50</v>
      </c>
      <c r="I28" s="245" t="inlineStr"/>
      <c r="J28" s="245" t="inlineStr"/>
      <c r="K28" s="245" t="inlineStr">
        <is>
          <t>8IN PRESSURE RELIEF MF MATT FL</t>
        </is>
      </c>
      <c r="L28" s="245" t="inlineStr">
        <is>
          <t>ZU-MFMAPRZU-08F</t>
        </is>
      </c>
      <c r="M28" s="248" t="inlineStr">
        <is>
          <t>TIN60182</t>
        </is>
      </c>
      <c r="N28" s="245" t="inlineStr">
        <is>
          <t>F.MFM.08F.000.ZU</t>
        </is>
      </c>
      <c r="O28" s="245" t="n"/>
      <c r="P28" s="245" t="n"/>
      <c r="Q28" s="250">
        <f>R28/H28</f>
        <v/>
      </c>
      <c r="R28" s="251" t="n">
        <v>3069.5</v>
      </c>
      <c r="S28" s="249" t="n">
        <v>17843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50</v>
      </c>
      <c r="I29" s="245" t="inlineStr"/>
      <c r="J29" s="245" t="inlineStr"/>
      <c r="K29" s="245" t="inlineStr">
        <is>
          <t>8IN PRESSURE RELIEF MF MATT QN</t>
        </is>
      </c>
      <c r="L29" s="245" t="inlineStr">
        <is>
          <t>ZU-MFMAPRZU-08Q</t>
        </is>
      </c>
      <c r="M29" s="248" t="inlineStr">
        <is>
          <t>TIN60182</t>
        </is>
      </c>
      <c r="N29" s="245" t="inlineStr">
        <is>
          <t>F.MFM.08Q.000.ZU</t>
        </is>
      </c>
      <c r="O29" s="245" t="n"/>
      <c r="P29" s="245" t="n"/>
      <c r="Q29" s="250">
        <f>R29/H29</f>
        <v/>
      </c>
      <c r="R29" s="251" t="n">
        <v>3607</v>
      </c>
      <c r="S29" s="249" t="n">
        <v>17843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50</v>
      </c>
      <c r="I30" s="245" t="inlineStr"/>
      <c r="J30" s="245" t="inlineStr"/>
      <c r="K30" s="245" t="inlineStr">
        <is>
          <t>8IN PRESSURE RELIEF MF MATT TW</t>
        </is>
      </c>
      <c r="L30" s="245" t="inlineStr">
        <is>
          <t>ZU-MFMAPRZU-08T</t>
        </is>
      </c>
      <c r="M30" s="248" t="inlineStr">
        <is>
          <t>TIN60182</t>
        </is>
      </c>
      <c r="N30" s="245" t="inlineStr">
        <is>
          <t>F.MFM.08T.000.ZU</t>
        </is>
      </c>
      <c r="O30" s="245" t="n"/>
      <c r="P30" s="245" t="n"/>
      <c r="Q30" s="250">
        <f>R30/H30</f>
        <v/>
      </c>
      <c r="R30" s="251" t="n">
        <v>2303.5</v>
      </c>
      <c r="S30" s="249" t="n">
        <v>17843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50</v>
      </c>
      <c r="I31" s="245" t="inlineStr"/>
      <c r="J31" s="245" t="inlineStr"/>
      <c r="K31" s="245" t="inlineStr">
        <is>
          <t>8IN UL MSS FL</t>
        </is>
      </c>
      <c r="L31" s="245" t="inlineStr">
        <is>
          <t>SC-SMT-8F</t>
        </is>
      </c>
      <c r="M31" s="248" t="inlineStr">
        <is>
          <t>TIN60182</t>
        </is>
      </c>
      <c r="N31" s="245" t="inlineStr">
        <is>
          <t>F.MSS.08F.001.ZU</t>
        </is>
      </c>
      <c r="O31" s="245" t="n"/>
      <c r="P31" s="245" t="n"/>
      <c r="Q31" s="250">
        <f>R31/H31</f>
        <v/>
      </c>
      <c r="R31" s="251" t="n">
        <v>3528</v>
      </c>
      <c r="S31" s="249" t="n">
        <v>17843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50</v>
      </c>
      <c r="I32" s="245" t="inlineStr"/>
      <c r="J32" s="245" t="inlineStr"/>
      <c r="K32" s="245" t="inlineStr">
        <is>
          <t>8IN UL MSS TW</t>
        </is>
      </c>
      <c r="L32" s="245" t="inlineStr">
        <is>
          <t>SC-SMT-8T</t>
        </is>
      </c>
      <c r="M32" s="248" t="inlineStr">
        <is>
          <t>TIN60182</t>
        </is>
      </c>
      <c r="N32" s="245" t="inlineStr">
        <is>
          <t>F.MSS.08T.001.ZU</t>
        </is>
      </c>
      <c r="O32" s="245" t="n"/>
      <c r="P32" s="245" t="n"/>
      <c r="Q32" s="250">
        <f>R32/H32</f>
        <v/>
      </c>
      <c r="R32" s="251" t="n">
        <v>2680</v>
      </c>
      <c r="S32" s="249" t="n">
        <v>17843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90</v>
      </c>
      <c r="I33" s="245" t="inlineStr"/>
      <c r="J33" s="245" t="inlineStr"/>
      <c r="K33" s="245" t="inlineStr">
        <is>
          <t>3IN GEL MF TOPPER W/ COVER EK</t>
        </is>
      </c>
      <c r="L33" s="245" t="inlineStr">
        <is>
          <t>MF-TGTNM1ZI-03K</t>
        </is>
      </c>
      <c r="M33" s="248" t="inlineStr">
        <is>
          <t>TIN60182</t>
        </is>
      </c>
      <c r="N33" s="245" t="inlineStr">
        <is>
          <t>F.TGT.03K.001.ZU</t>
        </is>
      </c>
      <c r="O33" s="245" t="n"/>
      <c r="P33" s="245" t="n"/>
      <c r="Q33" s="250">
        <f>R33/H33</f>
        <v/>
      </c>
      <c r="R33" s="251" t="n">
        <v>4186.8</v>
      </c>
      <c r="S33" s="249" t="n">
        <v>17843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90</v>
      </c>
      <c r="I34" s="245" t="inlineStr"/>
      <c r="J34" s="245" t="inlineStr"/>
      <c r="K34" s="245" t="inlineStr">
        <is>
          <t>3IN GEL MF TOPPER W/ COVER TW</t>
        </is>
      </c>
      <c r="L34" s="245" t="inlineStr">
        <is>
          <t>MF-TGTNM1ZI-03T</t>
        </is>
      </c>
      <c r="M34" s="248" t="inlineStr">
        <is>
          <t>TIN60182</t>
        </is>
      </c>
      <c r="N34" s="245" t="inlineStr">
        <is>
          <t>F.TGT.03T.001.ZU</t>
        </is>
      </c>
      <c r="O34" s="245" t="n"/>
      <c r="P34" s="245" t="n"/>
      <c r="Q34" s="250">
        <f>R34/H34</f>
        <v/>
      </c>
      <c r="R34" s="251" t="n">
        <v>2377.8</v>
      </c>
      <c r="S34" s="249" t="n">
        <v>17843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SUM(H26:H34)</f>
        <v/>
      </c>
      <c r="I35" s="254">
        <f>COUNTA(I26:I34)</f>
        <v/>
      </c>
      <c r="J35" s="254" t="n"/>
      <c r="K35" s="254" t="n"/>
      <c r="L35" s="254" t="n"/>
      <c r="M35" s="254" t="n"/>
      <c r="N35" s="254" t="n"/>
      <c r="O35" s="256">
        <f>SUM(O26:O34)</f>
        <v/>
      </c>
      <c r="P35" s="256">
        <f>SUM(P26:P34)</f>
        <v/>
      </c>
      <c r="Q35" s="254" t="n"/>
      <c r="R35" s="257">
        <f>SUM(R26:R34)</f>
        <v/>
      </c>
      <c r="S35" s="254" t="n"/>
      <c r="T35" s="258">
        <f>SUM(T26:T34)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3</v>
      </c>
      <c r="B36" s="245" t="inlineStr">
        <is>
          <t>000030ZIK48020260818000639</t>
        </is>
      </c>
      <c r="C36" s="245" t="n">
        <v>521787</v>
      </c>
      <c r="D36" s="245" t="n">
        <v>521737</v>
      </c>
      <c r="E36" s="246" t="n">
        <v>46253</v>
      </c>
      <c r="F36" s="245" t="inlineStr">
        <is>
          <t>ID2608-8162</t>
        </is>
      </c>
      <c r="G36" s="246" t="n">
        <v>46252</v>
      </c>
      <c r="H36" s="247" t="n">
        <v>1</v>
      </c>
      <c r="I36" s="245" t="inlineStr">
        <is>
          <t>BEAU6307970</t>
        </is>
      </c>
      <c r="J36" s="245" t="inlineStr">
        <is>
          <t>40FT</t>
        </is>
      </c>
      <c r="K36" s="245" t="inlineStr">
        <is>
          <t>6IN OPP HD TW</t>
        </is>
      </c>
      <c r="L36" s="245" t="inlineStr">
        <is>
          <t>ZU-MFMA1OZI-06T</t>
        </is>
      </c>
      <c r="M36" s="248" t="inlineStr">
        <is>
          <t>2JZFJ5EZ</t>
        </is>
      </c>
      <c r="N36" s="245" t="inlineStr">
        <is>
          <t>F.MFM.06T.008.AD</t>
        </is>
      </c>
      <c r="O36" s="249" t="n">
        <v>95797.56</v>
      </c>
      <c r="P36" s="249" t="n">
        <v>88869.55</v>
      </c>
      <c r="Q36" s="250">
        <f>R36/H36</f>
        <v/>
      </c>
      <c r="R36" s="251" t="n">
        <v>26.95</v>
      </c>
      <c r="S36" s="249" t="n">
        <v>17843</v>
      </c>
      <c r="T36" s="252">
        <f>S36*R36</f>
        <v/>
      </c>
      <c r="U36" s="245" t="inlineStr">
        <is>
          <t>040300/KPPBC</t>
        </is>
      </c>
      <c r="V36" s="245" t="inlineStr">
        <is>
          <t>TG. PRIOK</t>
        </is>
      </c>
      <c r="W36" s="245" t="inlineStr">
        <is>
          <t>NORFOLK, US</t>
        </is>
      </c>
      <c r="X36" s="245" t="inlineStr">
        <is>
          <t>AMAZON.COM SERVICES LLC</t>
        </is>
      </c>
      <c r="Y36" s="245" t="inlineStr">
        <is>
          <t>EGLV080600489302</t>
        </is>
      </c>
      <c r="Z36" s="246" t="n">
        <v>46253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2</v>
      </c>
      <c r="I37" s="245" t="inlineStr">
        <is>
          <t>TGBU7295172</t>
        </is>
      </c>
      <c r="J37" s="245" t="inlineStr">
        <is>
          <t>40FT</t>
        </is>
      </c>
      <c r="K37" s="245" t="inlineStr">
        <is>
          <t>12IN AIRFLOW GEL FOAM MATT EK</t>
        </is>
      </c>
      <c r="L37" s="245" t="inlineStr">
        <is>
          <t>ZU-MFMA1RZI-12K</t>
        </is>
      </c>
      <c r="M37" s="248" t="inlineStr">
        <is>
          <t>2JZFJ5EZ</t>
        </is>
      </c>
      <c r="N37" s="245" t="inlineStr">
        <is>
          <t>F.MFM.12K.011.AD</t>
        </is>
      </c>
      <c r="O37" s="245" t="n"/>
      <c r="P37" s="245" t="n"/>
      <c r="Q37" s="250">
        <f>R37/H37</f>
        <v/>
      </c>
      <c r="R37" s="251" t="n">
        <v>149.72</v>
      </c>
      <c r="S37" s="249" t="n">
        <v>17843</v>
      </c>
      <c r="T37" s="252">
        <f>S37*R37</f>
        <v/>
      </c>
      <c r="U37" s="245" t="n"/>
      <c r="V37" s="245" t="n"/>
      <c r="W37" s="245" t="inlineStr">
        <is>
          <t>ETD : 23-08-2026</t>
        </is>
      </c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1</v>
      </c>
      <c r="I38" s="245" t="inlineStr">
        <is>
          <t>TXGU6562472</t>
        </is>
      </c>
      <c r="J38" s="245" t="inlineStr">
        <is>
          <t>40FT</t>
        </is>
      </c>
      <c r="K38" s="245" t="inlineStr">
        <is>
          <t>12IN AIRFLOW GEL FOAM MATT QN</t>
        </is>
      </c>
      <c r="L38" s="245" t="inlineStr">
        <is>
          <t>ZU-MFMA1RZI-12Q</t>
        </is>
      </c>
      <c r="M38" s="248" t="inlineStr">
        <is>
          <t>2JZFJ5EZ</t>
        </is>
      </c>
      <c r="N38" s="245" t="inlineStr">
        <is>
          <t>F.MFM.12Q.011.AD</t>
        </is>
      </c>
      <c r="O38" s="245" t="n"/>
      <c r="P38" s="245" t="n"/>
      <c r="Q38" s="250">
        <f>R38/H38</f>
        <v/>
      </c>
      <c r="R38" s="251" t="n">
        <v>67.56999999999999</v>
      </c>
      <c r="S38" s="249" t="n">
        <v>17843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1</v>
      </c>
      <c r="I39" s="245" t="inlineStr">
        <is>
          <t>TRHU5696694</t>
        </is>
      </c>
      <c r="J39" s="245" t="inlineStr">
        <is>
          <t>40FT</t>
        </is>
      </c>
      <c r="K39" s="245" t="inlineStr">
        <is>
          <t>10IN GREEN TEA MF MATTRESS EK</t>
        </is>
      </c>
      <c r="L39" s="245" t="inlineStr">
        <is>
          <t>ZU-MFMA1ZZI-10K</t>
        </is>
      </c>
      <c r="M39" s="248" t="inlineStr">
        <is>
          <t>2JZFJ5EZ</t>
        </is>
      </c>
      <c r="N39" s="245" t="inlineStr">
        <is>
          <t>F.MFM.10K.007.AD</t>
        </is>
      </c>
      <c r="O39" s="245" t="n"/>
      <c r="P39" s="245" t="n"/>
      <c r="Q39" s="250">
        <f>R39/H39</f>
        <v/>
      </c>
      <c r="R39" s="251" t="n">
        <v>97.11</v>
      </c>
      <c r="S39" s="249" t="n">
        <v>17843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425</v>
      </c>
      <c r="I40" s="245" t="inlineStr">
        <is>
          <t>TEMU7117972</t>
        </is>
      </c>
      <c r="J40" s="245" t="inlineStr">
        <is>
          <t>40FT</t>
        </is>
      </c>
      <c r="K40" s="245" t="inlineStr">
        <is>
          <t>12IN GREEN TEA MF MATTRESS EK</t>
        </is>
      </c>
      <c r="L40" s="245" t="inlineStr">
        <is>
          <t>ZU-MFMA1ZZI-12K</t>
        </is>
      </c>
      <c r="M40" s="248" t="inlineStr">
        <is>
          <t>2JZFJ5EZ</t>
        </is>
      </c>
      <c r="N40" s="245" t="inlineStr">
        <is>
          <t>F.MFM.12K.006.AD</t>
        </is>
      </c>
      <c r="O40" s="245" t="n"/>
      <c r="P40" s="245" t="n"/>
      <c r="Q40" s="250">
        <f>R40/H40</f>
        <v/>
      </c>
      <c r="R40" s="251" t="n">
        <v>43337.25</v>
      </c>
      <c r="S40" s="249" t="n">
        <v>17843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45</v>
      </c>
      <c r="I41" s="245" t="inlineStr">
        <is>
          <t>EGHU8265098</t>
        </is>
      </c>
      <c r="J41" s="245" t="inlineStr">
        <is>
          <t>40FT</t>
        </is>
      </c>
      <c r="K41" s="245" t="inlineStr">
        <is>
          <t>12IN AIRFLOW GEL FOAM MATT EK</t>
        </is>
      </c>
      <c r="L41" s="245" t="inlineStr">
        <is>
          <t>ZU-MFMA1RZI-12K</t>
        </is>
      </c>
      <c r="M41" s="248" t="inlineStr">
        <is>
          <t>4CJLFJSG</t>
        </is>
      </c>
      <c r="N41" s="245" t="inlineStr">
        <is>
          <t>F.MFM.12K.011.AD</t>
        </is>
      </c>
      <c r="O41" s="245" t="n"/>
      <c r="P41" s="245" t="n"/>
      <c r="Q41" s="250">
        <f>R41/H41</f>
        <v/>
      </c>
      <c r="R41" s="251" t="n">
        <v>3368.7</v>
      </c>
      <c r="S41" s="249" t="n">
        <v>17843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</v>
      </c>
      <c r="I42" s="245" t="inlineStr">
        <is>
          <t>TRHU4569756</t>
        </is>
      </c>
      <c r="J42" s="245" t="inlineStr">
        <is>
          <t>40FT</t>
        </is>
      </c>
      <c r="K42" s="245" t="inlineStr">
        <is>
          <t>12IN AIRFLOW GEL FOAM MATT TW</t>
        </is>
      </c>
      <c r="L42" s="245" t="inlineStr">
        <is>
          <t>ZU-MFMA1RZI-12T</t>
        </is>
      </c>
      <c r="M42" s="248" t="inlineStr">
        <is>
          <t>4CJLFJSG</t>
        </is>
      </c>
      <c r="N42" s="245" t="inlineStr">
        <is>
          <t>F.MFM.12T.011.AD</t>
        </is>
      </c>
      <c r="O42" s="245" t="n"/>
      <c r="P42" s="245" t="n"/>
      <c r="Q42" s="250">
        <f>R42/H42</f>
        <v/>
      </c>
      <c r="R42" s="251" t="n">
        <v>41.92</v>
      </c>
      <c r="S42" s="249" t="n">
        <v>17843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10IN GREEN TEA MF MATTRESS QN</t>
        </is>
      </c>
      <c r="L43" s="245" t="inlineStr">
        <is>
          <t>ZU-MFMA1ZZI-10Q</t>
        </is>
      </c>
      <c r="M43" s="248" t="inlineStr">
        <is>
          <t>4CJLFJSG</t>
        </is>
      </c>
      <c r="N43" s="245" t="inlineStr">
        <is>
          <t>F.MFM.10Q.007.AD</t>
        </is>
      </c>
      <c r="O43" s="245" t="n"/>
      <c r="P43" s="245" t="n"/>
      <c r="Q43" s="250">
        <f>R43/H43</f>
        <v/>
      </c>
      <c r="R43" s="251" t="n">
        <v>65.88</v>
      </c>
      <c r="S43" s="249" t="n">
        <v>17843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12IN GREEN TEA MF MATTRESS FL</t>
        </is>
      </c>
      <c r="L44" s="245" t="inlineStr">
        <is>
          <t>ZU-MFMA1ZZI-12F</t>
        </is>
      </c>
      <c r="M44" s="248" t="inlineStr">
        <is>
          <t>4CJLFJSG</t>
        </is>
      </c>
      <c r="N44" s="245" t="inlineStr">
        <is>
          <t>F.MFM.12F.006.AD</t>
        </is>
      </c>
      <c r="O44" s="245" t="n"/>
      <c r="P44" s="245" t="n"/>
      <c r="Q44" s="250">
        <f>R44/H44</f>
        <v/>
      </c>
      <c r="R44" s="251" t="n">
        <v>70.95999999999999</v>
      </c>
      <c r="S44" s="249" t="n">
        <v>17843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380</v>
      </c>
      <c r="I45" s="245" t="inlineStr"/>
      <c r="J45" s="245" t="inlineStr"/>
      <c r="K45" s="245" t="inlineStr">
        <is>
          <t>12IN GREEN TEA MF MATTRESS EK</t>
        </is>
      </c>
      <c r="L45" s="245" t="inlineStr">
        <is>
          <t>ZU-MFMA1ZZI-12K</t>
        </is>
      </c>
      <c r="M45" s="248" t="inlineStr">
        <is>
          <t>4CJLFJSG</t>
        </is>
      </c>
      <c r="N45" s="245" t="inlineStr">
        <is>
          <t>F.MFM.12K.006.AD</t>
        </is>
      </c>
      <c r="O45" s="245" t="n"/>
      <c r="P45" s="245" t="n"/>
      <c r="Q45" s="250">
        <f>R45/H45</f>
        <v/>
      </c>
      <c r="R45" s="251" t="n">
        <v>38748.6</v>
      </c>
      <c r="S45" s="249" t="n">
        <v>17843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47</v>
      </c>
      <c r="I46" s="245" t="inlineStr"/>
      <c r="J46" s="245" t="inlineStr"/>
      <c r="K46" s="245" t="inlineStr">
        <is>
          <t>12IN MYGEL FOAM MATTRESS EK</t>
        </is>
      </c>
      <c r="L46" s="245" t="inlineStr">
        <is>
          <t>ZU-MFGN1YZI-12K</t>
        </is>
      </c>
      <c r="M46" s="248" t="inlineStr">
        <is>
          <t>4JHJ1ILI</t>
        </is>
      </c>
      <c r="N46" s="245" t="inlineStr">
        <is>
          <t>F.MFG.12K.002.AD</t>
        </is>
      </c>
      <c r="O46" s="245" t="n"/>
      <c r="P46" s="245" t="n"/>
      <c r="Q46" s="250">
        <f>R46/H46</f>
        <v/>
      </c>
      <c r="R46" s="251" t="n">
        <v>4783.66</v>
      </c>
      <c r="S46" s="249" t="n">
        <v>17843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32</v>
      </c>
      <c r="I47" s="245" t="inlineStr"/>
      <c r="J47" s="245" t="inlineStr"/>
      <c r="K47" s="245" t="inlineStr">
        <is>
          <t>12IN AIRFLOW GEL FOAM MATT TW</t>
        </is>
      </c>
      <c r="L47" s="245" t="inlineStr">
        <is>
          <t>ZU-MFMA1RZI-12T</t>
        </is>
      </c>
      <c r="M47" s="248" t="inlineStr">
        <is>
          <t>4JHJ1ILI</t>
        </is>
      </c>
      <c r="N47" s="245" t="inlineStr">
        <is>
          <t>F.MFM.12T.011.AD</t>
        </is>
      </c>
      <c r="O47" s="245" t="n"/>
      <c r="P47" s="245" t="n"/>
      <c r="Q47" s="250">
        <f>R47/H47</f>
        <v/>
      </c>
      <c r="R47" s="251" t="n">
        <v>1341.44</v>
      </c>
      <c r="S47" s="249" t="n">
        <v>17843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6.5" customHeight="1" s="202">
      <c r="A48" s="245" t="n"/>
      <c r="B48" s="245" t="n"/>
      <c r="C48" s="245" t="n"/>
      <c r="D48" s="245" t="n"/>
      <c r="E48" s="245" t="n"/>
      <c r="F48" s="245" t="n"/>
      <c r="G48" s="245" t="n"/>
      <c r="H48" s="247" t="n">
        <v>313</v>
      </c>
      <c r="I48" s="245" t="inlineStr"/>
      <c r="J48" s="245" t="inlineStr"/>
      <c r="K48" s="245" t="inlineStr">
        <is>
          <t>12IN GREEN TEA MF MATTRESS EK</t>
        </is>
      </c>
      <c r="L48" s="245" t="inlineStr">
        <is>
          <t>ZU-MFMA1ZZI-12K</t>
        </is>
      </c>
      <c r="M48" s="248" t="inlineStr">
        <is>
          <t>4JHJ1ILI</t>
        </is>
      </c>
      <c r="N48" s="245" t="inlineStr">
        <is>
          <t>F.MFM.12K.006.AD</t>
        </is>
      </c>
      <c r="O48" s="245" t="n"/>
      <c r="P48" s="245" t="n"/>
      <c r="Q48" s="250">
        <f>R48/H48</f>
        <v/>
      </c>
      <c r="R48" s="251" t="n">
        <v>31916.61</v>
      </c>
      <c r="S48" s="249" t="n">
        <v>17843</v>
      </c>
      <c r="T48" s="252">
        <f>S48*R48</f>
        <v/>
      </c>
      <c r="U48" s="245" t="n"/>
      <c r="V48" s="245" t="n"/>
      <c r="W48" s="245" t="n"/>
      <c r="X48" s="245" t="n"/>
      <c r="Y48" s="245" t="n"/>
      <c r="Z48" s="245" t="n"/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7" t="n">
        <v>49</v>
      </c>
      <c r="I49" s="245" t="inlineStr"/>
      <c r="J49" s="245" t="inlineStr"/>
      <c r="K49" s="245" t="inlineStr">
        <is>
          <t>12IN GREEN TEA MF MATTRESS QN</t>
        </is>
      </c>
      <c r="L49" s="245" t="inlineStr">
        <is>
          <t>ZU-MFMA1ZZI-12Q</t>
        </is>
      </c>
      <c r="M49" s="248" t="inlineStr">
        <is>
          <t>4JHJ1ILI</t>
        </is>
      </c>
      <c r="N49" s="245" t="inlineStr">
        <is>
          <t>F.MFM.12Q.006.AD</t>
        </is>
      </c>
      <c r="O49" s="245" t="n"/>
      <c r="P49" s="245" t="n"/>
      <c r="Q49" s="250">
        <f>R49/H49</f>
        <v/>
      </c>
      <c r="R49" s="251" t="n">
        <v>4105.71</v>
      </c>
      <c r="S49" s="249" t="n">
        <v>17843</v>
      </c>
      <c r="T49" s="252">
        <f>S49*R49</f>
        <v/>
      </c>
      <c r="U49" s="245" t="n"/>
      <c r="V49" s="245" t="n"/>
      <c r="W49" s="245" t="n"/>
      <c r="X49" s="245" t="n"/>
      <c r="Y49" s="245" t="n"/>
      <c r="Z49" s="245" t="n"/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56</v>
      </c>
      <c r="I50" s="245" t="inlineStr"/>
      <c r="J50" s="245" t="inlineStr"/>
      <c r="K50" s="245" t="inlineStr">
        <is>
          <t>6IN OPP HD TW</t>
        </is>
      </c>
      <c r="L50" s="245" t="inlineStr">
        <is>
          <t>ZU-MFMA1OZI-06T</t>
        </is>
      </c>
      <c r="M50" s="248" t="inlineStr">
        <is>
          <t>4KPMKNFU</t>
        </is>
      </c>
      <c r="N50" s="245" t="inlineStr">
        <is>
          <t>F.MFM.06T.008.AD</t>
        </is>
      </c>
      <c r="O50" s="245" t="n"/>
      <c r="P50" s="245" t="n"/>
      <c r="Q50" s="250">
        <f>R50/H50</f>
        <v/>
      </c>
      <c r="R50" s="251" t="n">
        <v>1509.2</v>
      </c>
      <c r="S50" s="249" t="n">
        <v>17843</v>
      </c>
      <c r="T50" s="252">
        <f>S50*R50</f>
        <v/>
      </c>
      <c r="U50" s="245" t="n"/>
      <c r="V50" s="245" t="n"/>
      <c r="W50" s="245" t="n"/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1</v>
      </c>
      <c r="I51" s="245" t="inlineStr"/>
      <c r="J51" s="245" t="inlineStr"/>
      <c r="K51" s="245" t="inlineStr">
        <is>
          <t>6IN GREEN TEA MF MATTRESS QN</t>
        </is>
      </c>
      <c r="L51" s="245" t="inlineStr">
        <is>
          <t>ZU-MFMA1ZZI-06Q</t>
        </is>
      </c>
      <c r="M51" s="248" t="inlineStr">
        <is>
          <t>4KPMKNFU</t>
        </is>
      </c>
      <c r="N51" s="245" t="inlineStr">
        <is>
          <t>F.MFM.06Q.007.AD</t>
        </is>
      </c>
      <c r="O51" s="245" t="n"/>
      <c r="P51" s="245" t="n"/>
      <c r="Q51" s="250">
        <f>R51/H51</f>
        <v/>
      </c>
      <c r="R51" s="251" t="n">
        <v>45.51</v>
      </c>
      <c r="S51" s="249" t="n">
        <v>17843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</v>
      </c>
      <c r="I52" s="245" t="inlineStr"/>
      <c r="J52" s="245" t="inlineStr"/>
      <c r="K52" s="245" t="inlineStr">
        <is>
          <t>10IN GREEN TEA MF MATTRESS EK</t>
        </is>
      </c>
      <c r="L52" s="245" t="inlineStr">
        <is>
          <t>ZU-MFMA1ZZI-10K</t>
        </is>
      </c>
      <c r="M52" s="248" t="inlineStr">
        <is>
          <t>4KPMKNFU</t>
        </is>
      </c>
      <c r="N52" s="245" t="inlineStr">
        <is>
          <t>F.MFM.10K.007.AD</t>
        </is>
      </c>
      <c r="O52" s="245" t="n"/>
      <c r="P52" s="245" t="n"/>
      <c r="Q52" s="250">
        <f>R52/H52</f>
        <v/>
      </c>
      <c r="R52" s="251" t="n">
        <v>97.11</v>
      </c>
      <c r="S52" s="249" t="n">
        <v>17843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1</v>
      </c>
      <c r="I53" s="245" t="inlineStr"/>
      <c r="J53" s="245" t="inlineStr"/>
      <c r="K53" s="245" t="inlineStr">
        <is>
          <t>10IN GREEN TEA MF MATTRESS QN</t>
        </is>
      </c>
      <c r="L53" s="245" t="inlineStr">
        <is>
          <t>ZU-MFMA1ZZI-10Q</t>
        </is>
      </c>
      <c r="M53" s="248" t="inlineStr">
        <is>
          <t>4KPMKNFU</t>
        </is>
      </c>
      <c r="N53" s="245" t="inlineStr">
        <is>
          <t>F.MFM.10Q.007.AD</t>
        </is>
      </c>
      <c r="O53" s="245" t="n"/>
      <c r="P53" s="245" t="n"/>
      <c r="Q53" s="250">
        <f>R53/H53</f>
        <v/>
      </c>
      <c r="R53" s="251" t="n">
        <v>65.88</v>
      </c>
      <c r="S53" s="249" t="n">
        <v>17843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408</v>
      </c>
      <c r="I54" s="245" t="inlineStr"/>
      <c r="J54" s="245" t="inlineStr"/>
      <c r="K54" s="245" t="inlineStr">
        <is>
          <t>12IN GREEN TEA MF MATTRESS EK</t>
        </is>
      </c>
      <c r="L54" s="245" t="inlineStr">
        <is>
          <t>ZU-MFMA1ZZI-12K</t>
        </is>
      </c>
      <c r="M54" s="248" t="inlineStr">
        <is>
          <t>4KPMKNFU</t>
        </is>
      </c>
      <c r="N54" s="245" t="inlineStr">
        <is>
          <t>F.MFM.12K.006.AD</t>
        </is>
      </c>
      <c r="O54" s="245" t="n"/>
      <c r="P54" s="245" t="n"/>
      <c r="Q54" s="250">
        <f>R54/H54</f>
        <v/>
      </c>
      <c r="R54" s="251" t="n">
        <v>41603.76</v>
      </c>
      <c r="S54" s="249" t="n">
        <v>17843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340</v>
      </c>
      <c r="I55" s="245" t="inlineStr"/>
      <c r="J55" s="245" t="inlineStr"/>
      <c r="K55" s="245" t="inlineStr">
        <is>
          <t>12IN MYGEL FOAM MATTRESS EK</t>
        </is>
      </c>
      <c r="L55" s="245" t="inlineStr">
        <is>
          <t>ZU-MFGN1YZI-12K</t>
        </is>
      </c>
      <c r="M55" s="248" t="inlineStr">
        <is>
          <t>4XTAH4LY</t>
        </is>
      </c>
      <c r="N55" s="245" t="inlineStr">
        <is>
          <t>F.MFG.12K.002.AD</t>
        </is>
      </c>
      <c r="O55" s="245" t="n"/>
      <c r="P55" s="245" t="n"/>
      <c r="Q55" s="250">
        <f>R55/H55</f>
        <v/>
      </c>
      <c r="R55" s="251" t="n">
        <v>34605.2</v>
      </c>
      <c r="S55" s="249" t="n">
        <v>17843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3</v>
      </c>
      <c r="I56" s="245" t="inlineStr"/>
      <c r="J56" s="245" t="inlineStr"/>
      <c r="K56" s="245" t="inlineStr">
        <is>
          <t>10IN OPP HD FL</t>
        </is>
      </c>
      <c r="L56" s="245" t="inlineStr">
        <is>
          <t>ZU-MFMA1OZI-10F</t>
        </is>
      </c>
      <c r="M56" s="248" t="inlineStr">
        <is>
          <t>4XTAH4LY</t>
        </is>
      </c>
      <c r="N56" s="245" t="inlineStr">
        <is>
          <t>F.MFM.10F.013.AD</t>
        </is>
      </c>
      <c r="O56" s="245" t="n"/>
      <c r="P56" s="245" t="n"/>
      <c r="Q56" s="250">
        <f>R56/H56</f>
        <v/>
      </c>
      <c r="R56" s="251" t="n">
        <v>143.73</v>
      </c>
      <c r="S56" s="249" t="n">
        <v>17843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1</v>
      </c>
      <c r="I57" s="245" t="inlineStr"/>
      <c r="J57" s="245" t="inlineStr"/>
      <c r="K57" s="245" t="inlineStr">
        <is>
          <t>12IN AIRFLOW GEL FOAM MATT EK</t>
        </is>
      </c>
      <c r="L57" s="245" t="inlineStr">
        <is>
          <t>ZU-MFMA1RZI-12K</t>
        </is>
      </c>
      <c r="M57" s="248" t="inlineStr">
        <is>
          <t>4XTAH4LY</t>
        </is>
      </c>
      <c r="N57" s="245" t="inlineStr">
        <is>
          <t>F.MFM.12K.011.AD</t>
        </is>
      </c>
      <c r="O57" s="245" t="n"/>
      <c r="P57" s="245" t="n"/>
      <c r="Q57" s="250">
        <f>R57/H57</f>
        <v/>
      </c>
      <c r="R57" s="251" t="n">
        <v>74.86</v>
      </c>
      <c r="S57" s="249" t="n">
        <v>17843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26</v>
      </c>
      <c r="I58" s="245" t="inlineStr"/>
      <c r="J58" s="245" t="inlineStr"/>
      <c r="K58" s="245" t="inlineStr">
        <is>
          <t>12IN AIRFLOW GEL FOAM MATT TW</t>
        </is>
      </c>
      <c r="L58" s="245" t="inlineStr">
        <is>
          <t>ZU-MFMA1RZI-12T</t>
        </is>
      </c>
      <c r="M58" s="248" t="inlineStr">
        <is>
          <t>4XTAH4LY</t>
        </is>
      </c>
      <c r="N58" s="245" t="inlineStr">
        <is>
          <t>F.MFM.12T.011.AD</t>
        </is>
      </c>
      <c r="O58" s="245" t="n"/>
      <c r="P58" s="245" t="n"/>
      <c r="Q58" s="250">
        <f>R58/H58</f>
        <v/>
      </c>
      <c r="R58" s="251" t="n">
        <v>1089.92</v>
      </c>
      <c r="S58" s="249" t="n">
        <v>17843</v>
      </c>
      <c r="T58" s="252">
        <f>S58*R58</f>
        <v/>
      </c>
      <c r="U58" s="245" t="n"/>
      <c r="V58" s="245" t="n"/>
      <c r="W58" s="245" t="n"/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1</v>
      </c>
      <c r="I59" s="245" t="inlineStr"/>
      <c r="J59" s="245" t="inlineStr"/>
      <c r="K59" s="245" t="inlineStr">
        <is>
          <t>10IN GREEN TEA MF MATTRESS QN</t>
        </is>
      </c>
      <c r="L59" s="245" t="inlineStr">
        <is>
          <t>ZU-MFMA1ZZI-10Q</t>
        </is>
      </c>
      <c r="M59" s="248" t="inlineStr">
        <is>
          <t>4XTAH4LY</t>
        </is>
      </c>
      <c r="N59" s="245" t="inlineStr">
        <is>
          <t>F.MFM.10Q.007.AD</t>
        </is>
      </c>
      <c r="O59" s="245" t="n"/>
      <c r="P59" s="245" t="n"/>
      <c r="Q59" s="250">
        <f>R59/H59</f>
        <v/>
      </c>
      <c r="R59" s="251" t="n">
        <v>65.88</v>
      </c>
      <c r="S59" s="249" t="n">
        <v>17843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1</v>
      </c>
      <c r="I60" s="245" t="inlineStr"/>
      <c r="J60" s="245" t="inlineStr"/>
      <c r="K60" s="245" t="inlineStr">
        <is>
          <t>6IN OPP HD TW</t>
        </is>
      </c>
      <c r="L60" s="245" t="inlineStr">
        <is>
          <t>ZU-MFMA1OZI-06T</t>
        </is>
      </c>
      <c r="M60" s="248" t="inlineStr">
        <is>
          <t>7A8LLZSW</t>
        </is>
      </c>
      <c r="N60" s="245" t="inlineStr">
        <is>
          <t>F.MFM.06T.008.AD</t>
        </is>
      </c>
      <c r="O60" s="245" t="n"/>
      <c r="P60" s="245" t="n"/>
      <c r="Q60" s="250">
        <f>R60/H60</f>
        <v/>
      </c>
      <c r="R60" s="251" t="n">
        <v>26.95</v>
      </c>
      <c r="S60" s="249" t="n">
        <v>17843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34</v>
      </c>
      <c r="I61" s="245" t="inlineStr"/>
      <c r="J61" s="245" t="inlineStr"/>
      <c r="K61" s="245" t="inlineStr">
        <is>
          <t>12IN AIRFLOW GEL FOAM MATT EK</t>
        </is>
      </c>
      <c r="L61" s="245" t="inlineStr">
        <is>
          <t>ZU-MFMA1RZI-12K</t>
        </is>
      </c>
      <c r="M61" s="248" t="inlineStr">
        <is>
          <t>7A8LLZSW</t>
        </is>
      </c>
      <c r="N61" s="245" t="inlineStr">
        <is>
          <t>F.MFM.12K.011.AD</t>
        </is>
      </c>
      <c r="O61" s="245" t="n"/>
      <c r="P61" s="245" t="n"/>
      <c r="Q61" s="250">
        <f>R61/H61</f>
        <v/>
      </c>
      <c r="R61" s="251" t="n">
        <v>2545.24</v>
      </c>
      <c r="S61" s="249" t="n">
        <v>17843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494</v>
      </c>
      <c r="I62" s="245" t="inlineStr"/>
      <c r="J62" s="245" t="inlineStr"/>
      <c r="K62" s="245" t="inlineStr">
        <is>
          <t>10IN GREEN TEA MF MATTRESS QN</t>
        </is>
      </c>
      <c r="L62" s="245" t="inlineStr">
        <is>
          <t>ZU-MFMA1ZZI-10Q</t>
        </is>
      </c>
      <c r="M62" s="248" t="inlineStr">
        <is>
          <t>7A8LLZSW</t>
        </is>
      </c>
      <c r="N62" s="245" t="inlineStr">
        <is>
          <t>F.MFM.10Q.007.AD</t>
        </is>
      </c>
      <c r="O62" s="245" t="n"/>
      <c r="P62" s="245" t="n"/>
      <c r="Q62" s="250">
        <f>R62/H62</f>
        <v/>
      </c>
      <c r="R62" s="251" t="n">
        <v>32544.72</v>
      </c>
      <c r="S62" s="249" t="n">
        <v>17843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4</v>
      </c>
      <c r="I63" s="245" t="inlineStr"/>
      <c r="J63" s="245" t="inlineStr"/>
      <c r="K63" s="245" t="inlineStr">
        <is>
          <t>6IN TIGHT TOP BONNEL TX</t>
        </is>
      </c>
      <c r="L63" s="245" t="inlineStr">
        <is>
          <t>ZU-MSSA2BZI-06X</t>
        </is>
      </c>
      <c r="M63" s="248" t="inlineStr">
        <is>
          <t>2JZFJ5EZ</t>
        </is>
      </c>
      <c r="N63" s="245" t="inlineStr">
        <is>
          <t>F.MSS.06X.007.AD</t>
        </is>
      </c>
      <c r="O63" s="245" t="n"/>
      <c r="P63" s="245" t="n"/>
      <c r="Q63" s="250">
        <f>R63/H63</f>
        <v/>
      </c>
      <c r="R63" s="251" t="n">
        <v>111</v>
      </c>
      <c r="S63" s="249" t="n">
        <v>17843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1</v>
      </c>
      <c r="I64" s="245" t="inlineStr"/>
      <c r="J64" s="245" t="inlineStr"/>
      <c r="K64" s="245" t="inlineStr">
        <is>
          <t>8IN TIGHT TOP BONNEL SQ</t>
        </is>
      </c>
      <c r="L64" s="245" t="inlineStr">
        <is>
          <t>ZU-MSSA2BZI-08S</t>
        </is>
      </c>
      <c r="M64" s="248" t="inlineStr">
        <is>
          <t>7A8LLZSW</t>
        </is>
      </c>
      <c r="N64" s="245" t="inlineStr">
        <is>
          <t>F.MSS.08S.009.AD</t>
        </is>
      </c>
      <c r="O64" s="245" t="n"/>
      <c r="P64" s="245" t="n"/>
      <c r="Q64" s="250">
        <f>R64/H64</f>
        <v/>
      </c>
      <c r="R64" s="251" t="n">
        <v>48.47</v>
      </c>
      <c r="S64" s="249" t="n">
        <v>17843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7.1" customHeight="1" s="202">
      <c r="A65" s="254" t="n"/>
      <c r="B65" s="254" t="n"/>
      <c r="C65" s="254" t="n"/>
      <c r="D65" s="254" t="n"/>
      <c r="E65" s="254" t="n"/>
      <c r="F65" s="254" t="n"/>
      <c r="G65" s="254" t="n"/>
      <c r="H65" s="255">
        <f>SUM(H36:H64)</f>
        <v/>
      </c>
      <c r="I65" s="254">
        <f>COUNTA(I36:I64)</f>
        <v/>
      </c>
      <c r="J65" s="254" t="n"/>
      <c r="K65" s="254" t="n"/>
      <c r="L65" s="254" t="n"/>
      <c r="M65" s="254" t="n"/>
      <c r="N65" s="254" t="n"/>
      <c r="O65" s="256">
        <f>SUM(O36:O64)</f>
        <v/>
      </c>
      <c r="P65" s="256">
        <f>SUM(P36:P64)</f>
        <v/>
      </c>
      <c r="Q65" s="254" t="n"/>
      <c r="R65" s="257">
        <f>SUM(R36:R64)</f>
        <v/>
      </c>
      <c r="S65" s="254" t="n"/>
      <c r="T65" s="258">
        <f>SUM(T36:T64)</f>
        <v/>
      </c>
      <c r="U65" s="254" t="n"/>
      <c r="V65" s="254" t="n"/>
      <c r="W65" s="254" t="n"/>
      <c r="X65" s="254" t="n"/>
      <c r="Y65" s="254" t="n"/>
      <c r="Z65" s="254" t="n"/>
    </row>
    <row r="66" ht="16.5" customHeight="1" s="202">
      <c r="A66" s="245" t="n">
        <v>4</v>
      </c>
      <c r="B66" s="245" t="inlineStr">
        <is>
          <t>000030ZIK48020260818000640</t>
        </is>
      </c>
      <c r="C66" s="245" t="n">
        <v>521547</v>
      </c>
      <c r="D66" s="245" t="n">
        <v>521497</v>
      </c>
      <c r="E66" s="246" t="n">
        <v>46253</v>
      </c>
      <c r="F66" s="245" t="inlineStr">
        <is>
          <t>ID2608-8165</t>
        </is>
      </c>
      <c r="G66" s="246" t="n">
        <v>46252</v>
      </c>
      <c r="H66" s="247" t="n">
        <v>540</v>
      </c>
      <c r="I66" s="245" t="inlineStr">
        <is>
          <t>CAAU5349376</t>
        </is>
      </c>
      <c r="J66" s="245" t="inlineStr">
        <is>
          <t>40FT</t>
        </is>
      </c>
      <c r="K66" s="245" t="inlineStr">
        <is>
          <t>10IN GREEN TEA MF MATTRESS QN</t>
        </is>
      </c>
      <c r="L66" s="245" t="inlineStr">
        <is>
          <t>ZU-MFMA1ZZI-10Q</t>
        </is>
      </c>
      <c r="M66" s="248" t="inlineStr">
        <is>
          <t>1D35XDHB</t>
        </is>
      </c>
      <c r="N66" s="245" t="inlineStr">
        <is>
          <t>F.MFM.10Q.007.AD</t>
        </is>
      </c>
      <c r="O66" s="249" t="n">
        <v>86592.92</v>
      </c>
      <c r="P66" s="249" t="n">
        <v>77325.32000000001</v>
      </c>
      <c r="Q66" s="250">
        <f>R66/H66</f>
        <v/>
      </c>
      <c r="R66" s="251" t="n">
        <v>35575.2</v>
      </c>
      <c r="S66" s="249" t="n">
        <v>17843</v>
      </c>
      <c r="T66" s="252">
        <f>S66*R66</f>
        <v/>
      </c>
      <c r="U66" s="245" t="inlineStr">
        <is>
          <t>040300/KPPBC</t>
        </is>
      </c>
      <c r="V66" s="245" t="inlineStr">
        <is>
          <t>TG. PRIOK</t>
        </is>
      </c>
      <c r="W66" s="245" t="inlineStr">
        <is>
          <t>NORFOLK, US</t>
        </is>
      </c>
      <c r="X66" s="245" t="inlineStr">
        <is>
          <t>AMAZON.COM SERVICES LLC</t>
        </is>
      </c>
      <c r="Y66" s="245" t="inlineStr">
        <is>
          <t>EGLV080600496171</t>
        </is>
      </c>
      <c r="Z66" s="246" t="n">
        <v>46253</v>
      </c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1</v>
      </c>
      <c r="I67" s="245" t="inlineStr">
        <is>
          <t>CAAU5206138</t>
        </is>
      </c>
      <c r="J67" s="245" t="inlineStr">
        <is>
          <t>40FT</t>
        </is>
      </c>
      <c r="K67" s="245" t="inlineStr">
        <is>
          <t>14IN GREEN TEA FOAM MATTRESS K</t>
        </is>
      </c>
      <c r="L67" s="245" t="inlineStr">
        <is>
          <t>ZU-MFMA1ZZI-14K</t>
        </is>
      </c>
      <c r="M67" s="248" t="inlineStr">
        <is>
          <t>1D35XDHB</t>
        </is>
      </c>
      <c r="N67" s="245" t="inlineStr">
        <is>
          <t>F.MFM.14K.000.AD</t>
        </is>
      </c>
      <c r="O67" s="245" t="n"/>
      <c r="P67" s="245" t="n"/>
      <c r="Q67" s="250">
        <f>R67/H67</f>
        <v/>
      </c>
      <c r="R67" s="251" t="n">
        <v>129.32</v>
      </c>
      <c r="S67" s="249" t="n">
        <v>17843</v>
      </c>
      <c r="T67" s="252">
        <f>S67*R67</f>
        <v/>
      </c>
      <c r="U67" s="245" t="n"/>
      <c r="V67" s="245" t="n"/>
      <c r="W67" s="245" t="inlineStr">
        <is>
          <t>ETD : 23-08-2026</t>
        </is>
      </c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541</v>
      </c>
      <c r="I68" s="245" t="inlineStr">
        <is>
          <t>EITU1264589</t>
        </is>
      </c>
      <c r="J68" s="245" t="inlineStr">
        <is>
          <t>40FT</t>
        </is>
      </c>
      <c r="K68" s="245" t="inlineStr">
        <is>
          <t>10IN GREEN TEA MF MATTRESS QN</t>
        </is>
      </c>
      <c r="L68" s="245" t="inlineStr">
        <is>
          <t>ZU-MFMA1ZZI-10Q</t>
        </is>
      </c>
      <c r="M68" s="248" t="inlineStr">
        <is>
          <t>297N29PQ</t>
        </is>
      </c>
      <c r="N68" s="245" t="inlineStr">
        <is>
          <t>F.MFM.10Q.007.AD</t>
        </is>
      </c>
      <c r="O68" s="245" t="n"/>
      <c r="P68" s="245" t="n"/>
      <c r="Q68" s="250">
        <f>R68/H68</f>
        <v/>
      </c>
      <c r="R68" s="251" t="n">
        <v>35641.08</v>
      </c>
      <c r="S68" s="249" t="n">
        <v>17843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1</v>
      </c>
      <c r="I69" s="245" t="inlineStr">
        <is>
          <t>EGSU6094317</t>
        </is>
      </c>
      <c r="J69" s="245" t="inlineStr">
        <is>
          <t>40FT</t>
        </is>
      </c>
      <c r="K69" s="245" t="inlineStr">
        <is>
          <t>12IN GREEN TEA MF MATTRESS FL</t>
        </is>
      </c>
      <c r="L69" s="245" t="inlineStr">
        <is>
          <t>ZU-MFMA1ZZI-12F</t>
        </is>
      </c>
      <c r="M69" s="248" t="inlineStr">
        <is>
          <t>297N29PQ</t>
        </is>
      </c>
      <c r="N69" s="245" t="inlineStr">
        <is>
          <t>F.MFM.12F.006.AD</t>
        </is>
      </c>
      <c r="O69" s="245" t="n"/>
      <c r="P69" s="245" t="n"/>
      <c r="Q69" s="250">
        <f>R69/H69</f>
        <v/>
      </c>
      <c r="R69" s="251" t="n">
        <v>70.95999999999999</v>
      </c>
      <c r="S69" s="249" t="n">
        <v>17843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2</v>
      </c>
      <c r="I70" s="245" t="inlineStr">
        <is>
          <t>TCNU6809153</t>
        </is>
      </c>
      <c r="J70" s="245" t="inlineStr">
        <is>
          <t>40FT</t>
        </is>
      </c>
      <c r="K70" s="245" t="inlineStr">
        <is>
          <t>12IN AIRFLOW GEL FOAM MATT QN</t>
        </is>
      </c>
      <c r="L70" s="245" t="inlineStr">
        <is>
          <t>ZU-MFMA1RZI-12Q</t>
        </is>
      </c>
      <c r="M70" s="248" t="inlineStr">
        <is>
          <t>3TOZUKDA</t>
        </is>
      </c>
      <c r="N70" s="245" t="inlineStr">
        <is>
          <t>F.MFM.12Q.011.AD</t>
        </is>
      </c>
      <c r="O70" s="245" t="n"/>
      <c r="P70" s="245" t="n"/>
      <c r="Q70" s="250">
        <f>R70/H70</f>
        <v/>
      </c>
      <c r="R70" s="251" t="n">
        <v>135.14</v>
      </c>
      <c r="S70" s="249" t="n">
        <v>17843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1</v>
      </c>
      <c r="I71" s="245" t="inlineStr">
        <is>
          <t>TCNU1654629</t>
        </is>
      </c>
      <c r="J71" s="245" t="inlineStr">
        <is>
          <t>40FT</t>
        </is>
      </c>
      <c r="K71" s="245" t="inlineStr">
        <is>
          <t>12IN AIRFLOW GEL FOAM MATT TW</t>
        </is>
      </c>
      <c r="L71" s="245" t="inlineStr">
        <is>
          <t>ZU-MFMA1RZI-12T</t>
        </is>
      </c>
      <c r="M71" s="248" t="inlineStr">
        <is>
          <t>3TOZUKDA</t>
        </is>
      </c>
      <c r="N71" s="245" t="inlineStr">
        <is>
          <t>F.MFM.12T.011.AD</t>
        </is>
      </c>
      <c r="O71" s="245" t="n"/>
      <c r="P71" s="245" t="n"/>
      <c r="Q71" s="250">
        <f>R71/H71</f>
        <v/>
      </c>
      <c r="R71" s="251" t="n">
        <v>41.92</v>
      </c>
      <c r="S71" s="249" t="n">
        <v>17843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488</v>
      </c>
      <c r="I72" s="245" t="inlineStr">
        <is>
          <t>TIIU4267480</t>
        </is>
      </c>
      <c r="J72" s="245" t="inlineStr">
        <is>
          <t>40FT</t>
        </is>
      </c>
      <c r="K72" s="245" t="inlineStr">
        <is>
          <t>10IN GREEN TEA MF MATTRESS QN</t>
        </is>
      </c>
      <c r="L72" s="245" t="inlineStr">
        <is>
          <t>ZU-MFMA1ZZI-10Q</t>
        </is>
      </c>
      <c r="M72" s="248" t="inlineStr">
        <is>
          <t>3TOZUKDA</t>
        </is>
      </c>
      <c r="N72" s="245" t="inlineStr">
        <is>
          <t>F.MFM.10Q.007.AD</t>
        </is>
      </c>
      <c r="O72" s="245" t="n"/>
      <c r="P72" s="245" t="n"/>
      <c r="Q72" s="250">
        <f>R72/H72</f>
        <v/>
      </c>
      <c r="R72" s="251" t="n">
        <v>32149.44</v>
      </c>
      <c r="S72" s="249" t="n">
        <v>17843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6.5" customHeight="1" s="202">
      <c r="A73" s="245" t="n"/>
      <c r="B73" s="245" t="n"/>
      <c r="C73" s="245" t="n"/>
      <c r="D73" s="245" t="n"/>
      <c r="E73" s="245" t="n"/>
      <c r="F73" s="245" t="n"/>
      <c r="G73" s="245" t="n"/>
      <c r="H73" s="247" t="n">
        <v>9</v>
      </c>
      <c r="I73" s="245" t="inlineStr"/>
      <c r="J73" s="245" t="inlineStr"/>
      <c r="K73" s="245" t="inlineStr">
        <is>
          <t>12IN AIRFLOW GEL FOAM MATT EK</t>
        </is>
      </c>
      <c r="L73" s="245" t="inlineStr">
        <is>
          <t>ZU-MFMA1RZI-12K</t>
        </is>
      </c>
      <c r="M73" s="248" t="inlineStr">
        <is>
          <t>4281JJUA</t>
        </is>
      </c>
      <c r="N73" s="245" t="inlineStr">
        <is>
          <t>F.MFM.12K.011.AD</t>
        </is>
      </c>
      <c r="O73" s="245" t="n"/>
      <c r="P73" s="245" t="n"/>
      <c r="Q73" s="250">
        <f>R73/H73</f>
        <v/>
      </c>
      <c r="R73" s="251" t="n">
        <v>673.74</v>
      </c>
      <c r="S73" s="249" t="n">
        <v>17843</v>
      </c>
      <c r="T73" s="252">
        <f>S73*R73</f>
        <v/>
      </c>
      <c r="U73" s="245" t="n"/>
      <c r="V73" s="245" t="n"/>
      <c r="W73" s="245" t="n"/>
      <c r="X73" s="245" t="n"/>
      <c r="Y73" s="245" t="n"/>
      <c r="Z73" s="245" t="n"/>
    </row>
    <row r="74" ht="16.5" customHeight="1" s="202">
      <c r="A74" s="245" t="n"/>
      <c r="B74" s="245" t="n"/>
      <c r="C74" s="245" t="n"/>
      <c r="D74" s="245" t="n"/>
      <c r="E74" s="245" t="n"/>
      <c r="F74" s="245" t="n"/>
      <c r="G74" s="245" t="n"/>
      <c r="H74" s="247" t="n">
        <v>475</v>
      </c>
      <c r="I74" s="245" t="inlineStr"/>
      <c r="J74" s="245" t="inlineStr"/>
      <c r="K74" s="245" t="inlineStr">
        <is>
          <t>10IN GREEN TEA MF MATTRESS QN</t>
        </is>
      </c>
      <c r="L74" s="245" t="inlineStr">
        <is>
          <t>ZU-MFMA1ZZI-10Q</t>
        </is>
      </c>
      <c r="M74" s="248" t="inlineStr">
        <is>
          <t>4281JJUA</t>
        </is>
      </c>
      <c r="N74" s="245" t="inlineStr">
        <is>
          <t>F.MFM.10Q.007.AD</t>
        </is>
      </c>
      <c r="O74" s="245" t="n"/>
      <c r="P74" s="245" t="n"/>
      <c r="Q74" s="250">
        <f>R74/H74</f>
        <v/>
      </c>
      <c r="R74" s="251" t="n">
        <v>31293</v>
      </c>
      <c r="S74" s="249" t="n">
        <v>17843</v>
      </c>
      <c r="T74" s="252">
        <f>S74*R74</f>
        <v/>
      </c>
      <c r="U74" s="245" t="n"/>
      <c r="V74" s="245" t="n"/>
      <c r="W74" s="245" t="n"/>
      <c r="X74" s="245" t="n"/>
      <c r="Y74" s="245" t="n"/>
      <c r="Z74" s="245" t="n"/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1</v>
      </c>
      <c r="I75" s="245" t="inlineStr"/>
      <c r="J75" s="245" t="inlineStr"/>
      <c r="K75" s="245" t="inlineStr">
        <is>
          <t>12IN GREEN TEA MF MATTRESS QN</t>
        </is>
      </c>
      <c r="L75" s="245" t="inlineStr">
        <is>
          <t>ZU-MFMA1ZZI-12Q</t>
        </is>
      </c>
      <c r="M75" s="248" t="inlineStr">
        <is>
          <t>4281JJUA</t>
        </is>
      </c>
      <c r="N75" s="245" t="inlineStr">
        <is>
          <t>F.MFM.12Q.006.AD</t>
        </is>
      </c>
      <c r="O75" s="245" t="n"/>
      <c r="P75" s="245" t="n"/>
      <c r="Q75" s="250">
        <f>R75/H75</f>
        <v/>
      </c>
      <c r="R75" s="251" t="n">
        <v>83.79000000000001</v>
      </c>
      <c r="S75" s="249" t="n">
        <v>17843</v>
      </c>
      <c r="T75" s="252">
        <f>S75*R75</f>
        <v/>
      </c>
      <c r="U75" s="245" t="n"/>
      <c r="V75" s="245" t="n"/>
      <c r="W75" s="245" t="n"/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462</v>
      </c>
      <c r="I76" s="245" t="inlineStr"/>
      <c r="J76" s="245" t="inlineStr"/>
      <c r="K76" s="245" t="inlineStr">
        <is>
          <t>10IN GREEN TEA MF MATTRESS QN</t>
        </is>
      </c>
      <c r="L76" s="245" t="inlineStr">
        <is>
          <t>ZU-MFMA1ZZI-10Q</t>
        </is>
      </c>
      <c r="M76" s="248" t="inlineStr">
        <is>
          <t>4DRSR3QP</t>
        </is>
      </c>
      <c r="N76" s="245" t="inlineStr">
        <is>
          <t>F.MFM.10Q.007.AD</t>
        </is>
      </c>
      <c r="O76" s="245" t="n"/>
      <c r="P76" s="245" t="n"/>
      <c r="Q76" s="250">
        <f>R76/H76</f>
        <v/>
      </c>
      <c r="R76" s="251" t="n">
        <v>30436.56</v>
      </c>
      <c r="S76" s="249" t="n">
        <v>17843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55</v>
      </c>
      <c r="I77" s="245" t="inlineStr"/>
      <c r="J77" s="245" t="inlineStr"/>
      <c r="K77" s="245" t="inlineStr">
        <is>
          <t>12IN GREEN TEA MF MATTRESS QN</t>
        </is>
      </c>
      <c r="L77" s="245" t="inlineStr">
        <is>
          <t>ZU-MFMA1ZZI-12Q</t>
        </is>
      </c>
      <c r="M77" s="248" t="inlineStr">
        <is>
          <t>4DRSR3QP</t>
        </is>
      </c>
      <c r="N77" s="245" t="inlineStr">
        <is>
          <t>F.MFM.12Q.006.AD</t>
        </is>
      </c>
      <c r="O77" s="245" t="n"/>
      <c r="P77" s="245" t="n"/>
      <c r="Q77" s="250">
        <f>R77/H77</f>
        <v/>
      </c>
      <c r="R77" s="251" t="n">
        <v>4608.45</v>
      </c>
      <c r="S77" s="249" t="n">
        <v>17843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1</v>
      </c>
      <c r="I78" s="245" t="inlineStr"/>
      <c r="J78" s="245" t="inlineStr"/>
      <c r="K78" s="245" t="inlineStr">
        <is>
          <t>6IN OPP HD TW</t>
        </is>
      </c>
      <c r="L78" s="245" t="inlineStr">
        <is>
          <t>ZU-MFMA1OZI-06T</t>
        </is>
      </c>
      <c r="M78" s="248" t="inlineStr">
        <is>
          <t>4L1EPFVX</t>
        </is>
      </c>
      <c r="N78" s="245" t="inlineStr">
        <is>
          <t>F.MFM.06T.008.AD</t>
        </is>
      </c>
      <c r="O78" s="245" t="n"/>
      <c r="P78" s="245" t="n"/>
      <c r="Q78" s="250">
        <f>R78/H78</f>
        <v/>
      </c>
      <c r="R78" s="251" t="n">
        <v>26.95</v>
      </c>
      <c r="S78" s="249" t="n">
        <v>17843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6.5" customHeight="1" s="202">
      <c r="A79" s="245" t="n"/>
      <c r="B79" s="245" t="n"/>
      <c r="C79" s="245" t="n"/>
      <c r="D79" s="245" t="n"/>
      <c r="E79" s="245" t="n"/>
      <c r="F79" s="245" t="n"/>
      <c r="G79" s="245" t="n"/>
      <c r="H79" s="247" t="n">
        <v>1</v>
      </c>
      <c r="I79" s="245" t="inlineStr"/>
      <c r="J79" s="245" t="inlineStr"/>
      <c r="K79" s="245" t="inlineStr">
        <is>
          <t>10IN GREEN TEA MF MATTRESS QN</t>
        </is>
      </c>
      <c r="L79" s="245" t="inlineStr">
        <is>
          <t>ZU-MFMA1ZZI-10Q</t>
        </is>
      </c>
      <c r="M79" s="248" t="inlineStr">
        <is>
          <t>4L1EPFVX</t>
        </is>
      </c>
      <c r="N79" s="245" t="inlineStr">
        <is>
          <t>F.MFM.10Q.007.AD</t>
        </is>
      </c>
      <c r="O79" s="245" t="n"/>
      <c r="P79" s="245" t="n"/>
      <c r="Q79" s="250">
        <f>R79/H79</f>
        <v/>
      </c>
      <c r="R79" s="251" t="n">
        <v>65.88</v>
      </c>
      <c r="S79" s="249" t="n">
        <v>17843</v>
      </c>
      <c r="T79" s="252">
        <f>S79*R79</f>
        <v/>
      </c>
      <c r="U79" s="245" t="n"/>
      <c r="V79" s="245" t="n"/>
      <c r="W79" s="245" t="n"/>
      <c r="X79" s="245" t="n"/>
      <c r="Y79" s="245" t="n"/>
      <c r="Z79" s="245" t="n"/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7" t="n">
        <v>402</v>
      </c>
      <c r="I80" s="245" t="inlineStr"/>
      <c r="J80" s="245" t="inlineStr"/>
      <c r="K80" s="245" t="inlineStr">
        <is>
          <t>12IN GREEN TEA MF MATTRESS EK</t>
        </is>
      </c>
      <c r="L80" s="245" t="inlineStr">
        <is>
          <t>ZU-MFMA1ZZI-12K</t>
        </is>
      </c>
      <c r="M80" s="248" t="inlineStr">
        <is>
          <t>4L1EPFVX</t>
        </is>
      </c>
      <c r="N80" s="245" t="inlineStr">
        <is>
          <t>F.MFM.12K.006.AD</t>
        </is>
      </c>
      <c r="O80" s="245" t="n"/>
      <c r="P80" s="245" t="n"/>
      <c r="Q80" s="250">
        <f>R80/H80</f>
        <v/>
      </c>
      <c r="R80" s="251" t="n">
        <v>40991.94</v>
      </c>
      <c r="S80" s="249" t="n">
        <v>17843</v>
      </c>
      <c r="T80" s="252">
        <f>S80*R80</f>
        <v/>
      </c>
      <c r="U80" s="245" t="n"/>
      <c r="V80" s="245" t="n"/>
      <c r="W80" s="245" t="n"/>
      <c r="X80" s="245" t="n"/>
      <c r="Y80" s="245" t="n"/>
      <c r="Z80" s="245" t="n"/>
    </row>
    <row r="81" ht="17.1" customHeight="1" s="202">
      <c r="A81" s="254" t="n"/>
      <c r="B81" s="254" t="n"/>
      <c r="C81" s="254" t="n"/>
      <c r="D81" s="254" t="n"/>
      <c r="E81" s="254" t="n"/>
      <c r="F81" s="254" t="n"/>
      <c r="G81" s="254" t="n"/>
      <c r="H81" s="255">
        <f>SUM(H66:H80)</f>
        <v/>
      </c>
      <c r="I81" s="254">
        <f>COUNTA(I66:I80)</f>
        <v/>
      </c>
      <c r="J81" s="254" t="n"/>
      <c r="K81" s="254" t="n"/>
      <c r="L81" s="254" t="n"/>
      <c r="M81" s="254" t="n"/>
      <c r="N81" s="254" t="n"/>
      <c r="O81" s="256">
        <f>SUM(O66:O80)</f>
        <v/>
      </c>
      <c r="P81" s="256">
        <f>SUM(P66:P80)</f>
        <v/>
      </c>
      <c r="Q81" s="254" t="n"/>
      <c r="R81" s="257">
        <f>SUM(R66:R80)</f>
        <v/>
      </c>
      <c r="S81" s="254" t="n"/>
      <c r="T81" s="258">
        <f>SUM(T66:T80)</f>
        <v/>
      </c>
      <c r="U81" s="254" t="n"/>
      <c r="V81" s="254" t="n"/>
      <c r="W81" s="254" t="n"/>
      <c r="X81" s="254" t="n"/>
      <c r="Y81" s="254" t="n"/>
      <c r="Z81" s="254" t="n"/>
    </row>
    <row r="82" ht="16.5" customHeight="1" s="202">
      <c r="A82" s="245" t="n">
        <v>5</v>
      </c>
      <c r="B82" s="245" t="inlineStr">
        <is>
          <t>000030ZIK48020260819000641</t>
        </is>
      </c>
      <c r="C82" s="245" t="n">
        <v>417523</v>
      </c>
      <c r="D82" s="245" t="n">
        <v>417275</v>
      </c>
      <c r="E82" s="246" t="n">
        <v>46253</v>
      </c>
      <c r="F82" s="245" t="inlineStr">
        <is>
          <t>SAMPLE-ZIID26-0067-NCV</t>
        </is>
      </c>
      <c r="G82" s="246" t="n">
        <v>46248</v>
      </c>
      <c r="H82" s="247" t="n">
        <v>3</v>
      </c>
      <c r="I82" s="245" t="inlineStr"/>
      <c r="J82" s="245" t="inlineStr"/>
      <c r="K82" s="245" t="inlineStr">
        <is>
          <t>FOAM CUTTING SAMPLE</t>
        </is>
      </c>
      <c r="L82" s="245" t="inlineStr">
        <is>
          <t>FOAM SAMPLE</t>
        </is>
      </c>
      <c r="M82" s="248" t="inlineStr"/>
      <c r="N82" s="245" t="inlineStr">
        <is>
          <t>S.SMPL.Z0002</t>
        </is>
      </c>
      <c r="O82" s="249" t="n">
        <v>2</v>
      </c>
      <c r="P82" s="249" t="n">
        <v>0.9</v>
      </c>
      <c r="Q82" s="250">
        <f>R82/H82</f>
        <v/>
      </c>
      <c r="R82" s="251" t="n">
        <v>2.4</v>
      </c>
      <c r="S82" s="249" t="n">
        <v>17843</v>
      </c>
      <c r="T82" s="252">
        <f>S82*R82</f>
        <v/>
      </c>
      <c r="U82" s="245" t="inlineStr">
        <is>
          <t>050100/KPPBC</t>
        </is>
      </c>
      <c r="V82" s="245" t="inlineStr">
        <is>
          <t>S. HATTA</t>
        </is>
      </c>
      <c r="W82" s="245" t="inlineStr">
        <is>
          <t>GRAND RAPIDS, US</t>
        </is>
      </c>
      <c r="X82" s="245" t="inlineStr">
        <is>
          <t>INTERTEK</t>
        </is>
      </c>
      <c r="Y82" s="245" t="inlineStr">
        <is>
          <t>875971416420</t>
        </is>
      </c>
      <c r="Z82" s="246" t="n">
        <v>46253</v>
      </c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5" t="n"/>
      <c r="I83" s="245" t="n"/>
      <c r="J83" s="245" t="n"/>
      <c r="K83" s="245" t="n"/>
      <c r="L83" s="245" t="n"/>
      <c r="M83" s="245" t="n"/>
      <c r="N83" s="245" t="n"/>
      <c r="O83" s="245" t="n"/>
      <c r="P83" s="245" t="n"/>
      <c r="Q83" s="245" t="n"/>
      <c r="R83" s="245" t="n"/>
      <c r="S83" s="245" t="n"/>
      <c r="T83" s="245" t="n"/>
      <c r="U83" s="245" t="n"/>
      <c r="V83" s="245" t="n"/>
      <c r="W83" s="245" t="inlineStr">
        <is>
          <t>ETD : 26-08-2026</t>
        </is>
      </c>
      <c r="X83" s="245" t="n"/>
      <c r="Y83" s="245" t="n"/>
      <c r="Z83" s="245" t="n"/>
    </row>
    <row r="84" ht="17.1" customHeight="1" s="202">
      <c r="A84" s="254" t="n"/>
      <c r="B84" s="254" t="n"/>
      <c r="C84" s="254" t="n"/>
      <c r="D84" s="254" t="n"/>
      <c r="E84" s="254" t="n"/>
      <c r="F84" s="254" t="n"/>
      <c r="G84" s="254" t="n"/>
      <c r="H84" s="255">
        <f>SUM(H82:H83)</f>
        <v/>
      </c>
      <c r="I84" s="254">
        <f>COUNTA(I82:I83)</f>
        <v/>
      </c>
      <c r="J84" s="254" t="n"/>
      <c r="K84" s="254" t="n"/>
      <c r="L84" s="254" t="n"/>
      <c r="M84" s="254" t="n"/>
      <c r="N84" s="254" t="n"/>
      <c r="O84" s="256">
        <f>SUM(O82:O83)</f>
        <v/>
      </c>
      <c r="P84" s="256">
        <f>SUM(P82:P83)</f>
        <v/>
      </c>
      <c r="Q84" s="254" t="n"/>
      <c r="R84" s="257">
        <f>SUM(R82:R83)</f>
        <v/>
      </c>
      <c r="S84" s="254" t="n"/>
      <c r="T84" s="258">
        <f>SUM(T82:T83)</f>
        <v/>
      </c>
      <c r="U84" s="254" t="n"/>
      <c r="V84" s="254" t="n"/>
      <c r="W84" s="254" t="n"/>
      <c r="X84" s="254" t="n"/>
      <c r="Y84" s="254" t="n"/>
      <c r="Z84" s="254" t="n"/>
    </row>
    <row r="85" ht="16.5" customHeight="1" s="202">
      <c r="A85" s="245" t="n">
        <v>6</v>
      </c>
      <c r="B85" s="245" t="inlineStr">
        <is>
          <t>000030ZIK48020260819000642</t>
        </is>
      </c>
      <c r="C85" s="245" t="n">
        <v>417563</v>
      </c>
      <c r="D85" s="245" t="n">
        <v>417314</v>
      </c>
      <c r="E85" s="246" t="n">
        <v>46253</v>
      </c>
      <c r="F85" s="245" t="inlineStr">
        <is>
          <t>SAMPLE-ZIID26-0068-NCV</t>
        </is>
      </c>
      <c r="G85" s="246" t="n">
        <v>46248</v>
      </c>
      <c r="H85" s="247" t="n">
        <v>4</v>
      </c>
      <c r="I85" s="245" t="inlineStr"/>
      <c r="J85" s="245" t="inlineStr"/>
      <c r="K85" s="245" t="inlineStr">
        <is>
          <t>FOAM CUTTING SAMPLE</t>
        </is>
      </c>
      <c r="L85" s="245" t="inlineStr">
        <is>
          <t>FOAM SAMPLE</t>
        </is>
      </c>
      <c r="M85" s="248" t="inlineStr"/>
      <c r="N85" s="245" t="inlineStr">
        <is>
          <t>S.SMPL.Z0002</t>
        </is>
      </c>
      <c r="O85" s="249" t="n">
        <v>3.55</v>
      </c>
      <c r="P85" s="249" t="n">
        <v>2.15</v>
      </c>
      <c r="Q85" s="250">
        <f>R85/H85</f>
        <v/>
      </c>
      <c r="R85" s="251" t="n">
        <v>5.96</v>
      </c>
      <c r="S85" s="249" t="n">
        <v>17843</v>
      </c>
      <c r="T85" s="252">
        <f>S85*R85</f>
        <v/>
      </c>
      <c r="U85" s="245" t="inlineStr">
        <is>
          <t>050100/KPPBC</t>
        </is>
      </c>
      <c r="V85" s="245" t="inlineStr">
        <is>
          <t>S. HATTA</t>
        </is>
      </c>
      <c r="W85" s="245" t="inlineStr">
        <is>
          <t>LESTER B. PEARSON INTERNATIONAL/TORONTO, CA</t>
        </is>
      </c>
      <c r="X85" s="245" t="inlineStr">
        <is>
          <t>P3T LABORATORY</t>
        </is>
      </c>
      <c r="Y85" s="245" t="inlineStr">
        <is>
          <t>875971638270</t>
        </is>
      </c>
      <c r="Z85" s="246" t="n">
        <v>46253</v>
      </c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5" t="n"/>
      <c r="I86" s="245" t="n"/>
      <c r="J86" s="245" t="n"/>
      <c r="K86" s="245" t="n"/>
      <c r="L86" s="245" t="n"/>
      <c r="M86" s="245" t="n"/>
      <c r="N86" s="245" t="n"/>
      <c r="O86" s="245" t="n"/>
      <c r="P86" s="245" t="n"/>
      <c r="Q86" s="245" t="n"/>
      <c r="R86" s="245" t="n"/>
      <c r="S86" s="245" t="n"/>
      <c r="T86" s="245" t="n"/>
      <c r="U86" s="245" t="n"/>
      <c r="V86" s="245" t="n"/>
      <c r="W86" s="245" t="inlineStr">
        <is>
          <t>ETD : 26-08-2026</t>
        </is>
      </c>
      <c r="X86" s="245" t="n"/>
      <c r="Y86" s="245" t="n"/>
      <c r="Z86" s="245" t="n"/>
    </row>
    <row r="87" ht="17.1" customHeight="1" s="202">
      <c r="A87" s="254" t="n"/>
      <c r="B87" s="254" t="n"/>
      <c r="C87" s="254" t="n"/>
      <c r="D87" s="254" t="n"/>
      <c r="E87" s="254" t="n"/>
      <c r="F87" s="254" t="n"/>
      <c r="G87" s="254" t="n"/>
      <c r="H87" s="255">
        <f>SUM(H85:H86)</f>
        <v/>
      </c>
      <c r="I87" s="254">
        <f>COUNTA(I85:I86)</f>
        <v/>
      </c>
      <c r="J87" s="254" t="n"/>
      <c r="K87" s="254" t="n"/>
      <c r="L87" s="254" t="n"/>
      <c r="M87" s="254" t="n"/>
      <c r="N87" s="254" t="n"/>
      <c r="O87" s="256">
        <f>SUM(O85:O86)</f>
        <v/>
      </c>
      <c r="P87" s="256">
        <f>SUM(P85:P86)</f>
        <v/>
      </c>
      <c r="Q87" s="254" t="n"/>
      <c r="R87" s="257">
        <f>SUM(R85:R86)</f>
        <v/>
      </c>
      <c r="S87" s="254" t="n"/>
      <c r="T87" s="258">
        <f>SUM(T85:T86)</f>
        <v/>
      </c>
      <c r="U87" s="254" t="n"/>
      <c r="V87" s="254" t="n"/>
      <c r="W87" s="254" t="n"/>
      <c r="X87" s="254" t="n"/>
      <c r="Y87" s="254" t="n"/>
      <c r="Z87" s="254" t="n"/>
    </row>
    <row r="88" ht="16.5" customHeight="1" s="202">
      <c r="A88" s="245" t="n">
        <v>7</v>
      </c>
      <c r="B88" s="245" t="inlineStr">
        <is>
          <t>000030ZIK48020260819000643</t>
        </is>
      </c>
      <c r="C88" s="245" t="n">
        <v>525555</v>
      </c>
      <c r="D88" s="245" t="n">
        <v>525508</v>
      </c>
      <c r="E88" s="246" t="n">
        <v>46254</v>
      </c>
      <c r="F88" s="245" t="inlineStr">
        <is>
          <t>ID2608-8167</t>
        </is>
      </c>
      <c r="G88" s="246" t="n">
        <v>46252</v>
      </c>
      <c r="H88" s="247" t="n">
        <v>500</v>
      </c>
      <c r="I88" s="245" t="inlineStr">
        <is>
          <t>EITU1733515</t>
        </is>
      </c>
      <c r="J88" s="245" t="inlineStr">
        <is>
          <t>40FT</t>
        </is>
      </c>
      <c r="K88" s="245" t="inlineStr">
        <is>
          <t>10IN GREEN TEA MF MATTRESS QN</t>
        </is>
      </c>
      <c r="L88" s="245" t="inlineStr">
        <is>
          <t>ZU-MFMA1ZZI-10Q</t>
        </is>
      </c>
      <c r="M88" s="248" t="inlineStr">
        <is>
          <t>1CGLNSKV</t>
        </is>
      </c>
      <c r="N88" s="245" t="inlineStr">
        <is>
          <t>F.MFM.10Q.007.AD</t>
        </is>
      </c>
      <c r="O88" s="249" t="n">
        <v>78642.84</v>
      </c>
      <c r="P88" s="249" t="n">
        <v>72725.24000000001</v>
      </c>
      <c r="Q88" s="250">
        <f>R88/H88</f>
        <v/>
      </c>
      <c r="R88" s="251" t="n">
        <v>32940</v>
      </c>
      <c r="S88" s="249" t="n">
        <v>17843</v>
      </c>
      <c r="T88" s="252">
        <f>S88*R88</f>
        <v/>
      </c>
      <c r="U88" s="245" t="inlineStr">
        <is>
          <t>040300/KPPBC</t>
        </is>
      </c>
      <c r="V88" s="245" t="inlineStr">
        <is>
          <t>TG. PRIOK</t>
        </is>
      </c>
      <c r="W88" s="245" t="inlineStr">
        <is>
          <t>NORFOLK, US</t>
        </is>
      </c>
      <c r="X88" s="245" t="inlineStr">
        <is>
          <t>AMAZON.COM SERVICES LLC</t>
        </is>
      </c>
      <c r="Y88" s="245" t="inlineStr">
        <is>
          <t>EGLV080600496049</t>
        </is>
      </c>
      <c r="Z88" s="246" t="n">
        <v>46254</v>
      </c>
    </row>
    <row r="89" ht="16.5" customHeight="1" s="202">
      <c r="A89" s="245" t="n"/>
      <c r="B89" s="245" t="n"/>
      <c r="C89" s="245" t="n"/>
      <c r="D89" s="245" t="n"/>
      <c r="E89" s="245" t="n"/>
      <c r="F89" s="245" t="n"/>
      <c r="G89" s="245" t="n"/>
      <c r="H89" s="247" t="n">
        <v>506</v>
      </c>
      <c r="I89" s="245" t="inlineStr">
        <is>
          <t>EGSU1160000</t>
        </is>
      </c>
      <c r="J89" s="245" t="inlineStr">
        <is>
          <t>40FT</t>
        </is>
      </c>
      <c r="K89" s="245" t="inlineStr">
        <is>
          <t>10IN GREEN TEA MF MATTRESS QN</t>
        </is>
      </c>
      <c r="L89" s="245" t="inlineStr">
        <is>
          <t>ZU-MFMA1ZZI-10Q</t>
        </is>
      </c>
      <c r="M89" s="248" t="inlineStr">
        <is>
          <t>1VKQYH2V</t>
        </is>
      </c>
      <c r="N89" s="245" t="inlineStr">
        <is>
          <t>F.MFM.10Q.007.AD</t>
        </is>
      </c>
      <c r="O89" s="245" t="n"/>
      <c r="P89" s="245" t="n"/>
      <c r="Q89" s="250">
        <f>R89/H89</f>
        <v/>
      </c>
      <c r="R89" s="251" t="n">
        <v>33335.28</v>
      </c>
      <c r="S89" s="249" t="n">
        <v>17843</v>
      </c>
      <c r="T89" s="252">
        <f>S89*R89</f>
        <v/>
      </c>
      <c r="U89" s="245" t="n"/>
      <c r="V89" s="245" t="n"/>
      <c r="W89" s="245" t="inlineStr">
        <is>
          <t>ETD : 23-08-2026</t>
        </is>
      </c>
      <c r="X89" s="245" t="n"/>
      <c r="Y89" s="245" t="n"/>
      <c r="Z89" s="245" t="n"/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433</v>
      </c>
      <c r="I90" s="245" t="inlineStr">
        <is>
          <t>CAAU5722319</t>
        </is>
      </c>
      <c r="J90" s="245" t="inlineStr">
        <is>
          <t>40FT</t>
        </is>
      </c>
      <c r="K90" s="245" t="inlineStr">
        <is>
          <t>12IN GREEN TEA MF MATTRESS EK</t>
        </is>
      </c>
      <c r="L90" s="245" t="inlineStr">
        <is>
          <t>ZU-MFMA1ZZI-12K</t>
        </is>
      </c>
      <c r="M90" s="248" t="inlineStr">
        <is>
          <t>4AUAAJ8R</t>
        </is>
      </c>
      <c r="N90" s="245" t="inlineStr">
        <is>
          <t>F.MFM.12K.006.AD</t>
        </is>
      </c>
      <c r="O90" s="245" t="n"/>
      <c r="P90" s="245" t="n"/>
      <c r="Q90" s="250">
        <f>R90/H90</f>
        <v/>
      </c>
      <c r="R90" s="251" t="n">
        <v>44153.01</v>
      </c>
      <c r="S90" s="249" t="n">
        <v>17843</v>
      </c>
      <c r="T90" s="252">
        <f>S90*R90</f>
        <v/>
      </c>
      <c r="U90" s="245" t="n"/>
      <c r="V90" s="245" t="n"/>
      <c r="W90" s="245" t="n"/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433</v>
      </c>
      <c r="I91" s="245" t="inlineStr">
        <is>
          <t>TGBU4440662</t>
        </is>
      </c>
      <c r="J91" s="245" t="inlineStr">
        <is>
          <t>40FT</t>
        </is>
      </c>
      <c r="K91" s="245" t="inlineStr">
        <is>
          <t>12IN GREEN TEA MF MATTRESS EK</t>
        </is>
      </c>
      <c r="L91" s="245" t="inlineStr">
        <is>
          <t>ZU-MFMA1ZZI-12K</t>
        </is>
      </c>
      <c r="M91" s="248" t="inlineStr">
        <is>
          <t>4E91CYHS</t>
        </is>
      </c>
      <c r="N91" s="245" t="inlineStr">
        <is>
          <t>F.MFM.12K.006.AD</t>
        </is>
      </c>
      <c r="O91" s="245" t="n"/>
      <c r="P91" s="245" t="n"/>
      <c r="Q91" s="250">
        <f>R91/H91</f>
        <v/>
      </c>
      <c r="R91" s="251" t="n">
        <v>44153.01</v>
      </c>
      <c r="S91" s="249" t="n">
        <v>17843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430</v>
      </c>
      <c r="I92" s="245" t="inlineStr">
        <is>
          <t>EITU1744823</t>
        </is>
      </c>
      <c r="J92" s="245" t="inlineStr">
        <is>
          <t>40FT</t>
        </is>
      </c>
      <c r="K92" s="245" t="inlineStr">
        <is>
          <t>12IN GREEN TEA MF MATTRESS EK</t>
        </is>
      </c>
      <c r="L92" s="245" t="inlineStr">
        <is>
          <t>ZU-MFMA1ZZI-12K</t>
        </is>
      </c>
      <c r="M92" s="248" t="inlineStr">
        <is>
          <t>4PCKYMME</t>
        </is>
      </c>
      <c r="N92" s="245" t="inlineStr">
        <is>
          <t>F.MFM.12K.006.AD</t>
        </is>
      </c>
      <c r="O92" s="245" t="n"/>
      <c r="P92" s="245" t="n"/>
      <c r="Q92" s="250">
        <f>R92/H92</f>
        <v/>
      </c>
      <c r="R92" s="251" t="n">
        <v>43847.1</v>
      </c>
      <c r="S92" s="249" t="n">
        <v>17843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5" t="n"/>
      <c r="I93" s="245" t="inlineStr">
        <is>
          <t>TCLU6308940</t>
        </is>
      </c>
      <c r="J93" s="245" t="inlineStr">
        <is>
          <t>40FT</t>
        </is>
      </c>
      <c r="K93" s="245" t="n"/>
      <c r="L93" s="245" t="n"/>
      <c r="M93" s="245" t="n"/>
      <c r="N93" s="245" t="n"/>
      <c r="O93" s="245" t="n"/>
      <c r="P93" s="245" t="n"/>
      <c r="Q93" s="245" t="n"/>
      <c r="R93" s="245" t="n"/>
      <c r="S93" s="245" t="n"/>
      <c r="T93" s="245" t="n"/>
      <c r="U93" s="245" t="n"/>
      <c r="V93" s="245" t="n"/>
      <c r="W93" s="245" t="n"/>
      <c r="X93" s="245" t="n"/>
      <c r="Y93" s="245" t="n"/>
      <c r="Z93" s="245" t="n"/>
    </row>
    <row r="94" ht="17.1" customHeight="1" s="202">
      <c r="A94" s="254" t="n"/>
      <c r="B94" s="254" t="n"/>
      <c r="C94" s="254" t="n"/>
      <c r="D94" s="254" t="n"/>
      <c r="E94" s="254" t="n"/>
      <c r="F94" s="254" t="n"/>
      <c r="G94" s="254" t="n"/>
      <c r="H94" s="255">
        <f>SUM(H88:H93)</f>
        <v/>
      </c>
      <c r="I94" s="254">
        <f>COUNTA(I88:I93)</f>
        <v/>
      </c>
      <c r="J94" s="254" t="n"/>
      <c r="K94" s="254" t="n"/>
      <c r="L94" s="254" t="n"/>
      <c r="M94" s="254" t="n"/>
      <c r="N94" s="254" t="n"/>
      <c r="O94" s="256">
        <f>SUM(O88:O93)</f>
        <v/>
      </c>
      <c r="P94" s="256">
        <f>SUM(P88:P93)</f>
        <v/>
      </c>
      <c r="Q94" s="254" t="n"/>
      <c r="R94" s="257">
        <f>SUM(R88:R93)</f>
        <v/>
      </c>
      <c r="S94" s="254" t="n"/>
      <c r="T94" s="258">
        <f>SUM(T88:T93)</f>
        <v/>
      </c>
      <c r="U94" s="254" t="n"/>
      <c r="V94" s="254" t="n"/>
      <c r="W94" s="254" t="n"/>
      <c r="X94" s="254" t="n"/>
      <c r="Y94" s="254" t="n"/>
      <c r="Z94" s="254" t="n"/>
    </row>
    <row r="95" ht="16.5" customHeight="1" s="202">
      <c r="A95" s="245" t="n">
        <v>8</v>
      </c>
      <c r="B95" s="245" t="inlineStr">
        <is>
          <t>000030ZIK48020260819000644</t>
        </is>
      </c>
      <c r="C95" s="245" t="n">
        <v>525344</v>
      </c>
      <c r="D95" s="245" t="n">
        <v>525293</v>
      </c>
      <c r="E95" s="246" t="n">
        <v>46254</v>
      </c>
      <c r="F95" s="245" t="inlineStr">
        <is>
          <t>ID2608-8166</t>
        </is>
      </c>
      <c r="G95" s="246" t="n">
        <v>46252</v>
      </c>
      <c r="H95" s="247" t="n">
        <v>24</v>
      </c>
      <c r="I95" s="245" t="inlineStr">
        <is>
          <t>DRYU9804810</t>
        </is>
      </c>
      <c r="J95" s="245" t="inlineStr">
        <is>
          <t>40FT</t>
        </is>
      </c>
      <c r="K95" s="245" t="inlineStr">
        <is>
          <t>12IN AIRFLOW GEL FOAM MATT QN</t>
        </is>
      </c>
      <c r="L95" s="245" t="inlineStr">
        <is>
          <t>ZU-MFMA1RZI-12Q</t>
        </is>
      </c>
      <c r="M95" s="248" t="inlineStr">
        <is>
          <t>2AQMIL4C</t>
        </is>
      </c>
      <c r="N95" s="245" t="inlineStr">
        <is>
          <t>F.MFM.12Q.011.AD</t>
        </is>
      </c>
      <c r="O95" s="249" t="n">
        <v>72487.2</v>
      </c>
      <c r="P95" s="249" t="n">
        <v>63825.36</v>
      </c>
      <c r="Q95" s="250">
        <f>R95/H95</f>
        <v/>
      </c>
      <c r="R95" s="251" t="n">
        <v>1621.68</v>
      </c>
      <c r="S95" s="249" t="n">
        <v>17843</v>
      </c>
      <c r="T95" s="252">
        <f>S95*R95</f>
        <v/>
      </c>
      <c r="U95" s="245" t="inlineStr">
        <is>
          <t>040300/KPPBC</t>
        </is>
      </c>
      <c r="V95" s="245" t="inlineStr">
        <is>
          <t>TG. PRIOK</t>
        </is>
      </c>
      <c r="W95" s="245" t="inlineStr">
        <is>
          <t>NORFOLK, US</t>
        </is>
      </c>
      <c r="X95" s="245" t="inlineStr">
        <is>
          <t>AMAZON.COM SERVICES LLC</t>
        </is>
      </c>
      <c r="Y95" s="245" t="inlineStr">
        <is>
          <t>EGLV080600496162</t>
        </is>
      </c>
      <c r="Z95" s="246" t="n">
        <v>46254</v>
      </c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473</v>
      </c>
      <c r="I96" s="245" t="inlineStr">
        <is>
          <t>TGBU6942000</t>
        </is>
      </c>
      <c r="J96" s="245" t="inlineStr">
        <is>
          <t>40FT</t>
        </is>
      </c>
      <c r="K96" s="245" t="inlineStr">
        <is>
          <t>10IN GREEN TEA MF MATTRESS QN</t>
        </is>
      </c>
      <c r="L96" s="245" t="inlineStr">
        <is>
          <t>ZU-MFMA1ZZI-10Q</t>
        </is>
      </c>
      <c r="M96" s="248" t="inlineStr">
        <is>
          <t>2AQMIL4C</t>
        </is>
      </c>
      <c r="N96" s="245" t="inlineStr">
        <is>
          <t>F.MFM.10Q.007.AD</t>
        </is>
      </c>
      <c r="O96" s="245" t="n"/>
      <c r="P96" s="245" t="n"/>
      <c r="Q96" s="250">
        <f>R96/H96</f>
        <v/>
      </c>
      <c r="R96" s="251" t="n">
        <v>31161.24</v>
      </c>
      <c r="S96" s="249" t="n">
        <v>17843</v>
      </c>
      <c r="T96" s="252">
        <f>S96*R96</f>
        <v/>
      </c>
      <c r="U96" s="245" t="n"/>
      <c r="V96" s="245" t="n"/>
      <c r="W96" s="245" t="inlineStr">
        <is>
          <t>ETD : 23-08-2026</t>
        </is>
      </c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514</v>
      </c>
      <c r="I97" s="245" t="inlineStr">
        <is>
          <t>EITU9439908</t>
        </is>
      </c>
      <c r="J97" s="245" t="inlineStr">
        <is>
          <t>40FT</t>
        </is>
      </c>
      <c r="K97" s="245" t="inlineStr">
        <is>
          <t>10IN GREEN TEA MF MATTRESS QN</t>
        </is>
      </c>
      <c r="L97" s="245" t="inlineStr">
        <is>
          <t>ZU-MFMA1ZZI-10Q</t>
        </is>
      </c>
      <c r="M97" s="248" t="inlineStr">
        <is>
          <t>2XPQHKLG</t>
        </is>
      </c>
      <c r="N97" s="245" t="inlineStr">
        <is>
          <t>F.MFM.10Q.007.AD</t>
        </is>
      </c>
      <c r="O97" s="245" t="n"/>
      <c r="P97" s="245" t="n"/>
      <c r="Q97" s="250">
        <f>R97/H97</f>
        <v/>
      </c>
      <c r="R97" s="251" t="n">
        <v>33862.32</v>
      </c>
      <c r="S97" s="249" t="n">
        <v>17843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547</v>
      </c>
      <c r="I98" s="245" t="inlineStr">
        <is>
          <t>TGBU6581253</t>
        </is>
      </c>
      <c r="J98" s="245" t="inlineStr">
        <is>
          <t>40FT</t>
        </is>
      </c>
      <c r="K98" s="245" t="inlineStr">
        <is>
          <t>10IN GREEN TEA MF MATTRESS QN</t>
        </is>
      </c>
      <c r="L98" s="245" t="inlineStr">
        <is>
          <t>ZU-MFMA1ZZI-10Q</t>
        </is>
      </c>
      <c r="M98" s="248" t="inlineStr">
        <is>
          <t>4N1LRN1M</t>
        </is>
      </c>
      <c r="N98" s="245" t="inlineStr">
        <is>
          <t>F.MFM.10Q.007.AD</t>
        </is>
      </c>
      <c r="O98" s="245" t="n"/>
      <c r="P98" s="245" t="n"/>
      <c r="Q98" s="250">
        <f>R98/H98</f>
        <v/>
      </c>
      <c r="R98" s="251" t="n">
        <v>36036.36</v>
      </c>
      <c r="S98" s="249" t="n">
        <v>17843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547</v>
      </c>
      <c r="I99" s="245" t="inlineStr">
        <is>
          <t>TGBU7274312</t>
        </is>
      </c>
      <c r="J99" s="245" t="inlineStr">
        <is>
          <t>40FT</t>
        </is>
      </c>
      <c r="K99" s="245" t="inlineStr">
        <is>
          <t>10IN GREEN TEA MF MATTRESS QN</t>
        </is>
      </c>
      <c r="L99" s="245" t="inlineStr">
        <is>
          <t>ZU-MFMA1ZZI-10Q</t>
        </is>
      </c>
      <c r="M99" s="248" t="inlineStr">
        <is>
          <t>5IJYL77Y</t>
        </is>
      </c>
      <c r="N99" s="245" t="inlineStr">
        <is>
          <t>F.MFM.10Q.007.AD</t>
        </is>
      </c>
      <c r="O99" s="245" t="n"/>
      <c r="P99" s="245" t="n"/>
      <c r="Q99" s="250">
        <f>R99/H99</f>
        <v/>
      </c>
      <c r="R99" s="251" t="n">
        <v>36036.36</v>
      </c>
      <c r="S99" s="249" t="n">
        <v>17843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547</v>
      </c>
      <c r="I100" s="245" t="inlineStr">
        <is>
          <t>TXGU7523470</t>
        </is>
      </c>
      <c r="J100" s="245" t="inlineStr">
        <is>
          <t>40FT</t>
        </is>
      </c>
      <c r="K100" s="245" t="inlineStr">
        <is>
          <t>10IN GREEN TEA MF MATTRESS QN</t>
        </is>
      </c>
      <c r="L100" s="245" t="inlineStr">
        <is>
          <t>ZU-MFMA1ZZI-10Q</t>
        </is>
      </c>
      <c r="M100" s="248" t="inlineStr">
        <is>
          <t>8P3VKA4J</t>
        </is>
      </c>
      <c r="N100" s="245" t="inlineStr">
        <is>
          <t>F.MFM.10Q.007.AD</t>
        </is>
      </c>
      <c r="O100" s="245" t="n"/>
      <c r="P100" s="245" t="n"/>
      <c r="Q100" s="250">
        <f>R100/H100</f>
        <v/>
      </c>
      <c r="R100" s="251" t="n">
        <v>36036.36</v>
      </c>
      <c r="S100" s="249" t="n">
        <v>17843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7.1" customHeight="1" s="202">
      <c r="A101" s="254" t="n"/>
      <c r="B101" s="254" t="n"/>
      <c r="C101" s="254" t="n"/>
      <c r="D101" s="254" t="n"/>
      <c r="E101" s="254" t="n"/>
      <c r="F101" s="254" t="n"/>
      <c r="G101" s="254" t="n"/>
      <c r="H101" s="255">
        <f>SUM(H95:H100)</f>
        <v/>
      </c>
      <c r="I101" s="254">
        <f>COUNTA(I95:I100)</f>
        <v/>
      </c>
      <c r="J101" s="254" t="n"/>
      <c r="K101" s="254" t="n"/>
      <c r="L101" s="254" t="n"/>
      <c r="M101" s="254" t="n"/>
      <c r="N101" s="254" t="n"/>
      <c r="O101" s="256">
        <f>SUM(O95:O100)</f>
        <v/>
      </c>
      <c r="P101" s="256">
        <f>SUM(P95:P100)</f>
        <v/>
      </c>
      <c r="Q101" s="254" t="n"/>
      <c r="R101" s="257">
        <f>SUM(R95:R100)</f>
        <v/>
      </c>
      <c r="S101" s="254" t="n"/>
      <c r="T101" s="258">
        <f>SUM(T95:T100)</f>
        <v/>
      </c>
      <c r="U101" s="254" t="n"/>
      <c r="V101" s="254" t="n"/>
      <c r="W101" s="254" t="n"/>
      <c r="X101" s="254" t="n"/>
      <c r="Y101" s="254" t="n"/>
      <c r="Z101" s="254" t="n"/>
    </row>
    <row r="102" ht="16.5" customHeight="1" s="202">
      <c r="A102" s="245" t="n">
        <v>9</v>
      </c>
      <c r="B102" s="245" t="inlineStr">
        <is>
          <t>000030ZIK48020260819000645</t>
        </is>
      </c>
      <c r="C102" s="245" t="n">
        <v>522146</v>
      </c>
      <c r="D102" s="245" t="n">
        <v>522095</v>
      </c>
      <c r="E102" s="246" t="n">
        <v>46254</v>
      </c>
      <c r="F102" s="245" t="inlineStr">
        <is>
          <t>ID2608-8177</t>
        </is>
      </c>
      <c r="G102" s="246" t="n">
        <v>46253</v>
      </c>
      <c r="H102" s="247" t="n">
        <v>90</v>
      </c>
      <c r="I102" s="245" t="inlineStr">
        <is>
          <t>ONEU6603158</t>
        </is>
      </c>
      <c r="J102" s="245" t="inlineStr">
        <is>
          <t>40FT</t>
        </is>
      </c>
      <c r="K102" s="245" t="inlineStr">
        <is>
          <t>10IN MEDIUM MFM FL</t>
        </is>
      </c>
      <c r="L102" s="245" t="inlineStr">
        <is>
          <t>WA-MMF-10F-IN</t>
        </is>
      </c>
      <c r="M102" s="248" t="inlineStr">
        <is>
          <t>MIWU00230</t>
        </is>
      </c>
      <c r="N102" s="245" t="inlineStr">
        <is>
          <t>F.MFM.10F.005.BU</t>
        </is>
      </c>
      <c r="O102" s="249" t="n">
        <v>12471.5</v>
      </c>
      <c r="P102" s="249" t="n">
        <v>11328</v>
      </c>
      <c r="Q102" s="250">
        <f>R102/H102</f>
        <v/>
      </c>
      <c r="R102" s="251" t="n">
        <v>5434.2</v>
      </c>
      <c r="S102" s="249" t="n">
        <v>17843</v>
      </c>
      <c r="T102" s="252">
        <f>S102*R102</f>
        <v/>
      </c>
      <c r="U102" s="245" t="inlineStr">
        <is>
          <t>040300/KPPBC</t>
        </is>
      </c>
      <c r="V102" s="245" t="inlineStr">
        <is>
          <t>TG. PRIOK</t>
        </is>
      </c>
      <c r="W102" s="245" t="inlineStr">
        <is>
          <t>VANCOUVER, CA</t>
        </is>
      </c>
      <c r="X102" s="245" t="inlineStr">
        <is>
          <t>MELLOW INC</t>
        </is>
      </c>
      <c r="Y102" s="245" t="inlineStr">
        <is>
          <t>ONEYJKTG63036600</t>
        </is>
      </c>
      <c r="Z102" s="246" t="n">
        <v>46254</v>
      </c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7" t="n">
        <v>105</v>
      </c>
      <c r="I103" s="245" t="inlineStr"/>
      <c r="J103" s="245" t="inlineStr"/>
      <c r="K103" s="245" t="inlineStr">
        <is>
          <t>10IN MEDIUM MFM QN</t>
        </is>
      </c>
      <c r="L103" s="245" t="inlineStr">
        <is>
          <t>WA-MMF-10Q-IN</t>
        </is>
      </c>
      <c r="M103" s="248" t="inlineStr">
        <is>
          <t>MIWU00230</t>
        </is>
      </c>
      <c r="N103" s="245" t="inlineStr">
        <is>
          <t>F.MFM.10Q.005.BU</t>
        </is>
      </c>
      <c r="O103" s="245" t="n"/>
      <c r="P103" s="245" t="n"/>
      <c r="Q103" s="250">
        <f>R103/H103</f>
        <v/>
      </c>
      <c r="R103" s="251" t="n">
        <v>7513.8</v>
      </c>
      <c r="S103" s="249" t="n">
        <v>17843</v>
      </c>
      <c r="T103" s="252">
        <f>S103*R103</f>
        <v/>
      </c>
      <c r="U103" s="245" t="n"/>
      <c r="V103" s="245" t="n"/>
      <c r="W103" s="245" t="inlineStr">
        <is>
          <t>ETD : 26-08-2026</t>
        </is>
      </c>
      <c r="X103" s="245" t="n"/>
      <c r="Y103" s="245" t="n"/>
      <c r="Z103" s="245" t="n"/>
    </row>
    <row r="104" ht="16.5" customHeight="1" s="202">
      <c r="A104" s="245" t="n"/>
      <c r="B104" s="245" t="n"/>
      <c r="C104" s="245" t="n"/>
      <c r="D104" s="245" t="n"/>
      <c r="E104" s="245" t="n"/>
      <c r="F104" s="245" t="n"/>
      <c r="G104" s="245" t="n"/>
      <c r="H104" s="247" t="n">
        <v>25</v>
      </c>
      <c r="I104" s="245" t="inlineStr"/>
      <c r="J104" s="245" t="inlineStr"/>
      <c r="K104" s="245" t="inlineStr">
        <is>
          <t>12IN MEDIUM MFM EK</t>
        </is>
      </c>
      <c r="L104" s="245" t="inlineStr">
        <is>
          <t>WA-MMF-12K-IN</t>
        </is>
      </c>
      <c r="M104" s="248" t="inlineStr">
        <is>
          <t>MIWU00230</t>
        </is>
      </c>
      <c r="N104" s="245" t="inlineStr">
        <is>
          <t>F.MFM.12K.005.BU</t>
        </is>
      </c>
      <c r="O104" s="245" t="n"/>
      <c r="P104" s="245" t="n"/>
      <c r="Q104" s="250">
        <f>R104/H104</f>
        <v/>
      </c>
      <c r="R104" s="251" t="n">
        <v>2471.5</v>
      </c>
      <c r="S104" s="249" t="n">
        <v>17843</v>
      </c>
      <c r="T104" s="252">
        <f>S104*R104</f>
        <v/>
      </c>
      <c r="U104" s="245" t="n"/>
      <c r="V104" s="245" t="n"/>
      <c r="W104" s="245" t="n"/>
      <c r="X104" s="245" t="n"/>
      <c r="Y104" s="245" t="n"/>
      <c r="Z104" s="245" t="n"/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60</v>
      </c>
      <c r="I105" s="245" t="inlineStr"/>
      <c r="J105" s="245" t="inlineStr"/>
      <c r="K105" s="245" t="inlineStr">
        <is>
          <t>12IN MEDIUM MFM QN</t>
        </is>
      </c>
      <c r="L105" s="245" t="inlineStr">
        <is>
          <t>WA-MMF-12Q-IN</t>
        </is>
      </c>
      <c r="M105" s="248" t="inlineStr">
        <is>
          <t>MIWU00230</t>
        </is>
      </c>
      <c r="N105" s="245" t="inlineStr">
        <is>
          <t>F.MFM.12Q.005.BU</t>
        </is>
      </c>
      <c r="O105" s="245" t="n"/>
      <c r="P105" s="245" t="n"/>
      <c r="Q105" s="250">
        <f>R105/H105</f>
        <v/>
      </c>
      <c r="R105" s="251" t="n">
        <v>4858.2</v>
      </c>
      <c r="S105" s="249" t="n">
        <v>17843</v>
      </c>
      <c r="T105" s="252">
        <f>S105*R105</f>
        <v/>
      </c>
      <c r="U105" s="245" t="n"/>
      <c r="V105" s="245" t="n"/>
      <c r="W105" s="245" t="n"/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30</v>
      </c>
      <c r="I106" s="245" t="inlineStr"/>
      <c r="J106" s="245" t="inlineStr"/>
      <c r="K106" s="245" t="inlineStr">
        <is>
          <t>14IN MEDIUM MFM FL</t>
        </is>
      </c>
      <c r="L106" s="245" t="inlineStr">
        <is>
          <t>WA-MMF-14F-IN</t>
        </is>
      </c>
      <c r="M106" s="248" t="inlineStr">
        <is>
          <t>MIWU00230</t>
        </is>
      </c>
      <c r="N106" s="245" t="inlineStr">
        <is>
          <t>F.MFM.14F.000.BU</t>
        </is>
      </c>
      <c r="O106" s="245" t="n"/>
      <c r="P106" s="245" t="n"/>
      <c r="Q106" s="250">
        <f>R106/H106</f>
        <v/>
      </c>
      <c r="R106" s="251" t="n">
        <v>2338.8</v>
      </c>
      <c r="S106" s="249" t="n">
        <v>17843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30</v>
      </c>
      <c r="I107" s="245" t="inlineStr"/>
      <c r="J107" s="245" t="inlineStr"/>
      <c r="K107" s="245" t="inlineStr">
        <is>
          <t>14IN MEDIUM MFM EK</t>
        </is>
      </c>
      <c r="L107" s="245" t="inlineStr">
        <is>
          <t>WA-MMF-14K-IN</t>
        </is>
      </c>
      <c r="M107" s="248" t="inlineStr">
        <is>
          <t>MIWU00230</t>
        </is>
      </c>
      <c r="N107" s="245" t="inlineStr">
        <is>
          <t>F.MFM.14K.000.BU</t>
        </is>
      </c>
      <c r="O107" s="245" t="n"/>
      <c r="P107" s="245" t="n"/>
      <c r="Q107" s="250">
        <f>R107/H107</f>
        <v/>
      </c>
      <c r="R107" s="251" t="n">
        <v>3357</v>
      </c>
      <c r="S107" s="249" t="n">
        <v>17843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60</v>
      </c>
      <c r="I108" s="245" t="inlineStr"/>
      <c r="J108" s="245" t="inlineStr"/>
      <c r="K108" s="245" t="inlineStr">
        <is>
          <t>14IN MEDIUM MFM QN</t>
        </is>
      </c>
      <c r="L108" s="245" t="inlineStr">
        <is>
          <t>WA-MMF-14Q-IN</t>
        </is>
      </c>
      <c r="M108" s="248" t="inlineStr">
        <is>
          <t>MIWU00230</t>
        </is>
      </c>
      <c r="N108" s="245" t="inlineStr">
        <is>
          <t>F.MFM.14Q.000.BU</t>
        </is>
      </c>
      <c r="O108" s="245" t="n"/>
      <c r="P108" s="245" t="n"/>
      <c r="Q108" s="250">
        <f>R108/H108</f>
        <v/>
      </c>
      <c r="R108" s="251" t="n">
        <v>5440.2</v>
      </c>
      <c r="S108" s="249" t="n">
        <v>17843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7" t="n">
        <v>70</v>
      </c>
      <c r="I109" s="245" t="inlineStr"/>
      <c r="J109" s="245" t="inlineStr"/>
      <c r="K109" s="245" t="inlineStr">
        <is>
          <t>6IN MEDIUM MFM TW</t>
        </is>
      </c>
      <c r="L109" s="245" t="inlineStr">
        <is>
          <t>WA-MMF-6T-IN</t>
        </is>
      </c>
      <c r="M109" s="248" t="inlineStr">
        <is>
          <t>MIWU00230</t>
        </is>
      </c>
      <c r="N109" s="245" t="inlineStr">
        <is>
          <t>F.MFM.06T.002.BU</t>
        </is>
      </c>
      <c r="O109" s="245" t="n"/>
      <c r="P109" s="245" t="n"/>
      <c r="Q109" s="250">
        <f>R109/H109</f>
        <v/>
      </c>
      <c r="R109" s="251" t="n">
        <v>2247</v>
      </c>
      <c r="S109" s="249" t="n">
        <v>17843</v>
      </c>
      <c r="T109" s="252">
        <f>S109*R109</f>
        <v/>
      </c>
      <c r="U109" s="245" t="n"/>
      <c r="V109" s="245" t="n"/>
      <c r="W109" s="245" t="n"/>
      <c r="X109" s="245" t="n"/>
      <c r="Y109" s="245" t="n"/>
      <c r="Z109" s="245" t="n"/>
    </row>
    <row r="110" ht="17.1" customHeight="1" s="202">
      <c r="A110" s="254" t="n"/>
      <c r="B110" s="254" t="n"/>
      <c r="C110" s="254" t="n"/>
      <c r="D110" s="254" t="n"/>
      <c r="E110" s="254" t="n"/>
      <c r="F110" s="254" t="n"/>
      <c r="G110" s="254" t="n"/>
      <c r="H110" s="255">
        <f>SUM(H102:H109)</f>
        <v/>
      </c>
      <c r="I110" s="254">
        <f>COUNTA(I102:I109)</f>
        <v/>
      </c>
      <c r="J110" s="254" t="n"/>
      <c r="K110" s="254" t="n"/>
      <c r="L110" s="254" t="n"/>
      <c r="M110" s="254" t="n"/>
      <c r="N110" s="254" t="n"/>
      <c r="O110" s="256">
        <f>SUM(O102:O109)</f>
        <v/>
      </c>
      <c r="P110" s="256">
        <f>SUM(P102:P109)</f>
        <v/>
      </c>
      <c r="Q110" s="254" t="n"/>
      <c r="R110" s="257">
        <f>SUM(R102:R109)</f>
        <v/>
      </c>
      <c r="S110" s="254" t="n"/>
      <c r="T110" s="258">
        <f>SUM(T102:T109)</f>
        <v/>
      </c>
      <c r="U110" s="254" t="n"/>
      <c r="V110" s="254" t="n"/>
      <c r="W110" s="254" t="n"/>
      <c r="X110" s="254" t="n"/>
      <c r="Y110" s="254" t="n"/>
      <c r="Z110" s="254" t="n"/>
    </row>
    <row r="111" ht="16.5" customHeight="1" s="202">
      <c r="A111" s="245" t="n">
        <v>10</v>
      </c>
      <c r="B111" s="245" t="inlineStr">
        <is>
          <t>000030ZIK48020260819000646</t>
        </is>
      </c>
      <c r="C111" s="245" t="n">
        <v>524482</v>
      </c>
      <c r="D111" s="245" t="n">
        <v>524428</v>
      </c>
      <c r="E111" s="246" t="n">
        <v>46254</v>
      </c>
      <c r="F111" s="245" t="inlineStr">
        <is>
          <t>ID2608-8178</t>
        </is>
      </c>
      <c r="G111" s="246" t="n">
        <v>46253</v>
      </c>
      <c r="H111" s="247" t="n">
        <v>900</v>
      </c>
      <c r="I111" s="245" t="inlineStr">
        <is>
          <t>FSCU7110170</t>
        </is>
      </c>
      <c r="J111" s="245" t="inlineStr">
        <is>
          <t>40FT</t>
        </is>
      </c>
      <c r="K111" s="245" t="inlineStr">
        <is>
          <t>8IN GREEN TEA MF MATTRESS QN</t>
        </is>
      </c>
      <c r="L111" s="245" t="inlineStr">
        <is>
          <t>SCF-STR-800Q</t>
        </is>
      </c>
      <c r="M111" s="248" t="inlineStr">
        <is>
          <t>0993630475</t>
        </is>
      </c>
      <c r="N111" s="245" t="inlineStr">
        <is>
          <t>F.MFM.08Q.000.WS</t>
        </is>
      </c>
      <c r="O111" s="249" t="n">
        <v>21510</v>
      </c>
      <c r="P111" s="249" t="n">
        <v>19188</v>
      </c>
      <c r="Q111" s="250">
        <f>R111/H111</f>
        <v/>
      </c>
      <c r="R111" s="251" t="n">
        <v>84573</v>
      </c>
      <c r="S111" s="249" t="n">
        <v>17843</v>
      </c>
      <c r="T111" s="252">
        <f>S111*R111</f>
        <v/>
      </c>
      <c r="U111" s="245" t="inlineStr">
        <is>
          <t>040300/KPPBC</t>
        </is>
      </c>
      <c r="V111" s="245" t="inlineStr">
        <is>
          <t>TG. PRIOK</t>
        </is>
      </c>
      <c r="W111" s="245" t="inlineStr">
        <is>
          <t>CHARLESTON, US</t>
        </is>
      </c>
      <c r="X111" s="245" t="inlineStr">
        <is>
          <t>WALMART, INC.</t>
        </is>
      </c>
      <c r="Y111" s="245" t="inlineStr">
        <is>
          <t>HLCUJK1260874047</t>
        </is>
      </c>
      <c r="Z111" s="246" t="n">
        <v>46254</v>
      </c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5" t="n"/>
      <c r="I112" s="245" t="inlineStr">
        <is>
          <t>TCNU4884878</t>
        </is>
      </c>
      <c r="J112" s="245" t="inlineStr">
        <is>
          <t>40FT</t>
        </is>
      </c>
      <c r="K112" s="245" t="n"/>
      <c r="L112" s="245" t="n"/>
      <c r="M112" s="245" t="n"/>
      <c r="N112" s="245" t="n"/>
      <c r="O112" s="245" t="n"/>
      <c r="P112" s="245" t="n"/>
      <c r="Q112" s="245" t="n"/>
      <c r="R112" s="245" t="n"/>
      <c r="S112" s="245" t="n"/>
      <c r="T112" s="245" t="n"/>
      <c r="U112" s="245" t="n"/>
      <c r="V112" s="245" t="n"/>
      <c r="W112" s="245" t="inlineStr">
        <is>
          <t>ETD : 25-08-2026</t>
        </is>
      </c>
      <c r="X112" s="245" t="n"/>
      <c r="Y112" s="245" t="n"/>
      <c r="Z112" s="245" t="n"/>
    </row>
    <row r="113" ht="17.1" customHeight="1" s="202">
      <c r="A113" s="254" t="n"/>
      <c r="B113" s="254" t="n"/>
      <c r="C113" s="254" t="n"/>
      <c r="D113" s="254" t="n"/>
      <c r="E113" s="254" t="n"/>
      <c r="F113" s="254" t="n"/>
      <c r="G113" s="254" t="n"/>
      <c r="H113" s="255">
        <f>SUM(H111:H112)</f>
        <v/>
      </c>
      <c r="I113" s="254">
        <f>COUNTA(I111:I112)</f>
        <v/>
      </c>
      <c r="J113" s="254" t="n"/>
      <c r="K113" s="254" t="n"/>
      <c r="L113" s="254" t="n"/>
      <c r="M113" s="254" t="n"/>
      <c r="N113" s="254" t="n"/>
      <c r="O113" s="256">
        <f>SUM(O111:O112)</f>
        <v/>
      </c>
      <c r="P113" s="256">
        <f>SUM(P111:P112)</f>
        <v/>
      </c>
      <c r="Q113" s="254" t="n"/>
      <c r="R113" s="257">
        <f>SUM(R111:R112)</f>
        <v/>
      </c>
      <c r="S113" s="254" t="n"/>
      <c r="T113" s="258">
        <f>SUM(T111:T112)</f>
        <v/>
      </c>
      <c r="U113" s="254" t="n"/>
      <c r="V113" s="254" t="n"/>
      <c r="W113" s="254" t="n"/>
      <c r="X113" s="254" t="n"/>
      <c r="Y113" s="254" t="n"/>
      <c r="Z113" s="254" t="n"/>
    </row>
    <row r="114" ht="16.5" customHeight="1" s="202">
      <c r="A114" s="245" t="n">
        <v>11</v>
      </c>
      <c r="B114" s="245" t="inlineStr">
        <is>
          <t>000030ZIK48020260819000647</t>
        </is>
      </c>
      <c r="C114" s="245" t="n">
        <v>524515</v>
      </c>
      <c r="D114" s="245" t="n">
        <v>524461</v>
      </c>
      <c r="E114" s="246" t="n">
        <v>46254</v>
      </c>
      <c r="F114" s="245" t="inlineStr">
        <is>
          <t>ID2608-8179</t>
        </is>
      </c>
      <c r="G114" s="246" t="n">
        <v>46253</v>
      </c>
      <c r="H114" s="247" t="n">
        <v>693</v>
      </c>
      <c r="I114" s="245" t="inlineStr">
        <is>
          <t>FANU1210477</t>
        </is>
      </c>
      <c r="J114" s="245" t="inlineStr">
        <is>
          <t>40FT</t>
        </is>
      </c>
      <c r="K114" s="245" t="inlineStr">
        <is>
          <t>8IN GREEN TEA MF MATTRESS TW</t>
        </is>
      </c>
      <c r="L114" s="245" t="inlineStr">
        <is>
          <t>SCF-STR-800T</t>
        </is>
      </c>
      <c r="M114" s="248" t="inlineStr">
        <is>
          <t>0993631214</t>
        </is>
      </c>
      <c r="N114" s="245" t="inlineStr">
        <is>
          <t>F.MFM.08T.000.WS</t>
        </is>
      </c>
      <c r="O114" s="249" t="n">
        <v>10526.67</v>
      </c>
      <c r="P114" s="249" t="n">
        <v>9140.67</v>
      </c>
      <c r="Q114" s="250">
        <f>R114/H114</f>
        <v/>
      </c>
      <c r="R114" s="251" t="n">
        <v>42619.5</v>
      </c>
      <c r="S114" s="249" t="n">
        <v>17843</v>
      </c>
      <c r="T114" s="252">
        <f>S114*R114</f>
        <v/>
      </c>
      <c r="U114" s="245" t="inlineStr">
        <is>
          <t>040300/KPPBC</t>
        </is>
      </c>
      <c r="V114" s="245" t="inlineStr">
        <is>
          <t>TG. PRIOK</t>
        </is>
      </c>
      <c r="W114" s="245" t="inlineStr">
        <is>
          <t>CHARLESTON, US</t>
        </is>
      </c>
      <c r="X114" s="245" t="inlineStr">
        <is>
          <t>WALMART, INC.</t>
        </is>
      </c>
      <c r="Y114" s="245" t="inlineStr">
        <is>
          <t>HLCUJK1260874058</t>
        </is>
      </c>
      <c r="Z114" s="246" t="n">
        <v>46254</v>
      </c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5" t="n"/>
      <c r="I115" s="245" t="n"/>
      <c r="J115" s="245" t="n"/>
      <c r="K115" s="245" t="n"/>
      <c r="L115" s="245" t="n"/>
      <c r="M115" s="245" t="n"/>
      <c r="N115" s="245" t="n"/>
      <c r="O115" s="245" t="n"/>
      <c r="P115" s="245" t="n"/>
      <c r="Q115" s="245" t="n"/>
      <c r="R115" s="245" t="n"/>
      <c r="S115" s="245" t="n"/>
      <c r="T115" s="245" t="n"/>
      <c r="U115" s="245" t="n"/>
      <c r="V115" s="245" t="n"/>
      <c r="W115" s="245" t="inlineStr">
        <is>
          <t>ETD : 25-08-2026</t>
        </is>
      </c>
      <c r="X115" s="245" t="n"/>
      <c r="Y115" s="245" t="n"/>
      <c r="Z115" s="245" t="n"/>
    </row>
    <row r="116" ht="17.1" customHeight="1" s="202">
      <c r="A116" s="254" t="n"/>
      <c r="B116" s="254" t="n"/>
      <c r="C116" s="254" t="n"/>
      <c r="D116" s="254" t="n"/>
      <c r="E116" s="254" t="n"/>
      <c r="F116" s="254" t="n"/>
      <c r="G116" s="254" t="n"/>
      <c r="H116" s="255">
        <f>SUM(H114:H115)</f>
        <v/>
      </c>
      <c r="I116" s="254">
        <f>COUNTA(I114:I115)</f>
        <v/>
      </c>
      <c r="J116" s="254" t="n"/>
      <c r="K116" s="254" t="n"/>
      <c r="L116" s="254" t="n"/>
      <c r="M116" s="254" t="n"/>
      <c r="N116" s="254" t="n"/>
      <c r="O116" s="256">
        <f>SUM(O114:O115)</f>
        <v/>
      </c>
      <c r="P116" s="256">
        <f>SUM(P114:P115)</f>
        <v/>
      </c>
      <c r="Q116" s="254" t="n"/>
      <c r="R116" s="257">
        <f>SUM(R114:R115)</f>
        <v/>
      </c>
      <c r="S116" s="254" t="n"/>
      <c r="T116" s="258">
        <f>SUM(T114:T115)</f>
        <v/>
      </c>
      <c r="U116" s="254" t="n"/>
      <c r="V116" s="254" t="n"/>
      <c r="W116" s="254" t="n"/>
      <c r="X116" s="254" t="n"/>
      <c r="Y116" s="254" t="n"/>
      <c r="Z116" s="254" t="n"/>
    </row>
    <row r="117" ht="16.5" customHeight="1" s="202">
      <c r="A117" s="245" t="n">
        <v>12</v>
      </c>
      <c r="B117" s="245" t="inlineStr">
        <is>
          <t>000030ZIK48020260820000644</t>
        </is>
      </c>
      <c r="C117" s="245" t="n">
        <v>527315</v>
      </c>
      <c r="D117" s="245" t="n">
        <v>527264</v>
      </c>
      <c r="E117" s="246" t="n">
        <v>46255</v>
      </c>
      <c r="F117" s="245" t="inlineStr">
        <is>
          <t>ID2608-8143</t>
        </is>
      </c>
      <c r="G117" s="246" t="n">
        <v>46248</v>
      </c>
      <c r="H117" s="247" t="n">
        <v>900</v>
      </c>
      <c r="I117" s="245" t="inlineStr">
        <is>
          <t>CMAU3625887</t>
        </is>
      </c>
      <c r="J117" s="245" t="inlineStr">
        <is>
          <t>40FT</t>
        </is>
      </c>
      <c r="K117" s="245" t="inlineStr">
        <is>
          <t>8IN GREEN TEA MF MATTRESS QN</t>
        </is>
      </c>
      <c r="L117" s="245" t="inlineStr">
        <is>
          <t>SCF-STR-800Q</t>
        </is>
      </c>
      <c r="M117" s="248" t="inlineStr">
        <is>
          <t>0993630478</t>
        </is>
      </c>
      <c r="N117" s="245" t="inlineStr">
        <is>
          <t>F.MFM.08Q.000.WS</t>
        </is>
      </c>
      <c r="O117" s="249" t="n">
        <v>21510</v>
      </c>
      <c r="P117" s="249" t="n">
        <v>19188</v>
      </c>
      <c r="Q117" s="250">
        <f>R117/H117</f>
        <v/>
      </c>
      <c r="R117" s="251" t="n">
        <v>84573</v>
      </c>
      <c r="S117" s="249" t="n">
        <v>17843</v>
      </c>
      <c r="T117" s="252">
        <f>S117*R117</f>
        <v/>
      </c>
      <c r="U117" s="245" t="inlineStr">
        <is>
          <t>040300/KPPBC</t>
        </is>
      </c>
      <c r="V117" s="245" t="inlineStr">
        <is>
          <t>TG. PRIOK</t>
        </is>
      </c>
      <c r="W117" s="245" t="inlineStr">
        <is>
          <t>NORFOLK, US</t>
        </is>
      </c>
      <c r="X117" s="245" t="inlineStr">
        <is>
          <t>WALMART, INC.</t>
        </is>
      </c>
      <c r="Y117" s="245" t="inlineStr">
        <is>
          <t>CMDUDJA1521423</t>
        </is>
      </c>
      <c r="Z117" s="246" t="n">
        <v>46255</v>
      </c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5" t="n"/>
      <c r="I118" s="245" t="inlineStr">
        <is>
          <t>SEKU6500202</t>
        </is>
      </c>
      <c r="J118" s="245" t="inlineStr">
        <is>
          <t>40FT</t>
        </is>
      </c>
      <c r="K118" s="245" t="n"/>
      <c r="L118" s="245" t="n"/>
      <c r="M118" s="245" t="n"/>
      <c r="N118" s="245" t="n"/>
      <c r="O118" s="245" t="n"/>
      <c r="P118" s="245" t="n"/>
      <c r="Q118" s="245" t="n"/>
      <c r="R118" s="245" t="n"/>
      <c r="S118" s="245" t="n"/>
      <c r="T118" s="245" t="n"/>
      <c r="U118" s="245" t="n"/>
      <c r="V118" s="245" t="n"/>
      <c r="W118" s="245" t="inlineStr">
        <is>
          <t>ETD : 28-08-2026</t>
        </is>
      </c>
      <c r="X118" s="245" t="n"/>
      <c r="Y118" s="245" t="n"/>
      <c r="Z118" s="245" t="n"/>
    </row>
    <row r="119" ht="17.1" customHeight="1" s="202">
      <c r="A119" s="254" t="n"/>
      <c r="B119" s="254" t="n"/>
      <c r="C119" s="254" t="n"/>
      <c r="D119" s="254" t="n"/>
      <c r="E119" s="254" t="n"/>
      <c r="F119" s="254" t="n"/>
      <c r="G119" s="254" t="n"/>
      <c r="H119" s="255">
        <f>SUM(H117:H118)</f>
        <v/>
      </c>
      <c r="I119" s="254">
        <f>COUNTA(I117:I118)</f>
        <v/>
      </c>
      <c r="J119" s="254" t="n"/>
      <c r="K119" s="254" t="n"/>
      <c r="L119" s="254" t="n"/>
      <c r="M119" s="254" t="n"/>
      <c r="N119" s="254" t="n"/>
      <c r="O119" s="256">
        <f>SUM(O117:O118)</f>
        <v/>
      </c>
      <c r="P119" s="256">
        <f>SUM(P117:P118)</f>
        <v/>
      </c>
      <c r="Q119" s="254" t="n"/>
      <c r="R119" s="257">
        <f>SUM(R117:R118)</f>
        <v/>
      </c>
      <c r="S119" s="254" t="n"/>
      <c r="T119" s="258">
        <f>SUM(T117:T118)</f>
        <v/>
      </c>
      <c r="U119" s="254" t="n"/>
      <c r="V119" s="254" t="n"/>
      <c r="W119" s="254" t="n"/>
      <c r="X119" s="254" t="n"/>
      <c r="Y119" s="254" t="n"/>
      <c r="Z119" s="254" t="n"/>
    </row>
    <row r="120" ht="16.5" customHeight="1" s="202">
      <c r="A120" s="245" t="n">
        <v>13</v>
      </c>
      <c r="B120" s="245" t="inlineStr">
        <is>
          <t>000030ZIK48020260820000648</t>
        </is>
      </c>
      <c r="C120" s="245" t="n">
        <v>529469</v>
      </c>
      <c r="D120" s="245" t="n">
        <v>529419</v>
      </c>
      <c r="E120" s="246" t="n">
        <v>46255</v>
      </c>
      <c r="F120" s="245" t="inlineStr">
        <is>
          <t>ID2608-8080</t>
        </is>
      </c>
      <c r="G120" s="246" t="n">
        <v>46211</v>
      </c>
      <c r="H120" s="247" t="n">
        <v>1350</v>
      </c>
      <c r="I120" s="245" t="inlineStr">
        <is>
          <t>ECMU7044590</t>
        </is>
      </c>
      <c r="J120" s="245" t="inlineStr">
        <is>
          <t>40FT</t>
        </is>
      </c>
      <c r="K120" s="245" t="inlineStr">
        <is>
          <t>8IN GREEN TEA MF MATTRESS QN</t>
        </is>
      </c>
      <c r="L120" s="245" t="inlineStr">
        <is>
          <t>SCF-STR-800Q</t>
        </is>
      </c>
      <c r="M120" s="248" t="inlineStr">
        <is>
          <t>0993630425</t>
        </is>
      </c>
      <c r="N120" s="245" t="inlineStr">
        <is>
          <t>F.MFM.08Q.000.WS</t>
        </is>
      </c>
      <c r="O120" s="249" t="n">
        <v>32265</v>
      </c>
      <c r="P120" s="249" t="n">
        <v>28782</v>
      </c>
      <c r="Q120" s="250">
        <f>R120/H120</f>
        <v/>
      </c>
      <c r="R120" s="251" t="n">
        <v>126859.5</v>
      </c>
      <c r="S120" s="249" t="n">
        <v>17843</v>
      </c>
      <c r="T120" s="252">
        <f>S120*R120</f>
        <v/>
      </c>
      <c r="U120" s="245" t="inlineStr">
        <is>
          <t>040300/KPPBC</t>
        </is>
      </c>
      <c r="V120" s="245" t="inlineStr">
        <is>
          <t>TG. PRIOK</t>
        </is>
      </c>
      <c r="W120" s="245" t="inlineStr">
        <is>
          <t>HOUSTON, US</t>
        </is>
      </c>
      <c r="X120" s="245" t="inlineStr">
        <is>
          <t>WALMART, INC.</t>
        </is>
      </c>
      <c r="Y120" s="245" t="inlineStr">
        <is>
          <t>CMDUDJA1518792A</t>
        </is>
      </c>
      <c r="Z120" s="246" t="n">
        <v>46255</v>
      </c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5" t="n"/>
      <c r="I121" s="245" t="inlineStr">
        <is>
          <t>CMAU7196939</t>
        </is>
      </c>
      <c r="J121" s="245" t="inlineStr">
        <is>
          <t>40FT</t>
        </is>
      </c>
      <c r="K121" s="245" t="n"/>
      <c r="L121" s="245" t="n"/>
      <c r="M121" s="245" t="n"/>
      <c r="N121" s="245" t="n"/>
      <c r="O121" s="245" t="n"/>
      <c r="P121" s="245" t="n"/>
      <c r="Q121" s="245" t="n"/>
      <c r="R121" s="245" t="n"/>
      <c r="S121" s="245" t="n"/>
      <c r="T121" s="245" t="n"/>
      <c r="U121" s="245" t="n"/>
      <c r="V121" s="245" t="n"/>
      <c r="W121" s="245" t="inlineStr">
        <is>
          <t>ETD : 26-08-2026</t>
        </is>
      </c>
      <c r="X121" s="245" t="n"/>
      <c r="Y121" s="245" t="n"/>
      <c r="Z121" s="245" t="n"/>
    </row>
    <row r="122" ht="16.5" customHeight="1" s="202">
      <c r="A122" s="245" t="n"/>
      <c r="B122" s="245" t="n"/>
      <c r="C122" s="245" t="n"/>
      <c r="D122" s="245" t="n"/>
      <c r="E122" s="245" t="n"/>
      <c r="F122" s="245" t="n"/>
      <c r="G122" s="245" t="n"/>
      <c r="H122" s="245" t="n"/>
      <c r="I122" s="245" t="inlineStr">
        <is>
          <t>TGHU9799277</t>
        </is>
      </c>
      <c r="J122" s="245" t="inlineStr">
        <is>
          <t>40FT</t>
        </is>
      </c>
      <c r="K122" s="245" t="n"/>
      <c r="L122" s="245" t="n"/>
      <c r="M122" s="245" t="n"/>
      <c r="N122" s="245" t="n"/>
      <c r="O122" s="245" t="n"/>
      <c r="P122" s="245" t="n"/>
      <c r="Q122" s="245" t="n"/>
      <c r="R122" s="245" t="n"/>
      <c r="S122" s="245" t="n"/>
      <c r="T122" s="245" t="n"/>
      <c r="U122" s="245" t="n"/>
      <c r="V122" s="245" t="n"/>
      <c r="W122" s="245" t="n"/>
      <c r="X122" s="245" t="n"/>
      <c r="Y122" s="245" t="n"/>
      <c r="Z122" s="245" t="n"/>
    </row>
    <row r="123" ht="17.1" customHeight="1" s="202">
      <c r="A123" s="254" t="n"/>
      <c r="B123" s="254" t="n"/>
      <c r="C123" s="254" t="n"/>
      <c r="D123" s="254" t="n"/>
      <c r="E123" s="254" t="n"/>
      <c r="F123" s="254" t="n"/>
      <c r="G123" s="254" t="n"/>
      <c r="H123" s="255">
        <f>SUM(H120:H122)</f>
        <v/>
      </c>
      <c r="I123" s="254">
        <f>COUNTA(I120:I122)</f>
        <v/>
      </c>
      <c r="J123" s="254" t="n"/>
      <c r="K123" s="254" t="n"/>
      <c r="L123" s="254" t="n"/>
      <c r="M123" s="254" t="n"/>
      <c r="N123" s="254" t="n"/>
      <c r="O123" s="256">
        <f>SUM(O120:O122)</f>
        <v/>
      </c>
      <c r="P123" s="256">
        <f>SUM(P120:P122)</f>
        <v/>
      </c>
      <c r="Q123" s="254" t="n"/>
      <c r="R123" s="257">
        <f>SUM(R120:R122)</f>
        <v/>
      </c>
      <c r="S123" s="254" t="n"/>
      <c r="T123" s="258">
        <f>SUM(T120:T122)</f>
        <v/>
      </c>
      <c r="U123" s="254" t="n"/>
      <c r="V123" s="254" t="n"/>
      <c r="W123" s="254" t="n"/>
      <c r="X123" s="254" t="n"/>
      <c r="Y123" s="254" t="n"/>
      <c r="Z123" s="254" t="n"/>
    </row>
    <row r="124" ht="16.5" customHeight="1" s="202">
      <c r="A124" s="245" t="n">
        <v>14</v>
      </c>
      <c r="B124" s="245" t="inlineStr">
        <is>
          <t>000030ZIK48020260820000649</t>
        </is>
      </c>
      <c r="C124" s="245" t="n">
        <v>529936</v>
      </c>
      <c r="D124" s="245" t="n">
        <v>529885</v>
      </c>
      <c r="E124" s="246" t="n">
        <v>46256</v>
      </c>
      <c r="F124" s="245" t="inlineStr">
        <is>
          <t>ID2608-8081</t>
        </is>
      </c>
      <c r="G124" s="246" t="n">
        <v>46211</v>
      </c>
      <c r="H124" s="247" t="n">
        <v>1040</v>
      </c>
      <c r="I124" s="245" t="inlineStr">
        <is>
          <t>ECMU5220453</t>
        </is>
      </c>
      <c r="J124" s="245" t="inlineStr">
        <is>
          <t>40FT</t>
        </is>
      </c>
      <c r="K124" s="245" t="inlineStr">
        <is>
          <t>8IN GREEN TEA MF MATTRESS FL</t>
        </is>
      </c>
      <c r="L124" s="245" t="inlineStr">
        <is>
          <t>SCF-STR-800F</t>
        </is>
      </c>
      <c r="M124" s="248" t="inlineStr">
        <is>
          <t>0993630651</t>
        </is>
      </c>
      <c r="N124" s="245" t="inlineStr">
        <is>
          <t>F.MFM.08F.000.WS</t>
        </is>
      </c>
      <c r="O124" s="249" t="n">
        <v>21236.8</v>
      </c>
      <c r="P124" s="249" t="n">
        <v>18740.8</v>
      </c>
      <c r="Q124" s="250">
        <f>R124/H124</f>
        <v/>
      </c>
      <c r="R124" s="251" t="n">
        <v>82960.8</v>
      </c>
      <c r="S124" s="249" t="n">
        <v>17843</v>
      </c>
      <c r="T124" s="252">
        <f>S124*R124</f>
        <v/>
      </c>
      <c r="U124" s="245" t="inlineStr">
        <is>
          <t>040300/KPPBC</t>
        </is>
      </c>
      <c r="V124" s="245" t="inlineStr">
        <is>
          <t>TG. PRIOK</t>
        </is>
      </c>
      <c r="W124" s="245" t="inlineStr">
        <is>
          <t>HOUSTON, US</t>
        </is>
      </c>
      <c r="X124" s="245" t="inlineStr">
        <is>
          <t>WALMART, INC.</t>
        </is>
      </c>
      <c r="Y124" s="245" t="inlineStr">
        <is>
          <t>CMDUDJA1518792B</t>
        </is>
      </c>
      <c r="Z124" s="246" t="n">
        <v>46256</v>
      </c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5" t="n"/>
      <c r="I125" s="245" t="inlineStr">
        <is>
          <t>CMAU6171685</t>
        </is>
      </c>
      <c r="J125" s="245" t="inlineStr">
        <is>
          <t>40FT</t>
        </is>
      </c>
      <c r="K125" s="245" t="n"/>
      <c r="L125" s="245" t="n"/>
      <c r="M125" s="245" t="n"/>
      <c r="N125" s="245" t="n"/>
      <c r="O125" s="245" t="n"/>
      <c r="P125" s="245" t="n"/>
      <c r="Q125" s="245" t="n"/>
      <c r="R125" s="245" t="n"/>
      <c r="S125" s="245" t="n"/>
      <c r="T125" s="245" t="n"/>
      <c r="U125" s="245" t="n"/>
      <c r="V125" s="245" t="n"/>
      <c r="W125" s="245" t="inlineStr">
        <is>
          <t>ETD : 26-08-2026</t>
        </is>
      </c>
      <c r="X125" s="245" t="n"/>
      <c r="Y125" s="245" t="n"/>
      <c r="Z125" s="245" t="n"/>
    </row>
    <row r="126" ht="17.1" customHeight="1" s="202">
      <c r="A126" s="254" t="n"/>
      <c r="B126" s="254" t="n"/>
      <c r="C126" s="254" t="n"/>
      <c r="D126" s="254" t="n"/>
      <c r="E126" s="254" t="n"/>
      <c r="F126" s="254" t="n"/>
      <c r="G126" s="254" t="n"/>
      <c r="H126" s="255">
        <f>SUM(H124:H125)</f>
        <v/>
      </c>
      <c r="I126" s="254">
        <f>COUNTA(I124:I125)</f>
        <v/>
      </c>
      <c r="J126" s="254" t="n"/>
      <c r="K126" s="254" t="n"/>
      <c r="L126" s="254" t="n"/>
      <c r="M126" s="254" t="n"/>
      <c r="N126" s="254" t="n"/>
      <c r="O126" s="256">
        <f>SUM(O124:O125)</f>
        <v/>
      </c>
      <c r="P126" s="256">
        <f>SUM(P124:P125)</f>
        <v/>
      </c>
      <c r="Q126" s="254" t="n"/>
      <c r="R126" s="257">
        <f>SUM(R124:R125)</f>
        <v/>
      </c>
      <c r="S126" s="254" t="n"/>
      <c r="T126" s="258">
        <f>SUM(T124:T125)</f>
        <v/>
      </c>
      <c r="U126" s="254" t="n"/>
      <c r="V126" s="254" t="n"/>
      <c r="W126" s="254" t="n"/>
      <c r="X126" s="254" t="n"/>
      <c r="Y126" s="254" t="n"/>
      <c r="Z126" s="254" t="n"/>
    </row>
    <row r="127" ht="16.5" customHeight="1" s="202">
      <c r="A127" s="245" t="n">
        <v>15</v>
      </c>
      <c r="B127" s="245" t="inlineStr">
        <is>
          <t>000030ZIK48020260820000650</t>
        </is>
      </c>
      <c r="C127" s="245" t="n">
        <v>527706</v>
      </c>
      <c r="D127" s="245" t="n">
        <v>527655</v>
      </c>
      <c r="E127" s="246" t="n">
        <v>46255</v>
      </c>
      <c r="F127" s="245" t="inlineStr">
        <is>
          <t>ID2608-8176</t>
        </is>
      </c>
      <c r="G127" s="246" t="n">
        <v>46253</v>
      </c>
      <c r="H127" s="247" t="n">
        <v>520</v>
      </c>
      <c r="I127" s="245" t="inlineStr">
        <is>
          <t>TRHU7074350</t>
        </is>
      </c>
      <c r="J127" s="245" t="inlineStr">
        <is>
          <t>40FT</t>
        </is>
      </c>
      <c r="K127" s="245" t="inlineStr">
        <is>
          <t>8IN GREEN TEA MF MATTRESS FL</t>
        </is>
      </c>
      <c r="L127" s="245" t="inlineStr">
        <is>
          <t>SCF-STR-800F</t>
        </is>
      </c>
      <c r="M127" s="248" t="inlineStr">
        <is>
          <t>0993630799</t>
        </is>
      </c>
      <c r="N127" s="245" t="inlineStr">
        <is>
          <t>F.MFM.08F.000.WS</t>
        </is>
      </c>
      <c r="O127" s="249" t="n">
        <v>10618.4</v>
      </c>
      <c r="P127" s="249" t="n">
        <v>9370.4</v>
      </c>
      <c r="Q127" s="250">
        <f>R127/H127</f>
        <v/>
      </c>
      <c r="R127" s="251" t="n">
        <v>41480.4</v>
      </c>
      <c r="S127" s="249" t="n">
        <v>17843</v>
      </c>
      <c r="T127" s="252">
        <f>S127*R127</f>
        <v/>
      </c>
      <c r="U127" s="245" t="inlineStr">
        <is>
          <t>040300/KPPBC</t>
        </is>
      </c>
      <c r="V127" s="245" t="inlineStr">
        <is>
          <t>TG. PRIOK</t>
        </is>
      </c>
      <c r="W127" s="245" t="inlineStr">
        <is>
          <t>LOS ANGELES, US</t>
        </is>
      </c>
      <c r="X127" s="245" t="inlineStr">
        <is>
          <t>WALMART, INC.</t>
        </is>
      </c>
      <c r="Y127" s="245" t="inlineStr">
        <is>
          <t>CMDUDJA1523559A</t>
        </is>
      </c>
      <c r="Z127" s="246" t="n">
        <v>46255</v>
      </c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5" t="n"/>
      <c r="I128" s="245" t="n"/>
      <c r="J128" s="245" t="n"/>
      <c r="K128" s="245" t="n"/>
      <c r="L128" s="245" t="n"/>
      <c r="M128" s="245" t="n"/>
      <c r="N128" s="245" t="n"/>
      <c r="O128" s="245" t="n"/>
      <c r="P128" s="245" t="n"/>
      <c r="Q128" s="245" t="n"/>
      <c r="R128" s="245" t="n"/>
      <c r="S128" s="245" t="n"/>
      <c r="T128" s="245" t="n"/>
      <c r="U128" s="245" t="n"/>
      <c r="V128" s="245" t="n"/>
      <c r="W128" s="245" t="inlineStr">
        <is>
          <t>ETD : 26-08-2026</t>
        </is>
      </c>
      <c r="X128" s="245" t="n"/>
      <c r="Y128" s="245" t="n"/>
      <c r="Z128" s="245" t="n"/>
    </row>
    <row r="129" ht="17.1" customHeight="1" s="202">
      <c r="A129" s="254" t="n"/>
      <c r="B129" s="254" t="n"/>
      <c r="C129" s="254" t="n"/>
      <c r="D129" s="254" t="n"/>
      <c r="E129" s="254" t="n"/>
      <c r="F129" s="254" t="n"/>
      <c r="G129" s="254" t="n"/>
      <c r="H129" s="255">
        <f>SUM(H127:H128)</f>
        <v/>
      </c>
      <c r="I129" s="254">
        <f>COUNTA(I127:I128)</f>
        <v/>
      </c>
      <c r="J129" s="254" t="n"/>
      <c r="K129" s="254" t="n"/>
      <c r="L129" s="254" t="n"/>
      <c r="M129" s="254" t="n"/>
      <c r="N129" s="254" t="n"/>
      <c r="O129" s="256">
        <f>SUM(O127:O128)</f>
        <v/>
      </c>
      <c r="P129" s="256">
        <f>SUM(P127:P128)</f>
        <v/>
      </c>
      <c r="Q129" s="254" t="n"/>
      <c r="R129" s="257">
        <f>SUM(R127:R128)</f>
        <v/>
      </c>
      <c r="S129" s="254" t="n"/>
      <c r="T129" s="258">
        <f>SUM(T127:T128)</f>
        <v/>
      </c>
      <c r="U129" s="254" t="n"/>
      <c r="V129" s="254" t="n"/>
      <c r="W129" s="254" t="n"/>
      <c r="X129" s="254" t="n"/>
      <c r="Y129" s="254" t="n"/>
      <c r="Z129" s="254" t="n"/>
    </row>
    <row r="130" ht="16.5" customHeight="1" s="202">
      <c r="A130" s="245" t="n">
        <v>16</v>
      </c>
      <c r="B130" s="245" t="inlineStr">
        <is>
          <t>000030ZIK48020260820000651</t>
        </is>
      </c>
      <c r="C130" s="245" t="n">
        <v>529431</v>
      </c>
      <c r="D130" s="245" t="n">
        <v>529381</v>
      </c>
      <c r="E130" s="246" t="n">
        <v>46255</v>
      </c>
      <c r="F130" s="245" t="inlineStr">
        <is>
          <t>ID2608-8175</t>
        </is>
      </c>
      <c r="G130" s="246" t="n">
        <v>46253</v>
      </c>
      <c r="H130" s="247" t="n">
        <v>450</v>
      </c>
      <c r="I130" s="245" t="inlineStr">
        <is>
          <t>CMAU9940314</t>
        </is>
      </c>
      <c r="J130" s="245" t="inlineStr">
        <is>
          <t>40FT</t>
        </is>
      </c>
      <c r="K130" s="245" t="inlineStr">
        <is>
          <t>8IN GREEN TEA MF MATTRESS QN</t>
        </is>
      </c>
      <c r="L130" s="245" t="inlineStr">
        <is>
          <t>SCF-STR-800Q</t>
        </is>
      </c>
      <c r="M130" s="248" t="inlineStr">
        <is>
          <t>0993630489</t>
        </is>
      </c>
      <c r="N130" s="245" t="inlineStr">
        <is>
          <t>F.MFM.08Q.000.WS</t>
        </is>
      </c>
      <c r="O130" s="249" t="n">
        <v>10755</v>
      </c>
      <c r="P130" s="249" t="n">
        <v>9594</v>
      </c>
      <c r="Q130" s="250">
        <f>R130/H130</f>
        <v/>
      </c>
      <c r="R130" s="251" t="n">
        <v>42286.5</v>
      </c>
      <c r="S130" s="249" t="n">
        <v>17843</v>
      </c>
      <c r="T130" s="252">
        <f>S130*R130</f>
        <v/>
      </c>
      <c r="U130" s="245" t="inlineStr">
        <is>
          <t>040300/KPPBC</t>
        </is>
      </c>
      <c r="V130" s="245" t="inlineStr">
        <is>
          <t>TG. PRIOK</t>
        </is>
      </c>
      <c r="W130" s="245" t="inlineStr">
        <is>
          <t>LOS ANGELES, US</t>
        </is>
      </c>
      <c r="X130" s="245" t="inlineStr">
        <is>
          <t>WALMART, INC.</t>
        </is>
      </c>
      <c r="Y130" s="245" t="inlineStr">
        <is>
          <t>CMDUDJA1523559B</t>
        </is>
      </c>
      <c r="Z130" s="246" t="n">
        <v>46255</v>
      </c>
    </row>
    <row r="131" ht="16.5" customHeight="1" s="202">
      <c r="A131" s="245" t="n"/>
      <c r="B131" s="245" t="n"/>
      <c r="C131" s="245" t="n"/>
      <c r="D131" s="245" t="n"/>
      <c r="E131" s="245" t="n"/>
      <c r="F131" s="245" t="n"/>
      <c r="G131" s="245" t="n"/>
      <c r="H131" s="245" t="n"/>
      <c r="I131" s="245" t="n"/>
      <c r="J131" s="245" t="n"/>
      <c r="K131" s="245" t="n"/>
      <c r="L131" s="245" t="n"/>
      <c r="M131" s="245" t="n"/>
      <c r="N131" s="245" t="n"/>
      <c r="O131" s="245" t="n"/>
      <c r="P131" s="245" t="n"/>
      <c r="Q131" s="245" t="n"/>
      <c r="R131" s="245" t="n"/>
      <c r="S131" s="245" t="n"/>
      <c r="T131" s="245" t="n"/>
      <c r="U131" s="245" t="n"/>
      <c r="V131" s="245" t="n"/>
      <c r="W131" s="245" t="inlineStr">
        <is>
          <t>ETD : 26-08-2026</t>
        </is>
      </c>
      <c r="X131" s="245" t="n"/>
      <c r="Y131" s="245" t="n"/>
      <c r="Z131" s="245" t="n"/>
    </row>
    <row r="132" ht="17.1" customHeight="1" s="202">
      <c r="A132" s="254" t="n"/>
      <c r="B132" s="254" t="n"/>
      <c r="C132" s="254" t="n"/>
      <c r="D132" s="254" t="n"/>
      <c r="E132" s="254" t="n"/>
      <c r="F132" s="254" t="n"/>
      <c r="G132" s="254" t="n"/>
      <c r="H132" s="255">
        <f>SUM(H130:H131)</f>
        <v/>
      </c>
      <c r="I132" s="254">
        <f>COUNTA(I130:I131)</f>
        <v/>
      </c>
      <c r="J132" s="254" t="n"/>
      <c r="K132" s="254" t="n"/>
      <c r="L132" s="254" t="n"/>
      <c r="M132" s="254" t="n"/>
      <c r="N132" s="254" t="n"/>
      <c r="O132" s="256">
        <f>SUM(O130:O131)</f>
        <v/>
      </c>
      <c r="P132" s="256">
        <f>SUM(P130:P131)</f>
        <v/>
      </c>
      <c r="Q132" s="254" t="n"/>
      <c r="R132" s="257">
        <f>SUM(R130:R131)</f>
        <v/>
      </c>
      <c r="S132" s="254" t="n"/>
      <c r="T132" s="258">
        <f>SUM(T130:T131)</f>
        <v/>
      </c>
      <c r="U132" s="254" t="n"/>
      <c r="V132" s="254" t="n"/>
      <c r="W132" s="254" t="n"/>
      <c r="X132" s="254" t="n"/>
      <c r="Y132" s="254" t="n"/>
      <c r="Z132" s="254" t="n"/>
    </row>
    <row r="133" ht="16.5" customHeight="1" s="202">
      <c r="A133" s="245" t="n">
        <v>17</v>
      </c>
      <c r="B133" s="245" t="inlineStr">
        <is>
          <t>000030ZIK48020260820000652</t>
        </is>
      </c>
      <c r="C133" s="245" t="n">
        <v>527195</v>
      </c>
      <c r="D133" s="245" t="n">
        <v>527144</v>
      </c>
      <c r="E133" s="246" t="n">
        <v>46255</v>
      </c>
      <c r="F133" s="245" t="inlineStr">
        <is>
          <t>ID2608-8174</t>
        </is>
      </c>
      <c r="G133" s="246" t="n">
        <v>46253</v>
      </c>
      <c r="H133" s="247" t="n">
        <v>693</v>
      </c>
      <c r="I133" s="245" t="inlineStr">
        <is>
          <t>TRHU8689791</t>
        </is>
      </c>
      <c r="J133" s="245" t="inlineStr">
        <is>
          <t>40FT</t>
        </is>
      </c>
      <c r="K133" s="245" t="inlineStr">
        <is>
          <t>8IN GREEN TEA MF MATTRESS TW</t>
        </is>
      </c>
      <c r="L133" s="245" t="inlineStr">
        <is>
          <t>SCF-STR-800T</t>
        </is>
      </c>
      <c r="M133" s="248" t="inlineStr">
        <is>
          <t>0993631150</t>
        </is>
      </c>
      <c r="N133" s="245" t="inlineStr">
        <is>
          <t>F.MFM.08T.000.WS</t>
        </is>
      </c>
      <c r="O133" s="249" t="n">
        <v>10526.67</v>
      </c>
      <c r="P133" s="249" t="n">
        <v>9140.67</v>
      </c>
      <c r="Q133" s="250">
        <f>R133/H133</f>
        <v/>
      </c>
      <c r="R133" s="251" t="n">
        <v>42619.5</v>
      </c>
      <c r="S133" s="249" t="n">
        <v>17843</v>
      </c>
      <c r="T133" s="252">
        <f>S133*R133</f>
        <v/>
      </c>
      <c r="U133" s="245" t="inlineStr">
        <is>
          <t>040300/KPPBC</t>
        </is>
      </c>
      <c r="V133" s="245" t="inlineStr">
        <is>
          <t>TG. PRIOK</t>
        </is>
      </c>
      <c r="W133" s="245" t="inlineStr">
        <is>
          <t>LOS ANGELES, US</t>
        </is>
      </c>
      <c r="X133" s="245" t="inlineStr">
        <is>
          <t>WALMART, INC.</t>
        </is>
      </c>
      <c r="Y133" s="245" t="inlineStr">
        <is>
          <t>CMDUDJA1523559C</t>
        </is>
      </c>
      <c r="Z133" s="246" t="n">
        <v>46255</v>
      </c>
    </row>
    <row r="134" ht="16.5" customHeight="1" s="202">
      <c r="A134" s="245" t="n"/>
      <c r="B134" s="245" t="n"/>
      <c r="C134" s="245" t="n"/>
      <c r="D134" s="245" t="n"/>
      <c r="E134" s="245" t="n"/>
      <c r="F134" s="245" t="n"/>
      <c r="G134" s="245" t="n"/>
      <c r="H134" s="245" t="n"/>
      <c r="I134" s="245" t="n"/>
      <c r="J134" s="245" t="n"/>
      <c r="K134" s="245" t="n"/>
      <c r="L134" s="245" t="n"/>
      <c r="M134" s="245" t="n"/>
      <c r="N134" s="245" t="n"/>
      <c r="O134" s="245" t="n"/>
      <c r="P134" s="245" t="n"/>
      <c r="Q134" s="245" t="n"/>
      <c r="R134" s="245" t="n"/>
      <c r="S134" s="245" t="n"/>
      <c r="T134" s="245" t="n"/>
      <c r="U134" s="245" t="n"/>
      <c r="V134" s="245" t="n"/>
      <c r="W134" s="245" t="inlineStr">
        <is>
          <t>ETD : 26-08-2026</t>
        </is>
      </c>
      <c r="X134" s="245" t="n"/>
      <c r="Y134" s="245" t="n"/>
      <c r="Z134" s="245" t="n"/>
    </row>
    <row r="135" ht="17.1" customHeight="1" s="202">
      <c r="A135" s="254" t="n"/>
      <c r="B135" s="254" t="n"/>
      <c r="C135" s="254" t="n"/>
      <c r="D135" s="254" t="n"/>
      <c r="E135" s="254" t="n"/>
      <c r="F135" s="254" t="n"/>
      <c r="G135" s="254" t="n"/>
      <c r="H135" s="255">
        <f>SUM(H133:H134)</f>
        <v/>
      </c>
      <c r="I135" s="254">
        <f>COUNTA(I133:I134)</f>
        <v/>
      </c>
      <c r="J135" s="254" t="n"/>
      <c r="K135" s="254" t="n"/>
      <c r="L135" s="254" t="n"/>
      <c r="M135" s="254" t="n"/>
      <c r="N135" s="254" t="n"/>
      <c r="O135" s="256">
        <f>SUM(O133:O134)</f>
        <v/>
      </c>
      <c r="P135" s="256">
        <f>SUM(P133:P134)</f>
        <v/>
      </c>
      <c r="Q135" s="254" t="n"/>
      <c r="R135" s="257">
        <f>SUM(R133:R134)</f>
        <v/>
      </c>
      <c r="S135" s="254" t="n"/>
      <c r="T135" s="258">
        <f>SUM(T133:T134)</f>
        <v/>
      </c>
      <c r="U135" s="254" t="n"/>
      <c r="V135" s="254" t="n"/>
      <c r="W135" s="254" t="n"/>
      <c r="X135" s="254" t="n"/>
      <c r="Y135" s="254" t="n"/>
      <c r="Z135" s="254" t="n"/>
    </row>
    <row r="136" ht="16.5" customHeight="1" s="202">
      <c r="A136" s="245" t="n">
        <v>18</v>
      </c>
      <c r="B136" s="245" t="inlineStr">
        <is>
          <t>000030ZIK48020260820000653</t>
        </is>
      </c>
      <c r="C136" s="245" t="n">
        <v>527234</v>
      </c>
      <c r="D136" s="245" t="n">
        <v>527183</v>
      </c>
      <c r="E136" s="246" t="n">
        <v>46255</v>
      </c>
      <c r="F136" s="245" t="inlineStr">
        <is>
          <t>ID2608-8192</t>
        </is>
      </c>
      <c r="G136" s="246" t="n">
        <v>46254</v>
      </c>
      <c r="H136" s="247" t="n">
        <v>520</v>
      </c>
      <c r="I136" s="245" t="inlineStr">
        <is>
          <t>CSNU8939926</t>
        </is>
      </c>
      <c r="J136" s="245" t="inlineStr">
        <is>
          <t>40FT</t>
        </is>
      </c>
      <c r="K136" s="245" t="inlineStr">
        <is>
          <t>8IN GREEN TEA MF MATTRESS FL</t>
        </is>
      </c>
      <c r="L136" s="245" t="inlineStr">
        <is>
          <t>SCF-STR-800F</t>
        </is>
      </c>
      <c r="M136" s="248" t="inlineStr">
        <is>
          <t>0993630672</t>
        </is>
      </c>
      <c r="N136" s="245" t="inlineStr">
        <is>
          <t>F.MFM.08F.000.WS</t>
        </is>
      </c>
      <c r="O136" s="249" t="n">
        <v>10618.4</v>
      </c>
      <c r="P136" s="249" t="n">
        <v>9370.4</v>
      </c>
      <c r="Q136" s="250">
        <f>R136/H136</f>
        <v/>
      </c>
      <c r="R136" s="251" t="n">
        <v>41480.4</v>
      </c>
      <c r="S136" s="249" t="n">
        <v>17843</v>
      </c>
      <c r="T136" s="252">
        <f>S136*R136</f>
        <v/>
      </c>
      <c r="U136" s="245" t="inlineStr">
        <is>
          <t>040300/KPPBC</t>
        </is>
      </c>
      <c r="V136" s="245" t="inlineStr">
        <is>
          <t>TG. PRIOK</t>
        </is>
      </c>
      <c r="W136" s="245" t="inlineStr">
        <is>
          <t>MOBILE, US</t>
        </is>
      </c>
      <c r="X136" s="245" t="inlineStr">
        <is>
          <t>WALMART, INC.</t>
        </is>
      </c>
      <c r="Y136" s="245" t="inlineStr">
        <is>
          <t>COSU6463182160</t>
        </is>
      </c>
      <c r="Z136" s="246" t="n">
        <v>46255</v>
      </c>
    </row>
    <row r="137" ht="16.5" customHeight="1" s="202">
      <c r="A137" s="245" t="n"/>
      <c r="B137" s="245" t="n"/>
      <c r="C137" s="245" t="n"/>
      <c r="D137" s="245" t="n"/>
      <c r="E137" s="245" t="n"/>
      <c r="F137" s="245" t="n"/>
      <c r="G137" s="245" t="n"/>
      <c r="H137" s="245" t="n"/>
      <c r="I137" s="245" t="n"/>
      <c r="J137" s="245" t="n"/>
      <c r="K137" s="245" t="n"/>
      <c r="L137" s="245" t="n"/>
      <c r="M137" s="245" t="n"/>
      <c r="N137" s="245" t="n"/>
      <c r="O137" s="245" t="n"/>
      <c r="P137" s="245" t="n"/>
      <c r="Q137" s="245" t="n"/>
      <c r="R137" s="245" t="n"/>
      <c r="S137" s="245" t="n"/>
      <c r="T137" s="245" t="n"/>
      <c r="U137" s="245" t="n"/>
      <c r="V137" s="245" t="n"/>
      <c r="W137" s="245" t="inlineStr">
        <is>
          <t>ETD : 24-08-2026</t>
        </is>
      </c>
      <c r="X137" s="245" t="n"/>
      <c r="Y137" s="245" t="n"/>
      <c r="Z137" s="245" t="n"/>
    </row>
    <row r="138" ht="17.1" customHeight="1" s="202">
      <c r="A138" s="254" t="n"/>
      <c r="B138" s="254" t="n"/>
      <c r="C138" s="254" t="n"/>
      <c r="D138" s="254" t="n"/>
      <c r="E138" s="254" t="n"/>
      <c r="F138" s="254" t="n"/>
      <c r="G138" s="254" t="n"/>
      <c r="H138" s="255">
        <f>SUM(H136:H137)</f>
        <v/>
      </c>
      <c r="I138" s="254">
        <f>COUNTA(I136:I137)</f>
        <v/>
      </c>
      <c r="J138" s="254" t="n"/>
      <c r="K138" s="254" t="n"/>
      <c r="L138" s="254" t="n"/>
      <c r="M138" s="254" t="n"/>
      <c r="N138" s="254" t="n"/>
      <c r="O138" s="256">
        <f>SUM(O136:O137)</f>
        <v/>
      </c>
      <c r="P138" s="256">
        <f>SUM(P136:P137)</f>
        <v/>
      </c>
      <c r="Q138" s="254" t="n"/>
      <c r="R138" s="257">
        <f>SUM(R136:R137)</f>
        <v/>
      </c>
      <c r="S138" s="254" t="n"/>
      <c r="T138" s="258">
        <f>SUM(T136:T137)</f>
        <v/>
      </c>
      <c r="U138" s="254" t="n"/>
      <c r="V138" s="254" t="n"/>
      <c r="W138" s="254" t="n"/>
      <c r="X138" s="254" t="n"/>
      <c r="Y138" s="254" t="n"/>
      <c r="Z138" s="254" t="n"/>
    </row>
    <row r="139" ht="16.5" customHeight="1" s="202">
      <c r="A139" s="245" t="n">
        <v>19</v>
      </c>
      <c r="B139" s="245" t="inlineStr">
        <is>
          <t>000030ZIK48020260820000654</t>
        </is>
      </c>
      <c r="C139" s="245" t="n">
        <v>527743</v>
      </c>
      <c r="D139" s="245" t="n">
        <v>527692</v>
      </c>
      <c r="E139" s="246" t="n">
        <v>46255</v>
      </c>
      <c r="F139" s="245" t="inlineStr">
        <is>
          <t>ID2608-8193</t>
        </is>
      </c>
      <c r="G139" s="246" t="n">
        <v>46254</v>
      </c>
      <c r="H139" s="247" t="n">
        <v>450</v>
      </c>
      <c r="I139" s="245" t="inlineStr">
        <is>
          <t>FFAU7068509</t>
        </is>
      </c>
      <c r="J139" s="245" t="inlineStr">
        <is>
          <t>40FT</t>
        </is>
      </c>
      <c r="K139" s="245" t="inlineStr">
        <is>
          <t>8IN GREEN TEA MF MATTRESS QN</t>
        </is>
      </c>
      <c r="L139" s="245" t="inlineStr">
        <is>
          <t>SCF-STR-800Q</t>
        </is>
      </c>
      <c r="M139" s="248" t="inlineStr">
        <is>
          <t>0993630559</t>
        </is>
      </c>
      <c r="N139" s="245" t="inlineStr">
        <is>
          <t>F.MFM.08Q.000.WS</t>
        </is>
      </c>
      <c r="O139" s="249" t="n">
        <v>10755</v>
      </c>
      <c r="P139" s="249" t="n">
        <v>9594</v>
      </c>
      <c r="Q139" s="250">
        <f>R139/H139</f>
        <v/>
      </c>
      <c r="R139" s="251" t="n">
        <v>42286.5</v>
      </c>
      <c r="S139" s="249" t="n">
        <v>17843</v>
      </c>
      <c r="T139" s="252">
        <f>S139*R139</f>
        <v/>
      </c>
      <c r="U139" s="245" t="inlineStr">
        <is>
          <t>040300/KPPBC</t>
        </is>
      </c>
      <c r="V139" s="245" t="inlineStr">
        <is>
          <t>TG. PRIOK</t>
        </is>
      </c>
      <c r="W139" s="245" t="inlineStr">
        <is>
          <t>MOBILE, US</t>
        </is>
      </c>
      <c r="X139" s="245" t="inlineStr">
        <is>
          <t>WALMART, INC.</t>
        </is>
      </c>
      <c r="Y139" s="245" t="inlineStr">
        <is>
          <t>COSU6463182161</t>
        </is>
      </c>
      <c r="Z139" s="246" t="n">
        <v>46255</v>
      </c>
    </row>
    <row r="140" ht="16.5" customHeight="1" s="202">
      <c r="A140" s="245" t="n"/>
      <c r="B140" s="245" t="n"/>
      <c r="C140" s="245" t="n"/>
      <c r="D140" s="245" t="n"/>
      <c r="E140" s="245" t="n"/>
      <c r="F140" s="245" t="n"/>
      <c r="G140" s="245" t="n"/>
      <c r="H140" s="245" t="n"/>
      <c r="I140" s="245" t="n"/>
      <c r="J140" s="245" t="n"/>
      <c r="K140" s="245" t="n"/>
      <c r="L140" s="245" t="n"/>
      <c r="M140" s="245" t="n"/>
      <c r="N140" s="245" t="n"/>
      <c r="O140" s="245" t="n"/>
      <c r="P140" s="245" t="n"/>
      <c r="Q140" s="245" t="n"/>
      <c r="R140" s="245" t="n"/>
      <c r="S140" s="245" t="n"/>
      <c r="T140" s="245" t="n"/>
      <c r="U140" s="245" t="n"/>
      <c r="V140" s="245" t="n"/>
      <c r="W140" s="245" t="inlineStr">
        <is>
          <t>ETD : 24-08-2026</t>
        </is>
      </c>
      <c r="X140" s="245" t="n"/>
      <c r="Y140" s="245" t="n"/>
      <c r="Z140" s="245" t="n"/>
    </row>
    <row r="141" ht="17.1" customHeight="1" s="202">
      <c r="A141" s="254" t="n"/>
      <c r="B141" s="254" t="n"/>
      <c r="C141" s="254" t="n"/>
      <c r="D141" s="254" t="n"/>
      <c r="E141" s="254" t="n"/>
      <c r="F141" s="254" t="n"/>
      <c r="G141" s="254" t="n"/>
      <c r="H141" s="255">
        <f>SUM(H139:H140)</f>
        <v/>
      </c>
      <c r="I141" s="254">
        <f>COUNTA(I139:I140)</f>
        <v/>
      </c>
      <c r="J141" s="254" t="n"/>
      <c r="K141" s="254" t="n"/>
      <c r="L141" s="254" t="n"/>
      <c r="M141" s="254" t="n"/>
      <c r="N141" s="254" t="n"/>
      <c r="O141" s="256">
        <f>SUM(O139:O140)</f>
        <v/>
      </c>
      <c r="P141" s="256">
        <f>SUM(P139:P140)</f>
        <v/>
      </c>
      <c r="Q141" s="254" t="n"/>
      <c r="R141" s="257">
        <f>SUM(R139:R140)</f>
        <v/>
      </c>
      <c r="S141" s="254" t="n"/>
      <c r="T141" s="258">
        <f>SUM(T139:T140)</f>
        <v/>
      </c>
      <c r="U141" s="254" t="n"/>
      <c r="V141" s="254" t="n"/>
      <c r="W141" s="254" t="n"/>
      <c r="X141" s="254" t="n"/>
      <c r="Y141" s="254" t="n"/>
      <c r="Z141" s="254" t="n"/>
    </row>
    <row r="142" ht="16.5" customHeight="1" s="202">
      <c r="A142" s="245" t="n">
        <v>20</v>
      </c>
      <c r="B142" s="245" t="inlineStr">
        <is>
          <t>000030ZIK48020260820000655</t>
        </is>
      </c>
      <c r="C142" s="245" t="n">
        <v>529666</v>
      </c>
      <c r="D142" s="245" t="n">
        <v>529615</v>
      </c>
      <c r="E142" s="246" t="n">
        <v>46255</v>
      </c>
      <c r="F142" s="245" t="inlineStr">
        <is>
          <t>ID2608-8194</t>
        </is>
      </c>
      <c r="G142" s="246" t="n">
        <v>46254</v>
      </c>
      <c r="H142" s="247" t="n">
        <v>693</v>
      </c>
      <c r="I142" s="245" t="inlineStr">
        <is>
          <t>GCXU5463314</t>
        </is>
      </c>
      <c r="J142" s="245" t="inlineStr">
        <is>
          <t>40FT</t>
        </is>
      </c>
      <c r="K142" s="245" t="inlineStr">
        <is>
          <t>8IN GREEN TEA MF MATTRESS TW</t>
        </is>
      </c>
      <c r="L142" s="245" t="inlineStr">
        <is>
          <t>SCF-STR-800T</t>
        </is>
      </c>
      <c r="M142" s="248" t="inlineStr">
        <is>
          <t>0993631226</t>
        </is>
      </c>
      <c r="N142" s="245" t="inlineStr">
        <is>
          <t>F.MFM.08T.000.WS</t>
        </is>
      </c>
      <c r="O142" s="249" t="n">
        <v>10526.67</v>
      </c>
      <c r="P142" s="249" t="n">
        <v>9140.67</v>
      </c>
      <c r="Q142" s="250">
        <f>R142/H142</f>
        <v/>
      </c>
      <c r="R142" s="251" t="n">
        <v>42619.5</v>
      </c>
      <c r="S142" s="249" t="n">
        <v>17843</v>
      </c>
      <c r="T142" s="252">
        <f>S142*R142</f>
        <v/>
      </c>
      <c r="U142" s="245" t="inlineStr">
        <is>
          <t>040300/KPPBC</t>
        </is>
      </c>
      <c r="V142" s="245" t="inlineStr">
        <is>
          <t>TG. PRIOK</t>
        </is>
      </c>
      <c r="W142" s="245" t="inlineStr">
        <is>
          <t>MOBILE, US</t>
        </is>
      </c>
      <c r="X142" s="245" t="inlineStr">
        <is>
          <t>WALMART, INC.</t>
        </is>
      </c>
      <c r="Y142" s="245" t="inlineStr">
        <is>
          <t>COSU6463182162</t>
        </is>
      </c>
      <c r="Z142" s="246" t="n">
        <v>46255</v>
      </c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5" t="n"/>
      <c r="I143" s="245" t="n"/>
      <c r="J143" s="245" t="n"/>
      <c r="K143" s="245" t="n"/>
      <c r="L143" s="245" t="n"/>
      <c r="M143" s="245" t="n"/>
      <c r="N143" s="245" t="n"/>
      <c r="O143" s="245" t="n"/>
      <c r="P143" s="245" t="n"/>
      <c r="Q143" s="245" t="n"/>
      <c r="R143" s="245" t="n"/>
      <c r="S143" s="245" t="n"/>
      <c r="T143" s="245" t="n"/>
      <c r="U143" s="245" t="n"/>
      <c r="V143" s="245" t="n"/>
      <c r="W143" s="245" t="inlineStr">
        <is>
          <t>ETD : 24-08-2026</t>
        </is>
      </c>
      <c r="X143" s="245" t="n"/>
      <c r="Y143" s="245" t="n"/>
      <c r="Z143" s="245" t="n"/>
    </row>
    <row r="144" ht="17.1" customHeight="1" s="202">
      <c r="A144" s="254" t="n"/>
      <c r="B144" s="254" t="n"/>
      <c r="C144" s="254" t="n"/>
      <c r="D144" s="254" t="n"/>
      <c r="E144" s="254" t="n"/>
      <c r="F144" s="254" t="n"/>
      <c r="G144" s="254" t="n"/>
      <c r="H144" s="255">
        <f>SUM(H142:H143)</f>
        <v/>
      </c>
      <c r="I144" s="254">
        <f>COUNTA(I142:I143)</f>
        <v/>
      </c>
      <c r="J144" s="254" t="n"/>
      <c r="K144" s="254" t="n"/>
      <c r="L144" s="254" t="n"/>
      <c r="M144" s="254" t="n"/>
      <c r="N144" s="254" t="n"/>
      <c r="O144" s="256">
        <f>SUM(O142:O143)</f>
        <v/>
      </c>
      <c r="P144" s="256">
        <f>SUM(P142:P143)</f>
        <v/>
      </c>
      <c r="Q144" s="254" t="n"/>
      <c r="R144" s="257">
        <f>SUM(R142:R143)</f>
        <v/>
      </c>
      <c r="S144" s="254" t="n"/>
      <c r="T144" s="258">
        <f>SUM(T142:T143)</f>
        <v/>
      </c>
      <c r="U144" s="254" t="n"/>
      <c r="V144" s="254" t="n"/>
      <c r="W144" s="254" t="n"/>
      <c r="X144" s="254" t="n"/>
      <c r="Y144" s="254" t="n"/>
      <c r="Z144" s="254" t="n"/>
    </row>
    <row r="145" ht="16.5" customHeight="1" s="202">
      <c r="A145" s="245" t="n">
        <v>21</v>
      </c>
      <c r="B145" s="245" t="inlineStr">
        <is>
          <t>000030ZIK48020260820000656</t>
        </is>
      </c>
      <c r="C145" s="245" t="n">
        <v>527770</v>
      </c>
      <c r="D145" s="245" t="n">
        <v>527719</v>
      </c>
      <c r="E145" s="246" t="n">
        <v>46255</v>
      </c>
      <c r="F145" s="245" t="inlineStr">
        <is>
          <t>ID2608-8195</t>
        </is>
      </c>
      <c r="G145" s="246" t="n">
        <v>46254</v>
      </c>
      <c r="H145" s="247" t="n">
        <v>520</v>
      </c>
      <c r="I145" s="245" t="inlineStr">
        <is>
          <t>FANU1897785</t>
        </is>
      </c>
      <c r="J145" s="245" t="inlineStr">
        <is>
          <t>40FT</t>
        </is>
      </c>
      <c r="K145" s="245" t="inlineStr">
        <is>
          <t>8IN GREEN TEA MF MATTRESS FL</t>
        </is>
      </c>
      <c r="L145" s="245" t="inlineStr">
        <is>
          <t>SCF-STR-800F</t>
        </is>
      </c>
      <c r="M145" s="248" t="inlineStr">
        <is>
          <t>0993630685</t>
        </is>
      </c>
      <c r="N145" s="245" t="inlineStr">
        <is>
          <t>F.MFM.08F.000.WS</t>
        </is>
      </c>
      <c r="O145" s="249" t="n">
        <v>10618.4</v>
      </c>
      <c r="P145" s="249" t="n">
        <v>9370.4</v>
      </c>
      <c r="Q145" s="250">
        <f>R145/H145</f>
        <v/>
      </c>
      <c r="R145" s="251" t="n">
        <v>41480.4</v>
      </c>
      <c r="S145" s="249" t="n">
        <v>17843</v>
      </c>
      <c r="T145" s="252">
        <f>S145*R145</f>
        <v/>
      </c>
      <c r="U145" s="245" t="inlineStr">
        <is>
          <t>040300/KPPBC</t>
        </is>
      </c>
      <c r="V145" s="245" t="inlineStr">
        <is>
          <t>TG. PRIOK</t>
        </is>
      </c>
      <c r="W145" s="245" t="inlineStr">
        <is>
          <t>NORFOLK, US</t>
        </is>
      </c>
      <c r="X145" s="245" t="inlineStr">
        <is>
          <t>WALMART, INC.</t>
        </is>
      </c>
      <c r="Y145" s="245" t="inlineStr">
        <is>
          <t>HLCUJK1260870744</t>
        </is>
      </c>
      <c r="Z145" s="246" t="n">
        <v>46255</v>
      </c>
    </row>
    <row r="146" ht="16.5" customHeight="1" s="202">
      <c r="A146" s="245" t="n"/>
      <c r="B146" s="245" t="n"/>
      <c r="C146" s="245" t="n"/>
      <c r="D146" s="245" t="n"/>
      <c r="E146" s="245" t="n"/>
      <c r="F146" s="245" t="n"/>
      <c r="G146" s="245" t="n"/>
      <c r="H146" s="245" t="n"/>
      <c r="I146" s="245" t="n"/>
      <c r="J146" s="245" t="n"/>
      <c r="K146" s="245" t="n"/>
      <c r="L146" s="245" t="n"/>
      <c r="M146" s="245" t="n"/>
      <c r="N146" s="245" t="n"/>
      <c r="O146" s="245" t="n"/>
      <c r="P146" s="245" t="n"/>
      <c r="Q146" s="245" t="n"/>
      <c r="R146" s="245" t="n"/>
      <c r="S146" s="245" t="n"/>
      <c r="T146" s="245" t="n"/>
      <c r="U146" s="245" t="n"/>
      <c r="V146" s="245" t="n"/>
      <c r="W146" s="245" t="inlineStr">
        <is>
          <t>ETD : 28-08-2026</t>
        </is>
      </c>
      <c r="X146" s="245" t="n"/>
      <c r="Y146" s="245" t="n"/>
      <c r="Z146" s="245" t="n"/>
    </row>
    <row r="147" ht="17.1" customHeight="1" s="202">
      <c r="A147" s="254" t="n"/>
      <c r="B147" s="254" t="n"/>
      <c r="C147" s="254" t="n"/>
      <c r="D147" s="254" t="n"/>
      <c r="E147" s="254" t="n"/>
      <c r="F147" s="254" t="n"/>
      <c r="G147" s="254" t="n"/>
      <c r="H147" s="255">
        <f>SUM(H145:H146)</f>
        <v/>
      </c>
      <c r="I147" s="254">
        <f>COUNTA(I145:I146)</f>
        <v/>
      </c>
      <c r="J147" s="254" t="n"/>
      <c r="K147" s="254" t="n"/>
      <c r="L147" s="254" t="n"/>
      <c r="M147" s="254" t="n"/>
      <c r="N147" s="254" t="n"/>
      <c r="O147" s="256">
        <f>SUM(O145:O146)</f>
        <v/>
      </c>
      <c r="P147" s="256">
        <f>SUM(P145:P146)</f>
        <v/>
      </c>
      <c r="Q147" s="254" t="n"/>
      <c r="R147" s="257">
        <f>SUM(R145:R146)</f>
        <v/>
      </c>
      <c r="S147" s="254" t="n"/>
      <c r="T147" s="258">
        <f>SUM(T145:T146)</f>
        <v/>
      </c>
      <c r="U147" s="254" t="n"/>
      <c r="V147" s="254" t="n"/>
      <c r="W147" s="254" t="n"/>
      <c r="X147" s="254" t="n"/>
      <c r="Y147" s="254" t="n"/>
      <c r="Z147" s="254" t="n"/>
    </row>
    <row r="148" ht="16.5" customHeight="1" s="202">
      <c r="A148" s="245" t="n">
        <v>22</v>
      </c>
      <c r="B148" s="245" t="inlineStr">
        <is>
          <t>000030ZIK48020260820000657</t>
        </is>
      </c>
      <c r="C148" s="245" t="n">
        <v>529480</v>
      </c>
      <c r="D148" s="245" t="n">
        <v>529430</v>
      </c>
      <c r="E148" s="246" t="n">
        <v>46255</v>
      </c>
      <c r="F148" s="245" t="inlineStr">
        <is>
          <t>ID2608-8196</t>
        </is>
      </c>
      <c r="G148" s="246" t="n">
        <v>46254</v>
      </c>
      <c r="H148" s="247" t="n">
        <v>900</v>
      </c>
      <c r="I148" s="245" t="inlineStr">
        <is>
          <t>SEGU5770528</t>
        </is>
      </c>
      <c r="J148" s="245" t="inlineStr">
        <is>
          <t>40FT</t>
        </is>
      </c>
      <c r="K148" s="245" t="inlineStr">
        <is>
          <t>8IN GREEN TEA MF MATTRESS QN</t>
        </is>
      </c>
      <c r="L148" s="245" t="inlineStr">
        <is>
          <t>SCF-STR-800Q</t>
        </is>
      </c>
      <c r="M148" s="248" t="inlineStr">
        <is>
          <t>0993630516</t>
        </is>
      </c>
      <c r="N148" s="245" t="inlineStr">
        <is>
          <t>F.MFM.08Q.000.WS</t>
        </is>
      </c>
      <c r="O148" s="249" t="n">
        <v>21510</v>
      </c>
      <c r="P148" s="249" t="n">
        <v>19188</v>
      </c>
      <c r="Q148" s="250">
        <f>R148/H148</f>
        <v/>
      </c>
      <c r="R148" s="251" t="n">
        <v>84573</v>
      </c>
      <c r="S148" s="249" t="n">
        <v>17843</v>
      </c>
      <c r="T148" s="252">
        <f>S148*R148</f>
        <v/>
      </c>
      <c r="U148" s="245" t="inlineStr">
        <is>
          <t>040300/KPPBC</t>
        </is>
      </c>
      <c r="V148" s="245" t="inlineStr">
        <is>
          <t>TG. PRIOK</t>
        </is>
      </c>
      <c r="W148" s="245" t="inlineStr">
        <is>
          <t>NORFOLK, US</t>
        </is>
      </c>
      <c r="X148" s="245" t="inlineStr">
        <is>
          <t>WALMART, INC.</t>
        </is>
      </c>
      <c r="Y148" s="245" t="inlineStr">
        <is>
          <t>HLCUJK1260870722</t>
        </is>
      </c>
      <c r="Z148" s="246" t="n">
        <v>46255</v>
      </c>
    </row>
    <row r="149" ht="16.5" customHeight="1" s="202">
      <c r="A149" s="245" t="n"/>
      <c r="B149" s="245" t="n"/>
      <c r="C149" s="245" t="n"/>
      <c r="D149" s="245" t="n"/>
      <c r="E149" s="245" t="n"/>
      <c r="F149" s="245" t="n"/>
      <c r="G149" s="245" t="n"/>
      <c r="H149" s="245" t="n"/>
      <c r="I149" s="245" t="inlineStr">
        <is>
          <t>HAMU2687307</t>
        </is>
      </c>
      <c r="J149" s="245" t="inlineStr">
        <is>
          <t>40FT</t>
        </is>
      </c>
      <c r="K149" s="245" t="n"/>
      <c r="L149" s="245" t="n"/>
      <c r="M149" s="245" t="n"/>
      <c r="N149" s="245" t="n"/>
      <c r="O149" s="245" t="n"/>
      <c r="P149" s="245" t="n"/>
      <c r="Q149" s="245" t="n"/>
      <c r="R149" s="245" t="n"/>
      <c r="S149" s="245" t="n"/>
      <c r="T149" s="245" t="n"/>
      <c r="U149" s="245" t="n"/>
      <c r="V149" s="245" t="n"/>
      <c r="W149" s="245" t="inlineStr">
        <is>
          <t>ETD : 28-08-2026</t>
        </is>
      </c>
      <c r="X149" s="245" t="n"/>
      <c r="Y149" s="245" t="n"/>
      <c r="Z149" s="245" t="n"/>
    </row>
    <row r="150" ht="17.1" customHeight="1" s="202">
      <c r="A150" s="254" t="n"/>
      <c r="B150" s="254" t="n"/>
      <c r="C150" s="254" t="n"/>
      <c r="D150" s="254" t="n"/>
      <c r="E150" s="254" t="n"/>
      <c r="F150" s="254" t="n"/>
      <c r="G150" s="254" t="n"/>
      <c r="H150" s="255">
        <f>SUM(H148:H149)</f>
        <v/>
      </c>
      <c r="I150" s="254">
        <f>COUNTA(I148:I149)</f>
        <v/>
      </c>
      <c r="J150" s="254" t="n"/>
      <c r="K150" s="254" t="n"/>
      <c r="L150" s="254" t="n"/>
      <c r="M150" s="254" t="n"/>
      <c r="N150" s="254" t="n"/>
      <c r="O150" s="256">
        <f>SUM(O148:O149)</f>
        <v/>
      </c>
      <c r="P150" s="256">
        <f>SUM(P148:P149)</f>
        <v/>
      </c>
      <c r="Q150" s="254" t="n"/>
      <c r="R150" s="257">
        <f>SUM(R148:R149)</f>
        <v/>
      </c>
      <c r="S150" s="254" t="n"/>
      <c r="T150" s="258">
        <f>SUM(T148:T149)</f>
        <v/>
      </c>
      <c r="U150" s="254" t="n"/>
      <c r="V150" s="254" t="n"/>
      <c r="W150" s="254" t="n"/>
      <c r="X150" s="254" t="n"/>
      <c r="Y150" s="254" t="n"/>
      <c r="Z150" s="254" t="n"/>
    </row>
    <row r="151" ht="16.5" customHeight="1" s="202">
      <c r="A151" s="245" t="n">
        <v>23</v>
      </c>
      <c r="B151" s="245" t="inlineStr">
        <is>
          <t>000030ZIK48020260820000658</t>
        </is>
      </c>
      <c r="C151" s="245" t="n">
        <v>529465</v>
      </c>
      <c r="D151" s="245" t="n">
        <v>529415</v>
      </c>
      <c r="E151" s="246" t="n">
        <v>46255</v>
      </c>
      <c r="F151" s="245" t="inlineStr">
        <is>
          <t>ID2608-8197</t>
        </is>
      </c>
      <c r="G151" s="246" t="n">
        <v>46254</v>
      </c>
      <c r="H151" s="247" t="n">
        <v>693</v>
      </c>
      <c r="I151" s="245" t="inlineStr">
        <is>
          <t>TXGU4555617</t>
        </is>
      </c>
      <c r="J151" s="245" t="inlineStr">
        <is>
          <t>40FT</t>
        </is>
      </c>
      <c r="K151" s="245" t="inlineStr">
        <is>
          <t>8IN GREEN TEA MF MATTRESS TW</t>
        </is>
      </c>
      <c r="L151" s="245" t="inlineStr">
        <is>
          <t>SCF-STR-800T</t>
        </is>
      </c>
      <c r="M151" s="248" t="inlineStr">
        <is>
          <t>0993631178</t>
        </is>
      </c>
      <c r="N151" s="245" t="inlineStr">
        <is>
          <t>F.MFM.08T.000.WS</t>
        </is>
      </c>
      <c r="O151" s="249" t="n">
        <v>10526.67</v>
      </c>
      <c r="P151" s="249" t="n">
        <v>9140.67</v>
      </c>
      <c r="Q151" s="250">
        <f>R151/H151</f>
        <v/>
      </c>
      <c r="R151" s="251" t="n">
        <v>42619.5</v>
      </c>
      <c r="S151" s="249" t="n">
        <v>17843</v>
      </c>
      <c r="T151" s="252">
        <f>S151*R151</f>
        <v/>
      </c>
      <c r="U151" s="245" t="inlineStr">
        <is>
          <t>040300/KPPBC</t>
        </is>
      </c>
      <c r="V151" s="245" t="inlineStr">
        <is>
          <t>TG. PRIOK</t>
        </is>
      </c>
      <c r="W151" s="245" t="inlineStr">
        <is>
          <t>NORFOLK, US</t>
        </is>
      </c>
      <c r="X151" s="245" t="inlineStr">
        <is>
          <t>WALMART, INC.</t>
        </is>
      </c>
      <c r="Y151" s="245" t="inlineStr">
        <is>
          <t>HLCUJK1260870755</t>
        </is>
      </c>
      <c r="Z151" s="246" t="n">
        <v>46255</v>
      </c>
    </row>
    <row r="152" ht="16.5" customHeight="1" s="202">
      <c r="A152" s="245" t="n"/>
      <c r="B152" s="245" t="n"/>
      <c r="C152" s="245" t="n"/>
      <c r="D152" s="245" t="n"/>
      <c r="E152" s="245" t="n"/>
      <c r="F152" s="245" t="n"/>
      <c r="G152" s="245" t="n"/>
      <c r="H152" s="245" t="n"/>
      <c r="I152" s="245" t="n"/>
      <c r="J152" s="245" t="n"/>
      <c r="K152" s="245" t="n"/>
      <c r="L152" s="245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inlineStr">
        <is>
          <t>ETD : 28-08-2026</t>
        </is>
      </c>
      <c r="X152" s="245" t="n"/>
      <c r="Y152" s="245" t="n"/>
      <c r="Z152" s="245" t="n"/>
    </row>
    <row r="153" ht="17.1" customHeight="1" s="202">
      <c r="A153" s="254" t="n"/>
      <c r="B153" s="254" t="n"/>
      <c r="C153" s="254" t="n"/>
      <c r="D153" s="254" t="n"/>
      <c r="E153" s="254" t="n"/>
      <c r="F153" s="254" t="n"/>
      <c r="G153" s="254" t="n"/>
      <c r="H153" s="255">
        <f>SUM(H151:H152)</f>
        <v/>
      </c>
      <c r="I153" s="254">
        <f>COUNTA(I151:I152)</f>
        <v/>
      </c>
      <c r="J153" s="254" t="n"/>
      <c r="K153" s="254" t="n"/>
      <c r="L153" s="254" t="n"/>
      <c r="M153" s="254" t="n"/>
      <c r="N153" s="254" t="n"/>
      <c r="O153" s="256">
        <f>SUM(O151:O152)</f>
        <v/>
      </c>
      <c r="P153" s="256">
        <f>SUM(P151:P152)</f>
        <v/>
      </c>
      <c r="Q153" s="254" t="n"/>
      <c r="R153" s="257">
        <f>SUM(R151:R152)</f>
        <v/>
      </c>
      <c r="S153" s="254" t="n"/>
      <c r="T153" s="258">
        <f>SUM(T151:T152)</f>
        <v/>
      </c>
      <c r="U153" s="254" t="n"/>
      <c r="V153" s="254" t="n"/>
      <c r="W153" s="254" t="n"/>
      <c r="X153" s="254" t="n"/>
      <c r="Y153" s="254" t="n"/>
      <c r="Z153" s="254" t="n"/>
    </row>
    <row r="154" ht="16.5" customHeight="1" s="202">
      <c r="A154" s="245" t="n">
        <v>24</v>
      </c>
      <c r="B154" s="245" t="inlineStr">
        <is>
          <t>000030ZIK48020260820000659</t>
        </is>
      </c>
      <c r="C154" s="245" t="n">
        <v>529510</v>
      </c>
      <c r="D154" s="245" t="n">
        <v>529461</v>
      </c>
      <c r="E154" s="246" t="n">
        <v>46255</v>
      </c>
      <c r="F154" s="245" t="inlineStr">
        <is>
          <t>ID2608-8199</t>
        </is>
      </c>
      <c r="G154" s="246" t="n">
        <v>46254</v>
      </c>
      <c r="H154" s="247" t="n">
        <v>900</v>
      </c>
      <c r="I154" s="245" t="inlineStr">
        <is>
          <t>HAMU2754025</t>
        </is>
      </c>
      <c r="J154" s="245" t="inlineStr">
        <is>
          <t>40FT</t>
        </is>
      </c>
      <c r="K154" s="245" t="inlineStr">
        <is>
          <t>8IN GREEN TEA MF MATTRESS QN</t>
        </is>
      </c>
      <c r="L154" s="245" t="inlineStr">
        <is>
          <t>SCF-STR-800Q</t>
        </is>
      </c>
      <c r="M154" s="248" t="inlineStr">
        <is>
          <t>0993630984</t>
        </is>
      </c>
      <c r="N154" s="245" t="inlineStr">
        <is>
          <t>F.MFM.08Q.000.WS</t>
        </is>
      </c>
      <c r="O154" s="249" t="n">
        <v>21510</v>
      </c>
      <c r="P154" s="249" t="n">
        <v>19188</v>
      </c>
      <c r="Q154" s="250">
        <f>R154/H154</f>
        <v/>
      </c>
      <c r="R154" s="251" t="n">
        <v>84573</v>
      </c>
      <c r="S154" s="249" t="n">
        <v>17843</v>
      </c>
      <c r="T154" s="252">
        <f>S154*R154</f>
        <v/>
      </c>
      <c r="U154" s="245" t="inlineStr">
        <is>
          <t>040300/KPPBC</t>
        </is>
      </c>
      <c r="V154" s="245" t="inlineStr">
        <is>
          <t>TG. PRIOK</t>
        </is>
      </c>
      <c r="W154" s="245" t="inlineStr">
        <is>
          <t>LOS ANGELES, US</t>
        </is>
      </c>
      <c r="X154" s="245" t="inlineStr">
        <is>
          <t>WALMART, INC.</t>
        </is>
      </c>
      <c r="Y154" s="245" t="inlineStr">
        <is>
          <t>HLCUJK1260825428</t>
        </is>
      </c>
      <c r="Z154" s="246" t="n">
        <v>46255</v>
      </c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5" t="n"/>
      <c r="I155" s="245" t="inlineStr">
        <is>
          <t>HLBU2047655</t>
        </is>
      </c>
      <c r="J155" s="245" t="inlineStr">
        <is>
          <t>40FT</t>
        </is>
      </c>
      <c r="K155" s="245" t="n"/>
      <c r="L155" s="245" t="n"/>
      <c r="M155" s="245" t="n"/>
      <c r="N155" s="245" t="n"/>
      <c r="O155" s="245" t="n"/>
      <c r="P155" s="245" t="n"/>
      <c r="Q155" s="245" t="n"/>
      <c r="R155" s="245" t="n"/>
      <c r="S155" s="245" t="n"/>
      <c r="T155" s="245" t="n"/>
      <c r="U155" s="245" t="n"/>
      <c r="V155" s="245" t="n"/>
      <c r="W155" s="245" t="inlineStr">
        <is>
          <t>ETD : 28-08-2026</t>
        </is>
      </c>
      <c r="X155" s="245" t="n"/>
      <c r="Y155" s="245" t="n"/>
      <c r="Z155" s="245" t="n"/>
    </row>
    <row r="156" ht="17.1" customHeight="1" s="202">
      <c r="A156" s="254" t="n"/>
      <c r="B156" s="254" t="n"/>
      <c r="C156" s="254" t="n"/>
      <c r="D156" s="254" t="n"/>
      <c r="E156" s="254" t="n"/>
      <c r="F156" s="254" t="n"/>
      <c r="G156" s="254" t="n"/>
      <c r="H156" s="255">
        <f>SUM(H154:H155)</f>
        <v/>
      </c>
      <c r="I156" s="254">
        <f>COUNTA(I154:I155)</f>
        <v/>
      </c>
      <c r="J156" s="254" t="n"/>
      <c r="K156" s="254" t="n"/>
      <c r="L156" s="254" t="n"/>
      <c r="M156" s="254" t="n"/>
      <c r="N156" s="254" t="n"/>
      <c r="O156" s="256">
        <f>SUM(O154:O155)</f>
        <v/>
      </c>
      <c r="P156" s="256">
        <f>SUM(P154:P155)</f>
        <v/>
      </c>
      <c r="Q156" s="254" t="n"/>
      <c r="R156" s="257">
        <f>SUM(R154:R155)</f>
        <v/>
      </c>
      <c r="S156" s="254" t="n"/>
      <c r="T156" s="258">
        <f>SUM(T154:T155)</f>
        <v/>
      </c>
      <c r="U156" s="254" t="n"/>
      <c r="V156" s="254" t="n"/>
      <c r="W156" s="254" t="n"/>
      <c r="X156" s="254" t="n"/>
      <c r="Y156" s="254" t="n"/>
      <c r="Z156" s="254" t="n"/>
    </row>
    <row r="157" ht="16.5" customHeight="1" s="202">
      <c r="A157" s="245" t="n">
        <v>25</v>
      </c>
      <c r="B157" s="245" t="inlineStr">
        <is>
          <t>000030ZIK48020260820000660</t>
        </is>
      </c>
      <c r="C157" s="245" t="n">
        <v>527731</v>
      </c>
      <c r="D157" s="245" t="n">
        <v>527680</v>
      </c>
      <c r="E157" s="246" t="n">
        <v>46255</v>
      </c>
      <c r="F157" s="245" t="inlineStr">
        <is>
          <t>ID2608-8200</t>
        </is>
      </c>
      <c r="G157" s="246" t="n">
        <v>46254</v>
      </c>
      <c r="H157" s="247" t="n">
        <v>520</v>
      </c>
      <c r="I157" s="245" t="inlineStr">
        <is>
          <t>TCNU6407452</t>
        </is>
      </c>
      <c r="J157" s="245" t="inlineStr">
        <is>
          <t>40FT</t>
        </is>
      </c>
      <c r="K157" s="245" t="inlineStr">
        <is>
          <t>8IN GREEN TEA MF MATTRESS FL</t>
        </is>
      </c>
      <c r="L157" s="245" t="inlineStr">
        <is>
          <t>SCF-STR-800F</t>
        </is>
      </c>
      <c r="M157" s="248" t="inlineStr">
        <is>
          <t>0993630616</t>
        </is>
      </c>
      <c r="N157" s="245" t="inlineStr">
        <is>
          <t>F.MFM.08F.000.WS</t>
        </is>
      </c>
      <c r="O157" s="249" t="n">
        <v>10618.4</v>
      </c>
      <c r="P157" s="249" t="n">
        <v>9370.4</v>
      </c>
      <c r="Q157" s="250">
        <f>R157/H157</f>
        <v/>
      </c>
      <c r="R157" s="251" t="n">
        <v>41480.4</v>
      </c>
      <c r="S157" s="249" t="n">
        <v>17843</v>
      </c>
      <c r="T157" s="252">
        <f>S157*R157</f>
        <v/>
      </c>
      <c r="U157" s="245" t="inlineStr">
        <is>
          <t>040300/KPPBC</t>
        </is>
      </c>
      <c r="V157" s="245" t="inlineStr">
        <is>
          <t>TG. PRIOK</t>
        </is>
      </c>
      <c r="W157" s="245" t="inlineStr">
        <is>
          <t>NORFOLK, US</t>
        </is>
      </c>
      <c r="X157" s="245" t="inlineStr">
        <is>
          <t>WALMART, INC.</t>
        </is>
      </c>
      <c r="Y157" s="245" t="inlineStr">
        <is>
          <t>HLCUJK1260870386</t>
        </is>
      </c>
      <c r="Z157" s="246" t="n">
        <v>46255</v>
      </c>
    </row>
    <row r="158" ht="16.5" customHeight="1" s="202">
      <c r="A158" s="245" t="n"/>
      <c r="B158" s="245" t="n"/>
      <c r="C158" s="245" t="n"/>
      <c r="D158" s="245" t="n"/>
      <c r="E158" s="245" t="n"/>
      <c r="F158" s="245" t="n"/>
      <c r="G158" s="245" t="n"/>
      <c r="H158" s="245" t="n"/>
      <c r="I158" s="245" t="n"/>
      <c r="J158" s="245" t="n"/>
      <c r="K158" s="245" t="n"/>
      <c r="L158" s="245" t="n"/>
      <c r="M158" s="245" t="n"/>
      <c r="N158" s="245" t="n"/>
      <c r="O158" s="245" t="n"/>
      <c r="P158" s="245" t="n"/>
      <c r="Q158" s="245" t="n"/>
      <c r="R158" s="245" t="n"/>
      <c r="S158" s="245" t="n"/>
      <c r="T158" s="245" t="n"/>
      <c r="U158" s="245" t="n"/>
      <c r="V158" s="245" t="n"/>
      <c r="W158" s="245" t="inlineStr">
        <is>
          <t>ETD : 28-08-2026</t>
        </is>
      </c>
      <c r="X158" s="245" t="n"/>
      <c r="Y158" s="245" t="n"/>
      <c r="Z158" s="245" t="n"/>
    </row>
    <row r="159" ht="17.1" customHeight="1" s="202">
      <c r="A159" s="254" t="n"/>
      <c r="B159" s="254" t="n"/>
      <c r="C159" s="254" t="n"/>
      <c r="D159" s="254" t="n"/>
      <c r="E159" s="254" t="n"/>
      <c r="F159" s="254" t="n"/>
      <c r="G159" s="254" t="n"/>
      <c r="H159" s="255">
        <f>SUM(H157:H158)</f>
        <v/>
      </c>
      <c r="I159" s="254">
        <f>COUNTA(I157:I158)</f>
        <v/>
      </c>
      <c r="J159" s="254" t="n"/>
      <c r="K159" s="254" t="n"/>
      <c r="L159" s="254" t="n"/>
      <c r="M159" s="254" t="n"/>
      <c r="N159" s="254" t="n"/>
      <c r="O159" s="256">
        <f>SUM(O157:O158)</f>
        <v/>
      </c>
      <c r="P159" s="256">
        <f>SUM(P157:P158)</f>
        <v/>
      </c>
      <c r="Q159" s="254" t="n"/>
      <c r="R159" s="257">
        <f>SUM(R157:R158)</f>
        <v/>
      </c>
      <c r="S159" s="254" t="n"/>
      <c r="T159" s="258">
        <f>SUM(T157:T158)</f>
        <v/>
      </c>
      <c r="U159" s="254" t="n"/>
      <c r="V159" s="254" t="n"/>
      <c r="W159" s="254" t="n"/>
      <c r="X159" s="254" t="n"/>
      <c r="Y159" s="254" t="n"/>
      <c r="Z159" s="254" t="n"/>
    </row>
    <row r="160" ht="16.5" customHeight="1" s="202">
      <c r="A160" s="245" t="n">
        <v>26</v>
      </c>
      <c r="B160" s="245" t="inlineStr">
        <is>
          <t>000030ZIK48020260820000661</t>
        </is>
      </c>
      <c r="C160" s="245" t="n">
        <v>527094</v>
      </c>
      <c r="D160" s="245" t="n">
        <v>527043</v>
      </c>
      <c r="E160" s="246" t="n">
        <v>46255</v>
      </c>
      <c r="F160" s="245" t="inlineStr">
        <is>
          <t>ID2608-8135</t>
        </is>
      </c>
      <c r="G160" s="246" t="n">
        <v>46248</v>
      </c>
      <c r="H160" s="247" t="n">
        <v>900</v>
      </c>
      <c r="I160" s="245" t="inlineStr">
        <is>
          <t>CMAU3484557</t>
        </is>
      </c>
      <c r="J160" s="245" t="inlineStr">
        <is>
          <t>40FT</t>
        </is>
      </c>
      <c r="K160" s="245" t="inlineStr">
        <is>
          <t>8IN GREEN TEA MF MATTRESS QN</t>
        </is>
      </c>
      <c r="L160" s="245" t="inlineStr">
        <is>
          <t>SCF-STR-800Q</t>
        </is>
      </c>
      <c r="M160" s="248" t="inlineStr">
        <is>
          <t>0993631127</t>
        </is>
      </c>
      <c r="N160" s="245" t="inlineStr">
        <is>
          <t>F.MFM.08Q.000.WS</t>
        </is>
      </c>
      <c r="O160" s="249" t="n">
        <v>21510</v>
      </c>
      <c r="P160" s="249" t="n">
        <v>19188</v>
      </c>
      <c r="Q160" s="250">
        <f>R160/H160</f>
        <v/>
      </c>
      <c r="R160" s="251" t="n">
        <v>84573</v>
      </c>
      <c r="S160" s="249" t="n">
        <v>17843</v>
      </c>
      <c r="T160" s="252">
        <f>S160*R160</f>
        <v/>
      </c>
      <c r="U160" s="245" t="inlineStr">
        <is>
          <t>040300/KPPBC</t>
        </is>
      </c>
      <c r="V160" s="245" t="inlineStr">
        <is>
          <t>TG. PRIOK</t>
        </is>
      </c>
      <c r="W160" s="245" t="inlineStr">
        <is>
          <t>SAVANNAH, US</t>
        </is>
      </c>
      <c r="X160" s="245" t="inlineStr">
        <is>
          <t>WALMART, INC.</t>
        </is>
      </c>
      <c r="Y160" s="245" t="inlineStr">
        <is>
          <t>CMDUDJA1515323</t>
        </is>
      </c>
      <c r="Z160" s="246" t="n">
        <v>46255</v>
      </c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5" t="n"/>
      <c r="I161" s="245" t="inlineStr">
        <is>
          <t>TCLU1755503</t>
        </is>
      </c>
      <c r="J161" s="245" t="inlineStr">
        <is>
          <t>40FT</t>
        </is>
      </c>
      <c r="K161" s="245" t="n"/>
      <c r="L161" s="245" t="n"/>
      <c r="M161" s="245" t="n"/>
      <c r="N161" s="245" t="n"/>
      <c r="O161" s="245" t="n"/>
      <c r="P161" s="245" t="n"/>
      <c r="Q161" s="245" t="n"/>
      <c r="R161" s="245" t="n"/>
      <c r="S161" s="245" t="n"/>
      <c r="T161" s="245" t="n"/>
      <c r="U161" s="245" t="n"/>
      <c r="V161" s="245" t="n"/>
      <c r="W161" s="245" t="inlineStr">
        <is>
          <t>ETD : 26-08-2026</t>
        </is>
      </c>
      <c r="X161" s="245" t="n"/>
      <c r="Y161" s="245" t="n"/>
      <c r="Z161" s="245" t="n"/>
    </row>
    <row r="162" ht="17.1" customHeight="1" s="202">
      <c r="A162" s="254" t="n"/>
      <c r="B162" s="254" t="n"/>
      <c r="C162" s="254" t="n"/>
      <c r="D162" s="254" t="n"/>
      <c r="E162" s="254" t="n"/>
      <c r="F162" s="254" t="n"/>
      <c r="G162" s="254" t="n"/>
      <c r="H162" s="255">
        <f>SUM(H160:H161)</f>
        <v/>
      </c>
      <c r="I162" s="254">
        <f>COUNTA(I160:I161)</f>
        <v/>
      </c>
      <c r="J162" s="254" t="n"/>
      <c r="K162" s="254" t="n"/>
      <c r="L162" s="254" t="n"/>
      <c r="M162" s="254" t="n"/>
      <c r="N162" s="254" t="n"/>
      <c r="O162" s="256">
        <f>SUM(O160:O161)</f>
        <v/>
      </c>
      <c r="P162" s="256">
        <f>SUM(P160:P161)</f>
        <v/>
      </c>
      <c r="Q162" s="254" t="n"/>
      <c r="R162" s="257">
        <f>SUM(R160:R161)</f>
        <v/>
      </c>
      <c r="S162" s="254" t="n"/>
      <c r="T162" s="258">
        <f>SUM(T160:T161)</f>
        <v/>
      </c>
      <c r="U162" s="254" t="n"/>
      <c r="V162" s="254" t="n"/>
      <c r="W162" s="254" t="n"/>
      <c r="X162" s="254" t="n"/>
      <c r="Y162" s="254" t="n"/>
      <c r="Z162" s="254" t="n"/>
    </row>
    <row r="163" ht="16.5" customHeight="1" s="202">
      <c r="A163" s="245" t="n">
        <v>27</v>
      </c>
      <c r="B163" s="245" t="inlineStr">
        <is>
          <t>000030ZIK48020260820000662</t>
        </is>
      </c>
      <c r="C163" s="245" t="n">
        <v>529443</v>
      </c>
      <c r="D163" s="245" t="n">
        <v>529393</v>
      </c>
      <c r="E163" s="246" t="n">
        <v>46255</v>
      </c>
      <c r="F163" s="245" t="inlineStr">
        <is>
          <t>ID2608-8139</t>
        </is>
      </c>
      <c r="G163" s="246" t="n">
        <v>46248</v>
      </c>
      <c r="H163" s="247" t="n">
        <v>520</v>
      </c>
      <c r="I163" s="245" t="inlineStr">
        <is>
          <t>WHSU6448107</t>
        </is>
      </c>
      <c r="J163" s="245" t="inlineStr">
        <is>
          <t>40FT</t>
        </is>
      </c>
      <c r="K163" s="245" t="inlineStr">
        <is>
          <t>HAN FRIKSI TIDAK MENGANDUNG ASBES: DISC</t>
        </is>
      </c>
      <c r="L163" s="245" t="inlineStr">
        <is>
          <t>6L8047</t>
        </is>
      </c>
      <c r="M163" s="248" t="inlineStr">
        <is>
          <t>CATERPILLAR</t>
        </is>
      </c>
      <c r="N163" s="245" t="inlineStr">
        <is>
          <t>-</t>
        </is>
      </c>
      <c r="O163" s="249" t="n">
        <v>10618.4</v>
      </c>
      <c r="P163" s="249" t="n">
        <v>9370.4</v>
      </c>
      <c r="Q163" s="250">
        <f>R163/H163</f>
        <v/>
      </c>
      <c r="R163" s="251" t="n">
        <v>41480.4</v>
      </c>
      <c r="S163" s="249" t="n">
        <v>17843</v>
      </c>
      <c r="T163" s="252">
        <f>S163*R163</f>
        <v/>
      </c>
      <c r="U163" s="245" t="inlineStr">
        <is>
          <t>040300/KPPBC</t>
        </is>
      </c>
      <c r="V163" s="245" t="inlineStr">
        <is>
          <t>TG. PRIOK</t>
        </is>
      </c>
      <c r="W163" s="245" t="inlineStr">
        <is>
          <t>NORFOLK, US</t>
        </is>
      </c>
      <c r="X163" s="245" t="inlineStr">
        <is>
          <t>WALMART, INC.</t>
        </is>
      </c>
      <c r="Y163" s="245" t="inlineStr">
        <is>
          <t>WHLC049GX09063</t>
        </is>
      </c>
      <c r="Z163" s="246" t="n">
        <v>46255</v>
      </c>
    </row>
    <row r="164" ht="16.5" customHeight="1" s="202">
      <c r="A164" s="245" t="n"/>
      <c r="B164" s="245" t="n"/>
      <c r="C164" s="245" t="n"/>
      <c r="D164" s="245" t="n"/>
      <c r="E164" s="245" t="n"/>
      <c r="F164" s="245" t="n"/>
      <c r="G164" s="245" t="n"/>
      <c r="H164" s="245" t="n"/>
      <c r="I164" s="245" t="n"/>
      <c r="J164" s="245" t="n"/>
      <c r="K164" s="245" t="n"/>
      <c r="L164" s="245" t="n"/>
      <c r="M164" s="245" t="n"/>
      <c r="N164" s="245" t="n"/>
      <c r="O164" s="245" t="n"/>
      <c r="P164" s="245" t="n"/>
      <c r="Q164" s="245" t="n"/>
      <c r="R164" s="245" t="n"/>
      <c r="S164" s="245" t="n"/>
      <c r="T164" s="245" t="n"/>
      <c r="U164" s="245" t="n"/>
      <c r="V164" s="245" t="n"/>
      <c r="W164" s="245" t="inlineStr">
        <is>
          <t>ETD : 25-08-2026</t>
        </is>
      </c>
      <c r="X164" s="245" t="n"/>
      <c r="Y164" s="245" t="n"/>
      <c r="Z164" s="245" t="n"/>
    </row>
    <row r="165" ht="17.1" customHeight="1" s="202">
      <c r="A165" s="254" t="n"/>
      <c r="B165" s="254" t="n"/>
      <c r="C165" s="254" t="n"/>
      <c r="D165" s="254" t="n"/>
      <c r="E165" s="254" t="n"/>
      <c r="F165" s="254" t="n"/>
      <c r="G165" s="254" t="n"/>
      <c r="H165" s="255">
        <f>SUM(H163:H164)</f>
        <v/>
      </c>
      <c r="I165" s="254">
        <f>COUNTA(I163:I164)</f>
        <v/>
      </c>
      <c r="J165" s="254" t="n"/>
      <c r="K165" s="254" t="n"/>
      <c r="L165" s="254" t="n"/>
      <c r="M165" s="254" t="n"/>
      <c r="N165" s="254" t="n"/>
      <c r="O165" s="256">
        <f>SUM(O163:O164)</f>
        <v/>
      </c>
      <c r="P165" s="256">
        <f>SUM(P163:P164)</f>
        <v/>
      </c>
      <c r="Q165" s="254" t="n"/>
      <c r="R165" s="257">
        <f>SUM(R163:R164)</f>
        <v/>
      </c>
      <c r="S165" s="254" t="n"/>
      <c r="T165" s="258">
        <f>SUM(T163:T164)</f>
        <v/>
      </c>
      <c r="U165" s="254" t="n"/>
      <c r="V165" s="254" t="n"/>
      <c r="W165" s="254" t="n"/>
      <c r="X165" s="254" t="n"/>
      <c r="Y165" s="254" t="n"/>
      <c r="Z165" s="254" t="n"/>
    </row>
    <row r="166" ht="16.5" customHeight="1" s="202">
      <c r="A166" s="245" t="n">
        <v>28</v>
      </c>
      <c r="B166" s="245" t="inlineStr">
        <is>
          <t>000030ZIK48020260820000663</t>
        </is>
      </c>
      <c r="C166" s="245" t="n">
        <v>529522</v>
      </c>
      <c r="D166" s="245" t="n">
        <v>529473</v>
      </c>
      <c r="E166" s="246" t="n">
        <v>46255</v>
      </c>
      <c r="F166" s="245" t="inlineStr">
        <is>
          <t>ID2608-8198</t>
        </is>
      </c>
      <c r="G166" s="246" t="n">
        <v>46254</v>
      </c>
      <c r="H166" s="247" t="n">
        <v>520</v>
      </c>
      <c r="I166" s="245" t="inlineStr">
        <is>
          <t>CSNU8786880</t>
        </is>
      </c>
      <c r="J166" s="245" t="inlineStr">
        <is>
          <t>40FT</t>
        </is>
      </c>
      <c r="K166" s="245" t="inlineStr">
        <is>
          <t>8IN GREEN TEA MF MATTRESS FL</t>
        </is>
      </c>
      <c r="L166" s="245" t="inlineStr">
        <is>
          <t>SCF-STR-800F</t>
        </is>
      </c>
      <c r="M166" s="248" t="inlineStr">
        <is>
          <t>0993630728</t>
        </is>
      </c>
      <c r="N166" s="245" t="inlineStr">
        <is>
          <t>F.MFM.08F.000.WS</t>
        </is>
      </c>
      <c r="O166" s="249" t="n">
        <v>10618.4</v>
      </c>
      <c r="P166" s="249" t="n">
        <v>9370.4</v>
      </c>
      <c r="Q166" s="250">
        <f>R166/H166</f>
        <v/>
      </c>
      <c r="R166" s="251" t="n">
        <v>41480.4</v>
      </c>
      <c r="S166" s="249" t="n">
        <v>17843</v>
      </c>
      <c r="T166" s="252">
        <f>S166*R166</f>
        <v/>
      </c>
      <c r="U166" s="245" t="inlineStr">
        <is>
          <t>040300/KPPBC</t>
        </is>
      </c>
      <c r="V166" s="245" t="inlineStr">
        <is>
          <t>TG. PRIOK</t>
        </is>
      </c>
      <c r="W166" s="245" t="inlineStr">
        <is>
          <t>SAVANNAH, US</t>
        </is>
      </c>
      <c r="X166" s="245" t="inlineStr">
        <is>
          <t>WALMART, INC.</t>
        </is>
      </c>
      <c r="Y166" s="245" t="inlineStr">
        <is>
          <t>COSU6509944430</t>
        </is>
      </c>
      <c r="Z166" s="246" t="n">
        <v>46255</v>
      </c>
    </row>
    <row r="167" ht="16.5" customHeight="1" s="202">
      <c r="A167" s="245" t="n"/>
      <c r="B167" s="245" t="n"/>
      <c r="C167" s="245" t="n"/>
      <c r="D167" s="245" t="n"/>
      <c r="E167" s="245" t="n"/>
      <c r="F167" s="245" t="n"/>
      <c r="G167" s="245" t="n"/>
      <c r="H167" s="245" t="n"/>
      <c r="I167" s="245" t="n"/>
      <c r="J167" s="245" t="n"/>
      <c r="K167" s="245" t="n"/>
      <c r="L167" s="245" t="n"/>
      <c r="M167" s="245" t="n"/>
      <c r="N167" s="245" t="n"/>
      <c r="O167" s="245" t="n"/>
      <c r="P167" s="245" t="n"/>
      <c r="Q167" s="245" t="n"/>
      <c r="R167" s="245" t="n"/>
      <c r="S167" s="245" t="n"/>
      <c r="T167" s="245" t="n"/>
      <c r="U167" s="245" t="n"/>
      <c r="V167" s="245" t="n"/>
      <c r="W167" s="245" t="inlineStr">
        <is>
          <t>ETD : 26-08-2026</t>
        </is>
      </c>
      <c r="X167" s="245" t="n"/>
      <c r="Y167" s="245" t="n"/>
      <c r="Z167" s="245" t="n"/>
    </row>
    <row r="168" ht="17.1" customHeight="1" s="202">
      <c r="A168" s="254" t="n"/>
      <c r="B168" s="254" t="n"/>
      <c r="C168" s="254" t="n"/>
      <c r="D168" s="254" t="n"/>
      <c r="E168" s="254" t="n"/>
      <c r="F168" s="254" t="n"/>
      <c r="G168" s="254" t="n"/>
      <c r="H168" s="255">
        <f>SUM(H166:H167)</f>
        <v/>
      </c>
      <c r="I168" s="254">
        <f>COUNTA(I166:I167)</f>
        <v/>
      </c>
      <c r="J168" s="254" t="n"/>
      <c r="K168" s="254" t="n"/>
      <c r="L168" s="254" t="n"/>
      <c r="M168" s="254" t="n"/>
      <c r="N168" s="254" t="n"/>
      <c r="O168" s="256">
        <f>SUM(O166:O167)</f>
        <v/>
      </c>
      <c r="P168" s="256">
        <f>SUM(P166:P167)</f>
        <v/>
      </c>
      <c r="Q168" s="254" t="n"/>
      <c r="R168" s="257">
        <f>SUM(R166:R167)</f>
        <v/>
      </c>
      <c r="S168" s="254" t="n"/>
      <c r="T168" s="258">
        <f>SUM(T166:T167)</f>
        <v/>
      </c>
      <c r="U168" s="254" t="n"/>
      <c r="V168" s="254" t="n"/>
      <c r="W168" s="254" t="n"/>
      <c r="X168" s="254" t="n"/>
      <c r="Y168" s="254" t="n"/>
      <c r="Z168" s="254" t="n"/>
    </row>
    <row r="169" ht="16.5" customHeight="1" s="202">
      <c r="A169" s="245" t="n">
        <v>29</v>
      </c>
      <c r="B169" s="245" t="inlineStr">
        <is>
          <t>000030ZIK48020260820000665</t>
        </is>
      </c>
      <c r="C169" s="245" t="n">
        <v>527864</v>
      </c>
      <c r="D169" s="245" t="n">
        <v>527812</v>
      </c>
      <c r="E169" s="246" t="n">
        <v>46255</v>
      </c>
      <c r="F169" s="245" t="inlineStr">
        <is>
          <t>ID2608-8201</t>
        </is>
      </c>
      <c r="G169" s="246" t="n">
        <v>46254</v>
      </c>
      <c r="H169" s="247" t="n">
        <v>1040</v>
      </c>
      <c r="I169" s="245" t="inlineStr">
        <is>
          <t>CMAU7810796</t>
        </is>
      </c>
      <c r="J169" s="245" t="inlineStr">
        <is>
          <t>40FT</t>
        </is>
      </c>
      <c r="K169" s="245" t="inlineStr">
        <is>
          <t>8IN GREEN TEA MF MATTRESS FL</t>
        </is>
      </c>
      <c r="L169" s="245" t="inlineStr">
        <is>
          <t>SCF-STR-800F</t>
        </is>
      </c>
      <c r="M169" s="248" t="inlineStr">
        <is>
          <t>0993630634</t>
        </is>
      </c>
      <c r="N169" s="245" t="inlineStr">
        <is>
          <t>F.MFM.08F.000.WS</t>
        </is>
      </c>
      <c r="O169" s="249" t="n">
        <v>21236.8</v>
      </c>
      <c r="P169" s="249" t="n">
        <v>18740.8</v>
      </c>
      <c r="Q169" s="250">
        <f>R169/H169</f>
        <v/>
      </c>
      <c r="R169" s="251" t="n">
        <v>82960.8</v>
      </c>
      <c r="S169" s="249" t="n">
        <v>17843</v>
      </c>
      <c r="T169" s="252">
        <f>S169*R169</f>
        <v/>
      </c>
      <c r="U169" s="245" t="inlineStr">
        <is>
          <t>040300/KPPBC</t>
        </is>
      </c>
      <c r="V169" s="245" t="inlineStr">
        <is>
          <t>TG. PRIOK</t>
        </is>
      </c>
      <c r="W169" s="245" t="inlineStr">
        <is>
          <t>NORFOLK, US</t>
        </is>
      </c>
      <c r="X169" s="245" t="inlineStr">
        <is>
          <t>WALMART, INC.</t>
        </is>
      </c>
      <c r="Y169" s="245" t="inlineStr">
        <is>
          <t>CMDUDJA1525165</t>
        </is>
      </c>
      <c r="Z169" s="246" t="n">
        <v>46255</v>
      </c>
    </row>
    <row r="170" ht="16.5" customHeight="1" s="202">
      <c r="A170" s="245" t="n"/>
      <c r="B170" s="245" t="n"/>
      <c r="C170" s="245" t="n"/>
      <c r="D170" s="245" t="n"/>
      <c r="E170" s="245" t="n"/>
      <c r="F170" s="245" t="n"/>
      <c r="G170" s="245" t="n"/>
      <c r="H170" s="245" t="n"/>
      <c r="I170" s="245" t="inlineStr">
        <is>
          <t>SEGU6566720</t>
        </is>
      </c>
      <c r="J170" s="245" t="inlineStr">
        <is>
          <t>40FT</t>
        </is>
      </c>
      <c r="K170" s="245" t="n"/>
      <c r="L170" s="245" t="n"/>
      <c r="M170" s="245" t="n"/>
      <c r="N170" s="245" t="n"/>
      <c r="O170" s="245" t="n"/>
      <c r="P170" s="245" t="n"/>
      <c r="Q170" s="245" t="n"/>
      <c r="R170" s="245" t="n"/>
      <c r="S170" s="245" t="n"/>
      <c r="T170" s="245" t="n"/>
      <c r="U170" s="245" t="n"/>
      <c r="V170" s="245" t="n"/>
      <c r="W170" s="245" t="inlineStr">
        <is>
          <t>ETD : 28-08-2026</t>
        </is>
      </c>
      <c r="X170" s="245" t="n"/>
      <c r="Y170" s="245" t="n"/>
      <c r="Z170" s="245" t="n"/>
    </row>
    <row r="171" ht="17.1" customHeight="1" s="202">
      <c r="A171" s="254" t="n"/>
      <c r="B171" s="254" t="n"/>
      <c r="C171" s="254" t="n"/>
      <c r="D171" s="254" t="n"/>
      <c r="E171" s="254" t="n"/>
      <c r="F171" s="254" t="n"/>
      <c r="G171" s="254" t="n"/>
      <c r="H171" s="255">
        <f>SUM(H169:H170)</f>
        <v/>
      </c>
      <c r="I171" s="254">
        <f>COUNTA(I169:I170)</f>
        <v/>
      </c>
      <c r="J171" s="254" t="n"/>
      <c r="K171" s="254" t="n"/>
      <c r="L171" s="254" t="n"/>
      <c r="M171" s="254" t="n"/>
      <c r="N171" s="254" t="n"/>
      <c r="O171" s="256">
        <f>SUM(O169:O170)</f>
        <v/>
      </c>
      <c r="P171" s="256">
        <f>SUM(P169:P170)</f>
        <v/>
      </c>
      <c r="Q171" s="254" t="n"/>
      <c r="R171" s="257">
        <f>SUM(R169:R170)</f>
        <v/>
      </c>
      <c r="S171" s="254" t="n"/>
      <c r="T171" s="258">
        <f>SUM(T169:T170)</f>
        <v/>
      </c>
      <c r="U171" s="254" t="n"/>
      <c r="V171" s="254" t="n"/>
      <c r="W171" s="254" t="n"/>
      <c r="X171" s="254" t="n"/>
      <c r="Y171" s="254" t="n"/>
      <c r="Z171" s="254" t="n"/>
    </row>
    <row r="172" ht="16.5" customHeight="1" s="202">
      <c r="A172" s="245" t="n">
        <v>30</v>
      </c>
      <c r="B172" s="245" t="inlineStr">
        <is>
          <t>000030ZIK48020260820000677</t>
        </is>
      </c>
      <c r="C172" s="245" t="n">
        <v>534359</v>
      </c>
      <c r="D172" s="245" t="n">
        <v>534313</v>
      </c>
      <c r="E172" s="246" t="n">
        <v>46258</v>
      </c>
      <c r="F172" s="245" t="inlineStr">
        <is>
          <t>ID2608-8184</t>
        </is>
      </c>
      <c r="G172" s="246" t="n">
        <v>46254</v>
      </c>
      <c r="H172" s="247" t="n">
        <v>12</v>
      </c>
      <c r="I172" s="245" t="inlineStr">
        <is>
          <t>SUDU8774609</t>
        </is>
      </c>
      <c r="J172" s="245" t="inlineStr">
        <is>
          <t>40FT</t>
        </is>
      </c>
      <c r="K172" s="245" t="inlineStr">
        <is>
          <t>6IN GREEN TEA MF MATTRESS QN</t>
        </is>
      </c>
      <c r="L172" s="245" t="inlineStr">
        <is>
          <t>EB-FMS-0600Q-IN</t>
        </is>
      </c>
      <c r="M172" s="248" t="inlineStr">
        <is>
          <t>3KJCUHLQ</t>
        </is>
      </c>
      <c r="N172" s="245" t="inlineStr">
        <is>
          <t>F.MFM.06Q.002.BD</t>
        </is>
      </c>
      <c r="O172" s="249" t="n">
        <v>84743.14999999999</v>
      </c>
      <c r="P172" s="249" t="n">
        <v>67027.56</v>
      </c>
      <c r="Q172" s="250">
        <f>R172/H172</f>
        <v/>
      </c>
      <c r="R172" s="251" t="n">
        <v>687.84</v>
      </c>
      <c r="S172" s="249" t="n">
        <v>17843</v>
      </c>
      <c r="T172" s="252">
        <f>S172*R172</f>
        <v/>
      </c>
      <c r="U172" s="245" t="inlineStr">
        <is>
          <t>040300/KPPBC</t>
        </is>
      </c>
      <c r="V172" s="245" t="inlineStr">
        <is>
          <t>TG. PRIOK</t>
        </is>
      </c>
      <c r="W172" s="245" t="inlineStr">
        <is>
          <t>LOS ANGELES, US</t>
        </is>
      </c>
      <c r="X172" s="245" t="inlineStr">
        <is>
          <t>AMAZON.COM SERVICES LLC</t>
        </is>
      </c>
      <c r="Y172" s="245" t="inlineStr">
        <is>
          <t>MAEU274605134</t>
        </is>
      </c>
      <c r="Z172" s="246" t="n">
        <v>46258</v>
      </c>
    </row>
    <row r="173" ht="16.5" customHeight="1" s="202">
      <c r="A173" s="245" t="n"/>
      <c r="B173" s="245" t="n"/>
      <c r="C173" s="245" t="n"/>
      <c r="D173" s="245" t="n"/>
      <c r="E173" s="245" t="n"/>
      <c r="F173" s="245" t="n"/>
      <c r="G173" s="245" t="n"/>
      <c r="H173" s="247" t="n">
        <v>71</v>
      </c>
      <c r="I173" s="245" t="inlineStr">
        <is>
          <t>MRSU4419007</t>
        </is>
      </c>
      <c r="J173" s="245" t="inlineStr">
        <is>
          <t>40FT</t>
        </is>
      </c>
      <c r="K173" s="245" t="inlineStr">
        <is>
          <t>12IN GREEN TEA MF MATTRESS FL</t>
        </is>
      </c>
      <c r="L173" s="245" t="inlineStr">
        <is>
          <t>OLC-FMS-1200F-IN</t>
        </is>
      </c>
      <c r="M173" s="248" t="inlineStr">
        <is>
          <t>3KJCUHLQ</t>
        </is>
      </c>
      <c r="N173" s="245" t="inlineStr">
        <is>
          <t>F.MFM.12F.002.BD</t>
        </is>
      </c>
      <c r="O173" s="245" t="n"/>
      <c r="P173" s="245" t="n"/>
      <c r="Q173" s="250">
        <f>R173/H173</f>
        <v/>
      </c>
      <c r="R173" s="251" t="n">
        <v>5692.78</v>
      </c>
      <c r="S173" s="249" t="n">
        <v>17843</v>
      </c>
      <c r="T173" s="252">
        <f>S173*R173</f>
        <v/>
      </c>
      <c r="U173" s="245" t="n"/>
      <c r="V173" s="245" t="n"/>
      <c r="W173" s="245" t="inlineStr">
        <is>
          <t>ETD : 30-08-2026</t>
        </is>
      </c>
      <c r="X173" s="245" t="n"/>
      <c r="Y173" s="245" t="n"/>
      <c r="Z173" s="245" t="n"/>
    </row>
    <row r="174" ht="16.5" customHeight="1" s="202">
      <c r="A174" s="245" t="n"/>
      <c r="B174" s="245" t="n"/>
      <c r="C174" s="245" t="n"/>
      <c r="D174" s="245" t="n"/>
      <c r="E174" s="245" t="n"/>
      <c r="F174" s="245" t="n"/>
      <c r="G174" s="245" t="n"/>
      <c r="H174" s="247" t="n">
        <v>70</v>
      </c>
      <c r="I174" s="245" t="inlineStr">
        <is>
          <t>MRKU5168032</t>
        </is>
      </c>
      <c r="J174" s="245" t="inlineStr">
        <is>
          <t>40FT</t>
        </is>
      </c>
      <c r="K174" s="245" t="inlineStr">
        <is>
          <t>8IN GEL FOAM MATTRESS TW</t>
        </is>
      </c>
      <c r="L174" s="245" t="inlineStr">
        <is>
          <t>GFM-8T</t>
        </is>
      </c>
      <c r="M174" s="248" t="inlineStr">
        <is>
          <t>6KHBLDTN</t>
        </is>
      </c>
      <c r="N174" s="245" t="inlineStr">
        <is>
          <t>F.MFG.08T.000.BD</t>
        </is>
      </c>
      <c r="O174" s="245" t="n"/>
      <c r="P174" s="245" t="n"/>
      <c r="Q174" s="250">
        <f>R174/H174</f>
        <v/>
      </c>
      <c r="R174" s="251" t="n">
        <v>2721.6</v>
      </c>
      <c r="S174" s="249" t="n">
        <v>17843</v>
      </c>
      <c r="T174" s="252">
        <f>S174*R174</f>
        <v/>
      </c>
      <c r="U174" s="245" t="n"/>
      <c r="V174" s="245" t="n"/>
      <c r="W174" s="245" t="n"/>
      <c r="X174" s="245" t="n"/>
      <c r="Y174" s="245" t="n"/>
      <c r="Z174" s="245" t="n"/>
    </row>
    <row r="175" ht="16.5" customHeight="1" s="202">
      <c r="A175" s="245" t="n"/>
      <c r="B175" s="245" t="n"/>
      <c r="C175" s="245" t="n"/>
      <c r="D175" s="245" t="n"/>
      <c r="E175" s="245" t="n"/>
      <c r="F175" s="245" t="n"/>
      <c r="G175" s="245" t="n"/>
      <c r="H175" s="247" t="n">
        <v>112</v>
      </c>
      <c r="I175" s="245" t="inlineStr">
        <is>
          <t>MSKU1112720</t>
        </is>
      </c>
      <c r="J175" s="245" t="inlineStr">
        <is>
          <t>40FT</t>
        </is>
      </c>
      <c r="K175" s="245" t="inlineStr">
        <is>
          <t>10IN GREEN TEA MF MATTRESS TX</t>
        </is>
      </c>
      <c r="L175" s="245" t="inlineStr">
        <is>
          <t>OLC-FMS-1000TXL-IN</t>
        </is>
      </c>
      <c r="M175" s="248" t="inlineStr">
        <is>
          <t>6KHBLDTN</t>
        </is>
      </c>
      <c r="N175" s="245" t="inlineStr">
        <is>
          <t>F.MFM.10X.003.BD</t>
        </is>
      </c>
      <c r="O175" s="245" t="n"/>
      <c r="P175" s="245" t="n"/>
      <c r="Q175" s="250">
        <f>R175/H175</f>
        <v/>
      </c>
      <c r="R175" s="251" t="n">
        <v>6423.2</v>
      </c>
      <c r="S175" s="249" t="n">
        <v>17843</v>
      </c>
      <c r="T175" s="252">
        <f>S175*R175</f>
        <v/>
      </c>
      <c r="U175" s="245" t="n"/>
      <c r="V175" s="245" t="n"/>
      <c r="W175" s="245" t="n"/>
      <c r="X175" s="245" t="n"/>
      <c r="Y175" s="245" t="n"/>
      <c r="Z175" s="245" t="n"/>
    </row>
    <row r="176" ht="16.5" customHeight="1" s="202">
      <c r="A176" s="245" t="n"/>
      <c r="B176" s="245" t="n"/>
      <c r="C176" s="245" t="n"/>
      <c r="D176" s="245" t="n"/>
      <c r="E176" s="245" t="n"/>
      <c r="F176" s="245" t="n"/>
      <c r="G176" s="245" t="n"/>
      <c r="H176" s="247" t="n">
        <v>9</v>
      </c>
      <c r="I176" s="245" t="inlineStr">
        <is>
          <t>MRKU4411997</t>
        </is>
      </c>
      <c r="J176" s="245" t="inlineStr">
        <is>
          <t>40FT</t>
        </is>
      </c>
      <c r="K176" s="245" t="inlineStr">
        <is>
          <t>12IN GREEN TEA MF MATTRESS FL</t>
        </is>
      </c>
      <c r="L176" s="245" t="inlineStr">
        <is>
          <t>OLC-FMS-1200F-IN</t>
        </is>
      </c>
      <c r="M176" s="248" t="inlineStr">
        <is>
          <t>6KHBLDTN</t>
        </is>
      </c>
      <c r="N176" s="245" t="inlineStr">
        <is>
          <t>F.MFM.12F.002.BD</t>
        </is>
      </c>
      <c r="O176" s="245" t="n"/>
      <c r="P176" s="245" t="n"/>
      <c r="Q176" s="250">
        <f>R176/H176</f>
        <v/>
      </c>
      <c r="R176" s="251" t="n">
        <v>721.62</v>
      </c>
      <c r="S176" s="249" t="n">
        <v>17843</v>
      </c>
      <c r="T176" s="252">
        <f>S176*R176</f>
        <v/>
      </c>
      <c r="U176" s="245" t="n"/>
      <c r="V176" s="245" t="n"/>
      <c r="W176" s="245" t="n"/>
      <c r="X176" s="245" t="n"/>
      <c r="Y176" s="245" t="n"/>
      <c r="Z176" s="245" t="n"/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417</v>
      </c>
      <c r="I177" s="245" t="inlineStr">
        <is>
          <t>MRSU5590734</t>
        </is>
      </c>
      <c r="J177" s="245" t="inlineStr">
        <is>
          <t>40FT</t>
        </is>
      </c>
      <c r="K177" s="245" t="inlineStr">
        <is>
          <t>6IN GEL FOAM MATTRESS TW</t>
        </is>
      </c>
      <c r="L177" s="245" t="inlineStr">
        <is>
          <t>GFM-6T</t>
        </is>
      </c>
      <c r="M177" s="248" t="inlineStr">
        <is>
          <t>6ZVXOTLJ</t>
        </is>
      </c>
      <c r="N177" s="245" t="inlineStr">
        <is>
          <t>F.MFG.06T.000.BD</t>
        </is>
      </c>
      <c r="O177" s="245" t="n"/>
      <c r="P177" s="245" t="n"/>
      <c r="Q177" s="250">
        <f>R177/H177</f>
        <v/>
      </c>
      <c r="R177" s="251" t="n">
        <v>13590.03</v>
      </c>
      <c r="S177" s="249" t="n">
        <v>17843</v>
      </c>
      <c r="T177" s="252">
        <f>S177*R177</f>
        <v/>
      </c>
      <c r="U177" s="245" t="n"/>
      <c r="V177" s="245" t="n"/>
      <c r="W177" s="245" t="n"/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129</v>
      </c>
      <c r="I178" s="245" t="inlineStr">
        <is>
          <t>MRSU5497241</t>
        </is>
      </c>
      <c r="J178" s="245" t="inlineStr">
        <is>
          <t>40FT</t>
        </is>
      </c>
      <c r="K178" s="245" t="inlineStr">
        <is>
          <t>8IN GEL FOAM MATTRESS TW</t>
        </is>
      </c>
      <c r="L178" s="245" t="inlineStr">
        <is>
          <t>GFM-8T</t>
        </is>
      </c>
      <c r="M178" s="248" t="inlineStr">
        <is>
          <t>6ZVXOTLJ</t>
        </is>
      </c>
      <c r="N178" s="245" t="inlineStr">
        <is>
          <t>F.MFG.08T.000.BD</t>
        </is>
      </c>
      <c r="O178" s="245" t="n"/>
      <c r="P178" s="245" t="n"/>
      <c r="Q178" s="250">
        <f>R178/H178</f>
        <v/>
      </c>
      <c r="R178" s="251" t="n">
        <v>5015.52</v>
      </c>
      <c r="S178" s="249" t="n">
        <v>17843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52</v>
      </c>
      <c r="I179" s="245" t="inlineStr"/>
      <c r="J179" s="245" t="inlineStr"/>
      <c r="K179" s="245" t="inlineStr">
        <is>
          <t>8IN GREEN TEA MF MATTRESS TX</t>
        </is>
      </c>
      <c r="L179" s="245" t="inlineStr">
        <is>
          <t>BPM-FMS-8TXL-IN</t>
        </is>
      </c>
      <c r="M179" s="248" t="inlineStr">
        <is>
          <t>72PYD48L</t>
        </is>
      </c>
      <c r="N179" s="245" t="inlineStr">
        <is>
          <t>F.MFM.08X.002.BD</t>
        </is>
      </c>
      <c r="O179" s="245" t="n"/>
      <c r="P179" s="245" t="n"/>
      <c r="Q179" s="250">
        <f>R179/H179</f>
        <v/>
      </c>
      <c r="R179" s="251" t="n">
        <v>2355.08</v>
      </c>
      <c r="S179" s="249" t="n">
        <v>17843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6.5" customHeight="1" s="202">
      <c r="A180" s="245" t="n"/>
      <c r="B180" s="245" t="n"/>
      <c r="C180" s="245" t="n"/>
      <c r="D180" s="245" t="n"/>
      <c r="E180" s="245" t="n"/>
      <c r="F180" s="245" t="n"/>
      <c r="G180" s="245" t="n"/>
      <c r="H180" s="247" t="n">
        <v>174</v>
      </c>
      <c r="I180" s="245" t="inlineStr"/>
      <c r="J180" s="245" t="inlineStr"/>
      <c r="K180" s="245" t="inlineStr">
        <is>
          <t>6IN GREEN TEA MF MATTRESS FL</t>
        </is>
      </c>
      <c r="L180" s="245" t="inlineStr">
        <is>
          <t>EB-FMS-0600F-IN</t>
        </is>
      </c>
      <c r="M180" s="248" t="inlineStr">
        <is>
          <t>72PYD48L</t>
        </is>
      </c>
      <c r="N180" s="245" t="inlineStr">
        <is>
          <t>F.MFM.06F.002.BD</t>
        </is>
      </c>
      <c r="O180" s="245" t="n"/>
      <c r="P180" s="245" t="n"/>
      <c r="Q180" s="250">
        <f>R180/H180</f>
        <v/>
      </c>
      <c r="R180" s="251" t="n">
        <v>8191.92</v>
      </c>
      <c r="S180" s="249" t="n">
        <v>17843</v>
      </c>
      <c r="T180" s="252">
        <f>S180*R180</f>
        <v/>
      </c>
      <c r="U180" s="245" t="n"/>
      <c r="V180" s="245" t="n"/>
      <c r="W180" s="245" t="n"/>
      <c r="X180" s="245" t="n"/>
      <c r="Y180" s="245" t="n"/>
      <c r="Z180" s="245" t="n"/>
    </row>
    <row r="181" ht="16.5" customHeight="1" s="202">
      <c r="A181" s="245" t="n"/>
      <c r="B181" s="245" t="n"/>
      <c r="C181" s="245" t="n"/>
      <c r="D181" s="245" t="n"/>
      <c r="E181" s="245" t="n"/>
      <c r="F181" s="245" t="n"/>
      <c r="G181" s="245" t="n"/>
      <c r="H181" s="247" t="n">
        <v>17</v>
      </c>
      <c r="I181" s="245" t="inlineStr"/>
      <c r="J181" s="245" t="inlineStr"/>
      <c r="K181" s="245" t="inlineStr">
        <is>
          <t>12IN GEL FOAM MATTRESS TW</t>
        </is>
      </c>
      <c r="L181" s="245" t="inlineStr">
        <is>
          <t>GFM-12T</t>
        </is>
      </c>
      <c r="M181" s="248" t="inlineStr">
        <is>
          <t>72PYD48L</t>
        </is>
      </c>
      <c r="N181" s="245" t="inlineStr">
        <is>
          <t>F.MFG.12T.000.BD</t>
        </is>
      </c>
      <c r="O181" s="245" t="n"/>
      <c r="P181" s="245" t="n"/>
      <c r="Q181" s="250">
        <f>R181/H181</f>
        <v/>
      </c>
      <c r="R181" s="251" t="n">
        <v>879.58</v>
      </c>
      <c r="S181" s="249" t="n">
        <v>17843</v>
      </c>
      <c r="T181" s="252">
        <f>S181*R181</f>
        <v/>
      </c>
      <c r="U181" s="245" t="n"/>
      <c r="V181" s="245" t="n"/>
      <c r="W181" s="245" t="n"/>
      <c r="X181" s="245" t="n"/>
      <c r="Y181" s="245" t="n"/>
      <c r="Z181" s="245" t="n"/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113</v>
      </c>
      <c r="I182" s="245" t="inlineStr"/>
      <c r="J182" s="245" t="inlineStr"/>
      <c r="K182" s="245" t="inlineStr">
        <is>
          <t>6IN GEL FOAM MATTRESS TW</t>
        </is>
      </c>
      <c r="L182" s="245" t="inlineStr">
        <is>
          <t>GFM-6T</t>
        </is>
      </c>
      <c r="M182" s="248" t="inlineStr">
        <is>
          <t>72PYD48L</t>
        </is>
      </c>
      <c r="N182" s="245" t="inlineStr">
        <is>
          <t>F.MFG.06T.000.BD</t>
        </is>
      </c>
      <c r="O182" s="245" t="n"/>
      <c r="P182" s="245" t="n"/>
      <c r="Q182" s="250">
        <f>R182/H182</f>
        <v/>
      </c>
      <c r="R182" s="251" t="n">
        <v>3682.67</v>
      </c>
      <c r="S182" s="249" t="n">
        <v>17843</v>
      </c>
      <c r="T182" s="252">
        <f>S182*R182</f>
        <v/>
      </c>
      <c r="U182" s="245" t="n"/>
      <c r="V182" s="245" t="n"/>
      <c r="W182" s="245" t="n"/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31</v>
      </c>
      <c r="I183" s="245" t="inlineStr"/>
      <c r="J183" s="245" t="inlineStr"/>
      <c r="K183" s="245" t="inlineStr">
        <is>
          <t>8IN GEL FOAM MATTRESS TW</t>
        </is>
      </c>
      <c r="L183" s="245" t="inlineStr">
        <is>
          <t>GFM-8T</t>
        </is>
      </c>
      <c r="M183" s="248" t="inlineStr">
        <is>
          <t>72PYD48L</t>
        </is>
      </c>
      <c r="N183" s="245" t="inlineStr">
        <is>
          <t>F.MFG.08T.000.BD</t>
        </is>
      </c>
      <c r="O183" s="245" t="n"/>
      <c r="P183" s="245" t="n"/>
      <c r="Q183" s="250">
        <f>R183/H183</f>
        <v/>
      </c>
      <c r="R183" s="251" t="n">
        <v>1205.28</v>
      </c>
      <c r="S183" s="249" t="n">
        <v>17843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42</v>
      </c>
      <c r="I184" s="245" t="inlineStr"/>
      <c r="J184" s="245" t="inlineStr"/>
      <c r="K184" s="245" t="inlineStr">
        <is>
          <t>10IN GREEN TEA MF MATTRESS TX</t>
        </is>
      </c>
      <c r="L184" s="245" t="inlineStr">
        <is>
          <t>OLC-FMS-1000TXL-IN</t>
        </is>
      </c>
      <c r="M184" s="248" t="inlineStr">
        <is>
          <t>72PYD48L</t>
        </is>
      </c>
      <c r="N184" s="245" t="inlineStr">
        <is>
          <t>F.MFM.10X.003.BD</t>
        </is>
      </c>
      <c r="O184" s="245" t="n"/>
      <c r="P184" s="245" t="n"/>
      <c r="Q184" s="250">
        <f>R184/H184</f>
        <v/>
      </c>
      <c r="R184" s="251" t="n">
        <v>2408.7</v>
      </c>
      <c r="S184" s="249" t="n">
        <v>17843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106</v>
      </c>
      <c r="I185" s="245" t="inlineStr"/>
      <c r="J185" s="245" t="inlineStr"/>
      <c r="K185" s="245" t="inlineStr">
        <is>
          <t>10IN GREEN TEA MF MATTRESS TX</t>
        </is>
      </c>
      <c r="L185" s="245" t="inlineStr">
        <is>
          <t>OLC-FMS-1000TXL-IN</t>
        </is>
      </c>
      <c r="M185" s="248" t="inlineStr">
        <is>
          <t>7HTTBRJE</t>
        </is>
      </c>
      <c r="N185" s="245" t="inlineStr">
        <is>
          <t>F.MFM.10X.003.BD</t>
        </is>
      </c>
      <c r="O185" s="245" t="n"/>
      <c r="P185" s="245" t="n"/>
      <c r="Q185" s="250">
        <f>R185/H185</f>
        <v/>
      </c>
      <c r="R185" s="251" t="n">
        <v>6079.1</v>
      </c>
      <c r="S185" s="249" t="n">
        <v>17843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6.5" customHeight="1" s="202">
      <c r="A186" s="245" t="n"/>
      <c r="B186" s="245" t="n"/>
      <c r="C186" s="245" t="n"/>
      <c r="D186" s="245" t="n"/>
      <c r="E186" s="245" t="n"/>
      <c r="F186" s="245" t="n"/>
      <c r="G186" s="245" t="n"/>
      <c r="H186" s="247" t="n">
        <v>73</v>
      </c>
      <c r="I186" s="245" t="inlineStr"/>
      <c r="J186" s="245" t="inlineStr"/>
      <c r="K186" s="245" t="inlineStr">
        <is>
          <t>8IN GREEN TEA MF MATTRESS TX</t>
        </is>
      </c>
      <c r="L186" s="245" t="inlineStr">
        <is>
          <t>BPM-FMS-8TXL-IN</t>
        </is>
      </c>
      <c r="M186" s="248" t="inlineStr">
        <is>
          <t>7QH32QWV</t>
        </is>
      </c>
      <c r="N186" s="245" t="inlineStr">
        <is>
          <t>F.MFM.08X.002.BD</t>
        </is>
      </c>
      <c r="O186" s="245" t="n"/>
      <c r="P186" s="245" t="n"/>
      <c r="Q186" s="250">
        <f>R186/H186</f>
        <v/>
      </c>
      <c r="R186" s="251" t="n">
        <v>3306.17</v>
      </c>
      <c r="S186" s="249" t="n">
        <v>17843</v>
      </c>
      <c r="T186" s="252">
        <f>S186*R186</f>
        <v/>
      </c>
      <c r="U186" s="245" t="n"/>
      <c r="V186" s="245" t="n"/>
      <c r="W186" s="245" t="n"/>
      <c r="X186" s="245" t="n"/>
      <c r="Y186" s="245" t="n"/>
      <c r="Z186" s="245" t="n"/>
    </row>
    <row r="187" ht="16.5" customHeight="1" s="202">
      <c r="A187" s="245" t="n"/>
      <c r="B187" s="245" t="n"/>
      <c r="C187" s="245" t="n"/>
      <c r="D187" s="245" t="n"/>
      <c r="E187" s="245" t="n"/>
      <c r="F187" s="245" t="n"/>
      <c r="G187" s="245" t="n"/>
      <c r="H187" s="247" t="n">
        <v>485</v>
      </c>
      <c r="I187" s="245" t="inlineStr"/>
      <c r="J187" s="245" t="inlineStr"/>
      <c r="K187" s="245" t="inlineStr">
        <is>
          <t>6IN GREEN TEA MF MATTRESS FL</t>
        </is>
      </c>
      <c r="L187" s="245" t="inlineStr">
        <is>
          <t>EB-FMS-0600F-IN</t>
        </is>
      </c>
      <c r="M187" s="248" t="inlineStr">
        <is>
          <t>7QH32QWV</t>
        </is>
      </c>
      <c r="N187" s="245" t="inlineStr">
        <is>
          <t>F.MFM.06F.002.BD</t>
        </is>
      </c>
      <c r="O187" s="245" t="n"/>
      <c r="P187" s="245" t="n"/>
      <c r="Q187" s="250">
        <f>R187/H187</f>
        <v/>
      </c>
      <c r="R187" s="251" t="n">
        <v>22833.8</v>
      </c>
      <c r="S187" s="249" t="n">
        <v>17843</v>
      </c>
      <c r="T187" s="252">
        <f>S187*R187</f>
        <v/>
      </c>
      <c r="U187" s="245" t="n"/>
      <c r="V187" s="245" t="n"/>
      <c r="W187" s="245" t="n"/>
      <c r="X187" s="245" t="n"/>
      <c r="Y187" s="245" t="n"/>
      <c r="Z187" s="245" t="n"/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20</v>
      </c>
      <c r="I188" s="245" t="inlineStr"/>
      <c r="J188" s="245" t="inlineStr"/>
      <c r="K188" s="245" t="inlineStr">
        <is>
          <t>12IN GEL FOAM MATTRESS TW</t>
        </is>
      </c>
      <c r="L188" s="245" t="inlineStr">
        <is>
          <t>GFM-12T</t>
        </is>
      </c>
      <c r="M188" s="248" t="inlineStr">
        <is>
          <t>7QH32QWV</t>
        </is>
      </c>
      <c r="N188" s="245" t="inlineStr">
        <is>
          <t>F.MFG.12T.000.BD</t>
        </is>
      </c>
      <c r="O188" s="245" t="n"/>
      <c r="P188" s="245" t="n"/>
      <c r="Q188" s="250">
        <f>R188/H188</f>
        <v/>
      </c>
      <c r="R188" s="251" t="n">
        <v>1034.8</v>
      </c>
      <c r="S188" s="249" t="n">
        <v>17843</v>
      </c>
      <c r="T188" s="252">
        <f>S188*R188</f>
        <v/>
      </c>
      <c r="U188" s="245" t="n"/>
      <c r="V188" s="245" t="n"/>
      <c r="W188" s="245" t="n"/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96</v>
      </c>
      <c r="I189" s="245" t="inlineStr"/>
      <c r="J189" s="245" t="inlineStr"/>
      <c r="K189" s="245" t="inlineStr">
        <is>
          <t>8IN GEL FOAM MATTRESS TW</t>
        </is>
      </c>
      <c r="L189" s="245" t="inlineStr">
        <is>
          <t>GFM-8T</t>
        </is>
      </c>
      <c r="M189" s="248" t="inlineStr">
        <is>
          <t>7QH32QWV</t>
        </is>
      </c>
      <c r="N189" s="245" t="inlineStr">
        <is>
          <t>F.MFG.08T.000.BD</t>
        </is>
      </c>
      <c r="O189" s="245" t="n"/>
      <c r="P189" s="245" t="n"/>
      <c r="Q189" s="250">
        <f>R189/H189</f>
        <v/>
      </c>
      <c r="R189" s="251" t="n">
        <v>3732.48</v>
      </c>
      <c r="S189" s="249" t="n">
        <v>17843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13</v>
      </c>
      <c r="I190" s="245" t="inlineStr"/>
      <c r="J190" s="245" t="inlineStr"/>
      <c r="K190" s="245" t="inlineStr">
        <is>
          <t>12IN GREEN TEA MF MATTRESS FL</t>
        </is>
      </c>
      <c r="L190" s="245" t="inlineStr">
        <is>
          <t>OLC-FMS-1200F-IN</t>
        </is>
      </c>
      <c r="M190" s="248" t="inlineStr">
        <is>
          <t>7QH32QWV</t>
        </is>
      </c>
      <c r="N190" s="245" t="inlineStr">
        <is>
          <t>F.MFM.12F.002.BD</t>
        </is>
      </c>
      <c r="O190" s="245" t="n"/>
      <c r="P190" s="245" t="n"/>
      <c r="Q190" s="250">
        <f>R190/H190</f>
        <v/>
      </c>
      <c r="R190" s="251" t="n">
        <v>1042.34</v>
      </c>
      <c r="S190" s="249" t="n">
        <v>17843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915</v>
      </c>
      <c r="I191" s="245" t="inlineStr"/>
      <c r="J191" s="245" t="inlineStr"/>
      <c r="K191" s="245" t="inlineStr">
        <is>
          <t>6IN GREEN TEA MF MATTRESS FL</t>
        </is>
      </c>
      <c r="L191" s="245" t="inlineStr">
        <is>
          <t>EB-FMS-0600F-IN</t>
        </is>
      </c>
      <c r="M191" s="248" t="inlineStr">
        <is>
          <t>7Y6VLYSG</t>
        </is>
      </c>
      <c r="N191" s="245" t="inlineStr">
        <is>
          <t>F.MFM.06F.002.BD</t>
        </is>
      </c>
      <c r="O191" s="245" t="n"/>
      <c r="P191" s="245" t="n"/>
      <c r="Q191" s="250">
        <f>R191/H191</f>
        <v/>
      </c>
      <c r="R191" s="251" t="n">
        <v>43078.2</v>
      </c>
      <c r="S191" s="249" t="n">
        <v>17843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7</v>
      </c>
      <c r="I192" s="245" t="inlineStr"/>
      <c r="J192" s="245" t="inlineStr"/>
      <c r="K192" s="245" t="inlineStr">
        <is>
          <t>8IN GREEN TEA MF MATTRESS QN</t>
        </is>
      </c>
      <c r="L192" s="245" t="inlineStr">
        <is>
          <t>BPM-FMS-8Q-IN</t>
        </is>
      </c>
      <c r="M192" s="248" t="inlineStr">
        <is>
          <t>88CGAT9B</t>
        </is>
      </c>
      <c r="N192" s="245" t="inlineStr">
        <is>
          <t>F.MFM.08Q.002.BD</t>
        </is>
      </c>
      <c r="O192" s="245" t="n"/>
      <c r="P192" s="245" t="n"/>
      <c r="Q192" s="250">
        <f>R192/H192</f>
        <v/>
      </c>
      <c r="R192" s="251" t="n">
        <v>497.14</v>
      </c>
      <c r="S192" s="249" t="n">
        <v>17843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315</v>
      </c>
      <c r="I193" s="245" t="inlineStr"/>
      <c r="J193" s="245" t="inlineStr"/>
      <c r="K193" s="245" t="inlineStr">
        <is>
          <t>6IN GEL FOAM MATTRESS TW</t>
        </is>
      </c>
      <c r="L193" s="245" t="inlineStr">
        <is>
          <t>GFM-6T</t>
        </is>
      </c>
      <c r="M193" s="248" t="inlineStr">
        <is>
          <t>88CGAT9B</t>
        </is>
      </c>
      <c r="N193" s="245" t="inlineStr">
        <is>
          <t>F.MFG.06T.000.BD</t>
        </is>
      </c>
      <c r="O193" s="245" t="n"/>
      <c r="P193" s="245" t="n"/>
      <c r="Q193" s="250">
        <f>R193/H193</f>
        <v/>
      </c>
      <c r="R193" s="251" t="n">
        <v>10265.85</v>
      </c>
      <c r="S193" s="249" t="n">
        <v>17843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300</v>
      </c>
      <c r="I194" s="245" t="inlineStr"/>
      <c r="J194" s="245" t="inlineStr"/>
      <c r="K194" s="245" t="inlineStr">
        <is>
          <t>3IN CV LAVENDER MF TOPPER FL</t>
        </is>
      </c>
      <c r="L194" s="245" t="inlineStr">
        <is>
          <t>ECMF-03FL-IN</t>
        </is>
      </c>
      <c r="M194" s="248" t="inlineStr">
        <is>
          <t>3KJCUHLQ</t>
        </is>
      </c>
      <c r="N194" s="245" t="inlineStr">
        <is>
          <t>F.TMT.03F.010.BD</t>
        </is>
      </c>
      <c r="O194" s="245" t="n"/>
      <c r="P194" s="245" t="n"/>
      <c r="Q194" s="250">
        <f>R194/H194</f>
        <v/>
      </c>
      <c r="R194" s="251" t="n">
        <v>4383</v>
      </c>
      <c r="S194" s="249" t="n">
        <v>17843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44</v>
      </c>
      <c r="I195" s="245" t="inlineStr"/>
      <c r="J195" s="245" t="inlineStr"/>
      <c r="K195" s="245" t="inlineStr">
        <is>
          <t>3IN VT GEL MF TOPPER FL</t>
        </is>
      </c>
      <c r="L195" s="245" t="inlineStr">
        <is>
          <t>GMT3F-IN</t>
        </is>
      </c>
      <c r="M195" s="248" t="inlineStr">
        <is>
          <t>3KJCUHLQ</t>
        </is>
      </c>
      <c r="N195" s="245" t="inlineStr">
        <is>
          <t>F.TGT.03F.006.BD</t>
        </is>
      </c>
      <c r="O195" s="245" t="n"/>
      <c r="P195" s="245" t="n"/>
      <c r="Q195" s="250">
        <f>R195/H195</f>
        <v/>
      </c>
      <c r="R195" s="251" t="n">
        <v>865.48</v>
      </c>
      <c r="S195" s="249" t="n">
        <v>17843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6.5" customHeight="1" s="202">
      <c r="A196" s="245" t="n"/>
      <c r="B196" s="245" t="n"/>
      <c r="C196" s="245" t="n"/>
      <c r="D196" s="245" t="n"/>
      <c r="E196" s="245" t="n"/>
      <c r="F196" s="245" t="n"/>
      <c r="G196" s="245" t="n"/>
      <c r="H196" s="247" t="n">
        <v>61</v>
      </c>
      <c r="I196" s="245" t="inlineStr"/>
      <c r="J196" s="245" t="inlineStr"/>
      <c r="K196" s="245" t="inlineStr">
        <is>
          <t>4IN VT GEL MF TOPPER EK</t>
        </is>
      </c>
      <c r="L196" s="245" t="inlineStr">
        <is>
          <t>GMT4K-IN</t>
        </is>
      </c>
      <c r="M196" s="248" t="inlineStr">
        <is>
          <t>3KJCUHLQ</t>
        </is>
      </c>
      <c r="N196" s="245" t="inlineStr">
        <is>
          <t>F.TGT.04K.005.BD</t>
        </is>
      </c>
      <c r="O196" s="245" t="n"/>
      <c r="P196" s="245" t="n"/>
      <c r="Q196" s="250">
        <f>R196/H196</f>
        <v/>
      </c>
      <c r="R196" s="251" t="n">
        <v>2016.05</v>
      </c>
      <c r="S196" s="249" t="n">
        <v>17843</v>
      </c>
      <c r="T196" s="252">
        <f>S196*R196</f>
        <v/>
      </c>
      <c r="U196" s="245" t="n"/>
      <c r="V196" s="245" t="n"/>
      <c r="W196" s="245" t="n"/>
      <c r="X196" s="245" t="n"/>
      <c r="Y196" s="245" t="n"/>
      <c r="Z196" s="245" t="n"/>
    </row>
    <row r="197" ht="16.5" customHeight="1" s="202">
      <c r="A197" s="245" t="n"/>
      <c r="B197" s="245" t="n"/>
      <c r="C197" s="245" t="n"/>
      <c r="D197" s="245" t="n"/>
      <c r="E197" s="245" t="n"/>
      <c r="F197" s="245" t="n"/>
      <c r="G197" s="245" t="n"/>
      <c r="H197" s="247" t="n">
        <v>271</v>
      </c>
      <c r="I197" s="245" t="inlineStr"/>
      <c r="J197" s="245" t="inlineStr"/>
      <c r="K197" s="245" t="inlineStr">
        <is>
          <t>3IN CV LAVENDER MF TOPPER FL</t>
        </is>
      </c>
      <c r="L197" s="245" t="inlineStr">
        <is>
          <t>ECMF-03FL-IN</t>
        </is>
      </c>
      <c r="M197" s="248" t="inlineStr">
        <is>
          <t>6KHBLDTN</t>
        </is>
      </c>
      <c r="N197" s="245" t="inlineStr">
        <is>
          <t>F.TMT.03F.010.BD</t>
        </is>
      </c>
      <c r="O197" s="245" t="n"/>
      <c r="P197" s="245" t="n"/>
      <c r="Q197" s="250">
        <f>R197/H197</f>
        <v/>
      </c>
      <c r="R197" s="251" t="n">
        <v>3959.31</v>
      </c>
      <c r="S197" s="249" t="n">
        <v>17843</v>
      </c>
      <c r="T197" s="252">
        <f>S197*R197</f>
        <v/>
      </c>
      <c r="U197" s="245" t="n"/>
      <c r="V197" s="245" t="n"/>
      <c r="W197" s="245" t="n"/>
      <c r="X197" s="245" t="n"/>
      <c r="Y197" s="245" t="n"/>
      <c r="Z197" s="245" t="n"/>
    </row>
    <row r="198" ht="16.5" customHeight="1" s="202">
      <c r="A198" s="245" t="n"/>
      <c r="B198" s="245" t="n"/>
      <c r="C198" s="245" t="n"/>
      <c r="D198" s="245" t="n"/>
      <c r="E198" s="245" t="n"/>
      <c r="F198" s="245" t="n"/>
      <c r="G198" s="245" t="n"/>
      <c r="H198" s="247" t="n">
        <v>150</v>
      </c>
      <c r="I198" s="245" t="inlineStr"/>
      <c r="J198" s="245" t="inlineStr"/>
      <c r="K198" s="245" t="inlineStr">
        <is>
          <t>3IN CV LAVENDER MF TOPPER QN</t>
        </is>
      </c>
      <c r="L198" s="245" t="inlineStr">
        <is>
          <t>ECMF-03QL-IN</t>
        </is>
      </c>
      <c r="M198" s="248" t="inlineStr">
        <is>
          <t>6KHBLDTN</t>
        </is>
      </c>
      <c r="N198" s="245" t="inlineStr">
        <is>
          <t>F.TMT.03Q.010.BD</t>
        </is>
      </c>
      <c r="O198" s="245" t="n"/>
      <c r="P198" s="245" t="n"/>
      <c r="Q198" s="250">
        <f>R198/H198</f>
        <v/>
      </c>
      <c r="R198" s="251" t="n">
        <v>2802</v>
      </c>
      <c r="S198" s="249" t="n">
        <v>17843</v>
      </c>
      <c r="T198" s="252">
        <f>S198*R198</f>
        <v/>
      </c>
      <c r="U198" s="245" t="n"/>
      <c r="V198" s="245" t="n"/>
      <c r="W198" s="245" t="n"/>
      <c r="X198" s="245" t="n"/>
      <c r="Y198" s="245" t="n"/>
      <c r="Z198" s="245" t="n"/>
    </row>
    <row r="199" ht="16.5" customHeight="1" s="202">
      <c r="A199" s="245" t="n"/>
      <c r="B199" s="245" t="n"/>
      <c r="C199" s="245" t="n"/>
      <c r="D199" s="245" t="n"/>
      <c r="E199" s="245" t="n"/>
      <c r="F199" s="245" t="n"/>
      <c r="G199" s="245" t="n"/>
      <c r="H199" s="247" t="n">
        <v>27</v>
      </c>
      <c r="I199" s="245" t="inlineStr"/>
      <c r="J199" s="245" t="inlineStr"/>
      <c r="K199" s="245" t="inlineStr">
        <is>
          <t>2IN CV LAVENDER MF TOPPER EK</t>
        </is>
      </c>
      <c r="L199" s="245" t="inlineStr">
        <is>
          <t>ECMF-LV2K-IN</t>
        </is>
      </c>
      <c r="M199" s="248" t="inlineStr">
        <is>
          <t>6KHBLDTN</t>
        </is>
      </c>
      <c r="N199" s="245" t="inlineStr">
        <is>
          <t>F.TMT.02K.008.BD</t>
        </is>
      </c>
      <c r="O199" s="245" t="n"/>
      <c r="P199" s="245" t="n"/>
      <c r="Q199" s="250">
        <f>R199/H199</f>
        <v/>
      </c>
      <c r="R199" s="251" t="n">
        <v>375.57</v>
      </c>
      <c r="S199" s="249" t="n">
        <v>17843</v>
      </c>
      <c r="T199" s="252">
        <f>S199*R199</f>
        <v/>
      </c>
      <c r="U199" s="245" t="n"/>
      <c r="V199" s="245" t="n"/>
      <c r="W199" s="245" t="n"/>
      <c r="X199" s="245" t="n"/>
      <c r="Y199" s="245" t="n"/>
      <c r="Z199" s="245" t="n"/>
    </row>
    <row r="200" ht="16.5" customHeight="1" s="202">
      <c r="A200" s="245" t="n"/>
      <c r="B200" s="245" t="n"/>
      <c r="C200" s="245" t="n"/>
      <c r="D200" s="245" t="n"/>
      <c r="E200" s="245" t="n"/>
      <c r="F200" s="245" t="n"/>
      <c r="G200" s="245" t="n"/>
      <c r="H200" s="247" t="n">
        <v>15</v>
      </c>
      <c r="I200" s="245" t="inlineStr"/>
      <c r="J200" s="245" t="inlineStr"/>
      <c r="K200" s="245" t="inlineStr">
        <is>
          <t>2IN CV LAVENDER MF TOPPER QN</t>
        </is>
      </c>
      <c r="L200" s="245" t="inlineStr">
        <is>
          <t>ECMF-LV2Q-IN</t>
        </is>
      </c>
      <c r="M200" s="248" t="inlineStr">
        <is>
          <t>6KHBLDTN</t>
        </is>
      </c>
      <c r="N200" s="245" t="inlineStr">
        <is>
          <t>F.TMT.02Q.008.BD</t>
        </is>
      </c>
      <c r="O200" s="245" t="n"/>
      <c r="P200" s="245" t="n"/>
      <c r="Q200" s="250">
        <f>R200/H200</f>
        <v/>
      </c>
      <c r="R200" s="251" t="n">
        <v>181.95</v>
      </c>
      <c r="S200" s="249" t="n">
        <v>17843</v>
      </c>
      <c r="T200" s="252">
        <f>S200*R200</f>
        <v/>
      </c>
      <c r="U200" s="245" t="n"/>
      <c r="V200" s="245" t="n"/>
      <c r="W200" s="245" t="n"/>
      <c r="X200" s="245" t="n"/>
      <c r="Y200" s="245" t="n"/>
      <c r="Z200" s="245" t="n"/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7" t="n">
        <v>15</v>
      </c>
      <c r="I201" s="245" t="inlineStr"/>
      <c r="J201" s="245" t="inlineStr"/>
      <c r="K201" s="245" t="inlineStr">
        <is>
          <t>4IN CV LAVENDER MF TOPPER TW</t>
        </is>
      </c>
      <c r="L201" s="245" t="inlineStr">
        <is>
          <t>ECMF-LV4T-IN</t>
        </is>
      </c>
      <c r="M201" s="248" t="inlineStr">
        <is>
          <t>6KHBLDTN</t>
        </is>
      </c>
      <c r="N201" s="245" t="inlineStr">
        <is>
          <t>F.TMT.04T.012.BD</t>
        </is>
      </c>
      <c r="O201" s="245" t="n"/>
      <c r="P201" s="245" t="n"/>
      <c r="Q201" s="250">
        <f>R201/H201</f>
        <v/>
      </c>
      <c r="R201" s="251" t="n">
        <v>212.1</v>
      </c>
      <c r="S201" s="249" t="n">
        <v>17843</v>
      </c>
      <c r="T201" s="252">
        <f>S201*R201</f>
        <v/>
      </c>
      <c r="U201" s="245" t="n"/>
      <c r="V201" s="245" t="n"/>
      <c r="W201" s="245" t="n"/>
      <c r="X201" s="245" t="n"/>
      <c r="Y201" s="245" t="n"/>
      <c r="Z201" s="245" t="n"/>
    </row>
    <row r="202" ht="16.5" customHeight="1" s="202">
      <c r="A202" s="245" t="n"/>
      <c r="B202" s="245" t="n"/>
      <c r="C202" s="245" t="n"/>
      <c r="D202" s="245" t="n"/>
      <c r="E202" s="245" t="n"/>
      <c r="F202" s="245" t="n"/>
      <c r="G202" s="245" t="n"/>
      <c r="H202" s="247" t="n">
        <v>49</v>
      </c>
      <c r="I202" s="245" t="inlineStr"/>
      <c r="J202" s="245" t="inlineStr"/>
      <c r="K202" s="245" t="inlineStr">
        <is>
          <t>3IN VT GEL MF TOPPER FL</t>
        </is>
      </c>
      <c r="L202" s="245" t="inlineStr">
        <is>
          <t>GMT3F-IN</t>
        </is>
      </c>
      <c r="M202" s="248" t="inlineStr">
        <is>
          <t>6KHBLDTN</t>
        </is>
      </c>
      <c r="N202" s="245" t="inlineStr">
        <is>
          <t>F.TGT.03F.006.BD</t>
        </is>
      </c>
      <c r="O202" s="245" t="n"/>
      <c r="P202" s="245" t="n"/>
      <c r="Q202" s="250">
        <f>R202/H202</f>
        <v/>
      </c>
      <c r="R202" s="251" t="n">
        <v>963.83</v>
      </c>
      <c r="S202" s="249" t="n">
        <v>17843</v>
      </c>
      <c r="T202" s="252">
        <f>S202*R202</f>
        <v/>
      </c>
      <c r="U202" s="245" t="n"/>
      <c r="V202" s="245" t="n"/>
      <c r="W202" s="245" t="n"/>
      <c r="X202" s="245" t="n"/>
      <c r="Y202" s="245" t="n"/>
      <c r="Z202" s="245" t="n"/>
    </row>
    <row r="203" ht="16.5" customHeight="1" s="202">
      <c r="A203" s="245" t="n"/>
      <c r="B203" s="245" t="n"/>
      <c r="C203" s="245" t="n"/>
      <c r="D203" s="245" t="n"/>
      <c r="E203" s="245" t="n"/>
      <c r="F203" s="245" t="n"/>
      <c r="G203" s="245" t="n"/>
      <c r="H203" s="247" t="n">
        <v>30</v>
      </c>
      <c r="I203" s="245" t="inlineStr"/>
      <c r="J203" s="245" t="inlineStr"/>
      <c r="K203" s="245" t="inlineStr">
        <is>
          <t>3IN VT GEL MF TOPPER FL</t>
        </is>
      </c>
      <c r="L203" s="245" t="inlineStr">
        <is>
          <t>GMT3F-IN</t>
        </is>
      </c>
      <c r="M203" s="248" t="inlineStr">
        <is>
          <t>6ZVXOTLJ</t>
        </is>
      </c>
      <c r="N203" s="245" t="inlineStr">
        <is>
          <t>F.TGT.03F.006.BD</t>
        </is>
      </c>
      <c r="O203" s="245" t="n"/>
      <c r="P203" s="245" t="n"/>
      <c r="Q203" s="250">
        <f>R203/H203</f>
        <v/>
      </c>
      <c r="R203" s="251" t="n">
        <v>590.1</v>
      </c>
      <c r="S203" s="249" t="n">
        <v>17843</v>
      </c>
      <c r="T203" s="252">
        <f>S203*R203</f>
        <v/>
      </c>
      <c r="U203" s="245" t="n"/>
      <c r="V203" s="245" t="n"/>
      <c r="W203" s="245" t="n"/>
      <c r="X203" s="245" t="n"/>
      <c r="Y203" s="245" t="n"/>
      <c r="Z203" s="245" t="n"/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110</v>
      </c>
      <c r="I204" s="245" t="inlineStr"/>
      <c r="J204" s="245" t="inlineStr"/>
      <c r="K204" s="245" t="inlineStr">
        <is>
          <t>3IN CV LAVENDER MF TOPPER FL</t>
        </is>
      </c>
      <c r="L204" s="245" t="inlineStr">
        <is>
          <t>ECMF-03FL-IN</t>
        </is>
      </c>
      <c r="M204" s="248" t="inlineStr">
        <is>
          <t>72PYD48L</t>
        </is>
      </c>
      <c r="N204" s="245" t="inlineStr">
        <is>
          <t>F.TMT.03F.010.BD</t>
        </is>
      </c>
      <c r="O204" s="245" t="n"/>
      <c r="P204" s="245" t="n"/>
      <c r="Q204" s="250">
        <f>R204/H204</f>
        <v/>
      </c>
      <c r="R204" s="251" t="n">
        <v>1607.1</v>
      </c>
      <c r="S204" s="249" t="n">
        <v>17843</v>
      </c>
      <c r="T204" s="252">
        <f>S204*R204</f>
        <v/>
      </c>
      <c r="U204" s="245" t="n"/>
      <c r="V204" s="245" t="n"/>
      <c r="W204" s="245" t="n"/>
      <c r="X204" s="245" t="n"/>
      <c r="Y204" s="245" t="n"/>
      <c r="Z204" s="245" t="n"/>
    </row>
    <row r="205" ht="16.5" customHeight="1" s="202">
      <c r="A205" s="245" t="n"/>
      <c r="B205" s="245" t="n"/>
      <c r="C205" s="245" t="n"/>
      <c r="D205" s="245" t="n"/>
      <c r="E205" s="245" t="n"/>
      <c r="F205" s="245" t="n"/>
      <c r="G205" s="245" t="n"/>
      <c r="H205" s="247" t="n">
        <v>1</v>
      </c>
      <c r="I205" s="245" t="inlineStr"/>
      <c r="J205" s="245" t="inlineStr"/>
      <c r="K205" s="245" t="inlineStr">
        <is>
          <t>3IN CV LAVENDER MF TOPPER EK</t>
        </is>
      </c>
      <c r="L205" s="245" t="inlineStr">
        <is>
          <t>ECMF-03KL-IN</t>
        </is>
      </c>
      <c r="M205" s="248" t="inlineStr">
        <is>
          <t>72PYD48L</t>
        </is>
      </c>
      <c r="N205" s="245" t="inlineStr">
        <is>
          <t>F.TMT.03K.010.BD</t>
        </is>
      </c>
      <c r="O205" s="245" t="n"/>
      <c r="P205" s="245" t="n"/>
      <c r="Q205" s="250">
        <f>R205/H205</f>
        <v/>
      </c>
      <c r="R205" s="251" t="n">
        <v>20.74</v>
      </c>
      <c r="S205" s="249" t="n">
        <v>17843</v>
      </c>
      <c r="T205" s="252">
        <f>S205*R205</f>
        <v/>
      </c>
      <c r="U205" s="245" t="n"/>
      <c r="V205" s="245" t="n"/>
      <c r="W205" s="245" t="n"/>
      <c r="X205" s="245" t="n"/>
      <c r="Y205" s="245" t="n"/>
      <c r="Z205" s="245" t="n"/>
    </row>
    <row r="206" ht="16.5" customHeight="1" s="202">
      <c r="A206" s="245" t="n"/>
      <c r="B206" s="245" t="n"/>
      <c r="C206" s="245" t="n"/>
      <c r="D206" s="245" t="n"/>
      <c r="E206" s="245" t="n"/>
      <c r="F206" s="245" t="n"/>
      <c r="G206" s="245" t="n"/>
      <c r="H206" s="247" t="n">
        <v>2</v>
      </c>
      <c r="I206" s="245" t="inlineStr"/>
      <c r="J206" s="245" t="inlineStr"/>
      <c r="K206" s="245" t="inlineStr">
        <is>
          <t>3IN CV LAVENDER MF TOPPER QN</t>
        </is>
      </c>
      <c r="L206" s="245" t="inlineStr">
        <is>
          <t>ECMF-03QL-IN</t>
        </is>
      </c>
      <c r="M206" s="248" t="inlineStr">
        <is>
          <t>72PYD48L</t>
        </is>
      </c>
      <c r="N206" s="245" t="inlineStr">
        <is>
          <t>F.TMT.03Q.010.BD</t>
        </is>
      </c>
      <c r="O206" s="245" t="n"/>
      <c r="P206" s="245" t="n"/>
      <c r="Q206" s="250">
        <f>R206/H206</f>
        <v/>
      </c>
      <c r="R206" s="251" t="n">
        <v>37.36</v>
      </c>
      <c r="S206" s="249" t="n">
        <v>17843</v>
      </c>
      <c r="T206" s="252">
        <f>S206*R206</f>
        <v/>
      </c>
      <c r="U206" s="245" t="n"/>
      <c r="V206" s="245" t="n"/>
      <c r="W206" s="245" t="n"/>
      <c r="X206" s="245" t="n"/>
      <c r="Y206" s="245" t="n"/>
      <c r="Z206" s="245" t="n"/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7" t="n">
        <v>650</v>
      </c>
      <c r="I207" s="245" t="inlineStr"/>
      <c r="J207" s="245" t="inlineStr"/>
      <c r="K207" s="245" t="inlineStr">
        <is>
          <t>3IN CV LAVENDER MF TOPPER TW</t>
        </is>
      </c>
      <c r="L207" s="245" t="inlineStr">
        <is>
          <t>ECMF-03TL-IN</t>
        </is>
      </c>
      <c r="M207" s="248" t="inlineStr">
        <is>
          <t>72PYD48L</t>
        </is>
      </c>
      <c r="N207" s="245" t="inlineStr">
        <is>
          <t>F.TMT.03T.010.BD</t>
        </is>
      </c>
      <c r="O207" s="245" t="n"/>
      <c r="P207" s="245" t="n"/>
      <c r="Q207" s="250">
        <f>R207/H207</f>
        <v/>
      </c>
      <c r="R207" s="251" t="n">
        <v>7182.5</v>
      </c>
      <c r="S207" s="249" t="n">
        <v>17843</v>
      </c>
      <c r="T207" s="252">
        <f>S207*R207</f>
        <v/>
      </c>
      <c r="U207" s="245" t="n"/>
      <c r="V207" s="245" t="n"/>
      <c r="W207" s="245" t="n"/>
      <c r="X207" s="245" t="n"/>
      <c r="Y207" s="245" t="n"/>
      <c r="Z207" s="245" t="n"/>
    </row>
    <row r="208" ht="16.5" customHeight="1" s="202">
      <c r="A208" s="245" t="n"/>
      <c r="B208" s="245" t="n"/>
      <c r="C208" s="245" t="n"/>
      <c r="D208" s="245" t="n"/>
      <c r="E208" s="245" t="n"/>
      <c r="F208" s="245" t="n"/>
      <c r="G208" s="245" t="n"/>
      <c r="H208" s="247" t="n">
        <v>10</v>
      </c>
      <c r="I208" s="245" t="inlineStr"/>
      <c r="J208" s="245" t="inlineStr"/>
      <c r="K208" s="245" t="inlineStr">
        <is>
          <t>3IN CV LAVENDER MF TOPPER TX</t>
        </is>
      </c>
      <c r="L208" s="245" t="inlineStr">
        <is>
          <t>ECMF-03TXLL-IN</t>
        </is>
      </c>
      <c r="M208" s="248" t="inlineStr">
        <is>
          <t>72PYD48L</t>
        </is>
      </c>
      <c r="N208" s="245" t="inlineStr">
        <is>
          <t>F.TMT.03X.010.BD</t>
        </is>
      </c>
      <c r="O208" s="245" t="n"/>
      <c r="P208" s="245" t="n"/>
      <c r="Q208" s="250">
        <f>R208/H208</f>
        <v/>
      </c>
      <c r="R208" s="251" t="n">
        <v>120.2</v>
      </c>
      <c r="S208" s="249" t="n">
        <v>17843</v>
      </c>
      <c r="T208" s="252">
        <f>S208*R208</f>
        <v/>
      </c>
      <c r="U208" s="245" t="n"/>
      <c r="V208" s="245" t="n"/>
      <c r="W208" s="245" t="n"/>
      <c r="X208" s="245" t="n"/>
      <c r="Y208" s="245" t="n"/>
      <c r="Z208" s="245" t="n"/>
    </row>
    <row r="209" ht="16.5" customHeight="1" s="202">
      <c r="A209" s="245" t="n"/>
      <c r="B209" s="245" t="n"/>
      <c r="C209" s="245" t="n"/>
      <c r="D209" s="245" t="n"/>
      <c r="E209" s="245" t="n"/>
      <c r="F209" s="245" t="n"/>
      <c r="G209" s="245" t="n"/>
      <c r="H209" s="247" t="n">
        <v>45</v>
      </c>
      <c r="I209" s="245" t="inlineStr"/>
      <c r="J209" s="245" t="inlineStr"/>
      <c r="K209" s="245" t="inlineStr">
        <is>
          <t>2IN CV LAVENDER MF TOPPER FL</t>
        </is>
      </c>
      <c r="L209" s="245" t="inlineStr">
        <is>
          <t>ECMF-LV2F-IN</t>
        </is>
      </c>
      <c r="M209" s="248" t="inlineStr">
        <is>
          <t>72PYD48L</t>
        </is>
      </c>
      <c r="N209" s="245" t="inlineStr">
        <is>
          <t>F.TMT.02F.008.BD</t>
        </is>
      </c>
      <c r="O209" s="245" t="n"/>
      <c r="P209" s="245" t="n"/>
      <c r="Q209" s="250">
        <f>R209/H209</f>
        <v/>
      </c>
      <c r="R209" s="251" t="n">
        <v>445.05</v>
      </c>
      <c r="S209" s="249" t="n">
        <v>17843</v>
      </c>
      <c r="T209" s="252">
        <f>S209*R209</f>
        <v/>
      </c>
      <c r="U209" s="245" t="n"/>
      <c r="V209" s="245" t="n"/>
      <c r="W209" s="245" t="n"/>
      <c r="X209" s="245" t="n"/>
      <c r="Y209" s="245" t="n"/>
      <c r="Z209" s="245" t="n"/>
    </row>
    <row r="210" ht="16.5" customHeight="1" s="202">
      <c r="A210" s="245" t="n"/>
      <c r="B210" s="245" t="n"/>
      <c r="C210" s="245" t="n"/>
      <c r="D210" s="245" t="n"/>
      <c r="E210" s="245" t="n"/>
      <c r="F210" s="245" t="n"/>
      <c r="G210" s="245" t="n"/>
      <c r="H210" s="247" t="n">
        <v>10</v>
      </c>
      <c r="I210" s="245" t="inlineStr"/>
      <c r="J210" s="245" t="inlineStr"/>
      <c r="K210" s="245" t="inlineStr">
        <is>
          <t>2IN CV LAVENDER MF TOPPER EK</t>
        </is>
      </c>
      <c r="L210" s="245" t="inlineStr">
        <is>
          <t>ECMF-LV2K-IN</t>
        </is>
      </c>
      <c r="M210" s="248" t="inlineStr">
        <is>
          <t>72PYD48L</t>
        </is>
      </c>
      <c r="N210" s="245" t="inlineStr">
        <is>
          <t>F.TMT.02K.008.BD</t>
        </is>
      </c>
      <c r="O210" s="245" t="n"/>
      <c r="P210" s="245" t="n"/>
      <c r="Q210" s="250">
        <f>R210/H210</f>
        <v/>
      </c>
      <c r="R210" s="251" t="n">
        <v>139.1</v>
      </c>
      <c r="S210" s="249" t="n">
        <v>17843</v>
      </c>
      <c r="T210" s="252">
        <f>S210*R210</f>
        <v/>
      </c>
      <c r="U210" s="245" t="n"/>
      <c r="V210" s="245" t="n"/>
      <c r="W210" s="245" t="n"/>
      <c r="X210" s="245" t="n"/>
      <c r="Y210" s="245" t="n"/>
      <c r="Z210" s="245" t="n"/>
    </row>
    <row r="211" ht="16.5" customHeight="1" s="202">
      <c r="A211" s="245" t="n"/>
      <c r="B211" s="245" t="n"/>
      <c r="C211" s="245" t="n"/>
      <c r="D211" s="245" t="n"/>
      <c r="E211" s="245" t="n"/>
      <c r="F211" s="245" t="n"/>
      <c r="G211" s="245" t="n"/>
      <c r="H211" s="247" t="n">
        <v>1</v>
      </c>
      <c r="I211" s="245" t="inlineStr"/>
      <c r="J211" s="245" t="inlineStr"/>
      <c r="K211" s="245" t="inlineStr">
        <is>
          <t>2IN CV LAVENDER MF TOPPER QN</t>
        </is>
      </c>
      <c r="L211" s="245" t="inlineStr">
        <is>
          <t>ECMF-LV2Q-IN</t>
        </is>
      </c>
      <c r="M211" s="248" t="inlineStr">
        <is>
          <t>72PYD48L</t>
        </is>
      </c>
      <c r="N211" s="245" t="inlineStr">
        <is>
          <t>F.TMT.02Q.008.BD</t>
        </is>
      </c>
      <c r="O211" s="245" t="n"/>
      <c r="P211" s="245" t="n"/>
      <c r="Q211" s="250">
        <f>R211/H211</f>
        <v/>
      </c>
      <c r="R211" s="251" t="n">
        <v>12.13</v>
      </c>
      <c r="S211" s="249" t="n">
        <v>17843</v>
      </c>
      <c r="T211" s="252">
        <f>S211*R211</f>
        <v/>
      </c>
      <c r="U211" s="245" t="n"/>
      <c r="V211" s="245" t="n"/>
      <c r="W211" s="245" t="n"/>
      <c r="X211" s="245" t="n"/>
      <c r="Y211" s="245" t="n"/>
      <c r="Z211" s="245" t="n"/>
    </row>
    <row r="212" ht="16.5" customHeight="1" s="202">
      <c r="A212" s="245" t="n"/>
      <c r="B212" s="245" t="n"/>
      <c r="C212" s="245" t="n"/>
      <c r="D212" s="245" t="n"/>
      <c r="E212" s="245" t="n"/>
      <c r="F212" s="245" t="n"/>
      <c r="G212" s="245" t="n"/>
      <c r="H212" s="247" t="n">
        <v>17</v>
      </c>
      <c r="I212" s="245" t="inlineStr"/>
      <c r="J212" s="245" t="inlineStr"/>
      <c r="K212" s="245" t="inlineStr">
        <is>
          <t>4IN CV LAVENDER MF TOPPER QN</t>
        </is>
      </c>
      <c r="L212" s="245" t="inlineStr">
        <is>
          <t>ECMF-LV4Q-IN</t>
        </is>
      </c>
      <c r="M212" s="248" t="inlineStr">
        <is>
          <t>72PYD48L</t>
        </is>
      </c>
      <c r="N212" s="245" t="inlineStr">
        <is>
          <t>F.TMT.04Q.012.BD</t>
        </is>
      </c>
      <c r="O212" s="245" t="n"/>
      <c r="P212" s="245" t="n"/>
      <c r="Q212" s="250">
        <f>R212/H212</f>
        <v/>
      </c>
      <c r="R212" s="251" t="n">
        <v>376.55</v>
      </c>
      <c r="S212" s="249" t="n">
        <v>17843</v>
      </c>
      <c r="T212" s="252">
        <f>S212*R212</f>
        <v/>
      </c>
      <c r="U212" s="245" t="n"/>
      <c r="V212" s="245" t="n"/>
      <c r="W212" s="245" t="n"/>
      <c r="X212" s="245" t="n"/>
      <c r="Y212" s="245" t="n"/>
      <c r="Z212" s="245" t="n"/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7" t="n">
        <v>5</v>
      </c>
      <c r="I213" s="245" t="inlineStr"/>
      <c r="J213" s="245" t="inlineStr"/>
      <c r="K213" s="245" t="inlineStr">
        <is>
          <t>4IN CV LAVENDER MF TOPPER TW</t>
        </is>
      </c>
      <c r="L213" s="245" t="inlineStr">
        <is>
          <t>ECMF-LV4T-IN</t>
        </is>
      </c>
      <c r="M213" s="248" t="inlineStr">
        <is>
          <t>72PYD48L</t>
        </is>
      </c>
      <c r="N213" s="245" t="inlineStr">
        <is>
          <t>F.TMT.04T.012.BD</t>
        </is>
      </c>
      <c r="O213" s="245" t="n"/>
      <c r="P213" s="245" t="n"/>
      <c r="Q213" s="250">
        <f>R213/H213</f>
        <v/>
      </c>
      <c r="R213" s="251" t="n">
        <v>70.7</v>
      </c>
      <c r="S213" s="249" t="n">
        <v>17843</v>
      </c>
      <c r="T213" s="252">
        <f>S213*R213</f>
        <v/>
      </c>
      <c r="U213" s="245" t="n"/>
      <c r="V213" s="245" t="n"/>
      <c r="W213" s="245" t="n"/>
      <c r="X213" s="245" t="n"/>
      <c r="Y213" s="245" t="n"/>
      <c r="Z213" s="245" t="n"/>
    </row>
    <row r="214" ht="16.5" customHeight="1" s="202">
      <c r="A214" s="245" t="n"/>
      <c r="B214" s="245" t="n"/>
      <c r="C214" s="245" t="n"/>
      <c r="D214" s="245" t="n"/>
      <c r="E214" s="245" t="n"/>
      <c r="F214" s="245" t="n"/>
      <c r="G214" s="245" t="n"/>
      <c r="H214" s="247" t="n">
        <v>27</v>
      </c>
      <c r="I214" s="245" t="inlineStr"/>
      <c r="J214" s="245" t="inlineStr"/>
      <c r="K214" s="245" t="inlineStr">
        <is>
          <t>1.5IN VT GEL MF TOPPER FL</t>
        </is>
      </c>
      <c r="L214" s="245" t="inlineStr">
        <is>
          <t>GMT1.5F-IN</t>
        </is>
      </c>
      <c r="M214" s="248" t="inlineStr">
        <is>
          <t>72PYD48L</t>
        </is>
      </c>
      <c r="N214" s="245" t="inlineStr">
        <is>
          <t>F.TGT.01F.004.BD</t>
        </is>
      </c>
      <c r="O214" s="245" t="n"/>
      <c r="P214" s="245" t="n"/>
      <c r="Q214" s="250">
        <f>R214/H214</f>
        <v/>
      </c>
      <c r="R214" s="251" t="n">
        <v>281.61</v>
      </c>
      <c r="S214" s="249" t="n">
        <v>17843</v>
      </c>
      <c r="T214" s="252">
        <f>S214*R214</f>
        <v/>
      </c>
      <c r="U214" s="245" t="n"/>
      <c r="V214" s="245" t="n"/>
      <c r="W214" s="245" t="n"/>
      <c r="X214" s="245" t="n"/>
      <c r="Y214" s="245" t="n"/>
      <c r="Z214" s="245" t="n"/>
    </row>
    <row r="215" ht="16.5" customHeight="1" s="202">
      <c r="A215" s="245" t="n"/>
      <c r="B215" s="245" t="n"/>
      <c r="C215" s="245" t="n"/>
      <c r="D215" s="245" t="n"/>
      <c r="E215" s="245" t="n"/>
      <c r="F215" s="245" t="n"/>
      <c r="G215" s="245" t="n"/>
      <c r="H215" s="247" t="n">
        <v>24</v>
      </c>
      <c r="I215" s="245" t="inlineStr"/>
      <c r="J215" s="245" t="inlineStr"/>
      <c r="K215" s="245" t="inlineStr">
        <is>
          <t>3IN VT GEL MF TOPPER FL</t>
        </is>
      </c>
      <c r="L215" s="245" t="inlineStr">
        <is>
          <t>GMT3F-IN</t>
        </is>
      </c>
      <c r="M215" s="248" t="inlineStr">
        <is>
          <t>72PYD48L</t>
        </is>
      </c>
      <c r="N215" s="245" t="inlineStr">
        <is>
          <t>F.TGT.03F.006.BD</t>
        </is>
      </c>
      <c r="O215" s="245" t="n"/>
      <c r="P215" s="245" t="n"/>
      <c r="Q215" s="250">
        <f>R215/H215</f>
        <v/>
      </c>
      <c r="R215" s="251" t="n">
        <v>472.08</v>
      </c>
      <c r="S215" s="249" t="n">
        <v>17843</v>
      </c>
      <c r="T215" s="252">
        <f>S215*R215</f>
        <v/>
      </c>
      <c r="U215" s="245" t="n"/>
      <c r="V215" s="245" t="n"/>
      <c r="W215" s="245" t="n"/>
      <c r="X215" s="245" t="n"/>
      <c r="Y215" s="245" t="n"/>
      <c r="Z215" s="245" t="n"/>
    </row>
    <row r="216" ht="16.5" customHeight="1" s="202">
      <c r="A216" s="245" t="n"/>
      <c r="B216" s="245" t="n"/>
      <c r="C216" s="245" t="n"/>
      <c r="D216" s="245" t="n"/>
      <c r="E216" s="245" t="n"/>
      <c r="F216" s="245" t="n"/>
      <c r="G216" s="245" t="n"/>
      <c r="H216" s="247" t="n">
        <v>2</v>
      </c>
      <c r="I216" s="245" t="inlineStr"/>
      <c r="J216" s="245" t="inlineStr"/>
      <c r="K216" s="245" t="inlineStr">
        <is>
          <t>4IN VT GEL MF TOPPER EK</t>
        </is>
      </c>
      <c r="L216" s="245" t="inlineStr">
        <is>
          <t>GMT4K-IN</t>
        </is>
      </c>
      <c r="M216" s="248" t="inlineStr">
        <is>
          <t>72PYD48L</t>
        </is>
      </c>
      <c r="N216" s="245" t="inlineStr">
        <is>
          <t>F.TGT.04K.005.BD</t>
        </is>
      </c>
      <c r="O216" s="245" t="n"/>
      <c r="P216" s="245" t="n"/>
      <c r="Q216" s="250">
        <f>R216/H216</f>
        <v/>
      </c>
      <c r="R216" s="251" t="n">
        <v>66.09999999999999</v>
      </c>
      <c r="S216" s="249" t="n">
        <v>17843</v>
      </c>
      <c r="T216" s="252">
        <f>S216*R216</f>
        <v/>
      </c>
      <c r="U216" s="245" t="n"/>
      <c r="V216" s="245" t="n"/>
      <c r="W216" s="245" t="n"/>
      <c r="X216" s="245" t="n"/>
      <c r="Y216" s="245" t="n"/>
      <c r="Z216" s="245" t="n"/>
    </row>
    <row r="217" ht="16.5" customHeight="1" s="202">
      <c r="A217" s="245" t="n"/>
      <c r="B217" s="245" t="n"/>
      <c r="C217" s="245" t="n"/>
      <c r="D217" s="245" t="n"/>
      <c r="E217" s="245" t="n"/>
      <c r="F217" s="245" t="n"/>
      <c r="G217" s="245" t="n"/>
      <c r="H217" s="247" t="n">
        <v>2054</v>
      </c>
      <c r="I217" s="245" t="inlineStr"/>
      <c r="J217" s="245" t="inlineStr"/>
      <c r="K217" s="245" t="inlineStr">
        <is>
          <t>3IN CV LAVENDER MF TOPPER TW</t>
        </is>
      </c>
      <c r="L217" s="245" t="inlineStr">
        <is>
          <t>ECMF-03TL-IN</t>
        </is>
      </c>
      <c r="M217" s="248" t="inlineStr">
        <is>
          <t>7HTTBRJE</t>
        </is>
      </c>
      <c r="N217" s="245" t="inlineStr">
        <is>
          <t>F.TMT.03T.010.BD</t>
        </is>
      </c>
      <c r="O217" s="245" t="n"/>
      <c r="P217" s="245" t="n"/>
      <c r="Q217" s="250">
        <f>R217/H217</f>
        <v/>
      </c>
      <c r="R217" s="251" t="n">
        <v>22696.7</v>
      </c>
      <c r="S217" s="249" t="n">
        <v>17843</v>
      </c>
      <c r="T217" s="252">
        <f>S217*R217</f>
        <v/>
      </c>
      <c r="U217" s="245" t="n"/>
      <c r="V217" s="245" t="n"/>
      <c r="W217" s="245" t="n"/>
      <c r="X217" s="245" t="n"/>
      <c r="Y217" s="245" t="n"/>
      <c r="Z217" s="245" t="n"/>
    </row>
    <row r="218" ht="16.5" customHeight="1" s="202">
      <c r="A218" s="245" t="n"/>
      <c r="B218" s="245" t="n"/>
      <c r="C218" s="245" t="n"/>
      <c r="D218" s="245" t="n"/>
      <c r="E218" s="245" t="n"/>
      <c r="F218" s="245" t="n"/>
      <c r="G218" s="245" t="n"/>
      <c r="H218" s="247" t="n">
        <v>4</v>
      </c>
      <c r="I218" s="245" t="inlineStr"/>
      <c r="J218" s="245" t="inlineStr"/>
      <c r="K218" s="245" t="inlineStr">
        <is>
          <t>2IN CV LAVENDER MF TOPPER QN</t>
        </is>
      </c>
      <c r="L218" s="245" t="inlineStr">
        <is>
          <t>ECMF-LV2Q-IN</t>
        </is>
      </c>
      <c r="M218" s="248" t="inlineStr">
        <is>
          <t>7HTTBRJE</t>
        </is>
      </c>
      <c r="N218" s="245" t="inlineStr">
        <is>
          <t>F.TMT.02Q.008.BD</t>
        </is>
      </c>
      <c r="O218" s="245" t="n"/>
      <c r="P218" s="245" t="n"/>
      <c r="Q218" s="250">
        <f>R218/H218</f>
        <v/>
      </c>
      <c r="R218" s="251" t="n">
        <v>48.52</v>
      </c>
      <c r="S218" s="249" t="n">
        <v>17843</v>
      </c>
      <c r="T218" s="252">
        <f>S218*R218</f>
        <v/>
      </c>
      <c r="U218" s="245" t="n"/>
      <c r="V218" s="245" t="n"/>
      <c r="W218" s="245" t="n"/>
      <c r="X218" s="245" t="n"/>
      <c r="Y218" s="245" t="n"/>
      <c r="Z218" s="245" t="n"/>
    </row>
    <row r="219" ht="16.5" customHeight="1" s="202">
      <c r="A219" s="245" t="n"/>
      <c r="B219" s="245" t="n"/>
      <c r="C219" s="245" t="n"/>
      <c r="D219" s="245" t="n"/>
      <c r="E219" s="245" t="n"/>
      <c r="F219" s="245" t="n"/>
      <c r="G219" s="245" t="n"/>
      <c r="H219" s="247" t="n">
        <v>3</v>
      </c>
      <c r="I219" s="245" t="inlineStr"/>
      <c r="J219" s="245" t="inlineStr"/>
      <c r="K219" s="245" t="inlineStr">
        <is>
          <t>3IN CV LAVENDER MF TOPPER FL</t>
        </is>
      </c>
      <c r="L219" s="245" t="inlineStr">
        <is>
          <t>ECMF-03FL-IN</t>
        </is>
      </c>
      <c r="M219" s="248" t="inlineStr">
        <is>
          <t>7QH32QWV</t>
        </is>
      </c>
      <c r="N219" s="245" t="inlineStr">
        <is>
          <t>F.TMT.03F.010.BD</t>
        </is>
      </c>
      <c r="O219" s="245" t="n"/>
      <c r="P219" s="245" t="n"/>
      <c r="Q219" s="250">
        <f>R219/H219</f>
        <v/>
      </c>
      <c r="R219" s="251" t="n">
        <v>43.83</v>
      </c>
      <c r="S219" s="249" t="n">
        <v>17843</v>
      </c>
      <c r="T219" s="252">
        <f>S219*R219</f>
        <v/>
      </c>
      <c r="U219" s="245" t="n"/>
      <c r="V219" s="245" t="n"/>
      <c r="W219" s="245" t="n"/>
      <c r="X219" s="245" t="n"/>
      <c r="Y219" s="245" t="n"/>
      <c r="Z219" s="245" t="n"/>
    </row>
    <row r="220" ht="16.5" customHeight="1" s="202">
      <c r="A220" s="245" t="n"/>
      <c r="B220" s="245" t="n"/>
      <c r="C220" s="245" t="n"/>
      <c r="D220" s="245" t="n"/>
      <c r="E220" s="245" t="n"/>
      <c r="F220" s="245" t="n"/>
      <c r="G220" s="245" t="n"/>
      <c r="H220" s="247" t="n">
        <v>86</v>
      </c>
      <c r="I220" s="245" t="inlineStr"/>
      <c r="J220" s="245" t="inlineStr"/>
      <c r="K220" s="245" t="inlineStr">
        <is>
          <t>3IN CV LAVENDER MF TOPPER EK</t>
        </is>
      </c>
      <c r="L220" s="245" t="inlineStr">
        <is>
          <t>ECMF-03KL-IN</t>
        </is>
      </c>
      <c r="M220" s="248" t="inlineStr">
        <is>
          <t>7QH32QWV</t>
        </is>
      </c>
      <c r="N220" s="245" t="inlineStr">
        <is>
          <t>F.TMT.03K.010.BD</t>
        </is>
      </c>
      <c r="O220" s="245" t="n"/>
      <c r="P220" s="245" t="n"/>
      <c r="Q220" s="250">
        <f>R220/H220</f>
        <v/>
      </c>
      <c r="R220" s="251" t="n">
        <v>1783.64</v>
      </c>
      <c r="S220" s="249" t="n">
        <v>17843</v>
      </c>
      <c r="T220" s="252">
        <f>S220*R220</f>
        <v/>
      </c>
      <c r="U220" s="245" t="n"/>
      <c r="V220" s="245" t="n"/>
      <c r="W220" s="245" t="n"/>
      <c r="X220" s="245" t="n"/>
      <c r="Y220" s="245" t="n"/>
      <c r="Z220" s="245" t="n"/>
    </row>
    <row r="221" ht="16.5" customHeight="1" s="202">
      <c r="A221" s="245" t="n"/>
      <c r="B221" s="245" t="n"/>
      <c r="C221" s="245" t="n"/>
      <c r="D221" s="245" t="n"/>
      <c r="E221" s="245" t="n"/>
      <c r="F221" s="245" t="n"/>
      <c r="G221" s="245" t="n"/>
      <c r="H221" s="247" t="n">
        <v>3</v>
      </c>
      <c r="I221" s="245" t="inlineStr"/>
      <c r="J221" s="245" t="inlineStr"/>
      <c r="K221" s="245" t="inlineStr">
        <is>
          <t>3IN CV LAVENDER MF TOPPER TW</t>
        </is>
      </c>
      <c r="L221" s="245" t="inlineStr">
        <is>
          <t>ECMF-03TL-IN</t>
        </is>
      </c>
      <c r="M221" s="248" t="inlineStr">
        <is>
          <t>7QH32QWV</t>
        </is>
      </c>
      <c r="N221" s="245" t="inlineStr">
        <is>
          <t>F.TMT.03T.010.BD</t>
        </is>
      </c>
      <c r="O221" s="245" t="n"/>
      <c r="P221" s="245" t="n"/>
      <c r="Q221" s="250">
        <f>R221/H221</f>
        <v/>
      </c>
      <c r="R221" s="251" t="n">
        <v>33.15</v>
      </c>
      <c r="S221" s="249" t="n">
        <v>17843</v>
      </c>
      <c r="T221" s="252">
        <f>S221*R221</f>
        <v/>
      </c>
      <c r="U221" s="245" t="n"/>
      <c r="V221" s="245" t="n"/>
      <c r="W221" s="245" t="n"/>
      <c r="X221" s="245" t="n"/>
      <c r="Y221" s="245" t="n"/>
      <c r="Z221" s="245" t="n"/>
    </row>
    <row r="222" ht="16.5" customHeight="1" s="202">
      <c r="A222" s="245" t="n"/>
      <c r="B222" s="245" t="n"/>
      <c r="C222" s="245" t="n"/>
      <c r="D222" s="245" t="n"/>
      <c r="E222" s="245" t="n"/>
      <c r="F222" s="245" t="n"/>
      <c r="G222" s="245" t="n"/>
      <c r="H222" s="247" t="n">
        <v>1</v>
      </c>
      <c r="I222" s="245" t="inlineStr"/>
      <c r="J222" s="245" t="inlineStr"/>
      <c r="K222" s="245" t="inlineStr">
        <is>
          <t>2IN CV LAVENDER MF TOPPER EK</t>
        </is>
      </c>
      <c r="L222" s="245" t="inlineStr">
        <is>
          <t>ECMF-LV2K-IN</t>
        </is>
      </c>
      <c r="M222" s="248" t="inlineStr">
        <is>
          <t>7QH32QWV</t>
        </is>
      </c>
      <c r="N222" s="245" t="inlineStr">
        <is>
          <t>F.TMT.02K.008.BD</t>
        </is>
      </c>
      <c r="O222" s="245" t="n"/>
      <c r="P222" s="245" t="n"/>
      <c r="Q222" s="250">
        <f>R222/H222</f>
        <v/>
      </c>
      <c r="R222" s="251" t="n">
        <v>13.91</v>
      </c>
      <c r="S222" s="249" t="n">
        <v>17843</v>
      </c>
      <c r="T222" s="252">
        <f>S222*R222</f>
        <v/>
      </c>
      <c r="U222" s="245" t="n"/>
      <c r="V222" s="245" t="n"/>
      <c r="W222" s="245" t="n"/>
      <c r="X222" s="245" t="n"/>
      <c r="Y222" s="245" t="n"/>
      <c r="Z222" s="245" t="n"/>
    </row>
    <row r="223" ht="16.5" customHeight="1" s="202">
      <c r="A223" s="245" t="n"/>
      <c r="B223" s="245" t="n"/>
      <c r="C223" s="245" t="n"/>
      <c r="D223" s="245" t="n"/>
      <c r="E223" s="245" t="n"/>
      <c r="F223" s="245" t="n"/>
      <c r="G223" s="245" t="n"/>
      <c r="H223" s="247" t="n">
        <v>1</v>
      </c>
      <c r="I223" s="245" t="inlineStr"/>
      <c r="J223" s="245" t="inlineStr"/>
      <c r="K223" s="245" t="inlineStr">
        <is>
          <t>2IN CV LAVENDER MF TOPPER QN</t>
        </is>
      </c>
      <c r="L223" s="245" t="inlineStr">
        <is>
          <t>ECMF-LV2Q-IN</t>
        </is>
      </c>
      <c r="M223" s="248" t="inlineStr">
        <is>
          <t>7QH32QWV</t>
        </is>
      </c>
      <c r="N223" s="245" t="inlineStr">
        <is>
          <t>F.TMT.02Q.008.BD</t>
        </is>
      </c>
      <c r="O223" s="245" t="n"/>
      <c r="P223" s="245" t="n"/>
      <c r="Q223" s="250">
        <f>R223/H223</f>
        <v/>
      </c>
      <c r="R223" s="251" t="n">
        <v>12.13</v>
      </c>
      <c r="S223" s="249" t="n">
        <v>17843</v>
      </c>
      <c r="T223" s="252">
        <f>S223*R223</f>
        <v/>
      </c>
      <c r="U223" s="245" t="n"/>
      <c r="V223" s="245" t="n"/>
      <c r="W223" s="245" t="n"/>
      <c r="X223" s="245" t="n"/>
      <c r="Y223" s="245" t="n"/>
      <c r="Z223" s="245" t="n"/>
    </row>
    <row r="224" ht="16.5" customHeight="1" s="202">
      <c r="A224" s="245" t="n"/>
      <c r="B224" s="245" t="n"/>
      <c r="C224" s="245" t="n"/>
      <c r="D224" s="245" t="n"/>
      <c r="E224" s="245" t="n"/>
      <c r="F224" s="245" t="n"/>
      <c r="G224" s="245" t="n"/>
      <c r="H224" s="247" t="n">
        <v>31</v>
      </c>
      <c r="I224" s="245" t="inlineStr"/>
      <c r="J224" s="245" t="inlineStr"/>
      <c r="K224" s="245" t="inlineStr">
        <is>
          <t>4IN CV LAVENDER MF TOPPER QN</t>
        </is>
      </c>
      <c r="L224" s="245" t="inlineStr">
        <is>
          <t>ECMF-LV4Q-IN</t>
        </is>
      </c>
      <c r="M224" s="248" t="inlineStr">
        <is>
          <t>7QH32QWV</t>
        </is>
      </c>
      <c r="N224" s="245" t="inlineStr">
        <is>
          <t>F.TMT.04Q.012.BD</t>
        </is>
      </c>
      <c r="O224" s="245" t="n"/>
      <c r="P224" s="245" t="n"/>
      <c r="Q224" s="250">
        <f>R224/H224</f>
        <v/>
      </c>
      <c r="R224" s="251" t="n">
        <v>686.65</v>
      </c>
      <c r="S224" s="249" t="n">
        <v>17843</v>
      </c>
      <c r="T224" s="252">
        <f>S224*R224</f>
        <v/>
      </c>
      <c r="U224" s="245" t="n"/>
      <c r="V224" s="245" t="n"/>
      <c r="W224" s="245" t="n"/>
      <c r="X224" s="245" t="n"/>
      <c r="Y224" s="245" t="n"/>
      <c r="Z224" s="245" t="n"/>
    </row>
    <row r="225" ht="16.5" customHeight="1" s="202">
      <c r="A225" s="245" t="n"/>
      <c r="B225" s="245" t="n"/>
      <c r="C225" s="245" t="n"/>
      <c r="D225" s="245" t="n"/>
      <c r="E225" s="245" t="n"/>
      <c r="F225" s="245" t="n"/>
      <c r="G225" s="245" t="n"/>
      <c r="H225" s="247" t="n">
        <v>5</v>
      </c>
      <c r="I225" s="245" t="inlineStr"/>
      <c r="J225" s="245" t="inlineStr"/>
      <c r="K225" s="245" t="inlineStr">
        <is>
          <t>4IN CV LAVENDER MF TOPPER TW</t>
        </is>
      </c>
      <c r="L225" s="245" t="inlineStr">
        <is>
          <t>ECMF-LV4T-IN</t>
        </is>
      </c>
      <c r="M225" s="248" t="inlineStr">
        <is>
          <t>7QH32QWV</t>
        </is>
      </c>
      <c r="N225" s="245" t="inlineStr">
        <is>
          <t>F.TMT.04T.012.BD</t>
        </is>
      </c>
      <c r="O225" s="245" t="n"/>
      <c r="P225" s="245" t="n"/>
      <c r="Q225" s="250">
        <f>R225/H225</f>
        <v/>
      </c>
      <c r="R225" s="251" t="n">
        <v>70.7</v>
      </c>
      <c r="S225" s="249" t="n">
        <v>17843</v>
      </c>
      <c r="T225" s="252">
        <f>S225*R225</f>
        <v/>
      </c>
      <c r="U225" s="245" t="n"/>
      <c r="V225" s="245" t="n"/>
      <c r="W225" s="245" t="n"/>
      <c r="X225" s="245" t="n"/>
      <c r="Y225" s="245" t="n"/>
      <c r="Z225" s="245" t="n"/>
    </row>
    <row r="226" ht="16.5" customHeight="1" s="202">
      <c r="A226" s="245" t="n"/>
      <c r="B226" s="245" t="n"/>
      <c r="C226" s="245" t="n"/>
      <c r="D226" s="245" t="n"/>
      <c r="E226" s="245" t="n"/>
      <c r="F226" s="245" t="n"/>
      <c r="G226" s="245" t="n"/>
      <c r="H226" s="247" t="n">
        <v>6</v>
      </c>
      <c r="I226" s="245" t="inlineStr"/>
      <c r="J226" s="245" t="inlineStr"/>
      <c r="K226" s="245" t="inlineStr">
        <is>
          <t>1.5IN VT GEL MF TOPPER FL</t>
        </is>
      </c>
      <c r="L226" s="245" t="inlineStr">
        <is>
          <t>GMT1.5F-IN</t>
        </is>
      </c>
      <c r="M226" s="248" t="inlineStr">
        <is>
          <t>7QH32QWV</t>
        </is>
      </c>
      <c r="N226" s="245" t="inlineStr">
        <is>
          <t>F.TGT.01F.004.BD</t>
        </is>
      </c>
      <c r="O226" s="245" t="n"/>
      <c r="P226" s="245" t="n"/>
      <c r="Q226" s="250">
        <f>R226/H226</f>
        <v/>
      </c>
      <c r="R226" s="251" t="n">
        <v>62.58</v>
      </c>
      <c r="S226" s="249" t="n">
        <v>17843</v>
      </c>
      <c r="T226" s="252">
        <f>S226*R226</f>
        <v/>
      </c>
      <c r="U226" s="245" t="n"/>
      <c r="V226" s="245" t="n"/>
      <c r="W226" s="245" t="n"/>
      <c r="X226" s="245" t="n"/>
      <c r="Y226" s="245" t="n"/>
      <c r="Z226" s="245" t="n"/>
    </row>
    <row r="227" ht="16.5" customHeight="1" s="202">
      <c r="A227" s="245" t="n"/>
      <c r="B227" s="245" t="n"/>
      <c r="C227" s="245" t="n"/>
      <c r="D227" s="245" t="n"/>
      <c r="E227" s="245" t="n"/>
      <c r="F227" s="245" t="n"/>
      <c r="G227" s="245" t="n"/>
      <c r="H227" s="247" t="n">
        <v>38</v>
      </c>
      <c r="I227" s="245" t="inlineStr"/>
      <c r="J227" s="245" t="inlineStr"/>
      <c r="K227" s="245" t="inlineStr">
        <is>
          <t>1.5IN VT GEL MF TOPPER TW</t>
        </is>
      </c>
      <c r="L227" s="245" t="inlineStr">
        <is>
          <t>GMT1.5T-IN</t>
        </is>
      </c>
      <c r="M227" s="248" t="inlineStr">
        <is>
          <t>7QH32QWV</t>
        </is>
      </c>
      <c r="N227" s="245" t="inlineStr">
        <is>
          <t>F.TGT.01T.004.BD</t>
        </is>
      </c>
      <c r="O227" s="245" t="n"/>
      <c r="P227" s="245" t="n"/>
      <c r="Q227" s="250">
        <f>R227/H227</f>
        <v/>
      </c>
      <c r="R227" s="251" t="n">
        <v>317.3</v>
      </c>
      <c r="S227" s="249" t="n">
        <v>17843</v>
      </c>
      <c r="T227" s="252">
        <f>S227*R227</f>
        <v/>
      </c>
      <c r="U227" s="245" t="n"/>
      <c r="V227" s="245" t="n"/>
      <c r="W227" s="245" t="n"/>
      <c r="X227" s="245" t="n"/>
      <c r="Y227" s="245" t="n"/>
      <c r="Z227" s="245" t="n"/>
    </row>
    <row r="228" ht="16.5" customHeight="1" s="202">
      <c r="A228" s="245" t="n"/>
      <c r="B228" s="245" t="n"/>
      <c r="C228" s="245" t="n"/>
      <c r="D228" s="245" t="n"/>
      <c r="E228" s="245" t="n"/>
      <c r="F228" s="245" t="n"/>
      <c r="G228" s="245" t="n"/>
      <c r="H228" s="247" t="n">
        <v>7</v>
      </c>
      <c r="I228" s="245" t="inlineStr"/>
      <c r="J228" s="245" t="inlineStr"/>
      <c r="K228" s="245" t="inlineStr">
        <is>
          <t>3IN VT GEL MF TOPPER FL</t>
        </is>
      </c>
      <c r="L228" s="245" t="inlineStr">
        <is>
          <t>GMT3F-IN</t>
        </is>
      </c>
      <c r="M228" s="248" t="inlineStr">
        <is>
          <t>7QH32QWV</t>
        </is>
      </c>
      <c r="N228" s="245" t="inlineStr">
        <is>
          <t>F.TGT.03F.006.BD</t>
        </is>
      </c>
      <c r="O228" s="245" t="n"/>
      <c r="P228" s="245" t="n"/>
      <c r="Q228" s="250">
        <f>R228/H228</f>
        <v/>
      </c>
      <c r="R228" s="251" t="n">
        <v>137.69</v>
      </c>
      <c r="S228" s="249" t="n">
        <v>17843</v>
      </c>
      <c r="T228" s="252">
        <f>S228*R228</f>
        <v/>
      </c>
      <c r="U228" s="245" t="n"/>
      <c r="V228" s="245" t="n"/>
      <c r="W228" s="245" t="n"/>
      <c r="X228" s="245" t="n"/>
      <c r="Y228" s="245" t="n"/>
      <c r="Z228" s="245" t="n"/>
    </row>
    <row r="229" ht="16.5" customHeight="1" s="202">
      <c r="A229" s="245" t="n"/>
      <c r="B229" s="245" t="n"/>
      <c r="C229" s="245" t="n"/>
      <c r="D229" s="245" t="n"/>
      <c r="E229" s="245" t="n"/>
      <c r="F229" s="245" t="n"/>
      <c r="G229" s="245" t="n"/>
      <c r="H229" s="247" t="n">
        <v>18</v>
      </c>
      <c r="I229" s="245" t="inlineStr"/>
      <c r="J229" s="245" t="inlineStr"/>
      <c r="K229" s="245" t="inlineStr">
        <is>
          <t>4IN VT GEL MF TOPPER EK</t>
        </is>
      </c>
      <c r="L229" s="245" t="inlineStr">
        <is>
          <t>GMT4K-IN</t>
        </is>
      </c>
      <c r="M229" s="248" t="inlineStr">
        <is>
          <t>7QH32QWV</t>
        </is>
      </c>
      <c r="N229" s="245" t="inlineStr">
        <is>
          <t>F.TGT.04K.005.BD</t>
        </is>
      </c>
      <c r="O229" s="245" t="n"/>
      <c r="P229" s="245" t="n"/>
      <c r="Q229" s="250">
        <f>R229/H229</f>
        <v/>
      </c>
      <c r="R229" s="251" t="n">
        <v>594.9</v>
      </c>
      <c r="S229" s="249" t="n">
        <v>17843</v>
      </c>
      <c r="T229" s="252">
        <f>S229*R229</f>
        <v/>
      </c>
      <c r="U229" s="245" t="n"/>
      <c r="V229" s="245" t="n"/>
      <c r="W229" s="245" t="n"/>
      <c r="X229" s="245" t="n"/>
      <c r="Y229" s="245" t="n"/>
      <c r="Z229" s="245" t="n"/>
    </row>
    <row r="230" ht="16.5" customHeight="1" s="202">
      <c r="A230" s="245" t="n"/>
      <c r="B230" s="245" t="n"/>
      <c r="C230" s="245" t="n"/>
      <c r="D230" s="245" t="n"/>
      <c r="E230" s="245" t="n"/>
      <c r="F230" s="245" t="n"/>
      <c r="G230" s="245" t="n"/>
      <c r="H230" s="247" t="n">
        <v>29</v>
      </c>
      <c r="I230" s="245" t="inlineStr"/>
      <c r="J230" s="245" t="inlineStr"/>
      <c r="K230" s="245" t="inlineStr">
        <is>
          <t>4IN VT GEL MF TOPPER QN</t>
        </is>
      </c>
      <c r="L230" s="245" t="inlineStr">
        <is>
          <t>GMT4Q-IN</t>
        </is>
      </c>
      <c r="M230" s="248" t="inlineStr">
        <is>
          <t>7QH32QWV</t>
        </is>
      </c>
      <c r="N230" s="245" t="inlineStr">
        <is>
          <t>F.TGT.04Q.005.BD</t>
        </is>
      </c>
      <c r="O230" s="245" t="n"/>
      <c r="P230" s="245" t="n"/>
      <c r="Q230" s="250">
        <f>R230/H230</f>
        <v/>
      </c>
      <c r="R230" s="251" t="n">
        <v>761.54</v>
      </c>
      <c r="S230" s="249" t="n">
        <v>17843</v>
      </c>
      <c r="T230" s="252">
        <f>S230*R230</f>
        <v/>
      </c>
      <c r="U230" s="245" t="n"/>
      <c r="V230" s="245" t="n"/>
      <c r="W230" s="245" t="n"/>
      <c r="X230" s="245" t="n"/>
      <c r="Y230" s="245" t="n"/>
      <c r="Z230" s="245" t="n"/>
    </row>
    <row r="231" ht="16.5" customHeight="1" s="202">
      <c r="A231" s="245" t="n"/>
      <c r="B231" s="245" t="n"/>
      <c r="C231" s="245" t="n"/>
      <c r="D231" s="245" t="n"/>
      <c r="E231" s="245" t="n"/>
      <c r="F231" s="245" t="n"/>
      <c r="G231" s="245" t="n"/>
      <c r="H231" s="247" t="n">
        <v>2</v>
      </c>
      <c r="I231" s="245" t="inlineStr"/>
      <c r="J231" s="245" t="inlineStr"/>
      <c r="K231" s="245" t="inlineStr">
        <is>
          <t>2IN CV LAVENDER MF TOPPER FL</t>
        </is>
      </c>
      <c r="L231" s="245" t="inlineStr">
        <is>
          <t>ECMF-LV2F-IN</t>
        </is>
      </c>
      <c r="M231" s="248" t="inlineStr">
        <is>
          <t>7Y6VLYSG</t>
        </is>
      </c>
      <c r="N231" s="245" t="inlineStr">
        <is>
          <t>F.TMT.02F.008.BD</t>
        </is>
      </c>
      <c r="O231" s="245" t="n"/>
      <c r="P231" s="245" t="n"/>
      <c r="Q231" s="250">
        <f>R231/H231</f>
        <v/>
      </c>
      <c r="R231" s="251" t="n">
        <v>19.78</v>
      </c>
      <c r="S231" s="249" t="n">
        <v>17843</v>
      </c>
      <c r="T231" s="252">
        <f>S231*R231</f>
        <v/>
      </c>
      <c r="U231" s="245" t="n"/>
      <c r="V231" s="245" t="n"/>
      <c r="W231" s="245" t="n"/>
      <c r="X231" s="245" t="n"/>
      <c r="Y231" s="245" t="n"/>
      <c r="Z231" s="245" t="n"/>
    </row>
    <row r="232" ht="16.5" customHeight="1" s="202">
      <c r="A232" s="245" t="n"/>
      <c r="B232" s="245" t="n"/>
      <c r="C232" s="245" t="n"/>
      <c r="D232" s="245" t="n"/>
      <c r="E232" s="245" t="n"/>
      <c r="F232" s="245" t="n"/>
      <c r="G232" s="245" t="n"/>
      <c r="H232" s="247" t="n">
        <v>1</v>
      </c>
      <c r="I232" s="245" t="inlineStr"/>
      <c r="J232" s="245" t="inlineStr"/>
      <c r="K232" s="245" t="inlineStr">
        <is>
          <t>4IN CV LAVENDER MF TOPPER QN</t>
        </is>
      </c>
      <c r="L232" s="245" t="inlineStr">
        <is>
          <t>ECMF-LV4Q-IN</t>
        </is>
      </c>
      <c r="M232" s="248" t="inlineStr">
        <is>
          <t>7Y6VLYSG</t>
        </is>
      </c>
      <c r="N232" s="245" t="inlineStr">
        <is>
          <t>F.TMT.04Q.012.BD</t>
        </is>
      </c>
      <c r="O232" s="245" t="n"/>
      <c r="P232" s="245" t="n"/>
      <c r="Q232" s="250">
        <f>R232/H232</f>
        <v/>
      </c>
      <c r="R232" s="251" t="n">
        <v>22.15</v>
      </c>
      <c r="S232" s="249" t="n">
        <v>17843</v>
      </c>
      <c r="T232" s="252">
        <f>S232*R232</f>
        <v/>
      </c>
      <c r="U232" s="245" t="n"/>
      <c r="V232" s="245" t="n"/>
      <c r="W232" s="245" t="n"/>
      <c r="X232" s="245" t="n"/>
      <c r="Y232" s="245" t="n"/>
      <c r="Z232" s="245" t="n"/>
    </row>
    <row r="233" ht="16.5" customHeight="1" s="202">
      <c r="A233" s="245" t="n"/>
      <c r="B233" s="245" t="n"/>
      <c r="C233" s="245" t="n"/>
      <c r="D233" s="245" t="n"/>
      <c r="E233" s="245" t="n"/>
      <c r="F233" s="245" t="n"/>
      <c r="G233" s="245" t="n"/>
      <c r="H233" s="247" t="n">
        <v>62</v>
      </c>
      <c r="I233" s="245" t="inlineStr"/>
      <c r="J233" s="245" t="inlineStr"/>
      <c r="K233" s="245" t="inlineStr">
        <is>
          <t>1.5IN VT GEL MF TOPPER TW</t>
        </is>
      </c>
      <c r="L233" s="245" t="inlineStr">
        <is>
          <t>GMT1.5T-IN</t>
        </is>
      </c>
      <c r="M233" s="248" t="inlineStr">
        <is>
          <t>7Y6VLYSG</t>
        </is>
      </c>
      <c r="N233" s="245" t="inlineStr">
        <is>
          <t>F.TGT.01T.004.BD</t>
        </is>
      </c>
      <c r="O233" s="245" t="n"/>
      <c r="P233" s="245" t="n"/>
      <c r="Q233" s="250">
        <f>R233/H233</f>
        <v/>
      </c>
      <c r="R233" s="251" t="n">
        <v>517.7</v>
      </c>
      <c r="S233" s="249" t="n">
        <v>17843</v>
      </c>
      <c r="T233" s="252">
        <f>S233*R233</f>
        <v/>
      </c>
      <c r="U233" s="245" t="n"/>
      <c r="V233" s="245" t="n"/>
      <c r="W233" s="245" t="n"/>
      <c r="X233" s="245" t="n"/>
      <c r="Y233" s="245" t="n"/>
      <c r="Z233" s="245" t="n"/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7" t="n">
        <v>756</v>
      </c>
      <c r="I234" s="245" t="inlineStr"/>
      <c r="J234" s="245" t="inlineStr"/>
      <c r="K234" s="245" t="inlineStr">
        <is>
          <t>3IN CV LAVENDER MF TOPPER TW</t>
        </is>
      </c>
      <c r="L234" s="245" t="inlineStr">
        <is>
          <t>ECMF-03TL-IN</t>
        </is>
      </c>
      <c r="M234" s="248" t="inlineStr">
        <is>
          <t>88CGAT9B</t>
        </is>
      </c>
      <c r="N234" s="245" t="inlineStr">
        <is>
          <t>F.TMT.03T.010.BD</t>
        </is>
      </c>
      <c r="O234" s="245" t="n"/>
      <c r="P234" s="245" t="n"/>
      <c r="Q234" s="250">
        <f>R234/H234</f>
        <v/>
      </c>
      <c r="R234" s="251" t="n">
        <v>8353.799999999999</v>
      </c>
      <c r="S234" s="249" t="n">
        <v>17843</v>
      </c>
      <c r="T234" s="252">
        <f>S234*R234</f>
        <v/>
      </c>
      <c r="U234" s="245" t="n"/>
      <c r="V234" s="245" t="n"/>
      <c r="W234" s="245" t="n"/>
      <c r="X234" s="245" t="n"/>
      <c r="Y234" s="245" t="n"/>
      <c r="Z234" s="245" t="n"/>
    </row>
    <row r="235" ht="16.5" customHeight="1" s="202">
      <c r="A235" s="245" t="n"/>
      <c r="B235" s="245" t="n"/>
      <c r="C235" s="245" t="n"/>
      <c r="D235" s="245" t="n"/>
      <c r="E235" s="245" t="n"/>
      <c r="F235" s="245" t="n"/>
      <c r="G235" s="245" t="n"/>
      <c r="H235" s="247" t="n">
        <v>117</v>
      </c>
      <c r="I235" s="245" t="inlineStr"/>
      <c r="J235" s="245" t="inlineStr"/>
      <c r="K235" s="245" t="inlineStr">
        <is>
          <t>4IN CV LAVENDER MF TOPPER QN</t>
        </is>
      </c>
      <c r="L235" s="245" t="inlineStr">
        <is>
          <t>ECMF-LV4Q-IN</t>
        </is>
      </c>
      <c r="M235" s="248" t="inlineStr">
        <is>
          <t>88CGAT9B</t>
        </is>
      </c>
      <c r="N235" s="245" t="inlineStr">
        <is>
          <t>F.TMT.04Q.012.BD</t>
        </is>
      </c>
      <c r="O235" s="245" t="n"/>
      <c r="P235" s="245" t="n"/>
      <c r="Q235" s="250">
        <f>R235/H235</f>
        <v/>
      </c>
      <c r="R235" s="251" t="n">
        <v>2591.55</v>
      </c>
      <c r="S235" s="249" t="n">
        <v>17843</v>
      </c>
      <c r="T235" s="252">
        <f>S235*R235</f>
        <v/>
      </c>
      <c r="U235" s="245" t="n"/>
      <c r="V235" s="245" t="n"/>
      <c r="W235" s="245" t="n"/>
      <c r="X235" s="245" t="n"/>
      <c r="Y235" s="245" t="n"/>
      <c r="Z235" s="245" t="n"/>
    </row>
    <row r="236" ht="16.5" customHeight="1" s="202">
      <c r="A236" s="245" t="n"/>
      <c r="B236" s="245" t="n"/>
      <c r="C236" s="245" t="n"/>
      <c r="D236" s="245" t="n"/>
      <c r="E236" s="245" t="n"/>
      <c r="F236" s="245" t="n"/>
      <c r="G236" s="245" t="n"/>
      <c r="H236" s="247" t="n">
        <v>300</v>
      </c>
      <c r="I236" s="245" t="inlineStr"/>
      <c r="J236" s="245" t="inlineStr"/>
      <c r="K236" s="245" t="inlineStr">
        <is>
          <t>3IN CV LAVENDER MF TOPPER FL</t>
        </is>
      </c>
      <c r="L236" s="245" t="inlineStr">
        <is>
          <t>ECMF-03FL-IN</t>
        </is>
      </c>
      <c r="M236" s="248" t="inlineStr">
        <is>
          <t>8FL296EJ</t>
        </is>
      </c>
      <c r="N236" s="245" t="inlineStr">
        <is>
          <t>F.TMT.03F.010.BD</t>
        </is>
      </c>
      <c r="O236" s="245" t="n"/>
      <c r="P236" s="245" t="n"/>
      <c r="Q236" s="250">
        <f>R236/H236</f>
        <v/>
      </c>
      <c r="R236" s="251" t="n">
        <v>4383</v>
      </c>
      <c r="S236" s="249" t="n">
        <v>17843</v>
      </c>
      <c r="T236" s="252">
        <f>S236*R236</f>
        <v/>
      </c>
      <c r="U236" s="245" t="n"/>
      <c r="V236" s="245" t="n"/>
      <c r="W236" s="245" t="n"/>
      <c r="X236" s="245" t="n"/>
      <c r="Y236" s="245" t="n"/>
      <c r="Z236" s="245" t="n"/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7" t="n">
        <v>285</v>
      </c>
      <c r="I237" s="245" t="inlineStr"/>
      <c r="J237" s="245" t="inlineStr"/>
      <c r="K237" s="245" t="inlineStr">
        <is>
          <t>3IN CV LAVENDER MF TOPPER QN</t>
        </is>
      </c>
      <c r="L237" s="245" t="inlineStr">
        <is>
          <t>ECMF-03QL-IN</t>
        </is>
      </c>
      <c r="M237" s="248" t="inlineStr">
        <is>
          <t>8FL296EJ</t>
        </is>
      </c>
      <c r="N237" s="245" t="inlineStr">
        <is>
          <t>F.TMT.03Q.010.BD</t>
        </is>
      </c>
      <c r="O237" s="245" t="n"/>
      <c r="P237" s="245" t="n"/>
      <c r="Q237" s="250">
        <f>R237/H237</f>
        <v/>
      </c>
      <c r="R237" s="251" t="n">
        <v>5323.8</v>
      </c>
      <c r="S237" s="249" t="n">
        <v>17843</v>
      </c>
      <c r="T237" s="252">
        <f>S237*R237</f>
        <v/>
      </c>
      <c r="U237" s="245" t="n"/>
      <c r="V237" s="245" t="n"/>
      <c r="W237" s="245" t="n"/>
      <c r="X237" s="245" t="n"/>
      <c r="Y237" s="245" t="n"/>
      <c r="Z237" s="245" t="n"/>
    </row>
    <row r="238" ht="16.5" customHeight="1" s="202">
      <c r="A238" s="245" t="n"/>
      <c r="B238" s="245" t="n"/>
      <c r="C238" s="245" t="n"/>
      <c r="D238" s="245" t="n"/>
      <c r="E238" s="245" t="n"/>
      <c r="F238" s="245" t="n"/>
      <c r="G238" s="245" t="n"/>
      <c r="H238" s="247" t="n">
        <v>84</v>
      </c>
      <c r="I238" s="245" t="inlineStr"/>
      <c r="J238" s="245" t="inlineStr"/>
      <c r="K238" s="245" t="inlineStr">
        <is>
          <t>2IN CV LAVENDER MF TOPPER FL</t>
        </is>
      </c>
      <c r="L238" s="245" t="inlineStr">
        <is>
          <t>ECMF-LV2F-IN</t>
        </is>
      </c>
      <c r="M238" s="248" t="inlineStr">
        <is>
          <t>8FL296EJ</t>
        </is>
      </c>
      <c r="N238" s="245" t="inlineStr">
        <is>
          <t>F.TMT.02F.008.BD</t>
        </is>
      </c>
      <c r="O238" s="245" t="n"/>
      <c r="P238" s="245" t="n"/>
      <c r="Q238" s="250">
        <f>R238/H238</f>
        <v/>
      </c>
      <c r="R238" s="251" t="n">
        <v>830.76</v>
      </c>
      <c r="S238" s="249" t="n">
        <v>17843</v>
      </c>
      <c r="T238" s="252">
        <f>S238*R238</f>
        <v/>
      </c>
      <c r="U238" s="245" t="n"/>
      <c r="V238" s="245" t="n"/>
      <c r="W238" s="245" t="n"/>
      <c r="X238" s="245" t="n"/>
      <c r="Y238" s="245" t="n"/>
      <c r="Z238" s="245" t="n"/>
    </row>
    <row r="239" ht="16.5" customHeight="1" s="202">
      <c r="A239" s="245" t="n"/>
      <c r="B239" s="245" t="n"/>
      <c r="C239" s="245" t="n"/>
      <c r="D239" s="245" t="n"/>
      <c r="E239" s="245" t="n"/>
      <c r="F239" s="245" t="n"/>
      <c r="G239" s="245" t="n"/>
      <c r="H239" s="247" t="n">
        <v>81</v>
      </c>
      <c r="I239" s="245" t="inlineStr"/>
      <c r="J239" s="245" t="inlineStr"/>
      <c r="K239" s="245" t="inlineStr">
        <is>
          <t>1.5IN VT GEL MF TOPPER FL</t>
        </is>
      </c>
      <c r="L239" s="245" t="inlineStr">
        <is>
          <t>GMT1.5F-IN</t>
        </is>
      </c>
      <c r="M239" s="248" t="inlineStr">
        <is>
          <t>8FL296EJ</t>
        </is>
      </c>
      <c r="N239" s="245" t="inlineStr">
        <is>
          <t>F.TGT.01F.004.BD</t>
        </is>
      </c>
      <c r="O239" s="245" t="n"/>
      <c r="P239" s="245" t="n"/>
      <c r="Q239" s="250">
        <f>R239/H239</f>
        <v/>
      </c>
      <c r="R239" s="251" t="n">
        <v>844.83</v>
      </c>
      <c r="S239" s="249" t="n">
        <v>17843</v>
      </c>
      <c r="T239" s="252">
        <f>S239*R239</f>
        <v/>
      </c>
      <c r="U239" s="245" t="n"/>
      <c r="V239" s="245" t="n"/>
      <c r="W239" s="245" t="n"/>
      <c r="X239" s="245" t="n"/>
      <c r="Y239" s="245" t="n"/>
      <c r="Z239" s="245" t="n"/>
    </row>
    <row r="240" ht="16.5" customHeight="1" s="202">
      <c r="A240" s="245" t="n"/>
      <c r="B240" s="245" t="n"/>
      <c r="C240" s="245" t="n"/>
      <c r="D240" s="245" t="n"/>
      <c r="E240" s="245" t="n"/>
      <c r="F240" s="245" t="n"/>
      <c r="G240" s="245" t="n"/>
      <c r="H240" s="247" t="n">
        <v>68</v>
      </c>
      <c r="I240" s="245" t="inlineStr"/>
      <c r="J240" s="245" t="inlineStr"/>
      <c r="K240" s="245" t="inlineStr">
        <is>
          <t>1.5IN VT GEL MF TOPPER TW</t>
        </is>
      </c>
      <c r="L240" s="245" t="inlineStr">
        <is>
          <t>GMT1.5T-IN</t>
        </is>
      </c>
      <c r="M240" s="248" t="inlineStr">
        <is>
          <t>8FL296EJ</t>
        </is>
      </c>
      <c r="N240" s="245" t="inlineStr">
        <is>
          <t>F.TGT.01T.004.BD</t>
        </is>
      </c>
      <c r="O240" s="245" t="n"/>
      <c r="P240" s="245" t="n"/>
      <c r="Q240" s="250">
        <f>R240/H240</f>
        <v/>
      </c>
      <c r="R240" s="251" t="n">
        <v>567.8</v>
      </c>
      <c r="S240" s="249" t="n">
        <v>17843</v>
      </c>
      <c r="T240" s="252">
        <f>S240*R240</f>
        <v/>
      </c>
      <c r="U240" s="245" t="n"/>
      <c r="V240" s="245" t="n"/>
      <c r="W240" s="245" t="n"/>
      <c r="X240" s="245" t="n"/>
      <c r="Y240" s="245" t="n"/>
      <c r="Z240" s="245" t="n"/>
    </row>
    <row r="241" ht="16.5" customHeight="1" s="202">
      <c r="A241" s="245" t="n"/>
      <c r="B241" s="245" t="n"/>
      <c r="C241" s="245" t="n"/>
      <c r="D241" s="245" t="n"/>
      <c r="E241" s="245" t="n"/>
      <c r="F241" s="245" t="n"/>
      <c r="G241" s="245" t="n"/>
      <c r="H241" s="247" t="n">
        <v>61</v>
      </c>
      <c r="I241" s="245" t="inlineStr"/>
      <c r="J241" s="245" t="inlineStr"/>
      <c r="K241" s="245" t="inlineStr">
        <is>
          <t>4IN VT GEL MF TOPPER QN</t>
        </is>
      </c>
      <c r="L241" s="245" t="inlineStr">
        <is>
          <t>GMT4Q-IN</t>
        </is>
      </c>
      <c r="M241" s="248" t="inlineStr">
        <is>
          <t>8FL296EJ</t>
        </is>
      </c>
      <c r="N241" s="245" t="inlineStr">
        <is>
          <t>F.TGT.04Q.005.BD</t>
        </is>
      </c>
      <c r="O241" s="245" t="n"/>
      <c r="P241" s="245" t="n"/>
      <c r="Q241" s="250">
        <f>R241/H241</f>
        <v/>
      </c>
      <c r="R241" s="251" t="n">
        <v>1601.86</v>
      </c>
      <c r="S241" s="249" t="n">
        <v>17843</v>
      </c>
      <c r="T241" s="252">
        <f>S241*R241</f>
        <v/>
      </c>
      <c r="U241" s="245" t="n"/>
      <c r="V241" s="245" t="n"/>
      <c r="W241" s="245" t="n"/>
      <c r="X241" s="245" t="n"/>
      <c r="Y241" s="245" t="n"/>
      <c r="Z241" s="245" t="n"/>
    </row>
    <row r="242" ht="17.1" customHeight="1" s="202">
      <c r="A242" s="254" t="n"/>
      <c r="B242" s="254" t="n"/>
      <c r="C242" s="254" t="n"/>
      <c r="D242" s="254" t="n"/>
      <c r="E242" s="254" t="n"/>
      <c r="F242" s="254" t="n"/>
      <c r="G242" s="254" t="n"/>
      <c r="H242" s="255">
        <f>SUM(H172:H241)</f>
        <v/>
      </c>
      <c r="I242" s="254">
        <f>COUNTA(I172:I241)</f>
        <v/>
      </c>
      <c r="J242" s="254" t="n"/>
      <c r="K242" s="254" t="n"/>
      <c r="L242" s="254" t="n"/>
      <c r="M242" s="254" t="n"/>
      <c r="N242" s="254" t="n"/>
      <c r="O242" s="256">
        <f>SUM(O172:O241)</f>
        <v/>
      </c>
      <c r="P242" s="256">
        <f>SUM(P172:P241)</f>
        <v/>
      </c>
      <c r="Q242" s="254" t="n"/>
      <c r="R242" s="257">
        <f>SUM(R172:R241)</f>
        <v/>
      </c>
      <c r="S242" s="254" t="n"/>
      <c r="T242" s="258">
        <f>SUM(T172:T241)</f>
        <v/>
      </c>
      <c r="U242" s="254" t="n"/>
      <c r="V242" s="254" t="n"/>
      <c r="W242" s="254" t="n"/>
      <c r="X242" s="254" t="n"/>
      <c r="Y242" s="254" t="n"/>
      <c r="Z242" s="254" t="n"/>
    </row>
    <row r="243" ht="16.5" customHeight="1" s="202">
      <c r="A243" s="245" t="n">
        <v>31</v>
      </c>
      <c r="B243" s="245" t="inlineStr">
        <is>
          <t>000030ZIK48020260821000664</t>
        </is>
      </c>
      <c r="C243" s="245" t="n">
        <v>530876</v>
      </c>
      <c r="D243" s="245" t="n">
        <v>530826</v>
      </c>
      <c r="E243" s="246" t="n">
        <v>46256</v>
      </c>
      <c r="F243" s="245" t="inlineStr">
        <is>
          <t>ID2608-8204</t>
        </is>
      </c>
      <c r="G243" s="246" t="n">
        <v>46254</v>
      </c>
      <c r="H243" s="247" t="n">
        <v>520</v>
      </c>
      <c r="I243" s="245" t="inlineStr">
        <is>
          <t>CMAU6690905</t>
        </is>
      </c>
      <c r="J243" s="245" t="inlineStr">
        <is>
          <t>40FT</t>
        </is>
      </c>
      <c r="K243" s="245" t="inlineStr">
        <is>
          <t>8IN GREEN TEA MF MATTRESS FL</t>
        </is>
      </c>
      <c r="L243" s="245" t="inlineStr">
        <is>
          <t>SCF-STR-800F</t>
        </is>
      </c>
      <c r="M243" s="248" t="inlineStr">
        <is>
          <t>0993630645</t>
        </is>
      </c>
      <c r="N243" s="245" t="inlineStr">
        <is>
          <t>F.MFM.08F.000.WS</t>
        </is>
      </c>
      <c r="O243" s="249" t="n">
        <v>10618.4</v>
      </c>
      <c r="P243" s="249" t="n">
        <v>9370.4</v>
      </c>
      <c r="Q243" s="250">
        <f>R243/H243</f>
        <v/>
      </c>
      <c r="R243" s="251" t="n">
        <v>41480.4</v>
      </c>
      <c r="S243" s="249" t="n">
        <v>17843</v>
      </c>
      <c r="T243" s="252">
        <f>S243*R243</f>
        <v/>
      </c>
      <c r="U243" s="245" t="inlineStr">
        <is>
          <t>040300/KPPBC</t>
        </is>
      </c>
      <c r="V243" s="245" t="inlineStr">
        <is>
          <t>TG. PRIOK</t>
        </is>
      </c>
      <c r="W243" s="245" t="inlineStr">
        <is>
          <t>LOS ANGELES, US</t>
        </is>
      </c>
      <c r="X243" s="245" t="inlineStr">
        <is>
          <t>WALMART, INC.</t>
        </is>
      </c>
      <c r="Y243" s="245" t="inlineStr">
        <is>
          <t>CMDUDJA1525926</t>
        </is>
      </c>
      <c r="Z243" s="246" t="n">
        <v>46256</v>
      </c>
    </row>
    <row r="244" ht="16.5" customHeight="1" s="202">
      <c r="A244" s="245" t="n"/>
      <c r="B244" s="245" t="n"/>
      <c r="C244" s="245" t="n"/>
      <c r="D244" s="245" t="n"/>
      <c r="E244" s="245" t="n"/>
      <c r="F244" s="245" t="n"/>
      <c r="G244" s="245" t="n"/>
      <c r="H244" s="245" t="n"/>
      <c r="I244" s="245" t="n"/>
      <c r="J244" s="245" t="n"/>
      <c r="K244" s="245" t="n"/>
      <c r="L244" s="245" t="n"/>
      <c r="M244" s="245" t="n"/>
      <c r="N244" s="245" t="n"/>
      <c r="O244" s="245" t="n"/>
      <c r="P244" s="245" t="n"/>
      <c r="Q244" s="245" t="n"/>
      <c r="R244" s="245" t="n"/>
      <c r="S244" s="245" t="n"/>
      <c r="T244" s="245" t="n"/>
      <c r="U244" s="245" t="n"/>
      <c r="V244" s="245" t="n"/>
      <c r="W244" s="245" t="inlineStr">
        <is>
          <t>ETD : 29-08-2026</t>
        </is>
      </c>
      <c r="X244" s="245" t="n"/>
      <c r="Y244" s="245" t="n"/>
      <c r="Z244" s="245" t="n"/>
    </row>
    <row r="245" ht="17.1" customHeight="1" s="202">
      <c r="A245" s="254" t="n"/>
      <c r="B245" s="254" t="n"/>
      <c r="C245" s="254" t="n"/>
      <c r="D245" s="254" t="n"/>
      <c r="E245" s="254" t="n"/>
      <c r="F245" s="254" t="n"/>
      <c r="G245" s="254" t="n"/>
      <c r="H245" s="255">
        <f>SUM(H243:H244)</f>
        <v/>
      </c>
      <c r="I245" s="254">
        <f>COUNTA(I243:I244)</f>
        <v/>
      </c>
      <c r="J245" s="254" t="n"/>
      <c r="K245" s="254" t="n"/>
      <c r="L245" s="254" t="n"/>
      <c r="M245" s="254" t="n"/>
      <c r="N245" s="254" t="n"/>
      <c r="O245" s="256">
        <f>SUM(O243:O244)</f>
        <v/>
      </c>
      <c r="P245" s="256">
        <f>SUM(P243:P244)</f>
        <v/>
      </c>
      <c r="Q245" s="254" t="n"/>
      <c r="R245" s="257">
        <f>SUM(R243:R244)</f>
        <v/>
      </c>
      <c r="S245" s="254" t="n"/>
      <c r="T245" s="258">
        <f>SUM(T243:T244)</f>
        <v/>
      </c>
      <c r="U245" s="254" t="n"/>
      <c r="V245" s="254" t="n"/>
      <c r="W245" s="254" t="n"/>
      <c r="X245" s="254" t="n"/>
      <c r="Y245" s="254" t="n"/>
      <c r="Z245" s="254" t="n"/>
    </row>
    <row r="246" ht="16.5" customHeight="1" s="202">
      <c r="A246" s="245" t="n">
        <v>32</v>
      </c>
      <c r="B246" s="245" t="inlineStr">
        <is>
          <t>000030ZIK48020260821000666</t>
        </is>
      </c>
      <c r="C246" s="245" t="n">
        <v>529692</v>
      </c>
      <c r="D246" s="245" t="n">
        <v>529641</v>
      </c>
      <c r="E246" s="246" t="n">
        <v>46255</v>
      </c>
      <c r="F246" s="245" t="inlineStr">
        <is>
          <t>ID2608-8145</t>
        </is>
      </c>
      <c r="G246" s="246" t="n">
        <v>46248</v>
      </c>
      <c r="H246" s="247" t="n">
        <v>1744</v>
      </c>
      <c r="I246" s="245" t="inlineStr">
        <is>
          <t>SEKU5997368</t>
        </is>
      </c>
      <c r="J246" s="245" t="inlineStr">
        <is>
          <t>40FT</t>
        </is>
      </c>
      <c r="K246" s="245" t="inlineStr">
        <is>
          <t>6IN MSS24-6TW</t>
        </is>
      </c>
      <c r="L246" s="245" t="inlineStr">
        <is>
          <t>MS24-6T</t>
        </is>
      </c>
      <c r="M246" s="248" t="inlineStr">
        <is>
          <t>0001971386</t>
        </is>
      </c>
      <c r="N246" s="245" t="inlineStr">
        <is>
          <t>F.MSS.06T.002.WS</t>
        </is>
      </c>
      <c r="O246" s="249" t="n">
        <v>31252.48</v>
      </c>
      <c r="P246" s="249" t="n">
        <v>27904</v>
      </c>
      <c r="Q246" s="250">
        <f>R246/H246</f>
        <v/>
      </c>
      <c r="R246" s="251" t="n">
        <v>55180.16</v>
      </c>
      <c r="S246" s="249" t="n">
        <v>17843</v>
      </c>
      <c r="T246" s="252">
        <f>S246*R246</f>
        <v/>
      </c>
      <c r="U246" s="245" t="inlineStr">
        <is>
          <t>040300/KPPBC</t>
        </is>
      </c>
      <c r="V246" s="245" t="inlineStr">
        <is>
          <t>TG. PRIOK</t>
        </is>
      </c>
      <c r="W246" s="245" t="inlineStr">
        <is>
          <t>NORFOLK, US</t>
        </is>
      </c>
      <c r="X246" s="245" t="inlineStr">
        <is>
          <t>WALMART, INC.</t>
        </is>
      </c>
      <c r="Y246" s="245" t="inlineStr">
        <is>
          <t>CMDUDJA1521317</t>
        </is>
      </c>
      <c r="Z246" s="246" t="n">
        <v>46255</v>
      </c>
    </row>
    <row r="247" ht="16.5" customHeight="1" s="202">
      <c r="A247" s="245" t="n"/>
      <c r="B247" s="245" t="n"/>
      <c r="C247" s="245" t="n"/>
      <c r="D247" s="245" t="n"/>
      <c r="E247" s="245" t="n"/>
      <c r="F247" s="245" t="n"/>
      <c r="G247" s="245" t="n"/>
      <c r="H247" s="245" t="n"/>
      <c r="I247" s="245" t="inlineStr">
        <is>
          <t>UETU6469260</t>
        </is>
      </c>
      <c r="J247" s="245" t="inlineStr">
        <is>
          <t>40FT</t>
        </is>
      </c>
      <c r="K247" s="245" t="n"/>
      <c r="L247" s="245" t="n"/>
      <c r="M247" s="245" t="n"/>
      <c r="N247" s="245" t="n"/>
      <c r="O247" s="245" t="n"/>
      <c r="P247" s="245" t="n"/>
      <c r="Q247" s="245" t="n"/>
      <c r="R247" s="245" t="n"/>
      <c r="S247" s="245" t="n"/>
      <c r="T247" s="245" t="n"/>
      <c r="U247" s="245" t="n"/>
      <c r="V247" s="245" t="n"/>
      <c r="W247" s="245" t="inlineStr">
        <is>
          <t>ETD : 28-08-2026</t>
        </is>
      </c>
      <c r="X247" s="245" t="n"/>
      <c r="Y247" s="245" t="n"/>
      <c r="Z247" s="245" t="n"/>
    </row>
    <row r="248" ht="17.1" customHeight="1" s="202">
      <c r="A248" s="254" t="n"/>
      <c r="B248" s="254" t="n"/>
      <c r="C248" s="254" t="n"/>
      <c r="D248" s="254" t="n"/>
      <c r="E248" s="254" t="n"/>
      <c r="F248" s="254" t="n"/>
      <c r="G248" s="254" t="n"/>
      <c r="H248" s="255">
        <f>SUM(H246:H247)</f>
        <v/>
      </c>
      <c r="I248" s="254">
        <f>COUNTA(I246:I247)</f>
        <v/>
      </c>
      <c r="J248" s="254" t="n"/>
      <c r="K248" s="254" t="n"/>
      <c r="L248" s="254" t="n"/>
      <c r="M248" s="254" t="n"/>
      <c r="N248" s="254" t="n"/>
      <c r="O248" s="256">
        <f>SUM(O246:O247)</f>
        <v/>
      </c>
      <c r="P248" s="256">
        <f>SUM(P246:P247)</f>
        <v/>
      </c>
      <c r="Q248" s="254" t="n"/>
      <c r="R248" s="257">
        <f>SUM(R246:R247)</f>
        <v/>
      </c>
      <c r="S248" s="254" t="n"/>
      <c r="T248" s="258">
        <f>SUM(T246:T247)</f>
        <v/>
      </c>
      <c r="U248" s="254" t="n"/>
      <c r="V248" s="254" t="n"/>
      <c r="W248" s="254" t="n"/>
      <c r="X248" s="254" t="n"/>
      <c r="Y248" s="254" t="n"/>
      <c r="Z248" s="254" t="n"/>
    </row>
    <row r="249" ht="16.5" customHeight="1" s="202">
      <c r="A249" s="245" t="n">
        <v>33</v>
      </c>
      <c r="B249" s="245" t="inlineStr">
        <is>
          <t>000030ZIK48020260821000667</t>
        </is>
      </c>
      <c r="C249" s="245" t="n">
        <v>529655</v>
      </c>
      <c r="D249" s="245" t="n">
        <v>529604</v>
      </c>
      <c r="E249" s="246" t="n">
        <v>46255</v>
      </c>
      <c r="F249" s="245" t="inlineStr">
        <is>
          <t>ID2608-8144</t>
        </is>
      </c>
      <c r="G249" s="246" t="n">
        <v>46248</v>
      </c>
      <c r="H249" s="247" t="n">
        <v>900</v>
      </c>
      <c r="I249" s="245" t="inlineStr">
        <is>
          <t>ECMU5266829</t>
        </is>
      </c>
      <c r="J249" s="245" t="inlineStr">
        <is>
          <t>40FT</t>
        </is>
      </c>
      <c r="K249" s="245" t="inlineStr">
        <is>
          <t>8IN GREEN TEA MF MATTRESS QN</t>
        </is>
      </c>
      <c r="L249" s="245" t="inlineStr">
        <is>
          <t>SCF-STR-800Q</t>
        </is>
      </c>
      <c r="M249" s="248" t="inlineStr">
        <is>
          <t>0993631088</t>
        </is>
      </c>
      <c r="N249" s="245" t="inlineStr">
        <is>
          <t>F.MFM.08Q.000.WS</t>
        </is>
      </c>
      <c r="O249" s="249" t="n">
        <v>21510</v>
      </c>
      <c r="P249" s="249" t="n">
        <v>19188</v>
      </c>
      <c r="Q249" s="250">
        <f>R249/H249</f>
        <v/>
      </c>
      <c r="R249" s="251" t="n">
        <v>84573</v>
      </c>
      <c r="S249" s="249" t="n">
        <v>17843</v>
      </c>
      <c r="T249" s="252">
        <f>S249*R249</f>
        <v/>
      </c>
      <c r="U249" s="245" t="inlineStr">
        <is>
          <t>040300/KPPBC</t>
        </is>
      </c>
      <c r="V249" s="245" t="inlineStr">
        <is>
          <t>TG. PRIOK</t>
        </is>
      </c>
      <c r="W249" s="245" t="inlineStr">
        <is>
          <t>LOS ANGELES, US</t>
        </is>
      </c>
      <c r="X249" s="245" t="inlineStr">
        <is>
          <t>WALMART, INC.</t>
        </is>
      </c>
      <c r="Y249" s="245" t="inlineStr">
        <is>
          <t>CMDUDJA1515865</t>
        </is>
      </c>
      <c r="Z249" s="246" t="n">
        <v>46255</v>
      </c>
    </row>
    <row r="250" ht="16.5" customHeight="1" s="202">
      <c r="A250" s="245" t="n"/>
      <c r="B250" s="245" t="n"/>
      <c r="C250" s="245" t="n"/>
      <c r="D250" s="245" t="n"/>
      <c r="E250" s="245" t="n"/>
      <c r="F250" s="245" t="n"/>
      <c r="G250" s="245" t="n"/>
      <c r="H250" s="245" t="n"/>
      <c r="I250" s="245" t="inlineStr">
        <is>
          <t>TCNU5644207</t>
        </is>
      </c>
      <c r="J250" s="245" t="inlineStr">
        <is>
          <t>40FT</t>
        </is>
      </c>
      <c r="K250" s="245" t="n"/>
      <c r="L250" s="245" t="n"/>
      <c r="M250" s="245" t="n"/>
      <c r="N250" s="245" t="n"/>
      <c r="O250" s="245" t="n"/>
      <c r="P250" s="245" t="n"/>
      <c r="Q250" s="245" t="n"/>
      <c r="R250" s="245" t="n"/>
      <c r="S250" s="245" t="n"/>
      <c r="T250" s="245" t="n"/>
      <c r="U250" s="245" t="n"/>
      <c r="V250" s="245" t="n"/>
      <c r="W250" s="245" t="inlineStr">
        <is>
          <t>ETD : 28-08-2026</t>
        </is>
      </c>
      <c r="X250" s="245" t="n"/>
      <c r="Y250" s="245" t="n"/>
      <c r="Z250" s="245" t="n"/>
    </row>
    <row r="251" ht="17.1" customHeight="1" s="202">
      <c r="A251" s="254" t="n"/>
      <c r="B251" s="254" t="n"/>
      <c r="C251" s="254" t="n"/>
      <c r="D251" s="254" t="n"/>
      <c r="E251" s="254" t="n"/>
      <c r="F251" s="254" t="n"/>
      <c r="G251" s="254" t="n"/>
      <c r="H251" s="255">
        <f>SUM(H249:H250)</f>
        <v/>
      </c>
      <c r="I251" s="254">
        <f>COUNTA(I249:I250)</f>
        <v/>
      </c>
      <c r="J251" s="254" t="n"/>
      <c r="K251" s="254" t="n"/>
      <c r="L251" s="254" t="n"/>
      <c r="M251" s="254" t="n"/>
      <c r="N251" s="254" t="n"/>
      <c r="O251" s="256">
        <f>SUM(O249:O250)</f>
        <v/>
      </c>
      <c r="P251" s="256">
        <f>SUM(P249:P250)</f>
        <v/>
      </c>
      <c r="Q251" s="254" t="n"/>
      <c r="R251" s="257">
        <f>SUM(R249:R250)</f>
        <v/>
      </c>
      <c r="S251" s="254" t="n"/>
      <c r="T251" s="258">
        <f>SUM(T249:T250)</f>
        <v/>
      </c>
      <c r="U251" s="254" t="n"/>
      <c r="V251" s="254" t="n"/>
      <c r="W251" s="254" t="n"/>
      <c r="X251" s="254" t="n"/>
      <c r="Y251" s="254" t="n"/>
      <c r="Z251" s="254" t="n"/>
    </row>
    <row r="252" ht="16.5" customHeight="1" s="202">
      <c r="A252" s="245" t="n">
        <v>34</v>
      </c>
      <c r="B252" s="245" t="inlineStr">
        <is>
          <t>000030ZIK48020260821000668</t>
        </is>
      </c>
      <c r="C252" s="245" t="n">
        <v>530695</v>
      </c>
      <c r="D252" s="245" t="n">
        <v>530645</v>
      </c>
      <c r="E252" s="246" t="n">
        <v>46256</v>
      </c>
      <c r="F252" s="245" t="inlineStr">
        <is>
          <t>ID2608-8202</t>
        </is>
      </c>
      <c r="G252" s="246" t="n">
        <v>46254</v>
      </c>
      <c r="H252" s="247" t="n">
        <v>693</v>
      </c>
      <c r="I252" s="245" t="inlineStr">
        <is>
          <t>TRHU6043082</t>
        </is>
      </c>
      <c r="J252" s="245" t="inlineStr">
        <is>
          <t>40FT</t>
        </is>
      </c>
      <c r="K252" s="245" t="inlineStr">
        <is>
          <t>8IN GREEN TEA MF MATTRESS TW</t>
        </is>
      </c>
      <c r="L252" s="245" t="inlineStr">
        <is>
          <t>SCF-STR-800T</t>
        </is>
      </c>
      <c r="M252" s="248" t="inlineStr">
        <is>
          <t>0993631207</t>
        </is>
      </c>
      <c r="N252" s="245" t="inlineStr">
        <is>
          <t>F.MFM.08T.000.WS</t>
        </is>
      </c>
      <c r="O252" s="249" t="n">
        <v>10526.67</v>
      </c>
      <c r="P252" s="249" t="n">
        <v>9140.67</v>
      </c>
      <c r="Q252" s="250">
        <f>R252/H252</f>
        <v/>
      </c>
      <c r="R252" s="251" t="n">
        <v>42619.5</v>
      </c>
      <c r="S252" s="249" t="n">
        <v>17843</v>
      </c>
      <c r="T252" s="252">
        <f>S252*R252</f>
        <v/>
      </c>
      <c r="U252" s="245" t="inlineStr">
        <is>
          <t>040300/KPPBC</t>
        </is>
      </c>
      <c r="V252" s="245" t="inlineStr">
        <is>
          <t>TG. PRIOK</t>
        </is>
      </c>
      <c r="W252" s="245" t="inlineStr">
        <is>
          <t>NORFOLK, US</t>
        </is>
      </c>
      <c r="X252" s="245" t="inlineStr">
        <is>
          <t>WALMART, INC.</t>
        </is>
      </c>
      <c r="Y252" s="245" t="inlineStr">
        <is>
          <t>CMDUDJA1525338</t>
        </is>
      </c>
      <c r="Z252" s="246" t="n">
        <v>46256</v>
      </c>
    </row>
    <row r="253" ht="16.5" customHeight="1" s="202">
      <c r="A253" s="245" t="n"/>
      <c r="B253" s="245" t="n"/>
      <c r="C253" s="245" t="n"/>
      <c r="D253" s="245" t="n"/>
      <c r="E253" s="245" t="n"/>
      <c r="F253" s="245" t="n"/>
      <c r="G253" s="245" t="n"/>
      <c r="H253" s="245" t="n"/>
      <c r="I253" s="245" t="n"/>
      <c r="J253" s="245" t="n"/>
      <c r="K253" s="245" t="n"/>
      <c r="L253" s="245" t="n"/>
      <c r="M253" s="245" t="n"/>
      <c r="N253" s="245" t="n"/>
      <c r="O253" s="245" t="n"/>
      <c r="P253" s="245" t="n"/>
      <c r="Q253" s="245" t="n"/>
      <c r="R253" s="245" t="n"/>
      <c r="S253" s="245" t="n"/>
      <c r="T253" s="245" t="n"/>
      <c r="U253" s="245" t="n"/>
      <c r="V253" s="245" t="n"/>
      <c r="W253" s="245" t="inlineStr">
        <is>
          <t>ETD : 29-08-2026</t>
        </is>
      </c>
      <c r="X253" s="245" t="n"/>
      <c r="Y253" s="245" t="n"/>
      <c r="Z253" s="245" t="n"/>
    </row>
    <row r="254" ht="17.1" customHeight="1" s="202">
      <c r="A254" s="254" t="n"/>
      <c r="B254" s="254" t="n"/>
      <c r="C254" s="254" t="n"/>
      <c r="D254" s="254" t="n"/>
      <c r="E254" s="254" t="n"/>
      <c r="F254" s="254" t="n"/>
      <c r="G254" s="254" t="n"/>
      <c r="H254" s="255">
        <f>SUM(H252:H253)</f>
        <v/>
      </c>
      <c r="I254" s="254">
        <f>COUNTA(I252:I253)</f>
        <v/>
      </c>
      <c r="J254" s="254" t="n"/>
      <c r="K254" s="254" t="n"/>
      <c r="L254" s="254" t="n"/>
      <c r="M254" s="254" t="n"/>
      <c r="N254" s="254" t="n"/>
      <c r="O254" s="256">
        <f>SUM(O252:O253)</f>
        <v/>
      </c>
      <c r="P254" s="256">
        <f>SUM(P252:P253)</f>
        <v/>
      </c>
      <c r="Q254" s="254" t="n"/>
      <c r="R254" s="257">
        <f>SUM(R252:R253)</f>
        <v/>
      </c>
      <c r="S254" s="254" t="n"/>
      <c r="T254" s="258">
        <f>SUM(T252:T253)</f>
        <v/>
      </c>
      <c r="U254" s="254" t="n"/>
      <c r="V254" s="254" t="n"/>
      <c r="W254" s="254" t="n"/>
      <c r="X254" s="254" t="n"/>
      <c r="Y254" s="254" t="n"/>
      <c r="Z254" s="254" t="n"/>
    </row>
    <row r="255" ht="16.5" customHeight="1" s="202">
      <c r="A255" s="245" t="n">
        <v>35</v>
      </c>
      <c r="B255" s="245" t="inlineStr">
        <is>
          <t>000030ZIK48020260821000669</t>
        </is>
      </c>
      <c r="C255" s="245" t="n">
        <v>530716</v>
      </c>
      <c r="D255" s="245" t="n">
        <v>530666</v>
      </c>
      <c r="E255" s="246" t="n">
        <v>46256</v>
      </c>
      <c r="F255" s="245" t="inlineStr">
        <is>
          <t>ID2608-8203</t>
        </is>
      </c>
      <c r="G255" s="246" t="n">
        <v>46254</v>
      </c>
      <c r="H255" s="247" t="n">
        <v>900</v>
      </c>
      <c r="I255" s="245" t="inlineStr">
        <is>
          <t>SEKU6457750</t>
        </is>
      </c>
      <c r="J255" s="245" t="inlineStr">
        <is>
          <t>40FT</t>
        </is>
      </c>
      <c r="K255" s="245" t="inlineStr">
        <is>
          <t>8IN GREEN TEA MF MATTRESS QN</t>
        </is>
      </c>
      <c r="L255" s="245" t="inlineStr">
        <is>
          <t>SCF-STR-800Q</t>
        </is>
      </c>
      <c r="M255" s="248" t="inlineStr">
        <is>
          <t>0993630435</t>
        </is>
      </c>
      <c r="N255" s="245" t="inlineStr">
        <is>
          <t>F.MFM.08Q.000.WS</t>
        </is>
      </c>
      <c r="O255" s="249" t="n">
        <v>21510</v>
      </c>
      <c r="P255" s="249" t="n">
        <v>19188</v>
      </c>
      <c r="Q255" s="250">
        <f>R255/H255</f>
        <v/>
      </c>
      <c r="R255" s="251" t="n">
        <v>84573</v>
      </c>
      <c r="S255" s="249" t="n">
        <v>17843</v>
      </c>
      <c r="T255" s="252">
        <f>S255*R255</f>
        <v/>
      </c>
      <c r="U255" s="245" t="inlineStr">
        <is>
          <t>040300/KPPBC</t>
        </is>
      </c>
      <c r="V255" s="245" t="inlineStr">
        <is>
          <t>TG. PRIOK</t>
        </is>
      </c>
      <c r="W255" s="245" t="inlineStr">
        <is>
          <t>NORFOLK, US</t>
        </is>
      </c>
      <c r="X255" s="245" t="inlineStr">
        <is>
          <t>WALMART, INC.</t>
        </is>
      </c>
      <c r="Y255" s="245" t="inlineStr">
        <is>
          <t>CMDUDJA1525119</t>
        </is>
      </c>
      <c r="Z255" s="246" t="n">
        <v>46256</v>
      </c>
    </row>
    <row r="256" ht="16.5" customHeight="1" s="202">
      <c r="A256" s="245" t="n"/>
      <c r="B256" s="245" t="n"/>
      <c r="C256" s="245" t="n"/>
      <c r="D256" s="245" t="n"/>
      <c r="E256" s="245" t="n"/>
      <c r="F256" s="245" t="n"/>
      <c r="G256" s="245" t="n"/>
      <c r="H256" s="245" t="n"/>
      <c r="I256" s="245" t="inlineStr">
        <is>
          <t>TCNU4799800</t>
        </is>
      </c>
      <c r="J256" s="245" t="inlineStr">
        <is>
          <t>40FT</t>
        </is>
      </c>
      <c r="K256" s="245" t="n"/>
      <c r="L256" s="245" t="n"/>
      <c r="M256" s="245" t="n"/>
      <c r="N256" s="245" t="n"/>
      <c r="O256" s="245" t="n"/>
      <c r="P256" s="245" t="n"/>
      <c r="Q256" s="245" t="n"/>
      <c r="R256" s="245" t="n"/>
      <c r="S256" s="245" t="n"/>
      <c r="T256" s="245" t="n"/>
      <c r="U256" s="245" t="n"/>
      <c r="V256" s="245" t="n"/>
      <c r="W256" s="245" t="inlineStr">
        <is>
          <t>ETD : 29-08-2026</t>
        </is>
      </c>
      <c r="X256" s="245" t="n"/>
      <c r="Y256" s="245" t="n"/>
      <c r="Z256" s="245" t="n"/>
    </row>
    <row r="257" ht="17.1" customHeight="1" s="202">
      <c r="A257" s="254" t="n"/>
      <c r="B257" s="254" t="n"/>
      <c r="C257" s="254" t="n"/>
      <c r="D257" s="254" t="n"/>
      <c r="E257" s="254" t="n"/>
      <c r="F257" s="254" t="n"/>
      <c r="G257" s="254" t="n"/>
      <c r="H257" s="255">
        <f>SUM(H255:H256)</f>
        <v/>
      </c>
      <c r="I257" s="254">
        <f>COUNTA(I255:I256)</f>
        <v/>
      </c>
      <c r="J257" s="254" t="n"/>
      <c r="K257" s="254" t="n"/>
      <c r="L257" s="254" t="n"/>
      <c r="M257" s="254" t="n"/>
      <c r="N257" s="254" t="n"/>
      <c r="O257" s="256">
        <f>SUM(O255:O256)</f>
        <v/>
      </c>
      <c r="P257" s="256">
        <f>SUM(P255:P256)</f>
        <v/>
      </c>
      <c r="Q257" s="254" t="n"/>
      <c r="R257" s="257">
        <f>SUM(R255:R256)</f>
        <v/>
      </c>
      <c r="S257" s="254" t="n"/>
      <c r="T257" s="258">
        <f>SUM(T255:T256)</f>
        <v/>
      </c>
      <c r="U257" s="254" t="n"/>
      <c r="V257" s="254" t="n"/>
      <c r="W257" s="254" t="n"/>
      <c r="X257" s="254" t="n"/>
      <c r="Y257" s="254" t="n"/>
      <c r="Z257" s="254" t="n"/>
    </row>
    <row r="258" ht="16.5" customHeight="1" s="202">
      <c r="A258" s="245" t="n">
        <v>36</v>
      </c>
      <c r="B258" s="245" t="inlineStr">
        <is>
          <t>000030ZIK48020260821000671</t>
        </is>
      </c>
      <c r="C258" s="245" t="n">
        <v>424200</v>
      </c>
      <c r="D258" s="245" t="n">
        <v>423966</v>
      </c>
      <c r="E258" s="246" t="n">
        <v>46255</v>
      </c>
      <c r="F258" s="245" t="inlineStr">
        <is>
          <t>SAMPLE-ZIID26-0071-NCV</t>
        </is>
      </c>
      <c r="G258" s="246" t="n">
        <v>46254</v>
      </c>
      <c r="H258" s="247" t="n">
        <v>1</v>
      </c>
      <c r="I258" s="245" t="inlineStr"/>
      <c r="J258" s="245" t="inlineStr"/>
      <c r="K258" s="245" t="inlineStr">
        <is>
          <t>FOAM MATTRESS</t>
        </is>
      </c>
      <c r="L258" s="245" t="inlineStr">
        <is>
          <t>*SAMPLE*</t>
        </is>
      </c>
      <c r="M258" s="248" t="inlineStr"/>
      <c r="N258" s="245" t="inlineStr">
        <is>
          <t>F.MFM.SAMP</t>
        </is>
      </c>
      <c r="O258" s="249" t="n">
        <v>80.56</v>
      </c>
      <c r="P258" s="249" t="n">
        <v>75.88</v>
      </c>
      <c r="Q258" s="250">
        <f>R258/H258</f>
        <v/>
      </c>
      <c r="R258" s="251" t="n">
        <v>20</v>
      </c>
      <c r="S258" s="249" t="n">
        <v>17843</v>
      </c>
      <c r="T258" s="252">
        <f>S258*R258</f>
        <v/>
      </c>
      <c r="U258" s="245" t="inlineStr">
        <is>
          <t>050100/KPPBC</t>
        </is>
      </c>
      <c r="V258" s="245" t="inlineStr">
        <is>
          <t>S. HATTA</t>
        </is>
      </c>
      <c r="W258" s="245" t="inlineStr">
        <is>
          <t>OAKLAND, US</t>
        </is>
      </c>
      <c r="X258" s="245" t="inlineStr">
        <is>
          <t>ZINUS, INC. (TRACY)</t>
        </is>
      </c>
      <c r="Y258" s="245" t="inlineStr">
        <is>
          <t>876087708020</t>
        </is>
      </c>
      <c r="Z258" s="246" t="n">
        <v>46255</v>
      </c>
    </row>
    <row r="259" ht="16.5" customHeight="1" s="202">
      <c r="A259" s="245" t="n"/>
      <c r="B259" s="245" t="n"/>
      <c r="C259" s="245" t="n"/>
      <c r="D259" s="245" t="n"/>
      <c r="E259" s="245" t="n"/>
      <c r="F259" s="245" t="n"/>
      <c r="G259" s="245" t="n"/>
      <c r="H259" s="247" t="n">
        <v>1</v>
      </c>
      <c r="I259" s="245" t="inlineStr"/>
      <c r="J259" s="245" t="inlineStr"/>
      <c r="K259" s="245" t="inlineStr">
        <is>
          <t>FOAM MATTRESS</t>
        </is>
      </c>
      <c r="L259" s="245" t="inlineStr">
        <is>
          <t>*SAMPLE*</t>
        </is>
      </c>
      <c r="M259" s="248" t="inlineStr"/>
      <c r="N259" s="245" t="inlineStr">
        <is>
          <t>F.MFM.SAMP</t>
        </is>
      </c>
      <c r="O259" s="245" t="n"/>
      <c r="P259" s="245" t="n"/>
      <c r="Q259" s="250">
        <f>R259/H259</f>
        <v/>
      </c>
      <c r="R259" s="251" t="n">
        <v>20</v>
      </c>
      <c r="S259" s="249" t="n">
        <v>17843</v>
      </c>
      <c r="T259" s="252">
        <f>S259*R259</f>
        <v/>
      </c>
      <c r="U259" s="245" t="n"/>
      <c r="V259" s="245" t="n"/>
      <c r="W259" s="245" t="inlineStr">
        <is>
          <t>ETD : 28-08-2026</t>
        </is>
      </c>
      <c r="X259" s="245" t="n"/>
      <c r="Y259" s="245" t="n"/>
      <c r="Z259" s="245" t="n"/>
    </row>
    <row r="260" ht="17.1" customHeight="1" s="202">
      <c r="A260" s="254" t="n"/>
      <c r="B260" s="254" t="n"/>
      <c r="C260" s="254" t="n"/>
      <c r="D260" s="254" t="n"/>
      <c r="E260" s="254" t="n"/>
      <c r="F260" s="254" t="n"/>
      <c r="G260" s="254" t="n"/>
      <c r="H260" s="255">
        <f>SUM(H258:H259)</f>
        <v/>
      </c>
      <c r="I260" s="254">
        <f>COUNTA(I258:I259)</f>
        <v/>
      </c>
      <c r="J260" s="254" t="n"/>
      <c r="K260" s="254" t="n"/>
      <c r="L260" s="254" t="n"/>
      <c r="M260" s="254" t="n"/>
      <c r="N260" s="254" t="n"/>
      <c r="O260" s="256">
        <f>SUM(O258:O259)</f>
        <v/>
      </c>
      <c r="P260" s="256">
        <f>SUM(P258:P259)</f>
        <v/>
      </c>
      <c r="Q260" s="254" t="n"/>
      <c r="R260" s="257">
        <f>SUM(R258:R259)</f>
        <v/>
      </c>
      <c r="S260" s="254" t="n"/>
      <c r="T260" s="258">
        <f>SUM(T258:T259)</f>
        <v/>
      </c>
      <c r="U260" s="254" t="n"/>
      <c r="V260" s="254" t="n"/>
      <c r="W260" s="254" t="n"/>
      <c r="X260" s="254" t="n"/>
      <c r="Y260" s="254" t="n"/>
      <c r="Z260" s="254" t="n"/>
    </row>
    <row r="261" ht="16.5" customHeight="1" s="202">
      <c r="A261" s="245" t="n">
        <v>37</v>
      </c>
      <c r="B261" s="245" t="inlineStr">
        <is>
          <t>000030ZIK48020260822000670</t>
        </is>
      </c>
      <c r="C261" s="245" t="n">
        <v>533299</v>
      </c>
      <c r="D261" s="245" t="n">
        <v>533248</v>
      </c>
      <c r="E261" s="246" t="n">
        <v>46258</v>
      </c>
      <c r="F261" s="245" t="inlineStr">
        <is>
          <t>ID2608-8098</t>
        </is>
      </c>
      <c r="G261" s="246" t="n">
        <v>46244</v>
      </c>
      <c r="H261" s="247" t="n">
        <v>286</v>
      </c>
      <c r="I261" s="245" t="inlineStr">
        <is>
          <t>FFAU1307313</t>
        </is>
      </c>
      <c r="J261" s="245" t="inlineStr">
        <is>
          <t>40FT</t>
        </is>
      </c>
      <c r="K261" s="245" t="inlineStr">
        <is>
          <t>10IN OPP HD QN</t>
        </is>
      </c>
      <c r="L261" s="245" t="inlineStr">
        <is>
          <t>ZU-MFMA1OZI-10Q</t>
        </is>
      </c>
      <c r="M261" s="248" t="inlineStr">
        <is>
          <t>189UQURI</t>
        </is>
      </c>
      <c r="N261" s="245" t="inlineStr">
        <is>
          <t>F.MFM.10Q.013.AD</t>
        </is>
      </c>
      <c r="O261" s="249" t="n">
        <v>90004.97</v>
      </c>
      <c r="P261" s="249" t="n">
        <v>81414.64</v>
      </c>
      <c r="Q261" s="250">
        <f>R261/H261</f>
        <v/>
      </c>
      <c r="R261" s="251" t="n">
        <v>15415.4</v>
      </c>
      <c r="S261" s="249" t="n">
        <v>17843</v>
      </c>
      <c r="T261" s="252">
        <f>S261*R261</f>
        <v/>
      </c>
      <c r="U261" s="245" t="inlineStr">
        <is>
          <t>040300/KPPBC</t>
        </is>
      </c>
      <c r="V261" s="245" t="inlineStr">
        <is>
          <t>TG. PRIOK</t>
        </is>
      </c>
      <c r="W261" s="245" t="inlineStr">
        <is>
          <t>LOS ANGELES, US</t>
        </is>
      </c>
      <c r="X261" s="245" t="inlineStr">
        <is>
          <t>AMAZON.COM SERVICES LLC</t>
        </is>
      </c>
      <c r="Y261" s="245" t="inlineStr">
        <is>
          <t>YMJAW425919527</t>
        </is>
      </c>
      <c r="Z261" s="246" t="n">
        <v>46258</v>
      </c>
    </row>
    <row r="262" ht="16.5" customHeight="1" s="202">
      <c r="A262" s="245" t="n"/>
      <c r="B262" s="245" t="n"/>
      <c r="C262" s="245" t="n"/>
      <c r="D262" s="245" t="n"/>
      <c r="E262" s="245" t="n"/>
      <c r="F262" s="245" t="n"/>
      <c r="G262" s="245" t="n"/>
      <c r="H262" s="247" t="n">
        <v>19</v>
      </c>
      <c r="I262" s="245" t="inlineStr">
        <is>
          <t>TCNU3487881</t>
        </is>
      </c>
      <c r="J262" s="245" t="inlineStr">
        <is>
          <t>40FT</t>
        </is>
      </c>
      <c r="K262" s="245" t="inlineStr">
        <is>
          <t>10IN OPP HD TW</t>
        </is>
      </c>
      <c r="L262" s="245" t="inlineStr">
        <is>
          <t>ZU-MFMA1OZI-10T</t>
        </is>
      </c>
      <c r="M262" s="248" t="inlineStr">
        <is>
          <t>189UQURI</t>
        </is>
      </c>
      <c r="N262" s="245" t="inlineStr">
        <is>
          <t>F.MFM.10T.013.AD</t>
        </is>
      </c>
      <c r="O262" s="245" t="n"/>
      <c r="P262" s="245" t="n"/>
      <c r="Q262" s="250">
        <f>R262/H262</f>
        <v/>
      </c>
      <c r="R262" s="251" t="n">
        <v>739.67</v>
      </c>
      <c r="S262" s="249" t="n">
        <v>17843</v>
      </c>
      <c r="T262" s="252">
        <f>S262*R262</f>
        <v/>
      </c>
      <c r="U262" s="245" t="n"/>
      <c r="V262" s="245" t="n"/>
      <c r="W262" s="245" t="inlineStr">
        <is>
          <t>ETD : 29-08-2026</t>
        </is>
      </c>
      <c r="X262" s="245" t="n"/>
      <c r="Y262" s="245" t="n"/>
      <c r="Z262" s="245" t="n"/>
    </row>
    <row r="263" ht="16.5" customHeight="1" s="202">
      <c r="A263" s="245" t="n"/>
      <c r="B263" s="245" t="n"/>
      <c r="C263" s="245" t="n"/>
      <c r="D263" s="245" t="n"/>
      <c r="E263" s="245" t="n"/>
      <c r="F263" s="245" t="n"/>
      <c r="G263" s="245" t="n"/>
      <c r="H263" s="247" t="n">
        <v>154</v>
      </c>
      <c r="I263" s="245" t="inlineStr">
        <is>
          <t>TXGU7925633</t>
        </is>
      </c>
      <c r="J263" s="245" t="inlineStr">
        <is>
          <t>40FT</t>
        </is>
      </c>
      <c r="K263" s="245" t="inlineStr">
        <is>
          <t>10IN GREEN TEA MF MATTRESS SQ</t>
        </is>
      </c>
      <c r="L263" s="245" t="inlineStr">
        <is>
          <t>ZU-MFMA1FZI-10S</t>
        </is>
      </c>
      <c r="M263" s="248" t="inlineStr">
        <is>
          <t>27LTISMQ</t>
        </is>
      </c>
      <c r="N263" s="245" t="inlineStr">
        <is>
          <t>F.MFM.10S.009.AD</t>
        </is>
      </c>
      <c r="O263" s="245" t="n"/>
      <c r="P263" s="245" t="n"/>
      <c r="Q263" s="250">
        <f>R263/H263</f>
        <v/>
      </c>
      <c r="R263" s="251" t="n">
        <v>11245.08</v>
      </c>
      <c r="S263" s="249" t="n">
        <v>17843</v>
      </c>
      <c r="T263" s="252">
        <f>S263*R263</f>
        <v/>
      </c>
      <c r="U263" s="245" t="n"/>
      <c r="V263" s="245" t="n"/>
      <c r="W263" s="245" t="n"/>
      <c r="X263" s="245" t="n"/>
      <c r="Y263" s="245" t="n"/>
      <c r="Z263" s="245" t="n"/>
    </row>
    <row r="264" ht="16.5" customHeight="1" s="202">
      <c r="A264" s="245" t="n"/>
      <c r="B264" s="245" t="n"/>
      <c r="C264" s="245" t="n"/>
      <c r="D264" s="245" t="n"/>
      <c r="E264" s="245" t="n"/>
      <c r="F264" s="245" t="n"/>
      <c r="G264" s="245" t="n"/>
      <c r="H264" s="247" t="n">
        <v>17</v>
      </c>
      <c r="I264" s="245" t="inlineStr">
        <is>
          <t>YMMU6044106</t>
        </is>
      </c>
      <c r="J264" s="245" t="inlineStr">
        <is>
          <t>40FT</t>
        </is>
      </c>
      <c r="K264" s="245" t="inlineStr">
        <is>
          <t>12IN GREEN TEA MF MATTRESS QN</t>
        </is>
      </c>
      <c r="L264" s="245" t="inlineStr">
        <is>
          <t>ZU-MFMA1FZI-12Q</t>
        </is>
      </c>
      <c r="M264" s="248" t="inlineStr">
        <is>
          <t>27LTISMQ</t>
        </is>
      </c>
      <c r="N264" s="245" t="inlineStr">
        <is>
          <t>F.MFM.12Q.008.AD</t>
        </is>
      </c>
      <c r="O264" s="245" t="n"/>
      <c r="P264" s="245" t="n"/>
      <c r="Q264" s="250">
        <f>R264/H264</f>
        <v/>
      </c>
      <c r="R264" s="251" t="n">
        <v>1584.74</v>
      </c>
      <c r="S264" s="249" t="n">
        <v>17843</v>
      </c>
      <c r="T264" s="252">
        <f>S264*R264</f>
        <v/>
      </c>
      <c r="U264" s="245" t="n"/>
      <c r="V264" s="245" t="n"/>
      <c r="W264" s="245" t="n"/>
      <c r="X264" s="245" t="n"/>
      <c r="Y264" s="245" t="n"/>
      <c r="Z264" s="245" t="n"/>
    </row>
    <row r="265" ht="16.5" customHeight="1" s="202">
      <c r="A265" s="245" t="n"/>
      <c r="B265" s="245" t="n"/>
      <c r="C265" s="245" t="n"/>
      <c r="D265" s="245" t="n"/>
      <c r="E265" s="245" t="n"/>
      <c r="F265" s="245" t="n"/>
      <c r="G265" s="245" t="n"/>
      <c r="H265" s="247" t="n">
        <v>1</v>
      </c>
      <c r="I265" s="245" t="inlineStr">
        <is>
          <t>FCIU7556603</t>
        </is>
      </c>
      <c r="J265" s="245" t="inlineStr">
        <is>
          <t>40FT</t>
        </is>
      </c>
      <c r="K265" s="245" t="inlineStr">
        <is>
          <t>8IN OPP HD QN</t>
        </is>
      </c>
      <c r="L265" s="245" t="inlineStr">
        <is>
          <t>ZU-MFMA1OZI-08Q</t>
        </is>
      </c>
      <c r="M265" s="248" t="inlineStr">
        <is>
          <t>27LTISMQ</t>
        </is>
      </c>
      <c r="N265" s="245" t="inlineStr">
        <is>
          <t>F.MFM.08Q.013.AD</t>
        </is>
      </c>
      <c r="O265" s="245" t="n"/>
      <c r="P265" s="245" t="n"/>
      <c r="Q265" s="250">
        <f>R265/H265</f>
        <v/>
      </c>
      <c r="R265" s="251" t="n">
        <v>56.14</v>
      </c>
      <c r="S265" s="249" t="n">
        <v>17843</v>
      </c>
      <c r="T265" s="252">
        <f>S265*R265</f>
        <v/>
      </c>
      <c r="U265" s="245" t="n"/>
      <c r="V265" s="245" t="n"/>
      <c r="W265" s="245" t="n"/>
      <c r="X265" s="245" t="n"/>
      <c r="Y265" s="245" t="n"/>
      <c r="Z265" s="245" t="n"/>
    </row>
    <row r="266" ht="16.5" customHeight="1" s="202">
      <c r="A266" s="245" t="n"/>
      <c r="B266" s="245" t="n"/>
      <c r="C266" s="245" t="n"/>
      <c r="D266" s="245" t="n"/>
      <c r="E266" s="245" t="n"/>
      <c r="F266" s="245" t="n"/>
      <c r="G266" s="245" t="n"/>
      <c r="H266" s="247" t="n">
        <v>1</v>
      </c>
      <c r="I266" s="245" t="inlineStr">
        <is>
          <t>TGBU5154112</t>
        </is>
      </c>
      <c r="J266" s="245" t="inlineStr">
        <is>
          <t>40FT</t>
        </is>
      </c>
      <c r="K266" s="245" t="inlineStr">
        <is>
          <t>12IN AIRFLOW GEL FOAM MATT TW</t>
        </is>
      </c>
      <c r="L266" s="245" t="inlineStr">
        <is>
          <t>ZU-MFMA1RZI-12T</t>
        </is>
      </c>
      <c r="M266" s="248" t="inlineStr">
        <is>
          <t>27LTISMQ</t>
        </is>
      </c>
      <c r="N266" s="245" t="inlineStr">
        <is>
          <t>F.MFM.12T.011.AD</t>
        </is>
      </c>
      <c r="O266" s="245" t="n"/>
      <c r="P266" s="245" t="n"/>
      <c r="Q266" s="250">
        <f>R266/H266</f>
        <v/>
      </c>
      <c r="R266" s="251" t="n">
        <v>41.92</v>
      </c>
      <c r="S266" s="249" t="n">
        <v>17843</v>
      </c>
      <c r="T266" s="252">
        <f>S266*R266</f>
        <v/>
      </c>
      <c r="U266" s="245" t="n"/>
      <c r="V266" s="245" t="n"/>
      <c r="W266" s="245" t="n"/>
      <c r="X266" s="245" t="n"/>
      <c r="Y266" s="245" t="n"/>
      <c r="Z266" s="245" t="n"/>
    </row>
    <row r="267" ht="16.5" customHeight="1" s="202">
      <c r="A267" s="245" t="n"/>
      <c r="B267" s="245" t="n"/>
      <c r="C267" s="245" t="n"/>
      <c r="D267" s="245" t="n"/>
      <c r="E267" s="245" t="n"/>
      <c r="F267" s="245" t="n"/>
      <c r="G267" s="245" t="n"/>
      <c r="H267" s="247" t="n">
        <v>400</v>
      </c>
      <c r="I267" s="245" t="inlineStr">
        <is>
          <t>TEMU7623034</t>
        </is>
      </c>
      <c r="J267" s="245" t="inlineStr">
        <is>
          <t>40FT</t>
        </is>
      </c>
      <c r="K267" s="245" t="inlineStr">
        <is>
          <t>10IN GREEN TEA MF MATTRESS FL</t>
        </is>
      </c>
      <c r="L267" s="245" t="inlineStr">
        <is>
          <t>ZU-MFMA1ZZI-10F</t>
        </is>
      </c>
      <c r="M267" s="248" t="inlineStr">
        <is>
          <t>27LTISMQ</t>
        </is>
      </c>
      <c r="N267" s="245" t="inlineStr">
        <is>
          <t>F.MFM.10F.007.AD</t>
        </is>
      </c>
      <c r="O267" s="245" t="n"/>
      <c r="P267" s="245" t="n"/>
      <c r="Q267" s="250">
        <f>R267/H267</f>
        <v/>
      </c>
      <c r="R267" s="251" t="n">
        <v>24824</v>
      </c>
      <c r="S267" s="249" t="n">
        <v>17843</v>
      </c>
      <c r="T267" s="252">
        <f>S267*R267</f>
        <v/>
      </c>
      <c r="U267" s="245" t="n"/>
      <c r="V267" s="245" t="n"/>
      <c r="W267" s="245" t="n"/>
      <c r="X267" s="245" t="n"/>
      <c r="Y267" s="245" t="n"/>
      <c r="Z267" s="245" t="n"/>
    </row>
    <row r="268" ht="16.5" customHeight="1" s="202">
      <c r="A268" s="245" t="n"/>
      <c r="B268" s="245" t="n"/>
      <c r="C268" s="245" t="n"/>
      <c r="D268" s="245" t="n"/>
      <c r="E268" s="245" t="n"/>
      <c r="F268" s="245" t="n"/>
      <c r="G268" s="245" t="n"/>
      <c r="H268" s="247" t="n">
        <v>2</v>
      </c>
      <c r="I268" s="245" t="inlineStr"/>
      <c r="J268" s="245" t="inlineStr"/>
      <c r="K268" s="245" t="inlineStr">
        <is>
          <t>6IN OPP HD TW</t>
        </is>
      </c>
      <c r="L268" s="245" t="inlineStr">
        <is>
          <t>ZU-MFMA1OZI-06T</t>
        </is>
      </c>
      <c r="M268" s="248" t="inlineStr">
        <is>
          <t>2BGS74MU</t>
        </is>
      </c>
      <c r="N268" s="245" t="inlineStr">
        <is>
          <t>F.MFM.06T.008.AD</t>
        </is>
      </c>
      <c r="O268" s="245" t="n"/>
      <c r="P268" s="245" t="n"/>
      <c r="Q268" s="250">
        <f>R268/H268</f>
        <v/>
      </c>
      <c r="R268" s="251" t="n">
        <v>53.9</v>
      </c>
      <c r="S268" s="249" t="n">
        <v>17843</v>
      </c>
      <c r="T268" s="252">
        <f>S268*R268</f>
        <v/>
      </c>
      <c r="U268" s="245" t="n"/>
      <c r="V268" s="245" t="n"/>
      <c r="W268" s="245" t="n"/>
      <c r="X268" s="245" t="n"/>
      <c r="Y268" s="245" t="n"/>
      <c r="Z268" s="245" t="n"/>
    </row>
    <row r="269" ht="16.5" customHeight="1" s="202">
      <c r="A269" s="245" t="n"/>
      <c r="B269" s="245" t="n"/>
      <c r="C269" s="245" t="n"/>
      <c r="D269" s="245" t="n"/>
      <c r="E269" s="245" t="n"/>
      <c r="F269" s="245" t="n"/>
      <c r="G269" s="245" t="n"/>
      <c r="H269" s="247" t="n">
        <v>1</v>
      </c>
      <c r="I269" s="245" t="inlineStr"/>
      <c r="J269" s="245" t="inlineStr"/>
      <c r="K269" s="245" t="inlineStr">
        <is>
          <t>10IN GREEN TEA MF MATTRESS QN</t>
        </is>
      </c>
      <c r="L269" s="245" t="inlineStr">
        <is>
          <t>ZU-MFMA1ZZI-10Q</t>
        </is>
      </c>
      <c r="M269" s="248" t="inlineStr">
        <is>
          <t>2BGS74MU</t>
        </is>
      </c>
      <c r="N269" s="245" t="inlineStr">
        <is>
          <t>F.MFM.10Q.007.AD</t>
        </is>
      </c>
      <c r="O269" s="245" t="n"/>
      <c r="P269" s="245" t="n"/>
      <c r="Q269" s="250">
        <f>R269/H269</f>
        <v/>
      </c>
      <c r="R269" s="251" t="n">
        <v>65.88</v>
      </c>
      <c r="S269" s="249" t="n">
        <v>17843</v>
      </c>
      <c r="T269" s="252">
        <f>S269*R269</f>
        <v/>
      </c>
      <c r="U269" s="245" t="n"/>
      <c r="V269" s="245" t="n"/>
      <c r="W269" s="245" t="n"/>
      <c r="X269" s="245" t="n"/>
      <c r="Y269" s="245" t="n"/>
      <c r="Z269" s="245" t="n"/>
    </row>
    <row r="270" ht="16.5" customHeight="1" s="202">
      <c r="A270" s="245" t="n"/>
      <c r="B270" s="245" t="n"/>
      <c r="C270" s="245" t="n"/>
      <c r="D270" s="245" t="n"/>
      <c r="E270" s="245" t="n"/>
      <c r="F270" s="245" t="n"/>
      <c r="G270" s="245" t="n"/>
      <c r="H270" s="247" t="n">
        <v>5</v>
      </c>
      <c r="I270" s="245" t="inlineStr"/>
      <c r="J270" s="245" t="inlineStr"/>
      <c r="K270" s="245" t="inlineStr">
        <is>
          <t>10IN GREEN TEA MF MATTRESS TX</t>
        </is>
      </c>
      <c r="L270" s="245" t="inlineStr">
        <is>
          <t>ZU-MFMA1ZZI-10X</t>
        </is>
      </c>
      <c r="M270" s="248" t="inlineStr">
        <is>
          <t>2BGS74MU</t>
        </is>
      </c>
      <c r="N270" s="245" t="inlineStr">
        <is>
          <t>F.MFM.10X.007.AD</t>
        </is>
      </c>
      <c r="O270" s="245" t="n"/>
      <c r="P270" s="245" t="n"/>
      <c r="Q270" s="250">
        <f>R270/H270</f>
        <v/>
      </c>
      <c r="R270" s="251" t="n">
        <v>251.75</v>
      </c>
      <c r="S270" s="249" t="n">
        <v>17843</v>
      </c>
      <c r="T270" s="252">
        <f>S270*R270</f>
        <v/>
      </c>
      <c r="U270" s="245" t="n"/>
      <c r="V270" s="245" t="n"/>
      <c r="W270" s="245" t="n"/>
      <c r="X270" s="245" t="n"/>
      <c r="Y270" s="245" t="n"/>
      <c r="Z270" s="245" t="n"/>
    </row>
    <row r="271" ht="16.5" customHeight="1" s="202">
      <c r="A271" s="245" t="n"/>
      <c r="B271" s="245" t="n"/>
      <c r="C271" s="245" t="n"/>
      <c r="D271" s="245" t="n"/>
      <c r="E271" s="245" t="n"/>
      <c r="F271" s="245" t="n"/>
      <c r="G271" s="245" t="n"/>
      <c r="H271" s="247" t="n">
        <v>68</v>
      </c>
      <c r="I271" s="245" t="inlineStr"/>
      <c r="J271" s="245" t="inlineStr"/>
      <c r="K271" s="245" t="inlineStr">
        <is>
          <t>12IN GREEN TEA MF MATTRESS FL</t>
        </is>
      </c>
      <c r="L271" s="245" t="inlineStr">
        <is>
          <t>ZU-MFMA1ZZI-12F</t>
        </is>
      </c>
      <c r="M271" s="248" t="inlineStr">
        <is>
          <t>2BGS74MU</t>
        </is>
      </c>
      <c r="N271" s="245" t="inlineStr">
        <is>
          <t>F.MFM.12F.006.AD</t>
        </is>
      </c>
      <c r="O271" s="245" t="n"/>
      <c r="P271" s="245" t="n"/>
      <c r="Q271" s="250">
        <f>R271/H271</f>
        <v/>
      </c>
      <c r="R271" s="251" t="n">
        <v>4825.28</v>
      </c>
      <c r="S271" s="249" t="n">
        <v>17843</v>
      </c>
      <c r="T271" s="252">
        <f>S271*R271</f>
        <v/>
      </c>
      <c r="U271" s="245" t="n"/>
      <c r="V271" s="245" t="n"/>
      <c r="W271" s="245" t="n"/>
      <c r="X271" s="245" t="n"/>
      <c r="Y271" s="245" t="n"/>
      <c r="Z271" s="245" t="n"/>
    </row>
    <row r="272" ht="16.5" customHeight="1" s="202">
      <c r="A272" s="245" t="n"/>
      <c r="B272" s="245" t="n"/>
      <c r="C272" s="245" t="n"/>
      <c r="D272" s="245" t="n"/>
      <c r="E272" s="245" t="n"/>
      <c r="F272" s="245" t="n"/>
      <c r="G272" s="245" t="n"/>
      <c r="H272" s="247" t="n">
        <v>300</v>
      </c>
      <c r="I272" s="245" t="inlineStr"/>
      <c r="J272" s="245" t="inlineStr"/>
      <c r="K272" s="245" t="inlineStr">
        <is>
          <t>12IN GREEN TEA MF MATTRESS EK</t>
        </is>
      </c>
      <c r="L272" s="245" t="inlineStr">
        <is>
          <t>ZU-MFMA1ZZI-12K</t>
        </is>
      </c>
      <c r="M272" s="248" t="inlineStr">
        <is>
          <t>2BGS74MU</t>
        </is>
      </c>
      <c r="N272" s="245" t="inlineStr">
        <is>
          <t>F.MFM.12K.006.AD</t>
        </is>
      </c>
      <c r="O272" s="245" t="n"/>
      <c r="P272" s="245" t="n"/>
      <c r="Q272" s="250">
        <f>R272/H272</f>
        <v/>
      </c>
      <c r="R272" s="251" t="n">
        <v>30591</v>
      </c>
      <c r="S272" s="249" t="n">
        <v>17843</v>
      </c>
      <c r="T272" s="252">
        <f>S272*R272</f>
        <v/>
      </c>
      <c r="U272" s="245" t="n"/>
      <c r="V272" s="245" t="n"/>
      <c r="W272" s="245" t="n"/>
      <c r="X272" s="245" t="n"/>
      <c r="Y272" s="245" t="n"/>
      <c r="Z272" s="245" t="n"/>
    </row>
    <row r="273" ht="16.5" customHeight="1" s="202">
      <c r="A273" s="245" t="n"/>
      <c r="B273" s="245" t="n"/>
      <c r="C273" s="245" t="n"/>
      <c r="D273" s="245" t="n"/>
      <c r="E273" s="245" t="n"/>
      <c r="F273" s="245" t="n"/>
      <c r="G273" s="245" t="n"/>
      <c r="H273" s="247" t="n">
        <v>277</v>
      </c>
      <c r="I273" s="245" t="inlineStr"/>
      <c r="J273" s="245" t="inlineStr"/>
      <c r="K273" s="245" t="inlineStr">
        <is>
          <t>12IN AIRFLOW GEL FOAM MATT QN</t>
        </is>
      </c>
      <c r="L273" s="245" t="inlineStr">
        <is>
          <t>ZU-MFMA1RZI-12Q</t>
        </is>
      </c>
      <c r="M273" s="248" t="inlineStr">
        <is>
          <t>34H2FTUA</t>
        </is>
      </c>
      <c r="N273" s="245" t="inlineStr">
        <is>
          <t>F.MFM.12Q.011.AD</t>
        </is>
      </c>
      <c r="O273" s="245" t="n"/>
      <c r="P273" s="245" t="n"/>
      <c r="Q273" s="250">
        <f>R273/H273</f>
        <v/>
      </c>
      <c r="R273" s="251" t="n">
        <v>18716.89</v>
      </c>
      <c r="S273" s="249" t="n">
        <v>17843</v>
      </c>
      <c r="T273" s="252">
        <f>S273*R273</f>
        <v/>
      </c>
      <c r="U273" s="245" t="n"/>
      <c r="V273" s="245" t="n"/>
      <c r="W273" s="245" t="n"/>
      <c r="X273" s="245" t="n"/>
      <c r="Y273" s="245" t="n"/>
      <c r="Z273" s="245" t="n"/>
    </row>
    <row r="274" ht="16.5" customHeight="1" s="202">
      <c r="A274" s="245" t="n"/>
      <c r="B274" s="245" t="n"/>
      <c r="C274" s="245" t="n"/>
      <c r="D274" s="245" t="n"/>
      <c r="E274" s="245" t="n"/>
      <c r="F274" s="245" t="n"/>
      <c r="G274" s="245" t="n"/>
      <c r="H274" s="247" t="n">
        <v>99</v>
      </c>
      <c r="I274" s="245" t="inlineStr"/>
      <c r="J274" s="245" t="inlineStr"/>
      <c r="K274" s="245" t="inlineStr">
        <is>
          <t>6IN GREEN TEA MF MATTRESS TW</t>
        </is>
      </c>
      <c r="L274" s="245" t="inlineStr">
        <is>
          <t>ZU-MFMA1ZZI-06T</t>
        </is>
      </c>
      <c r="M274" s="248" t="inlineStr">
        <is>
          <t>34H2FTUA</t>
        </is>
      </c>
      <c r="N274" s="245" t="inlineStr">
        <is>
          <t>F.MFM.06T.007.AD</t>
        </is>
      </c>
      <c r="O274" s="245" t="n"/>
      <c r="P274" s="245" t="n"/>
      <c r="Q274" s="250">
        <f>R274/H274</f>
        <v/>
      </c>
      <c r="R274" s="251" t="n">
        <v>3020.49</v>
      </c>
      <c r="S274" s="249" t="n">
        <v>17843</v>
      </c>
      <c r="T274" s="252">
        <f>S274*R274</f>
        <v/>
      </c>
      <c r="U274" s="245" t="n"/>
      <c r="V274" s="245" t="n"/>
      <c r="W274" s="245" t="n"/>
      <c r="X274" s="245" t="n"/>
      <c r="Y274" s="245" t="n"/>
      <c r="Z274" s="245" t="n"/>
    </row>
    <row r="275" ht="16.5" customHeight="1" s="202">
      <c r="A275" s="245" t="n"/>
      <c r="B275" s="245" t="n"/>
      <c r="C275" s="245" t="n"/>
      <c r="D275" s="245" t="n"/>
      <c r="E275" s="245" t="n"/>
      <c r="F275" s="245" t="n"/>
      <c r="G275" s="245" t="n"/>
      <c r="H275" s="247" t="n">
        <v>83</v>
      </c>
      <c r="I275" s="245" t="inlineStr"/>
      <c r="J275" s="245" t="inlineStr"/>
      <c r="K275" s="245" t="inlineStr">
        <is>
          <t>GIAN LAINNYA DARI MESIN POS 84.29 ATAU 84.30: ROD-END</t>
        </is>
      </c>
      <c r="L275" s="245" t="inlineStr"/>
      <c r="M275" s="248" t="inlineStr">
        <is>
          <t>S</t>
        </is>
      </c>
      <c r="N275" s="245" t="inlineStr">
        <is>
          <t>-</t>
        </is>
      </c>
      <c r="O275" s="245" t="n"/>
      <c r="P275" s="245" t="n"/>
      <c r="Q275" s="250">
        <f>R275/H275</f>
        <v/>
      </c>
      <c r="R275" s="251" t="n">
        <v>8463.51</v>
      </c>
      <c r="S275" s="249" t="n">
        <v>17843</v>
      </c>
      <c r="T275" s="252">
        <f>S275*R275</f>
        <v/>
      </c>
      <c r="U275" s="245" t="n"/>
      <c r="V275" s="245" t="n"/>
      <c r="W275" s="245" t="n"/>
      <c r="X275" s="245" t="n"/>
      <c r="Y275" s="245" t="n"/>
      <c r="Z275" s="245" t="n"/>
    </row>
    <row r="276" ht="16.5" customHeight="1" s="202">
      <c r="A276" s="245" t="n"/>
      <c r="B276" s="245" t="n"/>
      <c r="C276" s="245" t="n"/>
      <c r="D276" s="245" t="n"/>
      <c r="E276" s="245" t="n"/>
      <c r="F276" s="245" t="n"/>
      <c r="G276" s="245" t="n"/>
      <c r="H276" s="247" t="n">
        <v>15</v>
      </c>
      <c r="I276" s="245" t="inlineStr"/>
      <c r="J276" s="245" t="inlineStr"/>
      <c r="K276" s="245" t="inlineStr">
        <is>
          <t>12IN GREEN TEA MF MATTRESS QN</t>
        </is>
      </c>
      <c r="L276" s="245" t="inlineStr">
        <is>
          <t>ZU-MFMA1ZZI-12Q</t>
        </is>
      </c>
      <c r="M276" s="248" t="inlineStr">
        <is>
          <t>34H2FTUA</t>
        </is>
      </c>
      <c r="N276" s="245" t="inlineStr">
        <is>
          <t>F.MFM.12Q.006.AD</t>
        </is>
      </c>
      <c r="O276" s="245" t="n"/>
      <c r="P276" s="245" t="n"/>
      <c r="Q276" s="250">
        <f>R276/H276</f>
        <v/>
      </c>
      <c r="R276" s="251" t="n">
        <v>1256.85</v>
      </c>
      <c r="S276" s="249" t="n">
        <v>17843</v>
      </c>
      <c r="T276" s="252">
        <f>S276*R276</f>
        <v/>
      </c>
      <c r="U276" s="245" t="n"/>
      <c r="V276" s="245" t="n"/>
      <c r="W276" s="245" t="n"/>
      <c r="X276" s="245" t="n"/>
      <c r="Y276" s="245" t="n"/>
      <c r="Z276" s="245" t="n"/>
    </row>
    <row r="277" ht="16.5" customHeight="1" s="202">
      <c r="A277" s="245" t="n"/>
      <c r="B277" s="245" t="n"/>
      <c r="C277" s="245" t="n"/>
      <c r="D277" s="245" t="n"/>
      <c r="E277" s="245" t="n"/>
      <c r="F277" s="245" t="n"/>
      <c r="G277" s="245" t="n"/>
      <c r="H277" s="247" t="n">
        <v>20</v>
      </c>
      <c r="I277" s="245" t="inlineStr"/>
      <c r="J277" s="245" t="inlineStr"/>
      <c r="K277" s="245" t="inlineStr">
        <is>
          <t>10IN OPP HD FL</t>
        </is>
      </c>
      <c r="L277" s="245" t="inlineStr">
        <is>
          <t>ZU-MFMA1OZI-10F</t>
        </is>
      </c>
      <c r="M277" s="248" t="inlineStr">
        <is>
          <t>3GY62Q4Y</t>
        </is>
      </c>
      <c r="N277" s="245" t="inlineStr">
        <is>
          <t>F.MFM.10F.013.AD</t>
        </is>
      </c>
      <c r="O277" s="245" t="n"/>
      <c r="P277" s="245" t="n"/>
      <c r="Q277" s="250">
        <f>R277/H277</f>
        <v/>
      </c>
      <c r="R277" s="251" t="n">
        <v>958.2</v>
      </c>
      <c r="S277" s="249" t="n">
        <v>17843</v>
      </c>
      <c r="T277" s="252">
        <f>S277*R277</f>
        <v/>
      </c>
      <c r="U277" s="245" t="n"/>
      <c r="V277" s="245" t="n"/>
      <c r="W277" s="245" t="n"/>
      <c r="X277" s="245" t="n"/>
      <c r="Y277" s="245" t="n"/>
      <c r="Z277" s="245" t="n"/>
    </row>
    <row r="278" ht="16.5" customHeight="1" s="202">
      <c r="A278" s="245" t="n"/>
      <c r="B278" s="245" t="n"/>
      <c r="C278" s="245" t="n"/>
      <c r="D278" s="245" t="n"/>
      <c r="E278" s="245" t="n"/>
      <c r="F278" s="245" t="n"/>
      <c r="G278" s="245" t="n"/>
      <c r="H278" s="247" t="n">
        <v>629</v>
      </c>
      <c r="I278" s="245" t="inlineStr"/>
      <c r="J278" s="245" t="inlineStr"/>
      <c r="K278" s="245" t="inlineStr">
        <is>
          <t>6IN GREEN TEA MF MATTRESS QN</t>
        </is>
      </c>
      <c r="L278" s="245" t="inlineStr">
        <is>
          <t>ZU-MFMA1ZZI-06Q</t>
        </is>
      </c>
      <c r="M278" s="248" t="inlineStr">
        <is>
          <t>3GY62Q4Y</t>
        </is>
      </c>
      <c r="N278" s="245" t="inlineStr">
        <is>
          <t>F.MFM.06Q.007.AD</t>
        </is>
      </c>
      <c r="O278" s="245" t="n"/>
      <c r="P278" s="245" t="n"/>
      <c r="Q278" s="250">
        <f>R278/H278</f>
        <v/>
      </c>
      <c r="R278" s="251" t="n">
        <v>28625.79</v>
      </c>
      <c r="S278" s="249" t="n">
        <v>17843</v>
      </c>
      <c r="T278" s="252">
        <f>S278*R278</f>
        <v/>
      </c>
      <c r="U278" s="245" t="n"/>
      <c r="V278" s="245" t="n"/>
      <c r="W278" s="245" t="n"/>
      <c r="X278" s="245" t="n"/>
      <c r="Y278" s="245" t="n"/>
      <c r="Z278" s="245" t="n"/>
    </row>
    <row r="279" ht="16.5" customHeight="1" s="202">
      <c r="A279" s="245" t="n"/>
      <c r="B279" s="245" t="n"/>
      <c r="C279" s="245" t="n"/>
      <c r="D279" s="245" t="n"/>
      <c r="E279" s="245" t="n"/>
      <c r="F279" s="245" t="n"/>
      <c r="G279" s="245" t="n"/>
      <c r="H279" s="247" t="n">
        <v>64</v>
      </c>
      <c r="I279" s="245" t="inlineStr"/>
      <c r="J279" s="245" t="inlineStr"/>
      <c r="K279" s="245" t="inlineStr">
        <is>
          <t>10IN GREEN TEA MF MATTRESS TW</t>
        </is>
      </c>
      <c r="L279" s="245" t="inlineStr">
        <is>
          <t>ZU-MFMA1ZZI-10T</t>
        </is>
      </c>
      <c r="M279" s="248" t="inlineStr">
        <is>
          <t>3GY62Q4Y</t>
        </is>
      </c>
      <c r="N279" s="245" t="inlineStr">
        <is>
          <t>F.MFM.10T.007.AD</t>
        </is>
      </c>
      <c r="O279" s="245" t="n"/>
      <c r="P279" s="245" t="n"/>
      <c r="Q279" s="250">
        <f>R279/H279</f>
        <v/>
      </c>
      <c r="R279" s="251" t="n">
        <v>3535.36</v>
      </c>
      <c r="S279" s="249" t="n">
        <v>17843</v>
      </c>
      <c r="T279" s="252">
        <f>S279*R279</f>
        <v/>
      </c>
      <c r="U279" s="245" t="n"/>
      <c r="V279" s="245" t="n"/>
      <c r="W279" s="245" t="n"/>
      <c r="X279" s="245" t="n"/>
      <c r="Y279" s="245" t="n"/>
      <c r="Z279" s="245" t="n"/>
    </row>
    <row r="280" ht="16.5" customHeight="1" s="202">
      <c r="A280" s="245" t="n"/>
      <c r="B280" s="245" t="n"/>
      <c r="C280" s="245" t="n"/>
      <c r="D280" s="245" t="n"/>
      <c r="E280" s="245" t="n"/>
      <c r="F280" s="245" t="n"/>
      <c r="G280" s="245" t="n"/>
      <c r="H280" s="247" t="n">
        <v>3</v>
      </c>
      <c r="I280" s="245" t="inlineStr"/>
      <c r="J280" s="245" t="inlineStr"/>
      <c r="K280" s="245" t="inlineStr">
        <is>
          <t>8IN GREEN TEA MF MATTRESS SQ</t>
        </is>
      </c>
      <c r="L280" s="245" t="inlineStr">
        <is>
          <t>ZU-MFMA1FZI-08S</t>
        </is>
      </c>
      <c r="M280" s="248" t="inlineStr">
        <is>
          <t>47I2FGTN</t>
        </is>
      </c>
      <c r="N280" s="245" t="inlineStr">
        <is>
          <t>F.MFM.08S.012.AD</t>
        </is>
      </c>
      <c r="O280" s="245" t="n"/>
      <c r="P280" s="245" t="n"/>
      <c r="Q280" s="250">
        <f>R280/H280</f>
        <v/>
      </c>
      <c r="R280" s="251" t="n">
        <v>186.45</v>
      </c>
      <c r="S280" s="249" t="n">
        <v>17843</v>
      </c>
      <c r="T280" s="252">
        <f>S280*R280</f>
        <v/>
      </c>
      <c r="U280" s="245" t="n"/>
      <c r="V280" s="245" t="n"/>
      <c r="W280" s="245" t="n"/>
      <c r="X280" s="245" t="n"/>
      <c r="Y280" s="245" t="n"/>
      <c r="Z280" s="245" t="n"/>
    </row>
    <row r="281" ht="16.5" customHeight="1" s="202">
      <c r="A281" s="245" t="n"/>
      <c r="B281" s="245" t="n"/>
      <c r="C281" s="245" t="n"/>
      <c r="D281" s="245" t="n"/>
      <c r="E281" s="245" t="n"/>
      <c r="F281" s="245" t="n"/>
      <c r="G281" s="245" t="n"/>
      <c r="H281" s="247" t="n">
        <v>23</v>
      </c>
      <c r="I281" s="245" t="inlineStr"/>
      <c r="J281" s="245" t="inlineStr"/>
      <c r="K281" s="245" t="inlineStr">
        <is>
          <t>8IN OPP HD QN</t>
        </is>
      </c>
      <c r="L281" s="245" t="inlineStr">
        <is>
          <t>ZU-MFMA1OZI-08Q</t>
        </is>
      </c>
      <c r="M281" s="248" t="inlineStr">
        <is>
          <t>47I2FGTN</t>
        </is>
      </c>
      <c r="N281" s="245" t="inlineStr">
        <is>
          <t>F.MFM.08Q.013.AD</t>
        </is>
      </c>
      <c r="O281" s="245" t="n"/>
      <c r="P281" s="245" t="n"/>
      <c r="Q281" s="250">
        <f>R281/H281</f>
        <v/>
      </c>
      <c r="R281" s="251" t="n">
        <v>1291.22</v>
      </c>
      <c r="S281" s="249" t="n">
        <v>17843</v>
      </c>
      <c r="T281" s="252">
        <f>S281*R281</f>
        <v/>
      </c>
      <c r="U281" s="245" t="n"/>
      <c r="V281" s="245" t="n"/>
      <c r="W281" s="245" t="n"/>
      <c r="X281" s="245" t="n"/>
      <c r="Y281" s="245" t="n"/>
      <c r="Z281" s="245" t="n"/>
    </row>
    <row r="282" ht="16.5" customHeight="1" s="202">
      <c r="A282" s="245" t="n"/>
      <c r="B282" s="245" t="n"/>
      <c r="C282" s="245" t="n"/>
      <c r="D282" s="245" t="n"/>
      <c r="E282" s="245" t="n"/>
      <c r="F282" s="245" t="n"/>
      <c r="G282" s="245" t="n"/>
      <c r="H282" s="247" t="n">
        <v>4</v>
      </c>
      <c r="I282" s="245" t="inlineStr"/>
      <c r="J282" s="245" t="inlineStr"/>
      <c r="K282" s="245" t="inlineStr">
        <is>
          <t>10IN AIRFLOW GEL FOAM MATT EK</t>
        </is>
      </c>
      <c r="L282" s="245" t="inlineStr">
        <is>
          <t>ZU-MFMA1RZI-10K</t>
        </is>
      </c>
      <c r="M282" s="248" t="inlineStr">
        <is>
          <t>47I2FGTN</t>
        </is>
      </c>
      <c r="N282" s="245" t="inlineStr">
        <is>
          <t>F.MFM.10K.014.AD</t>
        </is>
      </c>
      <c r="O282" s="245" t="n"/>
      <c r="P282" s="245" t="n"/>
      <c r="Q282" s="250">
        <f>R282/H282</f>
        <v/>
      </c>
      <c r="R282" s="251" t="n">
        <v>263.52</v>
      </c>
      <c r="S282" s="249" t="n">
        <v>17843</v>
      </c>
      <c r="T282" s="252">
        <f>S282*R282</f>
        <v/>
      </c>
      <c r="U282" s="245" t="n"/>
      <c r="V282" s="245" t="n"/>
      <c r="W282" s="245" t="n"/>
      <c r="X282" s="245" t="n"/>
      <c r="Y282" s="245" t="n"/>
      <c r="Z282" s="245" t="n"/>
    </row>
    <row r="283" ht="16.5" customHeight="1" s="202">
      <c r="A283" s="245" t="n"/>
      <c r="B283" s="245" t="n"/>
      <c r="C283" s="245" t="n"/>
      <c r="D283" s="245" t="n"/>
      <c r="E283" s="245" t="n"/>
      <c r="F283" s="245" t="n"/>
      <c r="G283" s="245" t="n"/>
      <c r="H283" s="247" t="n">
        <v>58</v>
      </c>
      <c r="I283" s="245" t="inlineStr"/>
      <c r="J283" s="245" t="inlineStr"/>
      <c r="K283" s="245" t="inlineStr">
        <is>
          <t>6IN GREEN TEA MF MATTRESS QN</t>
        </is>
      </c>
      <c r="L283" s="245" t="inlineStr">
        <is>
          <t>ZU-MFMA1ZZI-06Q</t>
        </is>
      </c>
      <c r="M283" s="248" t="inlineStr">
        <is>
          <t>47I2FGTN</t>
        </is>
      </c>
      <c r="N283" s="245" t="inlineStr">
        <is>
          <t>F.MFM.06Q.007.AD</t>
        </is>
      </c>
      <c r="O283" s="245" t="n"/>
      <c r="P283" s="245" t="n"/>
      <c r="Q283" s="250">
        <f>R283/H283</f>
        <v/>
      </c>
      <c r="R283" s="251" t="n">
        <v>2639.58</v>
      </c>
      <c r="S283" s="249" t="n">
        <v>17843</v>
      </c>
      <c r="T283" s="252">
        <f>S283*R283</f>
        <v/>
      </c>
      <c r="U283" s="245" t="n"/>
      <c r="V283" s="245" t="n"/>
      <c r="W283" s="245" t="n"/>
      <c r="X283" s="245" t="n"/>
      <c r="Y283" s="245" t="n"/>
      <c r="Z283" s="245" t="n"/>
    </row>
    <row r="284" ht="16.5" customHeight="1" s="202">
      <c r="A284" s="245" t="n"/>
      <c r="B284" s="245" t="n"/>
      <c r="C284" s="245" t="n"/>
      <c r="D284" s="245" t="n"/>
      <c r="E284" s="245" t="n"/>
      <c r="F284" s="245" t="n"/>
      <c r="G284" s="245" t="n"/>
      <c r="H284" s="247" t="n">
        <v>340</v>
      </c>
      <c r="I284" s="245" t="inlineStr"/>
      <c r="J284" s="245" t="inlineStr"/>
      <c r="K284" s="245" t="inlineStr">
        <is>
          <t>12IN GREEN TEA MF MATTRESS EK</t>
        </is>
      </c>
      <c r="L284" s="245" t="inlineStr">
        <is>
          <t>ZU-MFMA1ZZI-12K</t>
        </is>
      </c>
      <c r="M284" s="248" t="inlineStr">
        <is>
          <t>47I2FGTN</t>
        </is>
      </c>
      <c r="N284" s="245" t="inlineStr">
        <is>
          <t>F.MFM.12K.006.AD</t>
        </is>
      </c>
      <c r="O284" s="245" t="n"/>
      <c r="P284" s="245" t="n"/>
      <c r="Q284" s="250">
        <f>R284/H284</f>
        <v/>
      </c>
      <c r="R284" s="251" t="n">
        <v>34669.8</v>
      </c>
      <c r="S284" s="249" t="n">
        <v>17843</v>
      </c>
      <c r="T284" s="252">
        <f>S284*R284</f>
        <v/>
      </c>
      <c r="U284" s="245" t="n"/>
      <c r="V284" s="245" t="n"/>
      <c r="W284" s="245" t="n"/>
      <c r="X284" s="245" t="n"/>
      <c r="Y284" s="245" t="n"/>
      <c r="Z284" s="245" t="n"/>
    </row>
    <row r="285" ht="16.5" customHeight="1" s="202">
      <c r="A285" s="245" t="n"/>
      <c r="B285" s="245" t="n"/>
      <c r="C285" s="245" t="n"/>
      <c r="D285" s="245" t="n"/>
      <c r="E285" s="245" t="n"/>
      <c r="F285" s="245" t="n"/>
      <c r="G285" s="245" t="n"/>
      <c r="H285" s="247" t="n">
        <v>134</v>
      </c>
      <c r="I285" s="245" t="inlineStr"/>
      <c r="J285" s="245" t="inlineStr"/>
      <c r="K285" s="245" t="inlineStr">
        <is>
          <t>8IN GREEN TEA MF MATTRESS SQ</t>
        </is>
      </c>
      <c r="L285" s="245" t="inlineStr">
        <is>
          <t>ZU-MFMA1FZI-08S</t>
        </is>
      </c>
      <c r="M285" s="248" t="inlineStr">
        <is>
          <t>6WZLRNEV</t>
        </is>
      </c>
      <c r="N285" s="245" t="inlineStr">
        <is>
          <t>F.MFM.08S.012.AD</t>
        </is>
      </c>
      <c r="O285" s="245" t="n"/>
      <c r="P285" s="245" t="n"/>
      <c r="Q285" s="250">
        <f>R285/H285</f>
        <v/>
      </c>
      <c r="R285" s="251" t="n">
        <v>8328.1</v>
      </c>
      <c r="S285" s="249" t="n">
        <v>17843</v>
      </c>
      <c r="T285" s="252">
        <f>S285*R285</f>
        <v/>
      </c>
      <c r="U285" s="245" t="n"/>
      <c r="V285" s="245" t="n"/>
      <c r="W285" s="245" t="n"/>
      <c r="X285" s="245" t="n"/>
      <c r="Y285" s="245" t="n"/>
      <c r="Z285" s="245" t="n"/>
    </row>
    <row r="286" ht="16.5" customHeight="1" s="202">
      <c r="A286" s="245" t="n"/>
      <c r="B286" s="245" t="n"/>
      <c r="C286" s="245" t="n"/>
      <c r="D286" s="245" t="n"/>
      <c r="E286" s="245" t="n"/>
      <c r="F286" s="245" t="n"/>
      <c r="G286" s="245" t="n"/>
      <c r="H286" s="247" t="n">
        <v>103</v>
      </c>
      <c r="I286" s="245" t="inlineStr"/>
      <c r="J286" s="245" t="inlineStr"/>
      <c r="K286" s="245" t="inlineStr">
        <is>
          <t>12IN OPP HD QN</t>
        </is>
      </c>
      <c r="L286" s="245" t="inlineStr">
        <is>
          <t>ZU-MFMA1OZI-12Q</t>
        </is>
      </c>
      <c r="M286" s="248" t="inlineStr">
        <is>
          <t>6WZLRNEV</t>
        </is>
      </c>
      <c r="N286" s="245" t="inlineStr">
        <is>
          <t>F.MFM.12Q.010.AD</t>
        </is>
      </c>
      <c r="O286" s="245" t="n"/>
      <c r="P286" s="245" t="n"/>
      <c r="Q286" s="250">
        <f>R286/H286</f>
        <v/>
      </c>
      <c r="R286" s="251" t="n">
        <v>6959.71</v>
      </c>
      <c r="S286" s="249" t="n">
        <v>17843</v>
      </c>
      <c r="T286" s="252">
        <f>S286*R286</f>
        <v/>
      </c>
      <c r="U286" s="245" t="n"/>
      <c r="V286" s="245" t="n"/>
      <c r="W286" s="245" t="n"/>
      <c r="X286" s="245" t="n"/>
      <c r="Y286" s="245" t="n"/>
      <c r="Z286" s="245" t="n"/>
    </row>
    <row r="287" ht="16.5" customHeight="1" s="202">
      <c r="A287" s="245" t="n"/>
      <c r="B287" s="245" t="n"/>
      <c r="C287" s="245" t="n"/>
      <c r="D287" s="245" t="n"/>
      <c r="E287" s="245" t="n"/>
      <c r="F287" s="245" t="n"/>
      <c r="G287" s="245" t="n"/>
      <c r="H287" s="247" t="n">
        <v>10</v>
      </c>
      <c r="I287" s="245" t="inlineStr"/>
      <c r="J287" s="245" t="inlineStr"/>
      <c r="K287" s="245" t="inlineStr">
        <is>
          <t>8IN AIRFLOW GEL FOAM MATT QN</t>
        </is>
      </c>
      <c r="L287" s="245" t="inlineStr">
        <is>
          <t>ZU-MFMA1RZI-08Q</t>
        </is>
      </c>
      <c r="M287" s="248" t="inlineStr">
        <is>
          <t>6WZLRNEV</t>
        </is>
      </c>
      <c r="N287" s="245" t="inlineStr">
        <is>
          <t>F.MFM.08Q.014.AD</t>
        </is>
      </c>
      <c r="O287" s="245" t="n"/>
      <c r="P287" s="245" t="n"/>
      <c r="Q287" s="250">
        <f>R287/H287</f>
        <v/>
      </c>
      <c r="R287" s="251" t="n">
        <v>449.1</v>
      </c>
      <c r="S287" s="249" t="n">
        <v>17843</v>
      </c>
      <c r="T287" s="252">
        <f>S287*R287</f>
        <v/>
      </c>
      <c r="U287" s="245" t="n"/>
      <c r="V287" s="245" t="n"/>
      <c r="W287" s="245" t="n"/>
      <c r="X287" s="245" t="n"/>
      <c r="Y287" s="245" t="n"/>
      <c r="Z287" s="245" t="n"/>
    </row>
    <row r="288" ht="16.5" customHeight="1" s="202">
      <c r="A288" s="245" t="n"/>
      <c r="B288" s="245" t="n"/>
      <c r="C288" s="245" t="n"/>
      <c r="D288" s="245" t="n"/>
      <c r="E288" s="245" t="n"/>
      <c r="F288" s="245" t="n"/>
      <c r="G288" s="245" t="n"/>
      <c r="H288" s="247" t="n">
        <v>470</v>
      </c>
      <c r="I288" s="245" t="inlineStr"/>
      <c r="J288" s="245" t="inlineStr"/>
      <c r="K288" s="245" t="inlineStr">
        <is>
          <t>6IN GREEN TEA MF MATTRESS TW</t>
        </is>
      </c>
      <c r="L288" s="245" t="inlineStr">
        <is>
          <t>ZU-MFMA1ZZI-06T</t>
        </is>
      </c>
      <c r="M288" s="248" t="inlineStr">
        <is>
          <t>6WZLRNEV</t>
        </is>
      </c>
      <c r="N288" s="245" t="inlineStr">
        <is>
          <t>F.MFM.06T.007.AD</t>
        </is>
      </c>
      <c r="O288" s="245" t="n"/>
      <c r="P288" s="245" t="n"/>
      <c r="Q288" s="250">
        <f>R288/H288</f>
        <v/>
      </c>
      <c r="R288" s="251" t="n">
        <v>14339.7</v>
      </c>
      <c r="S288" s="249" t="n">
        <v>17843</v>
      </c>
      <c r="T288" s="252">
        <f>S288*R288</f>
        <v/>
      </c>
      <c r="U288" s="245" t="n"/>
      <c r="V288" s="245" t="n"/>
      <c r="W288" s="245" t="n"/>
      <c r="X288" s="245" t="n"/>
      <c r="Y288" s="245" t="n"/>
      <c r="Z288" s="245" t="n"/>
    </row>
    <row r="289" ht="16.5" customHeight="1" s="202">
      <c r="A289" s="245" t="n"/>
      <c r="B289" s="245" t="n"/>
      <c r="C289" s="245" t="n"/>
      <c r="D289" s="245" t="n"/>
      <c r="E289" s="245" t="n"/>
      <c r="F289" s="245" t="n"/>
      <c r="G289" s="245" t="n"/>
      <c r="H289" s="247" t="n">
        <v>54</v>
      </c>
      <c r="I289" s="245" t="inlineStr"/>
      <c r="J289" s="245" t="inlineStr"/>
      <c r="K289" s="245" t="inlineStr">
        <is>
          <t>10IN GREEN TEA MF MATTRESS TW</t>
        </is>
      </c>
      <c r="L289" s="245" t="inlineStr">
        <is>
          <t>ZU-MFMA1ZZI-10T</t>
        </is>
      </c>
      <c r="M289" s="248" t="inlineStr">
        <is>
          <t>6WZLRNEV</t>
        </is>
      </c>
      <c r="N289" s="245" t="inlineStr">
        <is>
          <t>F.MFM.10T.007.AD</t>
        </is>
      </c>
      <c r="O289" s="245" t="n"/>
      <c r="P289" s="245" t="n"/>
      <c r="Q289" s="250">
        <f>R289/H289</f>
        <v/>
      </c>
      <c r="R289" s="251" t="n">
        <v>2982.96</v>
      </c>
      <c r="S289" s="249" t="n">
        <v>17843</v>
      </c>
      <c r="T289" s="252">
        <f>S289*R289</f>
        <v/>
      </c>
      <c r="U289" s="245" t="n"/>
      <c r="V289" s="245" t="n"/>
      <c r="W289" s="245" t="n"/>
      <c r="X289" s="245" t="n"/>
      <c r="Y289" s="245" t="n"/>
      <c r="Z289" s="245" t="n"/>
    </row>
    <row r="290" ht="17.1" customHeight="1" s="202">
      <c r="A290" s="254" t="n"/>
      <c r="B290" s="254" t="n"/>
      <c r="C290" s="254" t="n"/>
      <c r="D290" s="254" t="n"/>
      <c r="E290" s="254" t="n"/>
      <c r="F290" s="254" t="n"/>
      <c r="G290" s="254" t="n"/>
      <c r="H290" s="255">
        <f>SUM(H261:H289)</f>
        <v/>
      </c>
      <c r="I290" s="254">
        <f>COUNTA(I261:I289)</f>
        <v/>
      </c>
      <c r="J290" s="254" t="n"/>
      <c r="K290" s="254" t="n"/>
      <c r="L290" s="254" t="n"/>
      <c r="M290" s="254" t="n"/>
      <c r="N290" s="254" t="n"/>
      <c r="O290" s="256">
        <f>SUM(O261:O289)</f>
        <v/>
      </c>
      <c r="P290" s="256">
        <f>SUM(P261:P289)</f>
        <v/>
      </c>
      <c r="Q290" s="254" t="n"/>
      <c r="R290" s="257">
        <f>SUM(R261:R289)</f>
        <v/>
      </c>
      <c r="S290" s="254" t="n"/>
      <c r="T290" s="258">
        <f>SUM(T261:T289)</f>
        <v/>
      </c>
      <c r="U290" s="254" t="n"/>
      <c r="V290" s="254" t="n"/>
      <c r="W290" s="254" t="n"/>
      <c r="X290" s="254" t="n"/>
      <c r="Y290" s="254" t="n"/>
      <c r="Z290" s="254" t="n"/>
    </row>
    <row r="291" ht="16.5" customHeight="1" s="202">
      <c r="A291" s="245" t="n">
        <v>38</v>
      </c>
      <c r="B291" s="245" t="inlineStr">
        <is>
          <t>000030ZIK48020260822000672</t>
        </is>
      </c>
      <c r="C291" s="245" t="n">
        <v>533643</v>
      </c>
      <c r="D291" s="245" t="n">
        <v>533590</v>
      </c>
      <c r="E291" s="246" t="n">
        <v>46258</v>
      </c>
      <c r="F291" s="245" t="inlineStr">
        <is>
          <t>ID2608-8213</t>
        </is>
      </c>
      <c r="G291" s="246" t="n">
        <v>46255</v>
      </c>
      <c r="H291" s="247" t="n">
        <v>520</v>
      </c>
      <c r="I291" s="245" t="inlineStr">
        <is>
          <t>DFSU6736646</t>
        </is>
      </c>
      <c r="J291" s="245" t="inlineStr">
        <is>
          <t>40FT</t>
        </is>
      </c>
      <c r="K291" s="245" t="inlineStr">
        <is>
          <t>8IN GREEN TEA MF MATTRESS FL</t>
        </is>
      </c>
      <c r="L291" s="245" t="inlineStr">
        <is>
          <t>SCF-STR-800F</t>
        </is>
      </c>
      <c r="M291" s="248" t="inlineStr">
        <is>
          <t>0993630676</t>
        </is>
      </c>
      <c r="N291" s="245" t="inlineStr">
        <is>
          <t>F.MFM.08F.000.WS</t>
        </is>
      </c>
      <c r="O291" s="249" t="n">
        <v>10618.4</v>
      </c>
      <c r="P291" s="249" t="n">
        <v>9370.4</v>
      </c>
      <c r="Q291" s="250">
        <f>R291/H291</f>
        <v/>
      </c>
      <c r="R291" s="251" t="n">
        <v>41480.4</v>
      </c>
      <c r="S291" s="249" t="n">
        <v>17843</v>
      </c>
      <c r="T291" s="252">
        <f>S291*R291</f>
        <v/>
      </c>
      <c r="U291" s="245" t="inlineStr">
        <is>
          <t>040300/KPPBC</t>
        </is>
      </c>
      <c r="V291" s="245" t="inlineStr">
        <is>
          <t>TG. PRIOK</t>
        </is>
      </c>
      <c r="W291" s="245" t="inlineStr">
        <is>
          <t>LOS ANGELES, US</t>
        </is>
      </c>
      <c r="X291" s="245" t="inlineStr">
        <is>
          <t>WALMART, INC.</t>
        </is>
      </c>
      <c r="Y291" s="245" t="inlineStr">
        <is>
          <t>CMDUDJA1518652</t>
        </is>
      </c>
      <c r="Z291" s="246" t="n">
        <v>46258</v>
      </c>
    </row>
    <row r="292" ht="16.5" customHeight="1" s="202">
      <c r="A292" s="245" t="n"/>
      <c r="B292" s="245" t="n"/>
      <c r="C292" s="245" t="n"/>
      <c r="D292" s="245" t="n"/>
      <c r="E292" s="245" t="n"/>
      <c r="F292" s="245" t="n"/>
      <c r="G292" s="245" t="n"/>
      <c r="H292" s="245" t="n"/>
      <c r="I292" s="245" t="n"/>
      <c r="J292" s="245" t="n"/>
      <c r="K292" s="245" t="n"/>
      <c r="L292" s="245" t="n"/>
      <c r="M292" s="245" t="n"/>
      <c r="N292" s="245" t="n"/>
      <c r="O292" s="245" t="n"/>
      <c r="P292" s="245" t="n"/>
      <c r="Q292" s="245" t="n"/>
      <c r="R292" s="245" t="n"/>
      <c r="S292" s="245" t="n"/>
      <c r="T292" s="245" t="n"/>
      <c r="U292" s="245" t="n"/>
      <c r="V292" s="245" t="n"/>
      <c r="W292" s="245" t="inlineStr">
        <is>
          <t>ETD : 26-08-2026</t>
        </is>
      </c>
      <c r="X292" s="245" t="n"/>
      <c r="Y292" s="245" t="n"/>
      <c r="Z292" s="245" t="n"/>
    </row>
    <row r="293" ht="17.1" customHeight="1" s="202">
      <c r="A293" s="254" t="n"/>
      <c r="B293" s="254" t="n"/>
      <c r="C293" s="254" t="n"/>
      <c r="D293" s="254" t="n"/>
      <c r="E293" s="254" t="n"/>
      <c r="F293" s="254" t="n"/>
      <c r="G293" s="254" t="n"/>
      <c r="H293" s="255">
        <f>SUM(H291:H292)</f>
        <v/>
      </c>
      <c r="I293" s="254">
        <f>COUNTA(I291:I292)</f>
        <v/>
      </c>
      <c r="J293" s="254" t="n"/>
      <c r="K293" s="254" t="n"/>
      <c r="L293" s="254" t="n"/>
      <c r="M293" s="254" t="n"/>
      <c r="N293" s="254" t="n"/>
      <c r="O293" s="256">
        <f>SUM(O291:O292)</f>
        <v/>
      </c>
      <c r="P293" s="256">
        <f>SUM(P291:P292)</f>
        <v/>
      </c>
      <c r="Q293" s="254" t="n"/>
      <c r="R293" s="257">
        <f>SUM(R291:R292)</f>
        <v/>
      </c>
      <c r="S293" s="254" t="n"/>
      <c r="T293" s="258">
        <f>SUM(T291:T292)</f>
        <v/>
      </c>
      <c r="U293" s="254" t="n"/>
      <c r="V293" s="254" t="n"/>
      <c r="W293" s="254" t="n"/>
      <c r="X293" s="254" t="n"/>
      <c r="Y293" s="254" t="n"/>
      <c r="Z293" s="254" t="n"/>
    </row>
    <row r="294" ht="16.5" customHeight="1" s="202">
      <c r="A294" s="245" t="n">
        <v>39</v>
      </c>
      <c r="B294" s="245" t="inlineStr">
        <is>
          <t>000030ZIK48020260822000673</t>
        </is>
      </c>
      <c r="C294" s="245" t="n">
        <v>534004</v>
      </c>
      <c r="D294" s="245" t="n">
        <v>533953</v>
      </c>
      <c r="E294" s="246" t="n">
        <v>46258</v>
      </c>
      <c r="F294" s="245" t="inlineStr">
        <is>
          <t>ID2608-8214</t>
        </is>
      </c>
      <c r="G294" s="246" t="n">
        <v>46255</v>
      </c>
      <c r="H294" s="247" t="n">
        <v>1350</v>
      </c>
      <c r="I294" s="245" t="inlineStr">
        <is>
          <t>CMAU6262050</t>
        </is>
      </c>
      <c r="J294" s="245" t="inlineStr">
        <is>
          <t>40FT</t>
        </is>
      </c>
      <c r="K294" s="245" t="inlineStr">
        <is>
          <t>8IN GREEN TEA MF MATTRESS QN</t>
        </is>
      </c>
      <c r="L294" s="245" t="inlineStr">
        <is>
          <t>SCF-STR-800Q</t>
        </is>
      </c>
      <c r="M294" s="248" t="inlineStr">
        <is>
          <t>0993630879</t>
        </is>
      </c>
      <c r="N294" s="245" t="inlineStr">
        <is>
          <t>F.MFM.08Q.000.WS</t>
        </is>
      </c>
      <c r="O294" s="249" t="n">
        <v>32265</v>
      </c>
      <c r="P294" s="249" t="n">
        <v>28782</v>
      </c>
      <c r="Q294" s="250">
        <f>R294/H294</f>
        <v/>
      </c>
      <c r="R294" s="251" t="n">
        <v>126859.5</v>
      </c>
      <c r="S294" s="249" t="n">
        <v>17843</v>
      </c>
      <c r="T294" s="252">
        <f>S294*R294</f>
        <v/>
      </c>
      <c r="U294" s="245" t="inlineStr">
        <is>
          <t>040300/KPPBC</t>
        </is>
      </c>
      <c r="V294" s="245" t="inlineStr">
        <is>
          <t>TG. PRIOK</t>
        </is>
      </c>
      <c r="W294" s="245" t="inlineStr">
        <is>
          <t>LOS ANGELES, US</t>
        </is>
      </c>
      <c r="X294" s="245" t="inlineStr">
        <is>
          <t>WALMART, INC.</t>
        </is>
      </c>
      <c r="Y294" s="245" t="inlineStr">
        <is>
          <t>CMDUDJA1518716</t>
        </is>
      </c>
      <c r="Z294" s="246" t="n">
        <v>46258</v>
      </c>
    </row>
    <row r="295" ht="16.5" customHeight="1" s="202">
      <c r="A295" s="245" t="n"/>
      <c r="B295" s="245" t="n"/>
      <c r="C295" s="245" t="n"/>
      <c r="D295" s="245" t="n"/>
      <c r="E295" s="245" t="n"/>
      <c r="F295" s="245" t="n"/>
      <c r="G295" s="245" t="n"/>
      <c r="H295" s="245" t="n"/>
      <c r="I295" s="245" t="inlineStr">
        <is>
          <t>TLLU8111141</t>
        </is>
      </c>
      <c r="J295" s="245" t="inlineStr">
        <is>
          <t>40FT</t>
        </is>
      </c>
      <c r="K295" s="245" t="n"/>
      <c r="L295" s="245" t="n"/>
      <c r="M295" s="245" t="n"/>
      <c r="N295" s="245" t="n"/>
      <c r="O295" s="245" t="n"/>
      <c r="P295" s="245" t="n"/>
      <c r="Q295" s="245" t="n"/>
      <c r="R295" s="245" t="n"/>
      <c r="S295" s="245" t="n"/>
      <c r="T295" s="245" t="n"/>
      <c r="U295" s="245" t="n"/>
      <c r="V295" s="245" t="n"/>
      <c r="W295" s="245" t="inlineStr">
        <is>
          <t>ETD : 26-08-2026</t>
        </is>
      </c>
      <c r="X295" s="245" t="n"/>
      <c r="Y295" s="245" t="n"/>
      <c r="Z295" s="245" t="n"/>
    </row>
    <row r="296" ht="16.5" customHeight="1" s="202">
      <c r="A296" s="245" t="n"/>
      <c r="B296" s="245" t="n"/>
      <c r="C296" s="245" t="n"/>
      <c r="D296" s="245" t="n"/>
      <c r="E296" s="245" t="n"/>
      <c r="F296" s="245" t="n"/>
      <c r="G296" s="245" t="n"/>
      <c r="H296" s="245" t="n"/>
      <c r="I296" s="245" t="inlineStr">
        <is>
          <t>TRHU4975740</t>
        </is>
      </c>
      <c r="J296" s="245" t="inlineStr">
        <is>
          <t>40FT</t>
        </is>
      </c>
      <c r="K296" s="245" t="n"/>
      <c r="L296" s="245" t="n"/>
      <c r="M296" s="245" t="n"/>
      <c r="N296" s="245" t="n"/>
      <c r="O296" s="245" t="n"/>
      <c r="P296" s="245" t="n"/>
      <c r="Q296" s="245" t="n"/>
      <c r="R296" s="245" t="n"/>
      <c r="S296" s="245" t="n"/>
      <c r="T296" s="245" t="n"/>
      <c r="U296" s="245" t="n"/>
      <c r="V296" s="245" t="n"/>
      <c r="W296" s="245" t="n"/>
      <c r="X296" s="245" t="n"/>
      <c r="Y296" s="245" t="n"/>
      <c r="Z296" s="245" t="n"/>
    </row>
    <row r="297" ht="17.1" customHeight="1" s="202">
      <c r="A297" s="254" t="n"/>
      <c r="B297" s="254" t="n"/>
      <c r="C297" s="254" t="n"/>
      <c r="D297" s="254" t="n"/>
      <c r="E297" s="254" t="n"/>
      <c r="F297" s="254" t="n"/>
      <c r="G297" s="254" t="n"/>
      <c r="H297" s="255">
        <f>SUM(H294:H296)</f>
        <v/>
      </c>
      <c r="I297" s="254">
        <f>COUNTA(I294:I296)</f>
        <v/>
      </c>
      <c r="J297" s="254" t="n"/>
      <c r="K297" s="254" t="n"/>
      <c r="L297" s="254" t="n"/>
      <c r="M297" s="254" t="n"/>
      <c r="N297" s="254" t="n"/>
      <c r="O297" s="256">
        <f>SUM(O294:O296)</f>
        <v/>
      </c>
      <c r="P297" s="256">
        <f>SUM(P294:P296)</f>
        <v/>
      </c>
      <c r="Q297" s="254" t="n"/>
      <c r="R297" s="257">
        <f>SUM(R294:R296)</f>
        <v/>
      </c>
      <c r="S297" s="254" t="n"/>
      <c r="T297" s="258">
        <f>SUM(T294:T296)</f>
        <v/>
      </c>
      <c r="U297" s="254" t="n"/>
      <c r="V297" s="254" t="n"/>
      <c r="W297" s="254" t="n"/>
      <c r="X297" s="254" t="n"/>
      <c r="Y297" s="254" t="n"/>
      <c r="Z297" s="254" t="n"/>
    </row>
    <row r="298" ht="16.5" customHeight="1" s="202">
      <c r="A298" s="245" t="n">
        <v>40</v>
      </c>
      <c r="B298" s="245" t="inlineStr">
        <is>
          <t>000030ZIK48020260822000674</t>
        </is>
      </c>
      <c r="C298" s="245" t="n">
        <v>532356</v>
      </c>
      <c r="D298" s="245" t="n">
        <v>532309</v>
      </c>
      <c r="E298" s="246" t="n">
        <v>46258</v>
      </c>
      <c r="F298" s="245" t="inlineStr">
        <is>
          <t>ID2608-8136</t>
        </is>
      </c>
      <c r="G298" s="246" t="n">
        <v>46248</v>
      </c>
      <c r="H298" s="247" t="n">
        <v>693</v>
      </c>
      <c r="I298" s="245" t="inlineStr">
        <is>
          <t>TIIU5419294</t>
        </is>
      </c>
      <c r="J298" s="245" t="inlineStr">
        <is>
          <t>40FT</t>
        </is>
      </c>
      <c r="K298" s="245" t="inlineStr">
        <is>
          <t>8IN GREEN TEA MF MATTRESS TW</t>
        </is>
      </c>
      <c r="L298" s="245" t="inlineStr">
        <is>
          <t>SCF-STR-800T</t>
        </is>
      </c>
      <c r="M298" s="248" t="inlineStr">
        <is>
          <t>0993631154</t>
        </is>
      </c>
      <c r="N298" s="245" t="inlineStr">
        <is>
          <t>F.MFM.08T.000.WS</t>
        </is>
      </c>
      <c r="O298" s="249" t="n">
        <v>10526.67</v>
      </c>
      <c r="P298" s="249" t="n">
        <v>9140.67</v>
      </c>
      <c r="Q298" s="250">
        <f>R298/H298</f>
        <v/>
      </c>
      <c r="R298" s="251" t="n">
        <v>42619.5</v>
      </c>
      <c r="S298" s="249" t="n">
        <v>17843</v>
      </c>
      <c r="T298" s="252">
        <f>S298*R298</f>
        <v/>
      </c>
      <c r="U298" s="245" t="inlineStr">
        <is>
          <t>040300/KPPBC</t>
        </is>
      </c>
      <c r="V298" s="245" t="inlineStr">
        <is>
          <t>TG. PRIOK</t>
        </is>
      </c>
      <c r="W298" s="245" t="inlineStr">
        <is>
          <t>MOBILE, US</t>
        </is>
      </c>
      <c r="X298" s="245" t="inlineStr">
        <is>
          <t>WALMART, INC.</t>
        </is>
      </c>
      <c r="Y298" s="245" t="inlineStr">
        <is>
          <t>COSU6462317340</t>
        </is>
      </c>
      <c r="Z298" s="246" t="n">
        <v>46258</v>
      </c>
    </row>
    <row r="299" ht="16.5" customHeight="1" s="202">
      <c r="A299" s="245" t="n"/>
      <c r="B299" s="245" t="n"/>
      <c r="C299" s="245" t="n"/>
      <c r="D299" s="245" t="n"/>
      <c r="E299" s="245" t="n"/>
      <c r="F299" s="245" t="n"/>
      <c r="G299" s="245" t="n"/>
      <c r="H299" s="245" t="n"/>
      <c r="I299" s="245" t="n"/>
      <c r="J299" s="245" t="n"/>
      <c r="K299" s="245" t="n"/>
      <c r="L299" s="245" t="n"/>
      <c r="M299" s="245" t="n"/>
      <c r="N299" s="245" t="n"/>
      <c r="O299" s="245" t="n"/>
      <c r="P299" s="245" t="n"/>
      <c r="Q299" s="245" t="n"/>
      <c r="R299" s="245" t="n"/>
      <c r="S299" s="245" t="n"/>
      <c r="T299" s="245" t="n"/>
      <c r="U299" s="245" t="n"/>
      <c r="V299" s="245" t="n"/>
      <c r="W299" s="245" t="inlineStr">
        <is>
          <t>ETD : 29-08-2026</t>
        </is>
      </c>
      <c r="X299" s="245" t="n"/>
      <c r="Y299" s="245" t="n"/>
      <c r="Z299" s="245" t="n"/>
    </row>
    <row r="300" ht="17.1" customHeight="1" s="202">
      <c r="A300" s="254" t="n"/>
      <c r="B300" s="254" t="n"/>
      <c r="C300" s="254" t="n"/>
      <c r="D300" s="254" t="n"/>
      <c r="E300" s="254" t="n"/>
      <c r="F300" s="254" t="n"/>
      <c r="G300" s="254" t="n"/>
      <c r="H300" s="255">
        <f>SUM(H298:H299)</f>
        <v/>
      </c>
      <c r="I300" s="254">
        <f>COUNTA(I298:I299)</f>
        <v/>
      </c>
      <c r="J300" s="254" t="n"/>
      <c r="K300" s="254" t="n"/>
      <c r="L300" s="254" t="n"/>
      <c r="M300" s="254" t="n"/>
      <c r="N300" s="254" t="n"/>
      <c r="O300" s="256">
        <f>SUM(O298:O299)</f>
        <v/>
      </c>
      <c r="P300" s="256">
        <f>SUM(P298:P299)</f>
        <v/>
      </c>
      <c r="Q300" s="254" t="n"/>
      <c r="R300" s="257">
        <f>SUM(R298:R299)</f>
        <v/>
      </c>
      <c r="S300" s="254" t="n"/>
      <c r="T300" s="258">
        <f>SUM(T298:T299)</f>
        <v/>
      </c>
      <c r="U300" s="254" t="n"/>
      <c r="V300" s="254" t="n"/>
      <c r="W300" s="254" t="n"/>
      <c r="X300" s="254" t="n"/>
      <c r="Y300" s="254" t="n"/>
      <c r="Z300" s="254" t="n"/>
    </row>
    <row r="301" ht="16.5" customHeight="1" s="202">
      <c r="A301" s="245" t="n">
        <v>41</v>
      </c>
      <c r="B301" s="245" t="inlineStr">
        <is>
          <t>000030ZIK48020260822000675</t>
        </is>
      </c>
      <c r="C301" s="245" t="n">
        <v>532380</v>
      </c>
      <c r="D301" s="245" t="n">
        <v>532333</v>
      </c>
      <c r="E301" s="246" t="n">
        <v>46258</v>
      </c>
      <c r="F301" s="245" t="inlineStr">
        <is>
          <t>ID2608-8137</t>
        </is>
      </c>
      <c r="G301" s="246" t="n">
        <v>46248</v>
      </c>
      <c r="H301" s="247" t="n">
        <v>450</v>
      </c>
      <c r="I301" s="245" t="inlineStr">
        <is>
          <t>OOCU8116214</t>
        </is>
      </c>
      <c r="J301" s="245" t="inlineStr">
        <is>
          <t>40FT</t>
        </is>
      </c>
      <c r="K301" s="245" t="inlineStr">
        <is>
          <t>8IN GREEN TEA MF MATTRESS QN</t>
        </is>
      </c>
      <c r="L301" s="245" t="inlineStr">
        <is>
          <t>SCF-STR-800Q</t>
        </is>
      </c>
      <c r="M301" s="248" t="inlineStr">
        <is>
          <t>0993630498</t>
        </is>
      </c>
      <c r="N301" s="245" t="inlineStr">
        <is>
          <t>F.MFM.08Q.000.WS</t>
        </is>
      </c>
      <c r="O301" s="249" t="n">
        <v>10755</v>
      </c>
      <c r="P301" s="249" t="n">
        <v>9594</v>
      </c>
      <c r="Q301" s="250">
        <f>R301/H301</f>
        <v/>
      </c>
      <c r="R301" s="251" t="n">
        <v>42286.5</v>
      </c>
      <c r="S301" s="249" t="n">
        <v>17843</v>
      </c>
      <c r="T301" s="252">
        <f>S301*R301</f>
        <v/>
      </c>
      <c r="U301" s="245" t="inlineStr">
        <is>
          <t>040300/KPPBC</t>
        </is>
      </c>
      <c r="V301" s="245" t="inlineStr">
        <is>
          <t>TG. PRIOK</t>
        </is>
      </c>
      <c r="W301" s="245" t="inlineStr">
        <is>
          <t>MOBILE, US</t>
        </is>
      </c>
      <c r="X301" s="245" t="inlineStr">
        <is>
          <t>WALMART, INC.</t>
        </is>
      </c>
      <c r="Y301" s="245" t="inlineStr">
        <is>
          <t>COSU6462317341</t>
        </is>
      </c>
      <c r="Z301" s="246" t="n">
        <v>46258</v>
      </c>
    </row>
    <row r="302" ht="16.5" customHeight="1" s="202">
      <c r="A302" s="245" t="n"/>
      <c r="B302" s="245" t="n"/>
      <c r="C302" s="245" t="n"/>
      <c r="D302" s="245" t="n"/>
      <c r="E302" s="245" t="n"/>
      <c r="F302" s="245" t="n"/>
      <c r="G302" s="245" t="n"/>
      <c r="H302" s="245" t="n"/>
      <c r="I302" s="245" t="n"/>
      <c r="J302" s="245" t="n"/>
      <c r="K302" s="245" t="n"/>
      <c r="L302" s="245" t="n"/>
      <c r="M302" s="245" t="n"/>
      <c r="N302" s="245" t="n"/>
      <c r="O302" s="245" t="n"/>
      <c r="P302" s="245" t="n"/>
      <c r="Q302" s="245" t="n"/>
      <c r="R302" s="245" t="n"/>
      <c r="S302" s="245" t="n"/>
      <c r="T302" s="245" t="n"/>
      <c r="U302" s="245" t="n"/>
      <c r="V302" s="245" t="n"/>
      <c r="W302" s="245" t="inlineStr">
        <is>
          <t>ETD : 29-08-2026</t>
        </is>
      </c>
      <c r="X302" s="245" t="n"/>
      <c r="Y302" s="245" t="n"/>
      <c r="Z302" s="245" t="n"/>
    </row>
    <row r="303" ht="17.1" customHeight="1" s="202">
      <c r="A303" s="254" t="n"/>
      <c r="B303" s="254" t="n"/>
      <c r="C303" s="254" t="n"/>
      <c r="D303" s="254" t="n"/>
      <c r="E303" s="254" t="n"/>
      <c r="F303" s="254" t="n"/>
      <c r="G303" s="254" t="n"/>
      <c r="H303" s="255">
        <f>SUM(H301:H302)</f>
        <v/>
      </c>
      <c r="I303" s="254">
        <f>COUNTA(I301:I302)</f>
        <v/>
      </c>
      <c r="J303" s="254" t="n"/>
      <c r="K303" s="254" t="n"/>
      <c r="L303" s="254" t="n"/>
      <c r="M303" s="254" t="n"/>
      <c r="N303" s="254" t="n"/>
      <c r="O303" s="256">
        <f>SUM(O301:O302)</f>
        <v/>
      </c>
      <c r="P303" s="256">
        <f>SUM(P301:P302)</f>
        <v/>
      </c>
      <c r="Q303" s="254" t="n"/>
      <c r="R303" s="257">
        <f>SUM(R301:R302)</f>
        <v/>
      </c>
      <c r="S303" s="254" t="n"/>
      <c r="T303" s="258">
        <f>SUM(T301:T302)</f>
        <v/>
      </c>
      <c r="U303" s="254" t="n"/>
      <c r="V303" s="254" t="n"/>
      <c r="W303" s="254" t="n"/>
      <c r="X303" s="254" t="n"/>
      <c r="Y303" s="254" t="n"/>
      <c r="Z303" s="254" t="n"/>
    </row>
    <row r="304" ht="16.5" customHeight="1" s="202">
      <c r="A304" s="245" t="n">
        <v>42</v>
      </c>
      <c r="B304" s="245" t="inlineStr">
        <is>
          <t>000030ZIK48020260822000676</t>
        </is>
      </c>
      <c r="C304" s="245" t="n">
        <v>532402</v>
      </c>
      <c r="D304" s="245" t="n">
        <v>532355</v>
      </c>
      <c r="E304" s="246" t="n">
        <v>46258</v>
      </c>
      <c r="F304" s="245" t="inlineStr">
        <is>
          <t>ID2608-8138</t>
        </is>
      </c>
      <c r="G304" s="246" t="n">
        <v>46248</v>
      </c>
      <c r="H304" s="247" t="n">
        <v>520</v>
      </c>
      <c r="I304" s="245" t="inlineStr">
        <is>
          <t>CSNU5923021</t>
        </is>
      </c>
      <c r="J304" s="245" t="inlineStr">
        <is>
          <t>40FT</t>
        </is>
      </c>
      <c r="K304" s="245" t="inlineStr">
        <is>
          <t>8IN GREEN TEA MF MATTRESS FL</t>
        </is>
      </c>
      <c r="L304" s="245" t="inlineStr">
        <is>
          <t>SCF-STR-800F</t>
        </is>
      </c>
      <c r="M304" s="248" t="inlineStr">
        <is>
          <t>0993630669</t>
        </is>
      </c>
      <c r="N304" s="245" t="inlineStr">
        <is>
          <t>F.MFM.08F.000.WS</t>
        </is>
      </c>
      <c r="O304" s="249" t="n">
        <v>10618.4</v>
      </c>
      <c r="P304" s="249" t="n">
        <v>9370.4</v>
      </c>
      <c r="Q304" s="250">
        <f>R304/H304</f>
        <v/>
      </c>
      <c r="R304" s="251" t="n">
        <v>41480.4</v>
      </c>
      <c r="S304" s="249" t="n">
        <v>17843</v>
      </c>
      <c r="T304" s="252">
        <f>S304*R304</f>
        <v/>
      </c>
      <c r="U304" s="245" t="inlineStr">
        <is>
          <t>040300/KPPBC</t>
        </is>
      </c>
      <c r="V304" s="245" t="inlineStr">
        <is>
          <t>TG. PRIOK</t>
        </is>
      </c>
      <c r="W304" s="245" t="inlineStr">
        <is>
          <t>MOBILE, US</t>
        </is>
      </c>
      <c r="X304" s="245" t="inlineStr">
        <is>
          <t>WALMART, INC.</t>
        </is>
      </c>
      <c r="Y304" s="245" t="inlineStr">
        <is>
          <t>COSU6462317342</t>
        </is>
      </c>
      <c r="Z304" s="246" t="n">
        <v>46258</v>
      </c>
    </row>
    <row r="305" ht="16.5" customHeight="1" s="202">
      <c r="A305" s="245" t="n"/>
      <c r="B305" s="245" t="n"/>
      <c r="C305" s="245" t="n"/>
      <c r="D305" s="245" t="n"/>
      <c r="E305" s="245" t="n"/>
      <c r="F305" s="245" t="n"/>
      <c r="G305" s="245" t="n"/>
      <c r="H305" s="245" t="n"/>
      <c r="I305" s="245" t="n"/>
      <c r="J305" s="245" t="n"/>
      <c r="K305" s="245" t="n"/>
      <c r="L305" s="245" t="n"/>
      <c r="M305" s="245" t="n"/>
      <c r="N305" s="245" t="n"/>
      <c r="O305" s="245" t="n"/>
      <c r="P305" s="245" t="n"/>
      <c r="Q305" s="245" t="n"/>
      <c r="R305" s="245" t="n"/>
      <c r="S305" s="245" t="n"/>
      <c r="T305" s="245" t="n"/>
      <c r="U305" s="245" t="n"/>
      <c r="V305" s="245" t="n"/>
      <c r="W305" s="245" t="inlineStr">
        <is>
          <t>ETD : 29-08-2026</t>
        </is>
      </c>
      <c r="X305" s="245" t="n"/>
      <c r="Y305" s="245" t="n"/>
      <c r="Z305" s="245" t="n"/>
    </row>
    <row r="306" ht="17.1" customHeight="1" s="202">
      <c r="A306" s="254" t="n"/>
      <c r="B306" s="254" t="n"/>
      <c r="C306" s="254" t="n"/>
      <c r="D306" s="254" t="n"/>
      <c r="E306" s="254" t="n"/>
      <c r="F306" s="254" t="n"/>
      <c r="G306" s="254" t="n"/>
      <c r="H306" s="255">
        <f>SUM(H304:H305)</f>
        <v/>
      </c>
      <c r="I306" s="254">
        <f>COUNTA(I304:I305)</f>
        <v/>
      </c>
      <c r="J306" s="254" t="n"/>
      <c r="K306" s="254" t="n"/>
      <c r="L306" s="254" t="n"/>
      <c r="M306" s="254" t="n"/>
      <c r="N306" s="254" t="n"/>
      <c r="O306" s="256">
        <f>SUM(O304:O305)</f>
        <v/>
      </c>
      <c r="P306" s="256">
        <f>SUM(P304:P305)</f>
        <v/>
      </c>
      <c r="Q306" s="254" t="n"/>
      <c r="R306" s="257">
        <f>SUM(R304:R305)</f>
        <v/>
      </c>
      <c r="S306" s="254" t="n"/>
      <c r="T306" s="258">
        <f>SUM(T304:T305)</f>
        <v/>
      </c>
      <c r="U306" s="254" t="n"/>
      <c r="V306" s="254" t="n"/>
      <c r="W306" s="254" t="n"/>
      <c r="X306" s="254" t="n"/>
      <c r="Y306" s="254" t="n"/>
      <c r="Z306" s="254" t="n"/>
    </row>
    <row r="307" ht="16.5" customHeight="1" s="202">
      <c r="A307" s="245" t="n">
        <v>43</v>
      </c>
      <c r="B307" s="245" t="inlineStr">
        <is>
          <t>000030ZIK48020260822000678</t>
        </is>
      </c>
      <c r="C307" s="245" t="n">
        <v>532499</v>
      </c>
      <c r="D307" s="245" t="n">
        <v>532452</v>
      </c>
      <c r="E307" s="246" t="n">
        <v>46258</v>
      </c>
      <c r="F307" s="245" t="inlineStr">
        <is>
          <t>ID2608-8188</t>
        </is>
      </c>
      <c r="G307" s="246" t="n">
        <v>46254</v>
      </c>
      <c r="H307" s="247" t="n">
        <v>28</v>
      </c>
      <c r="I307" s="245" t="inlineStr">
        <is>
          <t>TEMU7488187</t>
        </is>
      </c>
      <c r="J307" s="245" t="inlineStr">
        <is>
          <t>40FT</t>
        </is>
      </c>
      <c r="K307" s="245" t="inlineStr">
        <is>
          <t>6IN MYGEL FOAM MATTRESS FL</t>
        </is>
      </c>
      <c r="L307" s="245" t="inlineStr">
        <is>
          <t>ZU-MFGN1YZI-06F</t>
        </is>
      </c>
      <c r="M307" s="248" t="inlineStr">
        <is>
          <t>12N3ZBIP</t>
        </is>
      </c>
      <c r="N307" s="245" t="inlineStr">
        <is>
          <t>F.MFG.06F.002.AD</t>
        </is>
      </c>
      <c r="O307" s="249" t="n">
        <v>71436.17</v>
      </c>
      <c r="P307" s="249" t="n">
        <v>61793.66</v>
      </c>
      <c r="Q307" s="250">
        <f>R307/H307</f>
        <v/>
      </c>
      <c r="R307" s="251" t="n">
        <v>1090.04</v>
      </c>
      <c r="S307" s="249" t="n">
        <v>17843</v>
      </c>
      <c r="T307" s="252">
        <f>S307*R307</f>
        <v/>
      </c>
      <c r="U307" s="245" t="inlineStr">
        <is>
          <t>040300/KPPBC</t>
        </is>
      </c>
      <c r="V307" s="245" t="inlineStr">
        <is>
          <t>TG. PRIOK</t>
        </is>
      </c>
      <c r="W307" s="245" t="inlineStr">
        <is>
          <t>LOS ANGELES, US</t>
        </is>
      </c>
      <c r="X307" s="245" t="inlineStr">
        <is>
          <t>AMAZON.COM SERVICES LLC</t>
        </is>
      </c>
      <c r="Y307" s="245" t="inlineStr">
        <is>
          <t>MAEU274528506</t>
        </is>
      </c>
      <c r="Z307" s="246" t="n">
        <v>46258</v>
      </c>
    </row>
    <row r="308" ht="16.5" customHeight="1" s="202">
      <c r="A308" s="245" t="n"/>
      <c r="B308" s="245" t="n"/>
      <c r="C308" s="245" t="n"/>
      <c r="D308" s="245" t="n"/>
      <c r="E308" s="245" t="n"/>
      <c r="F308" s="245" t="n"/>
      <c r="G308" s="245" t="n"/>
      <c r="H308" s="247" t="n">
        <v>1</v>
      </c>
      <c r="I308" s="245" t="inlineStr">
        <is>
          <t>MRKU2319623</t>
        </is>
      </c>
      <c r="J308" s="245" t="inlineStr">
        <is>
          <t>40FT</t>
        </is>
      </c>
      <c r="K308" s="245" t="inlineStr">
        <is>
          <t>8IN MYGEL FOAM MATTRESS FL</t>
        </is>
      </c>
      <c r="L308" s="245" t="inlineStr">
        <is>
          <t>ZU-MFGN1YZI-08F</t>
        </is>
      </c>
      <c r="M308" s="248" t="inlineStr">
        <is>
          <t>12N3ZBIP</t>
        </is>
      </c>
      <c r="N308" s="245" t="inlineStr">
        <is>
          <t>F.MFG.08F.003.AD</t>
        </is>
      </c>
      <c r="O308" s="245" t="n"/>
      <c r="P308" s="245" t="n"/>
      <c r="Q308" s="250">
        <f>R308/H308</f>
        <v/>
      </c>
      <c r="R308" s="251" t="n">
        <v>55.21</v>
      </c>
      <c r="S308" s="249" t="n">
        <v>17843</v>
      </c>
      <c r="T308" s="252">
        <f>S308*R308</f>
        <v/>
      </c>
      <c r="U308" s="245" t="n"/>
      <c r="V308" s="245" t="n"/>
      <c r="W308" s="245" t="inlineStr">
        <is>
          <t>ETD : 30-08-2026</t>
        </is>
      </c>
      <c r="X308" s="245" t="n"/>
      <c r="Y308" s="245" t="n"/>
      <c r="Z308" s="245" t="n"/>
    </row>
    <row r="309" ht="16.5" customHeight="1" s="202">
      <c r="A309" s="245" t="n"/>
      <c r="B309" s="245" t="n"/>
      <c r="C309" s="245" t="n"/>
      <c r="D309" s="245" t="n"/>
      <c r="E309" s="245" t="n"/>
      <c r="F309" s="245" t="n"/>
      <c r="G309" s="245" t="n"/>
      <c r="H309" s="247" t="n">
        <v>5</v>
      </c>
      <c r="I309" s="245" t="inlineStr">
        <is>
          <t>TGHU6896442</t>
        </is>
      </c>
      <c r="J309" s="245" t="inlineStr">
        <is>
          <t>40FT</t>
        </is>
      </c>
      <c r="K309" s="245" t="inlineStr">
        <is>
          <t>8IN MYGEL FOAM MATTRESS SQ</t>
        </is>
      </c>
      <c r="L309" s="245" t="inlineStr">
        <is>
          <t>ZU-MFGN1YZI-08S</t>
        </is>
      </c>
      <c r="M309" s="248" t="inlineStr">
        <is>
          <t>12N3ZBIP</t>
        </is>
      </c>
      <c r="N309" s="245" t="inlineStr">
        <is>
          <t>F.MFG.08S.003.AD</t>
        </is>
      </c>
      <c r="O309" s="245" t="n"/>
      <c r="P309" s="245" t="n"/>
      <c r="Q309" s="250">
        <f>R309/H309</f>
        <v/>
      </c>
      <c r="R309" s="251" t="n">
        <v>295.3</v>
      </c>
      <c r="S309" s="249" t="n">
        <v>17843</v>
      </c>
      <c r="T309" s="252">
        <f>S309*R309</f>
        <v/>
      </c>
      <c r="U309" s="245" t="n"/>
      <c r="V309" s="245" t="n"/>
      <c r="W309" s="245" t="n"/>
      <c r="X309" s="245" t="n"/>
      <c r="Y309" s="245" t="n"/>
      <c r="Z309" s="245" t="n"/>
    </row>
    <row r="310" ht="16.5" customHeight="1" s="202">
      <c r="A310" s="245" t="n"/>
      <c r="B310" s="245" t="n"/>
      <c r="C310" s="245" t="n"/>
      <c r="D310" s="245" t="n"/>
      <c r="E310" s="245" t="n"/>
      <c r="F310" s="245" t="n"/>
      <c r="G310" s="245" t="n"/>
      <c r="H310" s="247" t="n">
        <v>117</v>
      </c>
      <c r="I310" s="245" t="inlineStr">
        <is>
          <t>TCLU9264424</t>
        </is>
      </c>
      <c r="J310" s="245" t="inlineStr">
        <is>
          <t>40FT</t>
        </is>
      </c>
      <c r="K310" s="245" t="inlineStr">
        <is>
          <t>8IN MYGEL FOAM MATTRESS TW</t>
        </is>
      </c>
      <c r="L310" s="245" t="inlineStr">
        <is>
          <t>ZU-MFGN1YZI-08T</t>
        </is>
      </c>
      <c r="M310" s="248" t="inlineStr">
        <is>
          <t>12N3ZBIP</t>
        </is>
      </c>
      <c r="N310" s="245" t="inlineStr">
        <is>
          <t>F.MFG.08T.003.AD</t>
        </is>
      </c>
      <c r="O310" s="245" t="n"/>
      <c r="P310" s="245" t="n"/>
      <c r="Q310" s="250">
        <f>R310/H310</f>
        <v/>
      </c>
      <c r="R310" s="251" t="n">
        <v>4203.81</v>
      </c>
      <c r="S310" s="249" t="n">
        <v>17843</v>
      </c>
      <c r="T310" s="252">
        <f>S310*R310</f>
        <v/>
      </c>
      <c r="U310" s="245" t="n"/>
      <c r="V310" s="245" t="n"/>
      <c r="W310" s="245" t="n"/>
      <c r="X310" s="245" t="n"/>
      <c r="Y310" s="245" t="n"/>
      <c r="Z310" s="245" t="n"/>
    </row>
    <row r="311" ht="16.5" customHeight="1" s="202">
      <c r="A311" s="245" t="n"/>
      <c r="B311" s="245" t="n"/>
      <c r="C311" s="245" t="n"/>
      <c r="D311" s="245" t="n"/>
      <c r="E311" s="245" t="n"/>
      <c r="F311" s="245" t="n"/>
      <c r="G311" s="245" t="n"/>
      <c r="H311" s="247" t="n">
        <v>34</v>
      </c>
      <c r="I311" s="245" t="inlineStr">
        <is>
          <t>MRKU6494326</t>
        </is>
      </c>
      <c r="J311" s="245" t="inlineStr">
        <is>
          <t>40FT</t>
        </is>
      </c>
      <c r="K311" s="245" t="inlineStr">
        <is>
          <t>12IN MYGEL FOAM MATTRESS FL</t>
        </is>
      </c>
      <c r="L311" s="245" t="inlineStr">
        <is>
          <t>ZU-MFGN1YZI-12F</t>
        </is>
      </c>
      <c r="M311" s="248" t="inlineStr">
        <is>
          <t>12N3ZBIP</t>
        </is>
      </c>
      <c r="N311" s="245" t="inlineStr">
        <is>
          <t>F.MFG.12F.002.AD</t>
        </is>
      </c>
      <c r="O311" s="245" t="n"/>
      <c r="P311" s="245" t="n"/>
      <c r="Q311" s="250">
        <f>R311/H311</f>
        <v/>
      </c>
      <c r="R311" s="251" t="n">
        <v>2407.54</v>
      </c>
      <c r="S311" s="249" t="n">
        <v>17843</v>
      </c>
      <c r="T311" s="252">
        <f>S311*R311</f>
        <v/>
      </c>
      <c r="U311" s="245" t="n"/>
      <c r="V311" s="245" t="n"/>
      <c r="W311" s="245" t="n"/>
      <c r="X311" s="245" t="n"/>
      <c r="Y311" s="245" t="n"/>
      <c r="Z311" s="245" t="n"/>
    </row>
    <row r="312" ht="16.5" customHeight="1" s="202">
      <c r="A312" s="245" t="n"/>
      <c r="B312" s="245" t="n"/>
      <c r="C312" s="245" t="n"/>
      <c r="D312" s="245" t="n"/>
      <c r="E312" s="245" t="n"/>
      <c r="F312" s="245" t="n"/>
      <c r="G312" s="245" t="n"/>
      <c r="H312" s="247" t="n">
        <v>37</v>
      </c>
      <c r="I312" s="245" t="inlineStr">
        <is>
          <t>TCLU4895427</t>
        </is>
      </c>
      <c r="J312" s="245" t="inlineStr">
        <is>
          <t>40FT</t>
        </is>
      </c>
      <c r="K312" s="245" t="inlineStr">
        <is>
          <t>10IN GREEN TEA MF MATTRESS SQ</t>
        </is>
      </c>
      <c r="L312" s="245" t="inlineStr">
        <is>
          <t>ZU-MFMA1FZI-10S</t>
        </is>
      </c>
      <c r="M312" s="248" t="inlineStr">
        <is>
          <t>12N3ZBIP</t>
        </is>
      </c>
      <c r="N312" s="245" t="inlineStr">
        <is>
          <t>F.MFM.10S.009.AD</t>
        </is>
      </c>
      <c r="O312" s="245" t="n"/>
      <c r="P312" s="245" t="n"/>
      <c r="Q312" s="250">
        <f>R312/H312</f>
        <v/>
      </c>
      <c r="R312" s="251" t="n">
        <v>2701.74</v>
      </c>
      <c r="S312" s="249" t="n">
        <v>17843</v>
      </c>
      <c r="T312" s="252">
        <f>S312*R312</f>
        <v/>
      </c>
      <c r="U312" s="245" t="n"/>
      <c r="V312" s="245" t="n"/>
      <c r="W312" s="245" t="n"/>
      <c r="X312" s="245" t="n"/>
      <c r="Y312" s="245" t="n"/>
      <c r="Z312" s="245" t="n"/>
    </row>
    <row r="313" ht="16.5" customHeight="1" s="202">
      <c r="A313" s="245" t="n"/>
      <c r="B313" s="245" t="n"/>
      <c r="C313" s="245" t="n"/>
      <c r="D313" s="245" t="n"/>
      <c r="E313" s="245" t="n"/>
      <c r="F313" s="245" t="n"/>
      <c r="G313" s="245" t="n"/>
      <c r="H313" s="247" t="n">
        <v>59</v>
      </c>
      <c r="I313" s="245" t="inlineStr"/>
      <c r="J313" s="245" t="inlineStr"/>
      <c r="K313" s="245" t="inlineStr">
        <is>
          <t>6IN OPP HD TW</t>
        </is>
      </c>
      <c r="L313" s="245" t="inlineStr">
        <is>
          <t>ZU-MFMA1OZI-06T</t>
        </is>
      </c>
      <c r="M313" s="248" t="inlineStr">
        <is>
          <t>12N3ZBIP</t>
        </is>
      </c>
      <c r="N313" s="245" t="inlineStr">
        <is>
          <t>F.MFM.06T.008.AD</t>
        </is>
      </c>
      <c r="O313" s="245" t="n"/>
      <c r="P313" s="245" t="n"/>
      <c r="Q313" s="250">
        <f>R313/H313</f>
        <v/>
      </c>
      <c r="R313" s="251" t="n">
        <v>1590.05</v>
      </c>
      <c r="S313" s="249" t="n">
        <v>17843</v>
      </c>
      <c r="T313" s="252">
        <f>S313*R313</f>
        <v/>
      </c>
      <c r="U313" s="245" t="n"/>
      <c r="V313" s="245" t="n"/>
      <c r="W313" s="245" t="n"/>
      <c r="X313" s="245" t="n"/>
      <c r="Y313" s="245" t="n"/>
      <c r="Z313" s="245" t="n"/>
    </row>
    <row r="314" ht="16.5" customHeight="1" s="202">
      <c r="A314" s="245" t="n"/>
      <c r="B314" s="245" t="n"/>
      <c r="C314" s="245" t="n"/>
      <c r="D314" s="245" t="n"/>
      <c r="E314" s="245" t="n"/>
      <c r="F314" s="245" t="n"/>
      <c r="G314" s="245" t="n"/>
      <c r="H314" s="247" t="n">
        <v>1</v>
      </c>
      <c r="I314" s="245" t="inlineStr"/>
      <c r="J314" s="245" t="inlineStr"/>
      <c r="K314" s="245" t="inlineStr">
        <is>
          <t>8IN OPP HD FL</t>
        </is>
      </c>
      <c r="L314" s="245" t="inlineStr">
        <is>
          <t>ZU-MFMA1OZI-08F</t>
        </is>
      </c>
      <c r="M314" s="248" t="inlineStr">
        <is>
          <t>12N3ZBIP</t>
        </is>
      </c>
      <c r="N314" s="245" t="inlineStr">
        <is>
          <t>F.MFM.08F.013.AD</t>
        </is>
      </c>
      <c r="O314" s="245" t="n"/>
      <c r="P314" s="245" t="n"/>
      <c r="Q314" s="250">
        <f>R314/H314</f>
        <v/>
      </c>
      <c r="R314" s="251" t="n">
        <v>38.93</v>
      </c>
      <c r="S314" s="249" t="n">
        <v>17843</v>
      </c>
      <c r="T314" s="252">
        <f>S314*R314</f>
        <v/>
      </c>
      <c r="U314" s="245" t="n"/>
      <c r="V314" s="245" t="n"/>
      <c r="W314" s="245" t="n"/>
      <c r="X314" s="245" t="n"/>
      <c r="Y314" s="245" t="n"/>
      <c r="Z314" s="245" t="n"/>
    </row>
    <row r="315" ht="16.5" customHeight="1" s="202">
      <c r="A315" s="245" t="n"/>
      <c r="B315" s="245" t="n"/>
      <c r="C315" s="245" t="n"/>
      <c r="D315" s="245" t="n"/>
      <c r="E315" s="245" t="n"/>
      <c r="F315" s="245" t="n"/>
      <c r="G315" s="245" t="n"/>
      <c r="H315" s="247" t="n">
        <v>40</v>
      </c>
      <c r="I315" s="245" t="inlineStr"/>
      <c r="J315" s="245" t="inlineStr"/>
      <c r="K315" s="245" t="inlineStr">
        <is>
          <t>10IN OPP HD FL</t>
        </is>
      </c>
      <c r="L315" s="245" t="inlineStr">
        <is>
          <t>ZU-MFMA1OZI-10F</t>
        </is>
      </c>
      <c r="M315" s="248" t="inlineStr">
        <is>
          <t>12N3ZBIP</t>
        </is>
      </c>
      <c r="N315" s="245" t="inlineStr">
        <is>
          <t>F.MFM.10F.013.AD</t>
        </is>
      </c>
      <c r="O315" s="245" t="n"/>
      <c r="P315" s="245" t="n"/>
      <c r="Q315" s="250">
        <f>R315/H315</f>
        <v/>
      </c>
      <c r="R315" s="251" t="n">
        <v>1916.4</v>
      </c>
      <c r="S315" s="249" t="n">
        <v>17843</v>
      </c>
      <c r="T315" s="252">
        <f>S315*R315</f>
        <v/>
      </c>
      <c r="U315" s="245" t="n"/>
      <c r="V315" s="245" t="n"/>
      <c r="W315" s="245" t="n"/>
      <c r="X315" s="245" t="n"/>
      <c r="Y315" s="245" t="n"/>
      <c r="Z315" s="245" t="n"/>
    </row>
    <row r="316" ht="16.5" customHeight="1" s="202">
      <c r="A316" s="245" t="n"/>
      <c r="B316" s="245" t="n"/>
      <c r="C316" s="245" t="n"/>
      <c r="D316" s="245" t="n"/>
      <c r="E316" s="245" t="n"/>
      <c r="F316" s="245" t="n"/>
      <c r="G316" s="245" t="n"/>
      <c r="H316" s="247" t="n">
        <v>64</v>
      </c>
      <c r="I316" s="245" t="inlineStr"/>
      <c r="J316" s="245" t="inlineStr"/>
      <c r="K316" s="245" t="inlineStr">
        <is>
          <t>10IN OPP HD QN</t>
        </is>
      </c>
      <c r="L316" s="245" t="inlineStr">
        <is>
          <t>ZU-MFMA1OZI-10Q</t>
        </is>
      </c>
      <c r="M316" s="248" t="inlineStr">
        <is>
          <t>12N3ZBIP</t>
        </is>
      </c>
      <c r="N316" s="245" t="inlineStr">
        <is>
          <t>F.MFM.10Q.013.AD</t>
        </is>
      </c>
      <c r="O316" s="245" t="n"/>
      <c r="P316" s="245" t="n"/>
      <c r="Q316" s="250">
        <f>R316/H316</f>
        <v/>
      </c>
      <c r="R316" s="251" t="n">
        <v>3449.6</v>
      </c>
      <c r="S316" s="249" t="n">
        <v>17843</v>
      </c>
      <c r="T316" s="252">
        <f>S316*R316</f>
        <v/>
      </c>
      <c r="U316" s="245" t="n"/>
      <c r="V316" s="245" t="n"/>
      <c r="W316" s="245" t="n"/>
      <c r="X316" s="245" t="n"/>
      <c r="Y316" s="245" t="n"/>
      <c r="Z316" s="245" t="n"/>
    </row>
    <row r="317" ht="16.5" customHeight="1" s="202">
      <c r="A317" s="245" t="n"/>
      <c r="B317" s="245" t="n"/>
      <c r="C317" s="245" t="n"/>
      <c r="D317" s="245" t="n"/>
      <c r="E317" s="245" t="n"/>
      <c r="F317" s="245" t="n"/>
      <c r="G317" s="245" t="n"/>
      <c r="H317" s="247" t="n">
        <v>4</v>
      </c>
      <c r="I317" s="245" t="inlineStr"/>
      <c r="J317" s="245" t="inlineStr"/>
      <c r="K317" s="245" t="inlineStr">
        <is>
          <t>10IN OPP HD TW</t>
        </is>
      </c>
      <c r="L317" s="245" t="inlineStr">
        <is>
          <t>ZU-MFMA1OZI-10T</t>
        </is>
      </c>
      <c r="M317" s="248" t="inlineStr">
        <is>
          <t>12N3ZBIP</t>
        </is>
      </c>
      <c r="N317" s="245" t="inlineStr">
        <is>
          <t>F.MFM.10T.013.AD</t>
        </is>
      </c>
      <c r="O317" s="245" t="n"/>
      <c r="P317" s="245" t="n"/>
      <c r="Q317" s="250">
        <f>R317/H317</f>
        <v/>
      </c>
      <c r="R317" s="251" t="n">
        <v>155.72</v>
      </c>
      <c r="S317" s="249" t="n">
        <v>17843</v>
      </c>
      <c r="T317" s="252">
        <f>S317*R317</f>
        <v/>
      </c>
      <c r="U317" s="245" t="n"/>
      <c r="V317" s="245" t="n"/>
      <c r="W317" s="245" t="n"/>
      <c r="X317" s="245" t="n"/>
      <c r="Y317" s="245" t="n"/>
      <c r="Z317" s="245" t="n"/>
    </row>
    <row r="318" ht="16.5" customHeight="1" s="202">
      <c r="A318" s="245" t="n"/>
      <c r="B318" s="245" t="n"/>
      <c r="C318" s="245" t="n"/>
      <c r="D318" s="245" t="n"/>
      <c r="E318" s="245" t="n"/>
      <c r="F318" s="245" t="n"/>
      <c r="G318" s="245" t="n"/>
      <c r="H318" s="247" t="n">
        <v>13</v>
      </c>
      <c r="I318" s="245" t="inlineStr"/>
      <c r="J318" s="245" t="inlineStr"/>
      <c r="K318" s="245" t="inlineStr">
        <is>
          <t>12IN OPP HD QN</t>
        </is>
      </c>
      <c r="L318" s="245" t="inlineStr">
        <is>
          <t>ZU-MFMA1OZI-12Q</t>
        </is>
      </c>
      <c r="M318" s="248" t="inlineStr">
        <is>
          <t>12N3ZBIP</t>
        </is>
      </c>
      <c r="N318" s="245" t="inlineStr">
        <is>
          <t>F.MFM.12Q.010.AD</t>
        </is>
      </c>
      <c r="O318" s="245" t="n"/>
      <c r="P318" s="245" t="n"/>
      <c r="Q318" s="250">
        <f>R318/H318</f>
        <v/>
      </c>
      <c r="R318" s="251" t="n">
        <v>878.41</v>
      </c>
      <c r="S318" s="249" t="n">
        <v>17843</v>
      </c>
      <c r="T318" s="252">
        <f>S318*R318</f>
        <v/>
      </c>
      <c r="U318" s="245" t="n"/>
      <c r="V318" s="245" t="n"/>
      <c r="W318" s="245" t="n"/>
      <c r="X318" s="245" t="n"/>
      <c r="Y318" s="245" t="n"/>
      <c r="Z318" s="245" t="n"/>
    </row>
    <row r="319" ht="16.5" customHeight="1" s="202">
      <c r="A319" s="245" t="n"/>
      <c r="B319" s="245" t="n"/>
      <c r="C319" s="245" t="n"/>
      <c r="D319" s="245" t="n"/>
      <c r="E319" s="245" t="n"/>
      <c r="F319" s="245" t="n"/>
      <c r="G319" s="245" t="n"/>
      <c r="H319" s="247" t="n">
        <v>23</v>
      </c>
      <c r="I319" s="245" t="inlineStr"/>
      <c r="J319" s="245" t="inlineStr"/>
      <c r="K319" s="245" t="inlineStr">
        <is>
          <t>10IN AIRFLOW GEL FOAM MATT FL</t>
        </is>
      </c>
      <c r="L319" s="245" t="inlineStr">
        <is>
          <t>ZU-MFMA1RZI-10F</t>
        </is>
      </c>
      <c r="M319" s="248" t="inlineStr">
        <is>
          <t>12N3ZBIP</t>
        </is>
      </c>
      <c r="N319" s="245" t="inlineStr">
        <is>
          <t>F.MFM.10F.014.AD</t>
        </is>
      </c>
      <c r="O319" s="245" t="n"/>
      <c r="P319" s="245" t="n"/>
      <c r="Q319" s="250">
        <f>R319/H319</f>
        <v/>
      </c>
      <c r="R319" s="251" t="n">
        <v>1101.93</v>
      </c>
      <c r="S319" s="249" t="n">
        <v>17843</v>
      </c>
      <c r="T319" s="252">
        <f>S319*R319</f>
        <v/>
      </c>
      <c r="U319" s="245" t="n"/>
      <c r="V319" s="245" t="n"/>
      <c r="W319" s="245" t="n"/>
      <c r="X319" s="245" t="n"/>
      <c r="Y319" s="245" t="n"/>
      <c r="Z319" s="245" t="n"/>
    </row>
    <row r="320" ht="16.5" customHeight="1" s="202">
      <c r="A320" s="245" t="n"/>
      <c r="B320" s="245" t="n"/>
      <c r="C320" s="245" t="n"/>
      <c r="D320" s="245" t="n"/>
      <c r="E320" s="245" t="n"/>
      <c r="F320" s="245" t="n"/>
      <c r="G320" s="245" t="n"/>
      <c r="H320" s="247" t="n">
        <v>12</v>
      </c>
      <c r="I320" s="245" t="inlineStr"/>
      <c r="J320" s="245" t="inlineStr"/>
      <c r="K320" s="245" t="inlineStr">
        <is>
          <t>6IN GREEN TEA MF MATTRESS NT</t>
        </is>
      </c>
      <c r="L320" s="245" t="inlineStr">
        <is>
          <t>ZU-MFMA1ZZI-06N</t>
        </is>
      </c>
      <c r="M320" s="248" t="inlineStr">
        <is>
          <t>12N3ZBIP</t>
        </is>
      </c>
      <c r="N320" s="245" t="inlineStr">
        <is>
          <t>F.MFM.06N.007.AD</t>
        </is>
      </c>
      <c r="O320" s="245" t="n"/>
      <c r="P320" s="245" t="n"/>
      <c r="Q320" s="250">
        <f>R320/H320</f>
        <v/>
      </c>
      <c r="R320" s="251" t="n">
        <v>301.08</v>
      </c>
      <c r="S320" s="249" t="n">
        <v>17843</v>
      </c>
      <c r="T320" s="252">
        <f>S320*R320</f>
        <v/>
      </c>
      <c r="U320" s="245" t="n"/>
      <c r="V320" s="245" t="n"/>
      <c r="W320" s="245" t="n"/>
      <c r="X320" s="245" t="n"/>
      <c r="Y320" s="245" t="n"/>
      <c r="Z320" s="245" t="n"/>
    </row>
    <row r="321" ht="16.5" customHeight="1" s="202">
      <c r="A321" s="245" t="n"/>
      <c r="B321" s="245" t="n"/>
      <c r="C321" s="245" t="n"/>
      <c r="D321" s="245" t="n"/>
      <c r="E321" s="245" t="n"/>
      <c r="F321" s="245" t="n"/>
      <c r="G321" s="245" t="n"/>
      <c r="H321" s="247" t="n">
        <v>1</v>
      </c>
      <c r="I321" s="245" t="inlineStr"/>
      <c r="J321" s="245" t="inlineStr"/>
      <c r="K321" s="245" t="inlineStr">
        <is>
          <t>6IN GREEN TEA MF MATTRESS QN</t>
        </is>
      </c>
      <c r="L321" s="245" t="inlineStr">
        <is>
          <t>ZU-MFMA1ZZI-06Q</t>
        </is>
      </c>
      <c r="M321" s="248" t="inlineStr">
        <is>
          <t>12N3ZBIP</t>
        </is>
      </c>
      <c r="N321" s="245" t="inlineStr">
        <is>
          <t>F.MFM.06Q.007.AD</t>
        </is>
      </c>
      <c r="O321" s="245" t="n"/>
      <c r="P321" s="245" t="n"/>
      <c r="Q321" s="250">
        <f>R321/H321</f>
        <v/>
      </c>
      <c r="R321" s="251" t="n">
        <v>45.51</v>
      </c>
      <c r="S321" s="249" t="n">
        <v>17843</v>
      </c>
      <c r="T321" s="252">
        <f>S321*R321</f>
        <v/>
      </c>
      <c r="U321" s="245" t="n"/>
      <c r="V321" s="245" t="n"/>
      <c r="W321" s="245" t="n"/>
      <c r="X321" s="245" t="n"/>
      <c r="Y321" s="245" t="n"/>
      <c r="Z321" s="245" t="n"/>
    </row>
    <row r="322" ht="16.5" customHeight="1" s="202">
      <c r="A322" s="245" t="n"/>
      <c r="B322" s="245" t="n"/>
      <c r="C322" s="245" t="n"/>
      <c r="D322" s="245" t="n"/>
      <c r="E322" s="245" t="n"/>
      <c r="F322" s="245" t="n"/>
      <c r="G322" s="245" t="n"/>
      <c r="H322" s="247" t="n">
        <v>76</v>
      </c>
      <c r="I322" s="245" t="inlineStr"/>
      <c r="J322" s="245" t="inlineStr"/>
      <c r="K322" s="245" t="inlineStr">
        <is>
          <t>6IN GREEN TEA MF MATTRESS TW</t>
        </is>
      </c>
      <c r="L322" s="245" t="inlineStr">
        <is>
          <t>ZU-MFMA1ZZI-06T</t>
        </is>
      </c>
      <c r="M322" s="248" t="inlineStr">
        <is>
          <t>12N3ZBIP</t>
        </is>
      </c>
      <c r="N322" s="245" t="inlineStr">
        <is>
          <t>F.MFM.06T.007.AD</t>
        </is>
      </c>
      <c r="O322" s="245" t="n"/>
      <c r="P322" s="245" t="n"/>
      <c r="Q322" s="250">
        <f>R322/H322</f>
        <v/>
      </c>
      <c r="R322" s="251" t="n">
        <v>2318.76</v>
      </c>
      <c r="S322" s="249" t="n">
        <v>17843</v>
      </c>
      <c r="T322" s="252">
        <f>S322*R322</f>
        <v/>
      </c>
      <c r="U322" s="245" t="n"/>
      <c r="V322" s="245" t="n"/>
      <c r="W322" s="245" t="n"/>
      <c r="X322" s="245" t="n"/>
      <c r="Y322" s="245" t="n"/>
      <c r="Z322" s="245" t="n"/>
    </row>
    <row r="323" ht="16.5" customHeight="1" s="202">
      <c r="A323" s="245" t="n"/>
      <c r="B323" s="245" t="n"/>
      <c r="C323" s="245" t="n"/>
      <c r="D323" s="245" t="n"/>
      <c r="E323" s="245" t="n"/>
      <c r="F323" s="245" t="n"/>
      <c r="G323" s="245" t="n"/>
      <c r="H323" s="247" t="n">
        <v>15</v>
      </c>
      <c r="I323" s="245" t="inlineStr"/>
      <c r="J323" s="245" t="inlineStr"/>
      <c r="K323" s="245" t="inlineStr">
        <is>
          <t>8IN GREEN TEA MF MATTRESS SQ</t>
        </is>
      </c>
      <c r="L323" s="245" t="inlineStr">
        <is>
          <t>ZU-MFMA1ZZI-08S</t>
        </is>
      </c>
      <c r="M323" s="248" t="inlineStr">
        <is>
          <t>12N3ZBIP</t>
        </is>
      </c>
      <c r="N323" s="245" t="inlineStr">
        <is>
          <t>F.MFM.08S.011.AD</t>
        </is>
      </c>
      <c r="O323" s="245" t="n"/>
      <c r="P323" s="245" t="n"/>
      <c r="Q323" s="250">
        <f>R323/H323</f>
        <v/>
      </c>
      <c r="R323" s="251" t="n">
        <v>886.5</v>
      </c>
      <c r="S323" s="249" t="n">
        <v>17843</v>
      </c>
      <c r="T323" s="252">
        <f>S323*R323</f>
        <v/>
      </c>
      <c r="U323" s="245" t="n"/>
      <c r="V323" s="245" t="n"/>
      <c r="W323" s="245" t="n"/>
      <c r="X323" s="245" t="n"/>
      <c r="Y323" s="245" t="n"/>
      <c r="Z323" s="245" t="n"/>
    </row>
    <row r="324" ht="16.5" customHeight="1" s="202">
      <c r="A324" s="245" t="n"/>
      <c r="B324" s="245" t="n"/>
      <c r="C324" s="245" t="n"/>
      <c r="D324" s="245" t="n"/>
      <c r="E324" s="245" t="n"/>
      <c r="F324" s="245" t="n"/>
      <c r="G324" s="245" t="n"/>
      <c r="H324" s="247" t="n">
        <v>3</v>
      </c>
      <c r="I324" s="245" t="inlineStr"/>
      <c r="J324" s="245" t="inlineStr"/>
      <c r="K324" s="245" t="inlineStr">
        <is>
          <t>10IN GREEN TEA MF MATTRESS EK</t>
        </is>
      </c>
      <c r="L324" s="245" t="inlineStr">
        <is>
          <t>ZU-MFMA1ZZI-10K</t>
        </is>
      </c>
      <c r="M324" s="248" t="inlineStr">
        <is>
          <t>12N3ZBIP</t>
        </is>
      </c>
      <c r="N324" s="245" t="inlineStr">
        <is>
          <t>F.MFM.10K.007.AD</t>
        </is>
      </c>
      <c r="O324" s="245" t="n"/>
      <c r="P324" s="245" t="n"/>
      <c r="Q324" s="250">
        <f>R324/H324</f>
        <v/>
      </c>
      <c r="R324" s="251" t="n">
        <v>291.33</v>
      </c>
      <c r="S324" s="249" t="n">
        <v>17843</v>
      </c>
      <c r="T324" s="252">
        <f>S324*R324</f>
        <v/>
      </c>
      <c r="U324" s="245" t="n"/>
      <c r="V324" s="245" t="n"/>
      <c r="W324" s="245" t="n"/>
      <c r="X324" s="245" t="n"/>
      <c r="Y324" s="245" t="n"/>
      <c r="Z324" s="245" t="n"/>
    </row>
    <row r="325" ht="16.5" customHeight="1" s="202">
      <c r="A325" s="245" t="n"/>
      <c r="B325" s="245" t="n"/>
      <c r="C325" s="245" t="n"/>
      <c r="D325" s="245" t="n"/>
      <c r="E325" s="245" t="n"/>
      <c r="F325" s="245" t="n"/>
      <c r="G325" s="245" t="n"/>
      <c r="H325" s="247" t="n">
        <v>1</v>
      </c>
      <c r="I325" s="245" t="inlineStr"/>
      <c r="J325" s="245" t="inlineStr"/>
      <c r="K325" s="245" t="inlineStr">
        <is>
          <t>12IN GREEN TEA MF MATTRESS TW</t>
        </is>
      </c>
      <c r="L325" s="245" t="inlineStr">
        <is>
          <t>ZU-MFMA1ZZI-12T</t>
        </is>
      </c>
      <c r="M325" s="248" t="inlineStr">
        <is>
          <t>12N3ZBIP</t>
        </is>
      </c>
      <c r="N325" s="245" t="inlineStr">
        <is>
          <t>F.MFM.12T.006.AD</t>
        </is>
      </c>
      <c r="O325" s="245" t="n"/>
      <c r="P325" s="245" t="n"/>
      <c r="Q325" s="250">
        <f>R325/H325</f>
        <v/>
      </c>
      <c r="R325" s="251" t="n">
        <v>63.2</v>
      </c>
      <c r="S325" s="249" t="n">
        <v>17843</v>
      </c>
      <c r="T325" s="252">
        <f>S325*R325</f>
        <v/>
      </c>
      <c r="U325" s="245" t="n"/>
      <c r="V325" s="245" t="n"/>
      <c r="W325" s="245" t="n"/>
      <c r="X325" s="245" t="n"/>
      <c r="Y325" s="245" t="n"/>
      <c r="Z325" s="245" t="n"/>
    </row>
    <row r="326" ht="16.5" customHeight="1" s="202">
      <c r="A326" s="245" t="n"/>
      <c r="B326" s="245" t="n"/>
      <c r="C326" s="245" t="n"/>
      <c r="D326" s="245" t="n"/>
      <c r="E326" s="245" t="n"/>
      <c r="F326" s="245" t="n"/>
      <c r="G326" s="245" t="n"/>
      <c r="H326" s="247" t="n">
        <v>1</v>
      </c>
      <c r="I326" s="245" t="inlineStr"/>
      <c r="J326" s="245" t="inlineStr"/>
      <c r="K326" s="245" t="inlineStr">
        <is>
          <t>12IN GREEN TEA MF MATTRESS TX</t>
        </is>
      </c>
      <c r="L326" s="245" t="inlineStr">
        <is>
          <t>ZU-MFMA1ZZI-12X</t>
        </is>
      </c>
      <c r="M326" s="248" t="inlineStr">
        <is>
          <t>12N3ZBIP</t>
        </is>
      </c>
      <c r="N326" s="245" t="inlineStr">
        <is>
          <t>F.MFM.12X.006.AD</t>
        </is>
      </c>
      <c r="O326" s="245" t="n"/>
      <c r="P326" s="245" t="n"/>
      <c r="Q326" s="250">
        <f>R326/H326</f>
        <v/>
      </c>
      <c r="R326" s="251" t="n">
        <v>58.3</v>
      </c>
      <c r="S326" s="249" t="n">
        <v>17843</v>
      </c>
      <c r="T326" s="252">
        <f>S326*R326</f>
        <v/>
      </c>
      <c r="U326" s="245" t="n"/>
      <c r="V326" s="245" t="n"/>
      <c r="W326" s="245" t="n"/>
      <c r="X326" s="245" t="n"/>
      <c r="Y326" s="245" t="n"/>
      <c r="Z326" s="245" t="n"/>
    </row>
    <row r="327" ht="16.5" customHeight="1" s="202">
      <c r="A327" s="245" t="n"/>
      <c r="B327" s="245" t="n"/>
      <c r="C327" s="245" t="n"/>
      <c r="D327" s="245" t="n"/>
      <c r="E327" s="245" t="n"/>
      <c r="F327" s="245" t="n"/>
      <c r="G327" s="245" t="n"/>
      <c r="H327" s="247" t="n">
        <v>15</v>
      </c>
      <c r="I327" s="245" t="inlineStr"/>
      <c r="J327" s="245" t="inlineStr"/>
      <c r="K327" s="245" t="inlineStr">
        <is>
          <t>8IN MYGEL FOAM MATTRESS SQ</t>
        </is>
      </c>
      <c r="L327" s="245" t="inlineStr">
        <is>
          <t>ZU-MFGN1YZI-08S</t>
        </is>
      </c>
      <c r="M327" s="248" t="inlineStr">
        <is>
          <t>1B4WA7LG</t>
        </is>
      </c>
      <c r="N327" s="245" t="inlineStr">
        <is>
          <t>F.MFG.08S.003.AD</t>
        </is>
      </c>
      <c r="O327" s="245" t="n"/>
      <c r="P327" s="245" t="n"/>
      <c r="Q327" s="250">
        <f>R327/H327</f>
        <v/>
      </c>
      <c r="R327" s="251" t="n">
        <v>885.9</v>
      </c>
      <c r="S327" s="249" t="n">
        <v>17843</v>
      </c>
      <c r="T327" s="252">
        <f>S327*R327</f>
        <v/>
      </c>
      <c r="U327" s="245" t="n"/>
      <c r="V327" s="245" t="n"/>
      <c r="W327" s="245" t="n"/>
      <c r="X327" s="245" t="n"/>
      <c r="Y327" s="245" t="n"/>
      <c r="Z327" s="245" t="n"/>
    </row>
    <row r="328" ht="16.5" customHeight="1" s="202">
      <c r="A328" s="245" t="n"/>
      <c r="B328" s="245" t="n"/>
      <c r="C328" s="245" t="n"/>
      <c r="D328" s="245" t="n"/>
      <c r="E328" s="245" t="n"/>
      <c r="F328" s="245" t="n"/>
      <c r="G328" s="245" t="n"/>
      <c r="H328" s="247" t="n">
        <v>435</v>
      </c>
      <c r="I328" s="245" t="inlineStr"/>
      <c r="J328" s="245" t="inlineStr"/>
      <c r="K328" s="245" t="inlineStr">
        <is>
          <t>8IN MYGEL FOAM MATTRESS TW</t>
        </is>
      </c>
      <c r="L328" s="245" t="inlineStr">
        <is>
          <t>ZU-MFGN1YZI-08T</t>
        </is>
      </c>
      <c r="M328" s="248" t="inlineStr">
        <is>
          <t>1B4WA7LG</t>
        </is>
      </c>
      <c r="N328" s="245" t="inlineStr">
        <is>
          <t>F.MFG.08T.003.AD</t>
        </is>
      </c>
      <c r="O328" s="245" t="n"/>
      <c r="P328" s="245" t="n"/>
      <c r="Q328" s="250">
        <f>R328/H328</f>
        <v/>
      </c>
      <c r="R328" s="251" t="n">
        <v>15629.55</v>
      </c>
      <c r="S328" s="249" t="n">
        <v>17843</v>
      </c>
      <c r="T328" s="252">
        <f>S328*R328</f>
        <v/>
      </c>
      <c r="U328" s="245" t="n"/>
      <c r="V328" s="245" t="n"/>
      <c r="W328" s="245" t="n"/>
      <c r="X328" s="245" t="n"/>
      <c r="Y328" s="245" t="n"/>
      <c r="Z328" s="245" t="n"/>
    </row>
    <row r="329" ht="16.5" customHeight="1" s="202">
      <c r="A329" s="245" t="n"/>
      <c r="B329" s="245" t="n"/>
      <c r="C329" s="245" t="n"/>
      <c r="D329" s="245" t="n"/>
      <c r="E329" s="245" t="n"/>
      <c r="F329" s="245" t="n"/>
      <c r="G329" s="245" t="n"/>
      <c r="H329" s="247" t="n">
        <v>34</v>
      </c>
      <c r="I329" s="245" t="inlineStr"/>
      <c r="J329" s="245" t="inlineStr"/>
      <c r="K329" s="245" t="inlineStr">
        <is>
          <t>12IN OPP HD QN</t>
        </is>
      </c>
      <c r="L329" s="245" t="inlineStr">
        <is>
          <t>ZU-MFMA1OZI-12Q</t>
        </is>
      </c>
      <c r="M329" s="248" t="inlineStr">
        <is>
          <t>1B4WA7LG</t>
        </is>
      </c>
      <c r="N329" s="245" t="inlineStr">
        <is>
          <t>F.MFM.12Q.010.AD</t>
        </is>
      </c>
      <c r="O329" s="245" t="n"/>
      <c r="P329" s="245" t="n"/>
      <c r="Q329" s="250">
        <f>R329/H329</f>
        <v/>
      </c>
      <c r="R329" s="251" t="n">
        <v>2297.38</v>
      </c>
      <c r="S329" s="249" t="n">
        <v>17843</v>
      </c>
      <c r="T329" s="252">
        <f>S329*R329</f>
        <v/>
      </c>
      <c r="U329" s="245" t="n"/>
      <c r="V329" s="245" t="n"/>
      <c r="W329" s="245" t="n"/>
      <c r="X329" s="245" t="n"/>
      <c r="Y329" s="245" t="n"/>
      <c r="Z329" s="245" t="n"/>
    </row>
    <row r="330" ht="16.5" customHeight="1" s="202">
      <c r="A330" s="245" t="n"/>
      <c r="B330" s="245" t="n"/>
      <c r="C330" s="245" t="n"/>
      <c r="D330" s="245" t="n"/>
      <c r="E330" s="245" t="n"/>
      <c r="F330" s="245" t="n"/>
      <c r="G330" s="245" t="n"/>
      <c r="H330" s="247" t="n">
        <v>8</v>
      </c>
      <c r="I330" s="245" t="inlineStr"/>
      <c r="J330" s="245" t="inlineStr"/>
      <c r="K330" s="245" t="inlineStr">
        <is>
          <t>12IN AIRFLOW GEL FOAM MATT TW</t>
        </is>
      </c>
      <c r="L330" s="245" t="inlineStr">
        <is>
          <t>ZU-MFMA1RZI-12T</t>
        </is>
      </c>
      <c r="M330" s="248" t="inlineStr">
        <is>
          <t>1B4WA7LG</t>
        </is>
      </c>
      <c r="N330" s="245" t="inlineStr">
        <is>
          <t>F.MFM.12T.011.AD</t>
        </is>
      </c>
      <c r="O330" s="245" t="n"/>
      <c r="P330" s="245" t="n"/>
      <c r="Q330" s="250">
        <f>R330/H330</f>
        <v/>
      </c>
      <c r="R330" s="251" t="n">
        <v>335.36</v>
      </c>
      <c r="S330" s="249" t="n">
        <v>17843</v>
      </c>
      <c r="T330" s="252">
        <f>S330*R330</f>
        <v/>
      </c>
      <c r="U330" s="245" t="n"/>
      <c r="V330" s="245" t="n"/>
      <c r="W330" s="245" t="n"/>
      <c r="X330" s="245" t="n"/>
      <c r="Y330" s="245" t="n"/>
      <c r="Z330" s="245" t="n"/>
    </row>
    <row r="331" ht="16.5" customHeight="1" s="202">
      <c r="A331" s="245" t="n"/>
      <c r="B331" s="245" t="n"/>
      <c r="C331" s="245" t="n"/>
      <c r="D331" s="245" t="n"/>
      <c r="E331" s="245" t="n"/>
      <c r="F331" s="245" t="n"/>
      <c r="G331" s="245" t="n"/>
      <c r="H331" s="247" t="n">
        <v>280</v>
      </c>
      <c r="I331" s="245" t="inlineStr"/>
      <c r="J331" s="245" t="inlineStr"/>
      <c r="K331" s="245" t="inlineStr">
        <is>
          <t>6IN GREEN TEA MF MATTRESS QN</t>
        </is>
      </c>
      <c r="L331" s="245" t="inlineStr">
        <is>
          <t>ZU-MFMA1ZZI-06Q</t>
        </is>
      </c>
      <c r="M331" s="248" t="inlineStr">
        <is>
          <t>1B4WA7LG</t>
        </is>
      </c>
      <c r="N331" s="245" t="inlineStr">
        <is>
          <t>F.MFM.06Q.007.AD</t>
        </is>
      </c>
      <c r="O331" s="245" t="n"/>
      <c r="P331" s="245" t="n"/>
      <c r="Q331" s="250">
        <f>R331/H331</f>
        <v/>
      </c>
      <c r="R331" s="251" t="n">
        <v>12742.8</v>
      </c>
      <c r="S331" s="249" t="n">
        <v>17843</v>
      </c>
      <c r="T331" s="252">
        <f>S331*R331</f>
        <v/>
      </c>
      <c r="U331" s="245" t="n"/>
      <c r="V331" s="245" t="n"/>
      <c r="W331" s="245" t="n"/>
      <c r="X331" s="245" t="n"/>
      <c r="Y331" s="245" t="n"/>
      <c r="Z331" s="245" t="n"/>
    </row>
    <row r="332" ht="16.5" customHeight="1" s="202">
      <c r="A332" s="245" t="n"/>
      <c r="B332" s="245" t="n"/>
      <c r="C332" s="245" t="n"/>
      <c r="D332" s="245" t="n"/>
      <c r="E332" s="245" t="n"/>
      <c r="F332" s="245" t="n"/>
      <c r="G332" s="245" t="n"/>
      <c r="H332" s="247" t="n">
        <v>1</v>
      </c>
      <c r="I332" s="245" t="inlineStr"/>
      <c r="J332" s="245" t="inlineStr"/>
      <c r="K332" s="245" t="inlineStr">
        <is>
          <t>6IN GREEN TEA MF MATTRESS QN</t>
        </is>
      </c>
      <c r="L332" s="245" t="inlineStr">
        <is>
          <t>ZU-MFMA1FZI-06Q</t>
        </is>
      </c>
      <c r="M332" s="248" t="inlineStr">
        <is>
          <t>431BYTMS</t>
        </is>
      </c>
      <c r="N332" s="245" t="inlineStr">
        <is>
          <t>F.MFM.06Q.006.AD</t>
        </is>
      </c>
      <c r="O332" s="245" t="n"/>
      <c r="P332" s="245" t="n"/>
      <c r="Q332" s="250">
        <f>R332/H332</f>
        <v/>
      </c>
      <c r="R332" s="251" t="n">
        <v>48.78</v>
      </c>
      <c r="S332" s="249" t="n">
        <v>17843</v>
      </c>
      <c r="T332" s="252">
        <f>S332*R332</f>
        <v/>
      </c>
      <c r="U332" s="245" t="n"/>
      <c r="V332" s="245" t="n"/>
      <c r="W332" s="245" t="n"/>
      <c r="X332" s="245" t="n"/>
      <c r="Y332" s="245" t="n"/>
      <c r="Z332" s="245" t="n"/>
    </row>
    <row r="333" ht="16.5" customHeight="1" s="202">
      <c r="A333" s="245" t="n"/>
      <c r="B333" s="245" t="n"/>
      <c r="C333" s="245" t="n"/>
      <c r="D333" s="245" t="n"/>
      <c r="E333" s="245" t="n"/>
      <c r="F333" s="245" t="n"/>
      <c r="G333" s="245" t="n"/>
      <c r="H333" s="247" t="n">
        <v>435</v>
      </c>
      <c r="I333" s="245" t="inlineStr"/>
      <c r="J333" s="245" t="inlineStr"/>
      <c r="K333" s="245" t="inlineStr">
        <is>
          <t>6IN OPP HD TW</t>
        </is>
      </c>
      <c r="L333" s="245" t="inlineStr">
        <is>
          <t>ZU-MFMA1OZI-06T</t>
        </is>
      </c>
      <c r="M333" s="248" t="inlineStr">
        <is>
          <t>431BYTMS</t>
        </is>
      </c>
      <c r="N333" s="245" t="inlineStr">
        <is>
          <t>F.MFM.06T.008.AD</t>
        </is>
      </c>
      <c r="O333" s="245" t="n"/>
      <c r="P333" s="245" t="n"/>
      <c r="Q333" s="250">
        <f>R333/H333</f>
        <v/>
      </c>
      <c r="R333" s="251" t="n">
        <v>11723.25</v>
      </c>
      <c r="S333" s="249" t="n">
        <v>17843</v>
      </c>
      <c r="T333" s="252">
        <f>S333*R333</f>
        <v/>
      </c>
      <c r="U333" s="245" t="n"/>
      <c r="V333" s="245" t="n"/>
      <c r="W333" s="245" t="n"/>
      <c r="X333" s="245" t="n"/>
      <c r="Y333" s="245" t="n"/>
      <c r="Z333" s="245" t="n"/>
    </row>
    <row r="334" ht="16.5" customHeight="1" s="202">
      <c r="A334" s="245" t="n"/>
      <c r="B334" s="245" t="n"/>
      <c r="C334" s="245" t="n"/>
      <c r="D334" s="245" t="n"/>
      <c r="E334" s="245" t="n"/>
      <c r="F334" s="245" t="n"/>
      <c r="G334" s="245" t="n"/>
      <c r="H334" s="247" t="n">
        <v>112</v>
      </c>
      <c r="I334" s="245" t="inlineStr"/>
      <c r="J334" s="245" t="inlineStr"/>
      <c r="K334" s="245" t="inlineStr">
        <is>
          <t>12IN OPP HD QN</t>
        </is>
      </c>
      <c r="L334" s="245" t="inlineStr">
        <is>
          <t>ZU-MFMA1OZI-12Q</t>
        </is>
      </c>
      <c r="M334" s="248" t="inlineStr">
        <is>
          <t>431BYTMS</t>
        </is>
      </c>
      <c r="N334" s="245" t="inlineStr">
        <is>
          <t>F.MFM.12Q.010.AD</t>
        </is>
      </c>
      <c r="O334" s="245" t="n"/>
      <c r="P334" s="245" t="n"/>
      <c r="Q334" s="250">
        <f>R334/H334</f>
        <v/>
      </c>
      <c r="R334" s="251" t="n">
        <v>7567.84</v>
      </c>
      <c r="S334" s="249" t="n">
        <v>17843</v>
      </c>
      <c r="T334" s="252">
        <f>S334*R334</f>
        <v/>
      </c>
      <c r="U334" s="245" t="n"/>
      <c r="V334" s="245" t="n"/>
      <c r="W334" s="245" t="n"/>
      <c r="X334" s="245" t="n"/>
      <c r="Y334" s="245" t="n"/>
      <c r="Z334" s="245" t="n"/>
    </row>
    <row r="335" ht="16.5" customHeight="1" s="202">
      <c r="A335" s="245" t="n"/>
      <c r="B335" s="245" t="n"/>
      <c r="C335" s="245" t="n"/>
      <c r="D335" s="245" t="n"/>
      <c r="E335" s="245" t="n"/>
      <c r="F335" s="245" t="n"/>
      <c r="G335" s="245" t="n"/>
      <c r="H335" s="247" t="n">
        <v>52</v>
      </c>
      <c r="I335" s="245" t="inlineStr"/>
      <c r="J335" s="245" t="inlineStr"/>
      <c r="K335" s="245" t="inlineStr">
        <is>
          <t>10IN AIRFLOW GEL FOAM MATT FL</t>
        </is>
      </c>
      <c r="L335" s="245" t="inlineStr">
        <is>
          <t>ZU-MFMA1RZI-10F</t>
        </is>
      </c>
      <c r="M335" s="248" t="inlineStr">
        <is>
          <t>431BYTMS</t>
        </is>
      </c>
      <c r="N335" s="245" t="inlineStr">
        <is>
          <t>F.MFM.10F.014.AD</t>
        </is>
      </c>
      <c r="O335" s="245" t="n"/>
      <c r="P335" s="245" t="n"/>
      <c r="Q335" s="250">
        <f>R335/H335</f>
        <v/>
      </c>
      <c r="R335" s="251" t="n">
        <v>2491.32</v>
      </c>
      <c r="S335" s="249" t="n">
        <v>17843</v>
      </c>
      <c r="T335" s="252">
        <f>S335*R335</f>
        <v/>
      </c>
      <c r="U335" s="245" t="n"/>
      <c r="V335" s="245" t="n"/>
      <c r="W335" s="245" t="n"/>
      <c r="X335" s="245" t="n"/>
      <c r="Y335" s="245" t="n"/>
      <c r="Z335" s="245" t="n"/>
    </row>
    <row r="336" ht="16.5" customHeight="1" s="202">
      <c r="A336" s="245" t="n"/>
      <c r="B336" s="245" t="n"/>
      <c r="C336" s="245" t="n"/>
      <c r="D336" s="245" t="n"/>
      <c r="E336" s="245" t="n"/>
      <c r="F336" s="245" t="n"/>
      <c r="G336" s="245" t="n"/>
      <c r="H336" s="247" t="n">
        <v>257</v>
      </c>
      <c r="I336" s="245" t="inlineStr"/>
      <c r="J336" s="245" t="inlineStr"/>
      <c r="K336" s="245" t="inlineStr">
        <is>
          <t>6IN GREEN TEA MF MATTRESS NT</t>
        </is>
      </c>
      <c r="L336" s="245" t="inlineStr">
        <is>
          <t>ZU-MFMA1ZZI-06N</t>
        </is>
      </c>
      <c r="M336" s="248" t="inlineStr">
        <is>
          <t>431BYTMS</t>
        </is>
      </c>
      <c r="N336" s="245" t="inlineStr">
        <is>
          <t>F.MFM.06N.007.AD</t>
        </is>
      </c>
      <c r="O336" s="245" t="n"/>
      <c r="P336" s="245" t="n"/>
      <c r="Q336" s="250">
        <f>R336/H336</f>
        <v/>
      </c>
      <c r="R336" s="251" t="n">
        <v>6448.13</v>
      </c>
      <c r="S336" s="249" t="n">
        <v>17843</v>
      </c>
      <c r="T336" s="252">
        <f>S336*R336</f>
        <v/>
      </c>
      <c r="U336" s="245" t="n"/>
      <c r="V336" s="245" t="n"/>
      <c r="W336" s="245" t="n"/>
      <c r="X336" s="245" t="n"/>
      <c r="Y336" s="245" t="n"/>
      <c r="Z336" s="245" t="n"/>
    </row>
    <row r="337" ht="16.5" customHeight="1" s="202">
      <c r="A337" s="245" t="n"/>
      <c r="B337" s="245" t="n"/>
      <c r="C337" s="245" t="n"/>
      <c r="D337" s="245" t="n"/>
      <c r="E337" s="245" t="n"/>
      <c r="F337" s="245" t="n"/>
      <c r="G337" s="245" t="n"/>
      <c r="H337" s="247" t="n">
        <v>2</v>
      </c>
      <c r="I337" s="245" t="inlineStr"/>
      <c r="J337" s="245" t="inlineStr"/>
      <c r="K337" s="245" t="inlineStr">
        <is>
          <t>10IN OPP HD FL</t>
        </is>
      </c>
      <c r="L337" s="245" t="inlineStr">
        <is>
          <t>ZU-MFMA1OZI-10F</t>
        </is>
      </c>
      <c r="M337" s="248" t="inlineStr">
        <is>
          <t>49I1YWOR</t>
        </is>
      </c>
      <c r="N337" s="245" t="inlineStr">
        <is>
          <t>F.MFM.10F.013.AD</t>
        </is>
      </c>
      <c r="O337" s="245" t="n"/>
      <c r="P337" s="245" t="n"/>
      <c r="Q337" s="250">
        <f>R337/H337</f>
        <v/>
      </c>
      <c r="R337" s="251" t="n">
        <v>95.81999999999999</v>
      </c>
      <c r="S337" s="249" t="n">
        <v>17843</v>
      </c>
      <c r="T337" s="252">
        <f>S337*R337</f>
        <v/>
      </c>
      <c r="U337" s="245" t="n"/>
      <c r="V337" s="245" t="n"/>
      <c r="W337" s="245" t="n"/>
      <c r="X337" s="245" t="n"/>
      <c r="Y337" s="245" t="n"/>
      <c r="Z337" s="245" t="n"/>
    </row>
    <row r="338" ht="16.5" customHeight="1" s="202">
      <c r="A338" s="245" t="n"/>
      <c r="B338" s="245" t="n"/>
      <c r="C338" s="245" t="n"/>
      <c r="D338" s="245" t="n"/>
      <c r="E338" s="245" t="n"/>
      <c r="F338" s="245" t="n"/>
      <c r="G338" s="245" t="n"/>
      <c r="H338" s="247" t="n">
        <v>178</v>
      </c>
      <c r="I338" s="245" t="inlineStr"/>
      <c r="J338" s="245" t="inlineStr"/>
      <c r="K338" s="245" t="inlineStr">
        <is>
          <t>6IN GREEN TEA MF MATTRESS NT</t>
        </is>
      </c>
      <c r="L338" s="245" t="inlineStr">
        <is>
          <t>ZU-MFMA1ZZI-06N</t>
        </is>
      </c>
      <c r="M338" s="248" t="inlineStr">
        <is>
          <t>49I1YWOR</t>
        </is>
      </c>
      <c r="N338" s="245" t="inlineStr">
        <is>
          <t>F.MFM.06N.007.AD</t>
        </is>
      </c>
      <c r="O338" s="245" t="n"/>
      <c r="P338" s="245" t="n"/>
      <c r="Q338" s="250">
        <f>R338/H338</f>
        <v/>
      </c>
      <c r="R338" s="251" t="n">
        <v>4466.02</v>
      </c>
      <c r="S338" s="249" t="n">
        <v>17843</v>
      </c>
      <c r="T338" s="252">
        <f>S338*R338</f>
        <v/>
      </c>
      <c r="U338" s="245" t="n"/>
      <c r="V338" s="245" t="n"/>
      <c r="W338" s="245" t="n"/>
      <c r="X338" s="245" t="n"/>
      <c r="Y338" s="245" t="n"/>
      <c r="Z338" s="245" t="n"/>
    </row>
    <row r="339" ht="16.5" customHeight="1" s="202">
      <c r="A339" s="245" t="n"/>
      <c r="B339" s="245" t="n"/>
      <c r="C339" s="245" t="n"/>
      <c r="D339" s="245" t="n"/>
      <c r="E339" s="245" t="n"/>
      <c r="F339" s="245" t="n"/>
      <c r="G339" s="245" t="n"/>
      <c r="H339" s="247" t="n">
        <v>390</v>
      </c>
      <c r="I339" s="245" t="inlineStr"/>
      <c r="J339" s="245" t="inlineStr"/>
      <c r="K339" s="245" t="inlineStr">
        <is>
          <t>6IN GREEN TEA MF MATTRESS TW</t>
        </is>
      </c>
      <c r="L339" s="245" t="inlineStr">
        <is>
          <t>ZU-MFMA1ZZI-06T</t>
        </is>
      </c>
      <c r="M339" s="248" t="inlineStr">
        <is>
          <t>49I1YWOR</t>
        </is>
      </c>
      <c r="N339" s="245" t="inlineStr">
        <is>
          <t>F.MFM.06T.007.AD</t>
        </is>
      </c>
      <c r="O339" s="245" t="n"/>
      <c r="P339" s="245" t="n"/>
      <c r="Q339" s="250">
        <f>R339/H339</f>
        <v/>
      </c>
      <c r="R339" s="251" t="n">
        <v>11898.9</v>
      </c>
      <c r="S339" s="249" t="n">
        <v>17843</v>
      </c>
      <c r="T339" s="252">
        <f>S339*R339</f>
        <v/>
      </c>
      <c r="U339" s="245" t="n"/>
      <c r="V339" s="245" t="n"/>
      <c r="W339" s="245" t="n"/>
      <c r="X339" s="245" t="n"/>
      <c r="Y339" s="245" t="n"/>
      <c r="Z339" s="245" t="n"/>
    </row>
    <row r="340" ht="16.5" customHeight="1" s="202">
      <c r="A340" s="245" t="n"/>
      <c r="B340" s="245" t="n"/>
      <c r="C340" s="245" t="n"/>
      <c r="D340" s="245" t="n"/>
      <c r="E340" s="245" t="n"/>
      <c r="F340" s="245" t="n"/>
      <c r="G340" s="245" t="n"/>
      <c r="H340" s="247" t="n">
        <v>54</v>
      </c>
      <c r="I340" s="245" t="inlineStr"/>
      <c r="J340" s="245" t="inlineStr"/>
      <c r="K340" s="245" t="inlineStr">
        <is>
          <t>12IN GREEN TEA MF MATTRESS TW</t>
        </is>
      </c>
      <c r="L340" s="245" t="inlineStr">
        <is>
          <t>ZU-MFMA1ZZI-12T</t>
        </is>
      </c>
      <c r="M340" s="248" t="inlineStr">
        <is>
          <t>49I1YWOR</t>
        </is>
      </c>
      <c r="N340" s="245" t="inlineStr">
        <is>
          <t>F.MFM.12T.006.AD</t>
        </is>
      </c>
      <c r="O340" s="245" t="n"/>
      <c r="P340" s="245" t="n"/>
      <c r="Q340" s="250">
        <f>R340/H340</f>
        <v/>
      </c>
      <c r="R340" s="251" t="n">
        <v>3412.8</v>
      </c>
      <c r="S340" s="249" t="n">
        <v>17843</v>
      </c>
      <c r="T340" s="252">
        <f>S340*R340</f>
        <v/>
      </c>
      <c r="U340" s="245" t="n"/>
      <c r="V340" s="245" t="n"/>
      <c r="W340" s="245" t="n"/>
      <c r="X340" s="245" t="n"/>
      <c r="Y340" s="245" t="n"/>
      <c r="Z340" s="245" t="n"/>
    </row>
    <row r="341" ht="16.5" customHeight="1" s="202">
      <c r="A341" s="245" t="n"/>
      <c r="B341" s="245" t="n"/>
      <c r="C341" s="245" t="n"/>
      <c r="D341" s="245" t="n"/>
      <c r="E341" s="245" t="n"/>
      <c r="F341" s="245" t="n"/>
      <c r="G341" s="245" t="n"/>
      <c r="H341" s="247" t="n">
        <v>280</v>
      </c>
      <c r="I341" s="245" t="inlineStr"/>
      <c r="J341" s="245" t="inlineStr"/>
      <c r="K341" s="245" t="inlineStr">
        <is>
          <t>12IN GREEN TEA MF MATTRESS TX</t>
        </is>
      </c>
      <c r="L341" s="245" t="inlineStr">
        <is>
          <t>ZU-MFMA1ZZI-12X</t>
        </is>
      </c>
      <c r="M341" s="248" t="inlineStr">
        <is>
          <t>49I1YWOR</t>
        </is>
      </c>
      <c r="N341" s="245" t="inlineStr">
        <is>
          <t>F.MFM.12X.006.AD</t>
        </is>
      </c>
      <c r="O341" s="245" t="n"/>
      <c r="P341" s="245" t="n"/>
      <c r="Q341" s="250">
        <f>R341/H341</f>
        <v/>
      </c>
      <c r="R341" s="251" t="n">
        <v>16324</v>
      </c>
      <c r="S341" s="249" t="n">
        <v>17843</v>
      </c>
      <c r="T341" s="252">
        <f>S341*R341</f>
        <v/>
      </c>
      <c r="U341" s="245" t="n"/>
      <c r="V341" s="245" t="n"/>
      <c r="W341" s="245" t="n"/>
      <c r="X341" s="245" t="n"/>
      <c r="Y341" s="245" t="n"/>
      <c r="Z341" s="245" t="n"/>
    </row>
    <row r="342" ht="16.5" customHeight="1" s="202">
      <c r="A342" s="245" t="n"/>
      <c r="B342" s="245" t="n"/>
      <c r="C342" s="245" t="n"/>
      <c r="D342" s="245" t="n"/>
      <c r="E342" s="245" t="n"/>
      <c r="F342" s="245" t="n"/>
      <c r="G342" s="245" t="n"/>
      <c r="H342" s="247" t="n">
        <v>159</v>
      </c>
      <c r="I342" s="245" t="inlineStr"/>
      <c r="J342" s="245" t="inlineStr"/>
      <c r="K342" s="245" t="inlineStr">
        <is>
          <t>6IN MYGEL FOAM MATTRESS FL</t>
        </is>
      </c>
      <c r="L342" s="245" t="inlineStr">
        <is>
          <t>ZU-MFGN1YZI-06F</t>
        </is>
      </c>
      <c r="M342" s="248" t="inlineStr">
        <is>
          <t>65J4NM1O</t>
        </is>
      </c>
      <c r="N342" s="245" t="inlineStr">
        <is>
          <t>F.MFG.06F.002.AD</t>
        </is>
      </c>
      <c r="O342" s="245" t="n"/>
      <c r="P342" s="245" t="n"/>
      <c r="Q342" s="250">
        <f>R342/H342</f>
        <v/>
      </c>
      <c r="R342" s="251" t="n">
        <v>6189.87</v>
      </c>
      <c r="S342" s="249" t="n">
        <v>17843</v>
      </c>
      <c r="T342" s="252">
        <f>S342*R342</f>
        <v/>
      </c>
      <c r="U342" s="245" t="n"/>
      <c r="V342" s="245" t="n"/>
      <c r="W342" s="245" t="n"/>
      <c r="X342" s="245" t="n"/>
      <c r="Y342" s="245" t="n"/>
      <c r="Z342" s="245" t="n"/>
    </row>
    <row r="343" ht="16.5" customHeight="1" s="202">
      <c r="A343" s="245" t="n"/>
      <c r="B343" s="245" t="n"/>
      <c r="C343" s="245" t="n"/>
      <c r="D343" s="245" t="n"/>
      <c r="E343" s="245" t="n"/>
      <c r="F343" s="245" t="n"/>
      <c r="G343" s="245" t="n"/>
      <c r="H343" s="247" t="n">
        <v>29</v>
      </c>
      <c r="I343" s="245" t="inlineStr"/>
      <c r="J343" s="245" t="inlineStr"/>
      <c r="K343" s="245" t="inlineStr">
        <is>
          <t>10IN GREEN TEA MF MATTRESS SQ</t>
        </is>
      </c>
      <c r="L343" s="245" t="inlineStr">
        <is>
          <t>ZU-MFMA1FZI-10S</t>
        </is>
      </c>
      <c r="M343" s="248" t="inlineStr">
        <is>
          <t>65J4NM1O</t>
        </is>
      </c>
      <c r="N343" s="245" t="inlineStr">
        <is>
          <t>F.MFM.10S.009.AD</t>
        </is>
      </c>
      <c r="O343" s="245" t="n"/>
      <c r="P343" s="245" t="n"/>
      <c r="Q343" s="250">
        <f>R343/H343</f>
        <v/>
      </c>
      <c r="R343" s="251" t="n">
        <v>2117.58</v>
      </c>
      <c r="S343" s="249" t="n">
        <v>17843</v>
      </c>
      <c r="T343" s="252">
        <f>S343*R343</f>
        <v/>
      </c>
      <c r="U343" s="245" t="n"/>
      <c r="V343" s="245" t="n"/>
      <c r="W343" s="245" t="n"/>
      <c r="X343" s="245" t="n"/>
      <c r="Y343" s="245" t="n"/>
      <c r="Z343" s="245" t="n"/>
    </row>
    <row r="344" ht="16.5" customHeight="1" s="202">
      <c r="A344" s="245" t="n"/>
      <c r="B344" s="245" t="n"/>
      <c r="C344" s="245" t="n"/>
      <c r="D344" s="245" t="n"/>
      <c r="E344" s="245" t="n"/>
      <c r="F344" s="245" t="n"/>
      <c r="G344" s="245" t="n"/>
      <c r="H344" s="247" t="n">
        <v>31</v>
      </c>
      <c r="I344" s="245" t="inlineStr"/>
      <c r="J344" s="245" t="inlineStr"/>
      <c r="K344" s="245" t="inlineStr">
        <is>
          <t>12IN OPP HD QN</t>
        </is>
      </c>
      <c r="L344" s="245" t="inlineStr">
        <is>
          <t>ZU-MFMA1OZI-12Q</t>
        </is>
      </c>
      <c r="M344" s="248" t="inlineStr">
        <is>
          <t>65J4NM1O</t>
        </is>
      </c>
      <c r="N344" s="245" t="inlineStr">
        <is>
          <t>F.MFM.12Q.010.AD</t>
        </is>
      </c>
      <c r="O344" s="245" t="n"/>
      <c r="P344" s="245" t="n"/>
      <c r="Q344" s="250">
        <f>R344/H344</f>
        <v/>
      </c>
      <c r="R344" s="251" t="n">
        <v>2094.67</v>
      </c>
      <c r="S344" s="249" t="n">
        <v>17843</v>
      </c>
      <c r="T344" s="252">
        <f>S344*R344</f>
        <v/>
      </c>
      <c r="U344" s="245" t="n"/>
      <c r="V344" s="245" t="n"/>
      <c r="W344" s="245" t="n"/>
      <c r="X344" s="245" t="n"/>
      <c r="Y344" s="245" t="n"/>
      <c r="Z344" s="245" t="n"/>
    </row>
    <row r="345" ht="16.5" customHeight="1" s="202">
      <c r="A345" s="245" t="n"/>
      <c r="B345" s="245" t="n"/>
      <c r="C345" s="245" t="n"/>
      <c r="D345" s="245" t="n"/>
      <c r="E345" s="245" t="n"/>
      <c r="F345" s="245" t="n"/>
      <c r="G345" s="245" t="n"/>
      <c r="H345" s="247" t="n">
        <v>121</v>
      </c>
      <c r="I345" s="245" t="inlineStr"/>
      <c r="J345" s="245" t="inlineStr"/>
      <c r="K345" s="245" t="inlineStr">
        <is>
          <t>6IN GREEN TEA MF MATTRESS NT</t>
        </is>
      </c>
      <c r="L345" s="245" t="inlineStr">
        <is>
          <t>ZU-MFMA1ZZI-06N</t>
        </is>
      </c>
      <c r="M345" s="248" t="inlineStr">
        <is>
          <t>65J4NM1O</t>
        </is>
      </c>
      <c r="N345" s="245" t="inlineStr">
        <is>
          <t>F.MFM.06N.007.AD</t>
        </is>
      </c>
      <c r="O345" s="245" t="n"/>
      <c r="P345" s="245" t="n"/>
      <c r="Q345" s="250">
        <f>R345/H345</f>
        <v/>
      </c>
      <c r="R345" s="251" t="n">
        <v>3035.89</v>
      </c>
      <c r="S345" s="249" t="n">
        <v>17843</v>
      </c>
      <c r="T345" s="252">
        <f>S345*R345</f>
        <v/>
      </c>
      <c r="U345" s="245" t="n"/>
      <c r="V345" s="245" t="n"/>
      <c r="W345" s="245" t="n"/>
      <c r="X345" s="245" t="n"/>
      <c r="Y345" s="245" t="n"/>
      <c r="Z345" s="245" t="n"/>
    </row>
    <row r="346" ht="16.5" customHeight="1" s="202">
      <c r="A346" s="245" t="n"/>
      <c r="B346" s="245" t="n"/>
      <c r="C346" s="245" t="n"/>
      <c r="D346" s="245" t="n"/>
      <c r="E346" s="245" t="n"/>
      <c r="F346" s="245" t="n"/>
      <c r="G346" s="245" t="n"/>
      <c r="H346" s="247" t="n">
        <v>550</v>
      </c>
      <c r="I346" s="245" t="inlineStr"/>
      <c r="J346" s="245" t="inlineStr"/>
      <c r="K346" s="245" t="inlineStr">
        <is>
          <t>6IN GREEN TEA MF MATTRESS TW</t>
        </is>
      </c>
      <c r="L346" s="245" t="inlineStr">
        <is>
          <t>ZU-MFMA1ZZI-06T</t>
        </is>
      </c>
      <c r="M346" s="248" t="inlineStr">
        <is>
          <t>65J4NM1O</t>
        </is>
      </c>
      <c r="N346" s="245" t="inlineStr">
        <is>
          <t>F.MFM.06T.007.AD</t>
        </is>
      </c>
      <c r="O346" s="245" t="n"/>
      <c r="P346" s="245" t="n"/>
      <c r="Q346" s="250">
        <f>R346/H346</f>
        <v/>
      </c>
      <c r="R346" s="251" t="n">
        <v>16780.5</v>
      </c>
      <c r="S346" s="249" t="n">
        <v>17843</v>
      </c>
      <c r="T346" s="252">
        <f>S346*R346</f>
        <v/>
      </c>
      <c r="U346" s="245" t="n"/>
      <c r="V346" s="245" t="n"/>
      <c r="W346" s="245" t="n"/>
      <c r="X346" s="245" t="n"/>
      <c r="Y346" s="245" t="n"/>
      <c r="Z346" s="245" t="n"/>
    </row>
    <row r="347" ht="16.5" customHeight="1" s="202">
      <c r="A347" s="245" t="n"/>
      <c r="B347" s="245" t="n"/>
      <c r="C347" s="245" t="n"/>
      <c r="D347" s="245" t="n"/>
      <c r="E347" s="245" t="n"/>
      <c r="F347" s="245" t="n"/>
      <c r="G347" s="245" t="n"/>
      <c r="H347" s="247" t="n">
        <v>288</v>
      </c>
      <c r="I347" s="245" t="inlineStr"/>
      <c r="J347" s="245" t="inlineStr"/>
      <c r="K347" s="245" t="inlineStr">
        <is>
          <t>12IN AIRFLOW GEL FOAM MATT QN</t>
        </is>
      </c>
      <c r="L347" s="245" t="inlineStr">
        <is>
          <t>ZU-MFMA1RZI-12Q</t>
        </is>
      </c>
      <c r="M347" s="248" t="inlineStr">
        <is>
          <t>8VH4IB5C</t>
        </is>
      </c>
      <c r="N347" s="245" t="inlineStr">
        <is>
          <t>F.MFM.12Q.011.AD</t>
        </is>
      </c>
      <c r="O347" s="245" t="n"/>
      <c r="P347" s="245" t="n"/>
      <c r="Q347" s="250">
        <f>R347/H347</f>
        <v/>
      </c>
      <c r="R347" s="251" t="n">
        <v>19460.16</v>
      </c>
      <c r="S347" s="249" t="n">
        <v>17843</v>
      </c>
      <c r="T347" s="252">
        <f>S347*R347</f>
        <v/>
      </c>
      <c r="U347" s="245" t="n"/>
      <c r="V347" s="245" t="n"/>
      <c r="W347" s="245" t="n"/>
      <c r="X347" s="245" t="n"/>
      <c r="Y347" s="245" t="n"/>
      <c r="Z347" s="245" t="n"/>
    </row>
    <row r="348" ht="16.5" customHeight="1" s="202">
      <c r="A348" s="245" t="n"/>
      <c r="B348" s="245" t="n"/>
      <c r="C348" s="245" t="n"/>
      <c r="D348" s="245" t="n"/>
      <c r="E348" s="245" t="n"/>
      <c r="F348" s="245" t="n"/>
      <c r="G348" s="245" t="n"/>
      <c r="H348" s="247" t="n">
        <v>142</v>
      </c>
      <c r="I348" s="245" t="inlineStr"/>
      <c r="J348" s="245" t="inlineStr"/>
      <c r="K348" s="245" t="inlineStr">
        <is>
          <t>6IN GREEN TEA MF MATTRESS QN</t>
        </is>
      </c>
      <c r="L348" s="245" t="inlineStr">
        <is>
          <t>ZU-MFMA1ZZI-06Q</t>
        </is>
      </c>
      <c r="M348" s="248" t="inlineStr">
        <is>
          <t>8VH4IB5C</t>
        </is>
      </c>
      <c r="N348" s="245" t="inlineStr">
        <is>
          <t>F.MFM.06Q.007.AD</t>
        </is>
      </c>
      <c r="O348" s="245" t="n"/>
      <c r="P348" s="245" t="n"/>
      <c r="Q348" s="250">
        <f>R348/H348</f>
        <v/>
      </c>
      <c r="R348" s="251" t="n">
        <v>6462.42</v>
      </c>
      <c r="S348" s="249" t="n">
        <v>17843</v>
      </c>
      <c r="T348" s="252">
        <f>S348*R348</f>
        <v/>
      </c>
      <c r="U348" s="245" t="n"/>
      <c r="V348" s="245" t="n"/>
      <c r="W348" s="245" t="n"/>
      <c r="X348" s="245" t="n"/>
      <c r="Y348" s="245" t="n"/>
      <c r="Z348" s="245" t="n"/>
    </row>
    <row r="349" ht="16.5" customHeight="1" s="202">
      <c r="A349" s="245" t="n"/>
      <c r="B349" s="245" t="n"/>
      <c r="C349" s="245" t="n"/>
      <c r="D349" s="245" t="n"/>
      <c r="E349" s="245" t="n"/>
      <c r="F349" s="245" t="n"/>
      <c r="G349" s="245" t="n"/>
      <c r="H349" s="247" t="n">
        <v>23</v>
      </c>
      <c r="I349" s="245" t="inlineStr"/>
      <c r="J349" s="245" t="inlineStr"/>
      <c r="K349" s="245" t="inlineStr">
        <is>
          <t>8IN GREEN TEA MF MATTRESS SQ</t>
        </is>
      </c>
      <c r="L349" s="245" t="inlineStr">
        <is>
          <t>ZU-MFMA1ZZI-08S</t>
        </is>
      </c>
      <c r="M349" s="248" t="inlineStr">
        <is>
          <t>8VH4IB5C</t>
        </is>
      </c>
      <c r="N349" s="245" t="inlineStr">
        <is>
          <t>F.MFM.08S.011.AD</t>
        </is>
      </c>
      <c r="O349" s="245" t="n"/>
      <c r="P349" s="245" t="n"/>
      <c r="Q349" s="250">
        <f>R349/H349</f>
        <v/>
      </c>
      <c r="R349" s="251" t="n">
        <v>1359.3</v>
      </c>
      <c r="S349" s="249" t="n">
        <v>17843</v>
      </c>
      <c r="T349" s="252">
        <f>S349*R349</f>
        <v/>
      </c>
      <c r="U349" s="245" t="n"/>
      <c r="V349" s="245" t="n"/>
      <c r="W349" s="245" t="n"/>
      <c r="X349" s="245" t="n"/>
      <c r="Y349" s="245" t="n"/>
      <c r="Z349" s="245" t="n"/>
    </row>
    <row r="350" ht="17.1" customHeight="1" s="202">
      <c r="A350" s="254" t="n"/>
      <c r="B350" s="254" t="n"/>
      <c r="C350" s="254" t="n"/>
      <c r="D350" s="254" t="n"/>
      <c r="E350" s="254" t="n"/>
      <c r="F350" s="254" t="n"/>
      <c r="G350" s="254" t="n"/>
      <c r="H350" s="255">
        <f>SUM(H307:H349)</f>
        <v/>
      </c>
      <c r="I350" s="254">
        <f>COUNTA(I307:I349)</f>
        <v/>
      </c>
      <c r="J350" s="254" t="n"/>
      <c r="K350" s="254" t="n"/>
      <c r="L350" s="254" t="n"/>
      <c r="M350" s="254" t="n"/>
      <c r="N350" s="254" t="n"/>
      <c r="O350" s="256">
        <f>SUM(O307:O349)</f>
        <v/>
      </c>
      <c r="P350" s="256">
        <f>SUM(P307:P349)</f>
        <v/>
      </c>
      <c r="Q350" s="254" t="n"/>
      <c r="R350" s="257">
        <f>SUM(R307:R349)</f>
        <v/>
      </c>
      <c r="S350" s="254" t="n"/>
      <c r="T350" s="258">
        <f>SUM(T307:T349)</f>
        <v/>
      </c>
      <c r="U350" s="254" t="n"/>
      <c r="V350" s="254" t="n"/>
      <c r="W350" s="254" t="n"/>
      <c r="X350" s="254" t="n"/>
      <c r="Y350" s="254" t="n"/>
      <c r="Z350" s="254" t="n"/>
    </row>
    <row r="351" ht="16.5" customHeight="1" s="202">
      <c r="A351" s="245" t="n">
        <v>44</v>
      </c>
      <c r="B351" s="245" t="inlineStr">
        <is>
          <t>000030ZIK48020260822000679</t>
        </is>
      </c>
      <c r="C351" s="245" t="n">
        <v>532518</v>
      </c>
      <c r="D351" s="245" t="n">
        <v>532471</v>
      </c>
      <c r="E351" s="246" t="n">
        <v>46258</v>
      </c>
      <c r="F351" s="245" t="inlineStr">
        <is>
          <t>ID2608-8215</t>
        </is>
      </c>
      <c r="G351" s="246" t="n">
        <v>46255</v>
      </c>
      <c r="H351" s="247" t="n">
        <v>520</v>
      </c>
      <c r="I351" s="245" t="inlineStr">
        <is>
          <t>CAIU9058828</t>
        </is>
      </c>
      <c r="J351" s="245" t="inlineStr">
        <is>
          <t>40FT</t>
        </is>
      </c>
      <c r="K351" s="245" t="inlineStr">
        <is>
          <t>8IN GREEN TEA MF MATTRESS FL</t>
        </is>
      </c>
      <c r="L351" s="245" t="inlineStr">
        <is>
          <t>SCF-STR-800F</t>
        </is>
      </c>
      <c r="M351" s="248" t="inlineStr">
        <is>
          <t>0993630683</t>
        </is>
      </c>
      <c r="N351" s="245" t="inlineStr">
        <is>
          <t>F.MFM.08F.000.WS</t>
        </is>
      </c>
      <c r="O351" s="249" t="n">
        <v>10618.4</v>
      </c>
      <c r="P351" s="249" t="n">
        <v>9370.4</v>
      </c>
      <c r="Q351" s="250">
        <f>R351/H351</f>
        <v/>
      </c>
      <c r="R351" s="251" t="n">
        <v>41480.4</v>
      </c>
      <c r="S351" s="249" t="n">
        <v>17843</v>
      </c>
      <c r="T351" s="252">
        <f>S351*R351</f>
        <v/>
      </c>
      <c r="U351" s="245" t="inlineStr">
        <is>
          <t>040300/KPPBC</t>
        </is>
      </c>
      <c r="V351" s="245" t="inlineStr">
        <is>
          <t>TG. PRIOK</t>
        </is>
      </c>
      <c r="W351" s="245" t="inlineStr">
        <is>
          <t>SAVANNAH, US</t>
        </is>
      </c>
      <c r="X351" s="245" t="inlineStr">
        <is>
          <t>WALMART, INC.</t>
        </is>
      </c>
      <c r="Y351" s="245" t="inlineStr">
        <is>
          <t>MAEU274875442</t>
        </is>
      </c>
      <c r="Z351" s="246" t="n">
        <v>46258</v>
      </c>
    </row>
    <row r="352" ht="16.5" customHeight="1" s="202">
      <c r="A352" s="245" t="n"/>
      <c r="B352" s="245" t="n"/>
      <c r="C352" s="245" t="n"/>
      <c r="D352" s="245" t="n"/>
      <c r="E352" s="245" t="n"/>
      <c r="F352" s="245" t="n"/>
      <c r="G352" s="245" t="n"/>
      <c r="H352" s="245" t="n"/>
      <c r="I352" s="245" t="n"/>
      <c r="J352" s="245" t="n"/>
      <c r="K352" s="245" t="n"/>
      <c r="L352" s="245" t="n"/>
      <c r="M352" s="245" t="n"/>
      <c r="N352" s="245" t="n"/>
      <c r="O352" s="245" t="n"/>
      <c r="P352" s="245" t="n"/>
      <c r="Q352" s="245" t="n"/>
      <c r="R352" s="245" t="n"/>
      <c r="S352" s="245" t="n"/>
      <c r="T352" s="245" t="n"/>
      <c r="U352" s="245" t="n"/>
      <c r="V352" s="245" t="n"/>
      <c r="W352" s="245" t="inlineStr">
        <is>
          <t>ETD : 30-08-2026</t>
        </is>
      </c>
      <c r="X352" s="245" t="n"/>
      <c r="Y352" s="245" t="n"/>
      <c r="Z352" s="245" t="n"/>
    </row>
    <row r="353" ht="17.1" customHeight="1" s="202">
      <c r="A353" s="254" t="n"/>
      <c r="B353" s="254" t="n"/>
      <c r="C353" s="254" t="n"/>
      <c r="D353" s="254" t="n"/>
      <c r="E353" s="254" t="n"/>
      <c r="F353" s="254" t="n"/>
      <c r="G353" s="254" t="n"/>
      <c r="H353" s="255">
        <f>SUM(H351:H352)</f>
        <v/>
      </c>
      <c r="I353" s="254">
        <f>COUNTA(I351:I352)</f>
        <v/>
      </c>
      <c r="J353" s="254" t="n"/>
      <c r="K353" s="254" t="n"/>
      <c r="L353" s="254" t="n"/>
      <c r="M353" s="254" t="n"/>
      <c r="N353" s="254" t="n"/>
      <c r="O353" s="256">
        <f>SUM(O351:O352)</f>
        <v/>
      </c>
      <c r="P353" s="256">
        <f>SUM(P351:P352)</f>
        <v/>
      </c>
      <c r="Q353" s="254" t="n"/>
      <c r="R353" s="257">
        <f>SUM(R351:R352)</f>
        <v/>
      </c>
      <c r="S353" s="254" t="n"/>
      <c r="T353" s="258">
        <f>SUM(T351:T352)</f>
        <v/>
      </c>
      <c r="U353" s="254" t="n"/>
      <c r="V353" s="254" t="n"/>
      <c r="W353" s="254" t="n"/>
      <c r="X353" s="254" t="n"/>
      <c r="Y353" s="254" t="n"/>
      <c r="Z353" s="254" t="n"/>
    </row>
    <row r="354" ht="16.5" customHeight="1" s="202">
      <c r="A354" s="245" t="n">
        <v>45</v>
      </c>
      <c r="B354" s="245" t="inlineStr">
        <is>
          <t>000030ZIK48020260822000680</t>
        </is>
      </c>
      <c r="C354" s="245" t="n">
        <v>532557</v>
      </c>
      <c r="D354" s="245" t="n">
        <v>532510</v>
      </c>
      <c r="E354" s="246" t="n">
        <v>46258</v>
      </c>
      <c r="F354" s="245" t="inlineStr">
        <is>
          <t>ID2608-8172</t>
        </is>
      </c>
      <c r="G354" s="246" t="n">
        <v>46253</v>
      </c>
      <c r="H354" s="247" t="n">
        <v>43</v>
      </c>
      <c r="I354" s="245" t="inlineStr">
        <is>
          <t>MRKU5843104</t>
        </is>
      </c>
      <c r="J354" s="245" t="inlineStr">
        <is>
          <t>40FT</t>
        </is>
      </c>
      <c r="K354" s="245" t="inlineStr">
        <is>
          <t>8IN MYGEL FOAM MATTRESS FL</t>
        </is>
      </c>
      <c r="L354" s="245" t="inlineStr">
        <is>
          <t>ZU-MFGN1YZI-08F</t>
        </is>
      </c>
      <c r="M354" s="248" t="inlineStr">
        <is>
          <t>4MAWQLES</t>
        </is>
      </c>
      <c r="N354" s="245" t="inlineStr">
        <is>
          <t>F.MFG.08F.003.AD</t>
        </is>
      </c>
      <c r="O354" s="249" t="n">
        <v>49558.85</v>
      </c>
      <c r="P354" s="249" t="n">
        <v>43038.76</v>
      </c>
      <c r="Q354" s="250">
        <f>R354/H354</f>
        <v/>
      </c>
      <c r="R354" s="251" t="n">
        <v>2374.03</v>
      </c>
      <c r="S354" s="249" t="n">
        <v>17843</v>
      </c>
      <c r="T354" s="252">
        <f>S354*R354</f>
        <v/>
      </c>
      <c r="U354" s="245" t="inlineStr">
        <is>
          <t>040300/KPPBC</t>
        </is>
      </c>
      <c r="V354" s="245" t="inlineStr">
        <is>
          <t>TG. PRIOK</t>
        </is>
      </c>
      <c r="W354" s="245" t="inlineStr">
        <is>
          <t>LOS ANGELES, US</t>
        </is>
      </c>
      <c r="X354" s="245" t="inlineStr">
        <is>
          <t>AMAZON.COM SERVICES LLC</t>
        </is>
      </c>
      <c r="Y354" s="245" t="inlineStr">
        <is>
          <t>MAEU274528513</t>
        </is>
      </c>
      <c r="Z354" s="246" t="n">
        <v>46258</v>
      </c>
    </row>
    <row r="355" ht="16.5" customHeight="1" s="202">
      <c r="A355" s="245" t="n"/>
      <c r="B355" s="245" t="n"/>
      <c r="C355" s="245" t="n"/>
      <c r="D355" s="245" t="n"/>
      <c r="E355" s="245" t="n"/>
      <c r="F355" s="245" t="n"/>
      <c r="G355" s="245" t="n"/>
      <c r="H355" s="247" t="n">
        <v>43</v>
      </c>
      <c r="I355" s="245" t="inlineStr">
        <is>
          <t>MAGU5500359</t>
        </is>
      </c>
      <c r="J355" s="245" t="inlineStr">
        <is>
          <t>40FT</t>
        </is>
      </c>
      <c r="K355" s="245" t="inlineStr">
        <is>
          <t>12IN MYGEL FOAM MATTRESS FL</t>
        </is>
      </c>
      <c r="L355" s="245" t="inlineStr">
        <is>
          <t>ZU-MFGN1YZI-12F</t>
        </is>
      </c>
      <c r="M355" s="248" t="inlineStr">
        <is>
          <t>4MAWQLES</t>
        </is>
      </c>
      <c r="N355" s="245" t="inlineStr">
        <is>
          <t>F.MFG.12F.002.AD</t>
        </is>
      </c>
      <c r="O355" s="245" t="n"/>
      <c r="P355" s="245" t="n"/>
      <c r="Q355" s="250">
        <f>R355/H355</f>
        <v/>
      </c>
      <c r="R355" s="251" t="n">
        <v>3044.83</v>
      </c>
      <c r="S355" s="249" t="n">
        <v>17843</v>
      </c>
      <c r="T355" s="252">
        <f>S355*R355</f>
        <v/>
      </c>
      <c r="U355" s="245" t="n"/>
      <c r="V355" s="245" t="n"/>
      <c r="W355" s="245" t="inlineStr">
        <is>
          <t>ETD : 30-08-2026</t>
        </is>
      </c>
      <c r="X355" s="245" t="n"/>
      <c r="Y355" s="245" t="n"/>
      <c r="Z355" s="245" t="n"/>
    </row>
    <row r="356" ht="16.5" customHeight="1" s="202">
      <c r="A356" s="245" t="n"/>
      <c r="B356" s="245" t="n"/>
      <c r="C356" s="245" t="n"/>
      <c r="D356" s="245" t="n"/>
      <c r="E356" s="245" t="n"/>
      <c r="F356" s="245" t="n"/>
      <c r="G356" s="245" t="n"/>
      <c r="H356" s="247" t="n">
        <v>3</v>
      </c>
      <c r="I356" s="245" t="inlineStr">
        <is>
          <t>MRKU5212080</t>
        </is>
      </c>
      <c r="J356" s="245" t="inlineStr">
        <is>
          <t>40FT</t>
        </is>
      </c>
      <c r="K356" s="245" t="inlineStr">
        <is>
          <t>6IN GREEN TEA MF MATTRESS QN</t>
        </is>
      </c>
      <c r="L356" s="245" t="inlineStr">
        <is>
          <t>ZU-MFMA1FZI-06Q</t>
        </is>
      </c>
      <c r="M356" s="248" t="inlineStr">
        <is>
          <t>4MAWQLES</t>
        </is>
      </c>
      <c r="N356" s="245" t="inlineStr">
        <is>
          <t>F.MFM.06Q.006.AD</t>
        </is>
      </c>
      <c r="O356" s="245" t="n"/>
      <c r="P356" s="245" t="n"/>
      <c r="Q356" s="250">
        <f>R356/H356</f>
        <v/>
      </c>
      <c r="R356" s="251" t="n">
        <v>146.34</v>
      </c>
      <c r="S356" s="249" t="n">
        <v>17843</v>
      </c>
      <c r="T356" s="252">
        <f>S356*R356</f>
        <v/>
      </c>
      <c r="U356" s="245" t="n"/>
      <c r="V356" s="245" t="n"/>
      <c r="W356" s="245" t="n"/>
      <c r="X356" s="245" t="n"/>
      <c r="Y356" s="245" t="n"/>
      <c r="Z356" s="245" t="n"/>
    </row>
    <row r="357" ht="16.5" customHeight="1" s="202">
      <c r="A357" s="245" t="n"/>
      <c r="B357" s="245" t="n"/>
      <c r="C357" s="245" t="n"/>
      <c r="D357" s="245" t="n"/>
      <c r="E357" s="245" t="n"/>
      <c r="F357" s="245" t="n"/>
      <c r="G357" s="245" t="n"/>
      <c r="H357" s="247" t="n">
        <v>4</v>
      </c>
      <c r="I357" s="245" t="inlineStr">
        <is>
          <t>TCNU7551021</t>
        </is>
      </c>
      <c r="J357" s="245" t="inlineStr">
        <is>
          <t>40FT</t>
        </is>
      </c>
      <c r="K357" s="245" t="inlineStr">
        <is>
          <t>8IN GREEN TEA MF MATTRESS FL</t>
        </is>
      </c>
      <c r="L357" s="245" t="inlineStr">
        <is>
          <t>ZU-MFMA1FZI-08F</t>
        </is>
      </c>
      <c r="M357" s="248" t="inlineStr">
        <is>
          <t>4MAWQLES</t>
        </is>
      </c>
      <c r="N357" s="245" t="inlineStr">
        <is>
          <t>F.MFM.08F.012.AD</t>
        </is>
      </c>
      <c r="O357" s="245" t="n"/>
      <c r="P357" s="245" t="n"/>
      <c r="Q357" s="250">
        <f>R357/H357</f>
        <v/>
      </c>
      <c r="R357" s="251" t="n">
        <v>236.16</v>
      </c>
      <c r="S357" s="249" t="n">
        <v>17843</v>
      </c>
      <c r="T357" s="252">
        <f>S357*R357</f>
        <v/>
      </c>
      <c r="U357" s="245" t="n"/>
      <c r="V357" s="245" t="n"/>
      <c r="W357" s="245" t="n"/>
      <c r="X357" s="245" t="n"/>
      <c r="Y357" s="245" t="n"/>
      <c r="Z357" s="245" t="n"/>
    </row>
    <row r="358" ht="16.5" customHeight="1" s="202">
      <c r="A358" s="245" t="n"/>
      <c r="B358" s="245" t="n"/>
      <c r="C358" s="245" t="n"/>
      <c r="D358" s="245" t="n"/>
      <c r="E358" s="245" t="n"/>
      <c r="F358" s="245" t="n"/>
      <c r="G358" s="245" t="n"/>
      <c r="H358" s="247" t="n">
        <v>163</v>
      </c>
      <c r="I358" s="245" t="inlineStr"/>
      <c r="J358" s="245" t="inlineStr"/>
      <c r="K358" s="245" t="inlineStr">
        <is>
          <t>8IN OPP HD FL</t>
        </is>
      </c>
      <c r="L358" s="245" t="inlineStr">
        <is>
          <t>ZU-MFMA1OZI-08F</t>
        </is>
      </c>
      <c r="M358" s="248" t="inlineStr">
        <is>
          <t>4MAWQLES</t>
        </is>
      </c>
      <c r="N358" s="245" t="inlineStr">
        <is>
          <t>F.MFM.08F.013.AD</t>
        </is>
      </c>
      <c r="O358" s="245" t="n"/>
      <c r="P358" s="245" t="n"/>
      <c r="Q358" s="250">
        <f>R358/H358</f>
        <v/>
      </c>
      <c r="R358" s="251" t="n">
        <v>6345.59</v>
      </c>
      <c r="S358" s="249" t="n">
        <v>17843</v>
      </c>
      <c r="T358" s="252">
        <f>S358*R358</f>
        <v/>
      </c>
      <c r="U358" s="245" t="n"/>
      <c r="V358" s="245" t="n"/>
      <c r="W358" s="245" t="n"/>
      <c r="X358" s="245" t="n"/>
      <c r="Y358" s="245" t="n"/>
      <c r="Z358" s="245" t="n"/>
    </row>
    <row r="359" ht="16.5" customHeight="1" s="202">
      <c r="A359" s="245" t="n"/>
      <c r="B359" s="245" t="n"/>
      <c r="C359" s="245" t="n"/>
      <c r="D359" s="245" t="n"/>
      <c r="E359" s="245" t="n"/>
      <c r="F359" s="245" t="n"/>
      <c r="G359" s="245" t="n"/>
      <c r="H359" s="247" t="n">
        <v>32</v>
      </c>
      <c r="I359" s="245" t="inlineStr"/>
      <c r="J359" s="245" t="inlineStr"/>
      <c r="K359" s="245" t="inlineStr">
        <is>
          <t>10IN OPP HD FL</t>
        </is>
      </c>
      <c r="L359" s="245" t="inlineStr">
        <is>
          <t>ZU-MFMA1OZI-10F</t>
        </is>
      </c>
      <c r="M359" s="248" t="inlineStr">
        <is>
          <t>4MAWQLES</t>
        </is>
      </c>
      <c r="N359" s="245" t="inlineStr">
        <is>
          <t>F.MFM.10F.013.AD</t>
        </is>
      </c>
      <c r="O359" s="245" t="n"/>
      <c r="P359" s="245" t="n"/>
      <c r="Q359" s="250">
        <f>R359/H359</f>
        <v/>
      </c>
      <c r="R359" s="251" t="n">
        <v>1533.12</v>
      </c>
      <c r="S359" s="249" t="n">
        <v>17843</v>
      </c>
      <c r="T359" s="252">
        <f>S359*R359</f>
        <v/>
      </c>
      <c r="U359" s="245" t="n"/>
      <c r="V359" s="245" t="n"/>
      <c r="W359" s="245" t="n"/>
      <c r="X359" s="245" t="n"/>
      <c r="Y359" s="245" t="n"/>
      <c r="Z359" s="245" t="n"/>
    </row>
    <row r="360" ht="16.5" customHeight="1" s="202">
      <c r="A360" s="245" t="n"/>
      <c r="B360" s="245" t="n"/>
      <c r="C360" s="245" t="n"/>
      <c r="D360" s="245" t="n"/>
      <c r="E360" s="245" t="n"/>
      <c r="F360" s="245" t="n"/>
      <c r="G360" s="245" t="n"/>
      <c r="H360" s="247" t="n">
        <v>8</v>
      </c>
      <c r="I360" s="245" t="inlineStr"/>
      <c r="J360" s="245" t="inlineStr"/>
      <c r="K360" s="245" t="inlineStr">
        <is>
          <t>12IN AIRFLOW GEL FOAM MATT TW</t>
        </is>
      </c>
      <c r="L360" s="245" t="inlineStr">
        <is>
          <t>ZU-MFMA1RZI-12T</t>
        </is>
      </c>
      <c r="M360" s="248" t="inlineStr">
        <is>
          <t>4MAWQLES</t>
        </is>
      </c>
      <c r="N360" s="245" t="inlineStr">
        <is>
          <t>F.MFM.12T.011.AD</t>
        </is>
      </c>
      <c r="O360" s="245" t="n"/>
      <c r="P360" s="245" t="n"/>
      <c r="Q360" s="250">
        <f>R360/H360</f>
        <v/>
      </c>
      <c r="R360" s="251" t="n">
        <v>335.36</v>
      </c>
      <c r="S360" s="249" t="n">
        <v>17843</v>
      </c>
      <c r="T360" s="252">
        <f>S360*R360</f>
        <v/>
      </c>
      <c r="U360" s="245" t="n"/>
      <c r="V360" s="245" t="n"/>
      <c r="W360" s="245" t="n"/>
      <c r="X360" s="245" t="n"/>
      <c r="Y360" s="245" t="n"/>
      <c r="Z360" s="245" t="n"/>
    </row>
    <row r="361" ht="16.5" customHeight="1" s="202">
      <c r="A361" s="245" t="n"/>
      <c r="B361" s="245" t="n"/>
      <c r="C361" s="245" t="n"/>
      <c r="D361" s="245" t="n"/>
      <c r="E361" s="245" t="n"/>
      <c r="F361" s="245" t="n"/>
      <c r="G361" s="245" t="n"/>
      <c r="H361" s="247" t="n">
        <v>204</v>
      </c>
      <c r="I361" s="245" t="inlineStr"/>
      <c r="J361" s="245" t="inlineStr"/>
      <c r="K361" s="245" t="inlineStr">
        <is>
          <t>6IN GREEN TEA MF MATTRESS QN</t>
        </is>
      </c>
      <c r="L361" s="245" t="inlineStr">
        <is>
          <t>ZU-MFMA1ZZI-06Q</t>
        </is>
      </c>
      <c r="M361" s="248" t="inlineStr">
        <is>
          <t>4MAWQLES</t>
        </is>
      </c>
      <c r="N361" s="245" t="inlineStr">
        <is>
          <t>F.MFM.06Q.007.AD</t>
        </is>
      </c>
      <c r="O361" s="245" t="n"/>
      <c r="P361" s="245" t="n"/>
      <c r="Q361" s="250">
        <f>R361/H361</f>
        <v/>
      </c>
      <c r="R361" s="251" t="n">
        <v>9284.040000000001</v>
      </c>
      <c r="S361" s="249" t="n">
        <v>17843</v>
      </c>
      <c r="T361" s="252">
        <f>S361*R361</f>
        <v/>
      </c>
      <c r="U361" s="245" t="n"/>
      <c r="V361" s="245" t="n"/>
      <c r="W361" s="245" t="n"/>
      <c r="X361" s="245" t="n"/>
      <c r="Y361" s="245" t="n"/>
      <c r="Z361" s="245" t="n"/>
    </row>
    <row r="362" ht="16.5" customHeight="1" s="202">
      <c r="A362" s="245" t="n"/>
      <c r="B362" s="245" t="n"/>
      <c r="C362" s="245" t="n"/>
      <c r="D362" s="245" t="n"/>
      <c r="E362" s="245" t="n"/>
      <c r="F362" s="245" t="n"/>
      <c r="G362" s="245" t="n"/>
      <c r="H362" s="247" t="n">
        <v>6</v>
      </c>
      <c r="I362" s="245" t="inlineStr"/>
      <c r="J362" s="245" t="inlineStr"/>
      <c r="K362" s="245" t="inlineStr">
        <is>
          <t>8IN GREEN TEA MF MATTRESS SQ</t>
        </is>
      </c>
      <c r="L362" s="245" t="inlineStr">
        <is>
          <t>ZU-MFMA1ZZI-08S</t>
        </is>
      </c>
      <c r="M362" s="248" t="inlineStr">
        <is>
          <t>4MAWQLES</t>
        </is>
      </c>
      <c r="N362" s="245" t="inlineStr">
        <is>
          <t>F.MFM.08S.011.AD</t>
        </is>
      </c>
      <c r="O362" s="245" t="n"/>
      <c r="P362" s="245" t="n"/>
      <c r="Q362" s="250">
        <f>R362/H362</f>
        <v/>
      </c>
      <c r="R362" s="251" t="n">
        <v>354.6</v>
      </c>
      <c r="S362" s="249" t="n">
        <v>17843</v>
      </c>
      <c r="T362" s="252">
        <f>S362*R362</f>
        <v/>
      </c>
      <c r="U362" s="245" t="n"/>
      <c r="V362" s="245" t="n"/>
      <c r="W362" s="245" t="n"/>
      <c r="X362" s="245" t="n"/>
      <c r="Y362" s="245" t="n"/>
      <c r="Z362" s="245" t="n"/>
    </row>
    <row r="363" ht="16.5" customHeight="1" s="202">
      <c r="A363" s="245" t="n"/>
      <c r="B363" s="245" t="n"/>
      <c r="C363" s="245" t="n"/>
      <c r="D363" s="245" t="n"/>
      <c r="E363" s="245" t="n"/>
      <c r="F363" s="245" t="n"/>
      <c r="G363" s="245" t="n"/>
      <c r="H363" s="247" t="n">
        <v>25</v>
      </c>
      <c r="I363" s="245" t="inlineStr"/>
      <c r="J363" s="245" t="inlineStr"/>
      <c r="K363" s="245" t="inlineStr">
        <is>
          <t>12IN GREEN TEA MF MATTRESS TW</t>
        </is>
      </c>
      <c r="L363" s="245" t="inlineStr">
        <is>
          <t>ZU-MFMA1ZZI-12T</t>
        </is>
      </c>
      <c r="M363" s="248" t="inlineStr">
        <is>
          <t>4MAWQLES</t>
        </is>
      </c>
      <c r="N363" s="245" t="inlineStr">
        <is>
          <t>F.MFM.12T.006.AD</t>
        </is>
      </c>
      <c r="O363" s="245" t="n"/>
      <c r="P363" s="245" t="n"/>
      <c r="Q363" s="250">
        <f>R363/H363</f>
        <v/>
      </c>
      <c r="R363" s="251" t="n">
        <v>1580</v>
      </c>
      <c r="S363" s="249" t="n">
        <v>17843</v>
      </c>
      <c r="T363" s="252">
        <f>S363*R363</f>
        <v/>
      </c>
      <c r="U363" s="245" t="n"/>
      <c r="V363" s="245" t="n"/>
      <c r="W363" s="245" t="n"/>
      <c r="X363" s="245" t="n"/>
      <c r="Y363" s="245" t="n"/>
      <c r="Z363" s="245" t="n"/>
    </row>
    <row r="364" ht="16.5" customHeight="1" s="202">
      <c r="A364" s="245" t="n"/>
      <c r="B364" s="245" t="n"/>
      <c r="C364" s="245" t="n"/>
      <c r="D364" s="245" t="n"/>
      <c r="E364" s="245" t="n"/>
      <c r="F364" s="245" t="n"/>
      <c r="G364" s="245" t="n"/>
      <c r="H364" s="247" t="n">
        <v>91</v>
      </c>
      <c r="I364" s="245" t="inlineStr"/>
      <c r="J364" s="245" t="inlineStr"/>
      <c r="K364" s="245" t="inlineStr">
        <is>
          <t>12IN GREEN TEA MF MATTRESS TX</t>
        </is>
      </c>
      <c r="L364" s="245" t="inlineStr">
        <is>
          <t>ZU-MFMA1ZZI-12X</t>
        </is>
      </c>
      <c r="M364" s="248" t="inlineStr">
        <is>
          <t>4MAWQLES</t>
        </is>
      </c>
      <c r="N364" s="245" t="inlineStr">
        <is>
          <t>F.MFM.12X.006.AD</t>
        </is>
      </c>
      <c r="O364" s="245" t="n"/>
      <c r="P364" s="245" t="n"/>
      <c r="Q364" s="250">
        <f>R364/H364</f>
        <v/>
      </c>
      <c r="R364" s="251" t="n">
        <v>5305.3</v>
      </c>
      <c r="S364" s="249" t="n">
        <v>17843</v>
      </c>
      <c r="T364" s="252">
        <f>S364*R364</f>
        <v/>
      </c>
      <c r="U364" s="245" t="n"/>
      <c r="V364" s="245" t="n"/>
      <c r="W364" s="245" t="n"/>
      <c r="X364" s="245" t="n"/>
      <c r="Y364" s="245" t="n"/>
      <c r="Z364" s="245" t="n"/>
    </row>
    <row r="365" ht="16.5" customHeight="1" s="202">
      <c r="A365" s="245" t="n"/>
      <c r="B365" s="245" t="n"/>
      <c r="C365" s="245" t="n"/>
      <c r="D365" s="245" t="n"/>
      <c r="E365" s="245" t="n"/>
      <c r="F365" s="245" t="n"/>
      <c r="G365" s="245" t="n"/>
      <c r="H365" s="247" t="n">
        <v>263</v>
      </c>
      <c r="I365" s="245" t="inlineStr"/>
      <c r="J365" s="245" t="inlineStr"/>
      <c r="K365" s="245" t="inlineStr">
        <is>
          <t>8IN MYGEL FOAM MATTRESS TW</t>
        </is>
      </c>
      <c r="L365" s="245" t="inlineStr">
        <is>
          <t>ZU-MFGN1YZI-08T</t>
        </is>
      </c>
      <c r="M365" s="248" t="inlineStr">
        <is>
          <t>4NOGQTIE</t>
        </is>
      </c>
      <c r="N365" s="245" t="inlineStr">
        <is>
          <t>F.MFG.08T.003.AD</t>
        </is>
      </c>
      <c r="O365" s="245" t="n"/>
      <c r="P365" s="245" t="n"/>
      <c r="Q365" s="250">
        <f>R365/H365</f>
        <v/>
      </c>
      <c r="R365" s="251" t="n">
        <v>9449.59</v>
      </c>
      <c r="S365" s="249" t="n">
        <v>17843</v>
      </c>
      <c r="T365" s="252">
        <f>S365*R365</f>
        <v/>
      </c>
      <c r="U365" s="245" t="n"/>
      <c r="V365" s="245" t="n"/>
      <c r="W365" s="245" t="n"/>
      <c r="X365" s="245" t="n"/>
      <c r="Y365" s="245" t="n"/>
      <c r="Z365" s="245" t="n"/>
    </row>
    <row r="366" ht="16.5" customHeight="1" s="202">
      <c r="A366" s="245" t="n"/>
      <c r="B366" s="245" t="n"/>
      <c r="C366" s="245" t="n"/>
      <c r="D366" s="245" t="n"/>
      <c r="E366" s="245" t="n"/>
      <c r="F366" s="245" t="n"/>
      <c r="G366" s="245" t="n"/>
      <c r="H366" s="247" t="n">
        <v>340</v>
      </c>
      <c r="I366" s="245" t="inlineStr"/>
      <c r="J366" s="245" t="inlineStr"/>
      <c r="K366" s="245" t="inlineStr">
        <is>
          <t>6IN OPP HD TW</t>
        </is>
      </c>
      <c r="L366" s="245" t="inlineStr">
        <is>
          <t>ZU-MFMA1OZI-06T</t>
        </is>
      </c>
      <c r="M366" s="248" t="inlineStr">
        <is>
          <t>4NOGQTIE</t>
        </is>
      </c>
      <c r="N366" s="245" t="inlineStr">
        <is>
          <t>F.MFM.06T.008.AD</t>
        </is>
      </c>
      <c r="O366" s="245" t="n"/>
      <c r="P366" s="245" t="n"/>
      <c r="Q366" s="250">
        <f>R366/H366</f>
        <v/>
      </c>
      <c r="R366" s="251" t="n">
        <v>9163</v>
      </c>
      <c r="S366" s="249" t="n">
        <v>17843</v>
      </c>
      <c r="T366" s="252">
        <f>S366*R366</f>
        <v/>
      </c>
      <c r="U366" s="245" t="n"/>
      <c r="V366" s="245" t="n"/>
      <c r="W366" s="245" t="n"/>
      <c r="X366" s="245" t="n"/>
      <c r="Y366" s="245" t="n"/>
      <c r="Z366" s="245" t="n"/>
    </row>
    <row r="367" ht="16.5" customHeight="1" s="202">
      <c r="A367" s="245" t="n"/>
      <c r="B367" s="245" t="n"/>
      <c r="C367" s="245" t="n"/>
      <c r="D367" s="245" t="n"/>
      <c r="E367" s="245" t="n"/>
      <c r="F367" s="245" t="n"/>
      <c r="G367" s="245" t="n"/>
      <c r="H367" s="247" t="n">
        <v>79</v>
      </c>
      <c r="I367" s="245" t="inlineStr"/>
      <c r="J367" s="245" t="inlineStr"/>
      <c r="K367" s="245" t="inlineStr">
        <is>
          <t>10IN OPP HD QN</t>
        </is>
      </c>
      <c r="L367" s="245" t="inlineStr">
        <is>
          <t>ZU-MFMA1OZI-10Q</t>
        </is>
      </c>
      <c r="M367" s="248" t="inlineStr">
        <is>
          <t>4NOGQTIE</t>
        </is>
      </c>
      <c r="N367" s="245" t="inlineStr">
        <is>
          <t>F.MFM.10Q.013.AD</t>
        </is>
      </c>
      <c r="O367" s="245" t="n"/>
      <c r="P367" s="245" t="n"/>
      <c r="Q367" s="250">
        <f>R367/H367</f>
        <v/>
      </c>
      <c r="R367" s="251" t="n">
        <v>4258.1</v>
      </c>
      <c r="S367" s="249" t="n">
        <v>17843</v>
      </c>
      <c r="T367" s="252">
        <f>S367*R367</f>
        <v/>
      </c>
      <c r="U367" s="245" t="n"/>
      <c r="V367" s="245" t="n"/>
      <c r="W367" s="245" t="n"/>
      <c r="X367" s="245" t="n"/>
      <c r="Y367" s="245" t="n"/>
      <c r="Z367" s="245" t="n"/>
    </row>
    <row r="368" ht="16.5" customHeight="1" s="202">
      <c r="A368" s="245" t="n"/>
      <c r="B368" s="245" t="n"/>
      <c r="C368" s="245" t="n"/>
      <c r="D368" s="245" t="n"/>
      <c r="E368" s="245" t="n"/>
      <c r="F368" s="245" t="n"/>
      <c r="G368" s="245" t="n"/>
      <c r="H368" s="247" t="n">
        <v>120</v>
      </c>
      <c r="I368" s="245" t="inlineStr"/>
      <c r="J368" s="245" t="inlineStr"/>
      <c r="K368" s="245" t="inlineStr">
        <is>
          <t>10IN OPP HD TW</t>
        </is>
      </c>
      <c r="L368" s="245" t="inlineStr">
        <is>
          <t>ZU-MFMA1OZI-10T</t>
        </is>
      </c>
      <c r="M368" s="248" t="inlineStr">
        <is>
          <t>4NOGQTIE</t>
        </is>
      </c>
      <c r="N368" s="245" t="inlineStr">
        <is>
          <t>F.MFM.10T.013.AD</t>
        </is>
      </c>
      <c r="O368" s="245" t="n"/>
      <c r="P368" s="245" t="n"/>
      <c r="Q368" s="250">
        <f>R368/H368</f>
        <v/>
      </c>
      <c r="R368" s="251" t="n">
        <v>4671.6</v>
      </c>
      <c r="S368" s="249" t="n">
        <v>17843</v>
      </c>
      <c r="T368" s="252">
        <f>S368*R368</f>
        <v/>
      </c>
      <c r="U368" s="245" t="n"/>
      <c r="V368" s="245" t="n"/>
      <c r="W368" s="245" t="n"/>
      <c r="X368" s="245" t="n"/>
      <c r="Y368" s="245" t="n"/>
      <c r="Z368" s="245" t="n"/>
    </row>
    <row r="369" ht="16.5" customHeight="1" s="202">
      <c r="A369" s="245" t="n"/>
      <c r="B369" s="245" t="n"/>
      <c r="C369" s="245" t="n"/>
      <c r="D369" s="245" t="n"/>
      <c r="E369" s="245" t="n"/>
      <c r="F369" s="245" t="n"/>
      <c r="G369" s="245" t="n"/>
      <c r="H369" s="247" t="n">
        <v>18</v>
      </c>
      <c r="I369" s="245" t="inlineStr"/>
      <c r="J369" s="245" t="inlineStr"/>
      <c r="K369" s="245" t="inlineStr">
        <is>
          <t>10IN AIRFLOW GEL FOAM MATT FL</t>
        </is>
      </c>
      <c r="L369" s="245" t="inlineStr">
        <is>
          <t>ZU-MFMA1RZI-10F</t>
        </is>
      </c>
      <c r="M369" s="248" t="inlineStr">
        <is>
          <t>4NOGQTIE</t>
        </is>
      </c>
      <c r="N369" s="245" t="inlineStr">
        <is>
          <t>F.MFM.10F.014.AD</t>
        </is>
      </c>
      <c r="O369" s="245" t="n"/>
      <c r="P369" s="245" t="n"/>
      <c r="Q369" s="250">
        <f>R369/H369</f>
        <v/>
      </c>
      <c r="R369" s="251" t="n">
        <v>862.38</v>
      </c>
      <c r="S369" s="249" t="n">
        <v>17843</v>
      </c>
      <c r="T369" s="252">
        <f>S369*R369</f>
        <v/>
      </c>
      <c r="U369" s="245" t="n"/>
      <c r="V369" s="245" t="n"/>
      <c r="W369" s="245" t="n"/>
      <c r="X369" s="245" t="n"/>
      <c r="Y369" s="245" t="n"/>
      <c r="Z369" s="245" t="n"/>
    </row>
    <row r="370" ht="16.5" customHeight="1" s="202">
      <c r="A370" s="245" t="n"/>
      <c r="B370" s="245" t="n"/>
      <c r="C370" s="245" t="n"/>
      <c r="D370" s="245" t="n"/>
      <c r="E370" s="245" t="n"/>
      <c r="F370" s="245" t="n"/>
      <c r="G370" s="245" t="n"/>
      <c r="H370" s="247" t="n">
        <v>14</v>
      </c>
      <c r="I370" s="245" t="inlineStr"/>
      <c r="J370" s="245" t="inlineStr"/>
      <c r="K370" s="245" t="inlineStr">
        <is>
          <t>8IN GREEN TEA MF MATTRESS FL</t>
        </is>
      </c>
      <c r="L370" s="245" t="inlineStr">
        <is>
          <t>ZU-MFMA1FZI-08F</t>
        </is>
      </c>
      <c r="M370" s="248" t="inlineStr">
        <is>
          <t>6C66CE9Q</t>
        </is>
      </c>
      <c r="N370" s="245" t="inlineStr">
        <is>
          <t>F.MFM.08F.012.AD</t>
        </is>
      </c>
      <c r="O370" s="245" t="n"/>
      <c r="P370" s="245" t="n"/>
      <c r="Q370" s="250">
        <f>R370/H370</f>
        <v/>
      </c>
      <c r="R370" s="251" t="n">
        <v>826.5599999999999</v>
      </c>
      <c r="S370" s="249" t="n">
        <v>17843</v>
      </c>
      <c r="T370" s="252">
        <f>S370*R370</f>
        <v/>
      </c>
      <c r="U370" s="245" t="n"/>
      <c r="V370" s="245" t="n"/>
      <c r="W370" s="245" t="n"/>
      <c r="X370" s="245" t="n"/>
      <c r="Y370" s="245" t="n"/>
      <c r="Z370" s="245" t="n"/>
    </row>
    <row r="371" ht="16.5" customHeight="1" s="202">
      <c r="A371" s="245" t="n"/>
      <c r="B371" s="245" t="n"/>
      <c r="C371" s="245" t="n"/>
      <c r="D371" s="245" t="n"/>
      <c r="E371" s="245" t="n"/>
      <c r="F371" s="245" t="n"/>
      <c r="G371" s="245" t="n"/>
      <c r="H371" s="247" t="n">
        <v>152</v>
      </c>
      <c r="I371" s="245" t="inlineStr"/>
      <c r="J371" s="245" t="inlineStr"/>
      <c r="K371" s="245" t="inlineStr">
        <is>
          <t>6IN GREEN TEA MF MATTRESS QN</t>
        </is>
      </c>
      <c r="L371" s="245" t="inlineStr">
        <is>
          <t>ZU-MFMA1ZZI-06Q</t>
        </is>
      </c>
      <c r="M371" s="248" t="inlineStr">
        <is>
          <t>6C66CE9Q</t>
        </is>
      </c>
      <c r="N371" s="245" t="inlineStr">
        <is>
          <t>F.MFM.06Q.007.AD</t>
        </is>
      </c>
      <c r="O371" s="245" t="n"/>
      <c r="P371" s="245" t="n"/>
      <c r="Q371" s="250">
        <f>R371/H371</f>
        <v/>
      </c>
      <c r="R371" s="251" t="n">
        <v>6917.52</v>
      </c>
      <c r="S371" s="249" t="n">
        <v>17843</v>
      </c>
      <c r="T371" s="252">
        <f>S371*R371</f>
        <v/>
      </c>
      <c r="U371" s="245" t="n"/>
      <c r="V371" s="245" t="n"/>
      <c r="W371" s="245" t="n"/>
      <c r="X371" s="245" t="n"/>
      <c r="Y371" s="245" t="n"/>
      <c r="Z371" s="245" t="n"/>
    </row>
    <row r="372" ht="16.5" customHeight="1" s="202">
      <c r="A372" s="245" t="n"/>
      <c r="B372" s="245" t="n"/>
      <c r="C372" s="245" t="n"/>
      <c r="D372" s="245" t="n"/>
      <c r="E372" s="245" t="n"/>
      <c r="F372" s="245" t="n"/>
      <c r="G372" s="245" t="n"/>
      <c r="H372" s="247" t="n">
        <v>479</v>
      </c>
      <c r="I372" s="245" t="inlineStr"/>
      <c r="J372" s="245" t="inlineStr"/>
      <c r="K372" s="245" t="inlineStr">
        <is>
          <t>12IN GREEN TEA MF MATTRESS TX</t>
        </is>
      </c>
      <c r="L372" s="245" t="inlineStr">
        <is>
          <t>ZU-MFMA1ZZI-12X</t>
        </is>
      </c>
      <c r="M372" s="248" t="inlineStr">
        <is>
          <t>6C66CE9Q</t>
        </is>
      </c>
      <c r="N372" s="245" t="inlineStr">
        <is>
          <t>F.MFM.12X.006.AD</t>
        </is>
      </c>
      <c r="O372" s="245" t="n"/>
      <c r="P372" s="245" t="n"/>
      <c r="Q372" s="250">
        <f>R372/H372</f>
        <v/>
      </c>
      <c r="R372" s="251" t="n">
        <v>27925.7</v>
      </c>
      <c r="S372" s="249" t="n">
        <v>17843</v>
      </c>
      <c r="T372" s="252">
        <f>S372*R372</f>
        <v/>
      </c>
      <c r="U372" s="245" t="n"/>
      <c r="V372" s="245" t="n"/>
      <c r="W372" s="245" t="n"/>
      <c r="X372" s="245" t="n"/>
      <c r="Y372" s="245" t="n"/>
      <c r="Z372" s="245" t="n"/>
    </row>
    <row r="373" ht="16.5" customHeight="1" s="202">
      <c r="A373" s="245" t="n"/>
      <c r="B373" s="245" t="n"/>
      <c r="C373" s="245" t="n"/>
      <c r="D373" s="245" t="n"/>
      <c r="E373" s="245" t="n"/>
      <c r="F373" s="245" t="n"/>
      <c r="G373" s="245" t="n"/>
      <c r="H373" s="247" t="n">
        <v>1</v>
      </c>
      <c r="I373" s="245" t="inlineStr"/>
      <c r="J373" s="245" t="inlineStr"/>
      <c r="K373" s="245" t="inlineStr">
        <is>
          <t>8IN MYGEL FOAM MATTRESS SQ</t>
        </is>
      </c>
      <c r="L373" s="245" t="inlineStr">
        <is>
          <t>ZU-MFGN1YZI-08S</t>
        </is>
      </c>
      <c r="M373" s="248" t="inlineStr">
        <is>
          <t>6Z5ABDQU</t>
        </is>
      </c>
      <c r="N373" s="245" t="inlineStr">
        <is>
          <t>F.MFG.08S.003.AD</t>
        </is>
      </c>
      <c r="O373" s="245" t="n"/>
      <c r="P373" s="245" t="n"/>
      <c r="Q373" s="250">
        <f>R373/H373</f>
        <v/>
      </c>
      <c r="R373" s="251" t="n">
        <v>59.06</v>
      </c>
      <c r="S373" s="249" t="n">
        <v>17843</v>
      </c>
      <c r="T373" s="252">
        <f>S373*R373</f>
        <v/>
      </c>
      <c r="U373" s="245" t="n"/>
      <c r="V373" s="245" t="n"/>
      <c r="W373" s="245" t="n"/>
      <c r="X373" s="245" t="n"/>
      <c r="Y373" s="245" t="n"/>
      <c r="Z373" s="245" t="n"/>
    </row>
    <row r="374" ht="16.5" customHeight="1" s="202">
      <c r="A374" s="245" t="n"/>
      <c r="B374" s="245" t="n"/>
      <c r="C374" s="245" t="n"/>
      <c r="D374" s="245" t="n"/>
      <c r="E374" s="245" t="n"/>
      <c r="F374" s="245" t="n"/>
      <c r="G374" s="245" t="n"/>
      <c r="H374" s="247" t="n">
        <v>596</v>
      </c>
      <c r="I374" s="245" t="inlineStr"/>
      <c r="J374" s="245" t="inlineStr"/>
      <c r="K374" s="245" t="inlineStr">
        <is>
          <t>8IN MYGEL FOAM MATTRESS TW</t>
        </is>
      </c>
      <c r="L374" s="245" t="inlineStr">
        <is>
          <t>ZU-MFGN1YZI-08T</t>
        </is>
      </c>
      <c r="M374" s="248" t="inlineStr">
        <is>
          <t>6Z5ABDQU</t>
        </is>
      </c>
      <c r="N374" s="245" t="inlineStr">
        <is>
          <t>F.MFG.08T.003.AD</t>
        </is>
      </c>
      <c r="O374" s="245" t="n"/>
      <c r="P374" s="245" t="n"/>
      <c r="Q374" s="250">
        <f>R374/H374</f>
        <v/>
      </c>
      <c r="R374" s="251" t="n">
        <v>21414.28</v>
      </c>
      <c r="S374" s="249" t="n">
        <v>17843</v>
      </c>
      <c r="T374" s="252">
        <f>S374*R374</f>
        <v/>
      </c>
      <c r="U374" s="245" t="n"/>
      <c r="V374" s="245" t="n"/>
      <c r="W374" s="245" t="n"/>
      <c r="X374" s="245" t="n"/>
      <c r="Y374" s="245" t="n"/>
      <c r="Z374" s="245" t="n"/>
    </row>
    <row r="375" ht="16.5" customHeight="1" s="202">
      <c r="A375" s="245" t="n"/>
      <c r="B375" s="245" t="n"/>
      <c r="C375" s="245" t="n"/>
      <c r="D375" s="245" t="n"/>
      <c r="E375" s="245" t="n"/>
      <c r="F375" s="245" t="n"/>
      <c r="G375" s="245" t="n"/>
      <c r="H375" s="247" t="n">
        <v>3</v>
      </c>
      <c r="I375" s="245" t="inlineStr"/>
      <c r="J375" s="245" t="inlineStr"/>
      <c r="K375" s="245" t="inlineStr">
        <is>
          <t>8IN GREEN TEA MF MATTRESS FL</t>
        </is>
      </c>
      <c r="L375" s="245" t="inlineStr">
        <is>
          <t>ZU-MFMA1FZI-08F</t>
        </is>
      </c>
      <c r="M375" s="248" t="inlineStr">
        <is>
          <t>6Z5ABDQU</t>
        </is>
      </c>
      <c r="N375" s="245" t="inlineStr">
        <is>
          <t>F.MFM.08F.012.AD</t>
        </is>
      </c>
      <c r="O375" s="245" t="n"/>
      <c r="P375" s="245" t="n"/>
      <c r="Q375" s="250">
        <f>R375/H375</f>
        <v/>
      </c>
      <c r="R375" s="251" t="n">
        <v>177.12</v>
      </c>
      <c r="S375" s="249" t="n">
        <v>17843</v>
      </c>
      <c r="T375" s="252">
        <f>S375*R375</f>
        <v/>
      </c>
      <c r="U375" s="245" t="n"/>
      <c r="V375" s="245" t="n"/>
      <c r="W375" s="245" t="n"/>
      <c r="X375" s="245" t="n"/>
      <c r="Y375" s="245" t="n"/>
      <c r="Z375" s="245" t="n"/>
    </row>
    <row r="376" ht="16.5" customHeight="1" s="202">
      <c r="A376" s="245" t="n"/>
      <c r="B376" s="245" t="n"/>
      <c r="C376" s="245" t="n"/>
      <c r="D376" s="245" t="n"/>
      <c r="E376" s="245" t="n"/>
      <c r="F376" s="245" t="n"/>
      <c r="G376" s="245" t="n"/>
      <c r="H376" s="247" t="n">
        <v>3</v>
      </c>
      <c r="I376" s="245" t="inlineStr"/>
      <c r="J376" s="245" t="inlineStr"/>
      <c r="K376" s="245" t="inlineStr">
        <is>
          <t>6IN OPP HD TW</t>
        </is>
      </c>
      <c r="L376" s="245" t="inlineStr">
        <is>
          <t>ZU-MFMA1OZI-06T</t>
        </is>
      </c>
      <c r="M376" s="248" t="inlineStr">
        <is>
          <t>6Z5ABDQU</t>
        </is>
      </c>
      <c r="N376" s="245" t="inlineStr">
        <is>
          <t>F.MFM.06T.008.AD</t>
        </is>
      </c>
      <c r="O376" s="245" t="n"/>
      <c r="P376" s="245" t="n"/>
      <c r="Q376" s="250">
        <f>R376/H376</f>
        <v/>
      </c>
      <c r="R376" s="251" t="n">
        <v>80.84999999999999</v>
      </c>
      <c r="S376" s="249" t="n">
        <v>17843</v>
      </c>
      <c r="T376" s="252">
        <f>S376*R376</f>
        <v/>
      </c>
      <c r="U376" s="245" t="n"/>
      <c r="V376" s="245" t="n"/>
      <c r="W376" s="245" t="n"/>
      <c r="X376" s="245" t="n"/>
      <c r="Y376" s="245" t="n"/>
      <c r="Z376" s="245" t="n"/>
    </row>
    <row r="377" ht="16.5" customHeight="1" s="202">
      <c r="A377" s="245" t="n"/>
      <c r="B377" s="245" t="n"/>
      <c r="C377" s="245" t="n"/>
      <c r="D377" s="245" t="n"/>
      <c r="E377" s="245" t="n"/>
      <c r="F377" s="245" t="n"/>
      <c r="G377" s="245" t="n"/>
      <c r="H377" s="247" t="n">
        <v>81</v>
      </c>
      <c r="I377" s="245" t="inlineStr"/>
      <c r="J377" s="245" t="inlineStr"/>
      <c r="K377" s="245" t="inlineStr">
        <is>
          <t>12IN OPP HD QN</t>
        </is>
      </c>
      <c r="L377" s="245" t="inlineStr">
        <is>
          <t>ZU-MFMA1OZI-12Q</t>
        </is>
      </c>
      <c r="M377" s="248" t="inlineStr">
        <is>
          <t>6Z5ABDQU</t>
        </is>
      </c>
      <c r="N377" s="245" t="inlineStr">
        <is>
          <t>F.MFM.12Q.010.AD</t>
        </is>
      </c>
      <c r="O377" s="245" t="n"/>
      <c r="P377" s="245" t="n"/>
      <c r="Q377" s="250">
        <f>R377/H377</f>
        <v/>
      </c>
      <c r="R377" s="251" t="n">
        <v>5473.17</v>
      </c>
      <c r="S377" s="249" t="n">
        <v>17843</v>
      </c>
      <c r="T377" s="252">
        <f>S377*R377</f>
        <v/>
      </c>
      <c r="U377" s="245" t="n"/>
      <c r="V377" s="245" t="n"/>
      <c r="W377" s="245" t="n"/>
      <c r="X377" s="245" t="n"/>
      <c r="Y377" s="245" t="n"/>
      <c r="Z377" s="245" t="n"/>
    </row>
    <row r="378" ht="16.5" customHeight="1" s="202">
      <c r="A378" s="245" t="n"/>
      <c r="B378" s="245" t="n"/>
      <c r="C378" s="245" t="n"/>
      <c r="D378" s="245" t="n"/>
      <c r="E378" s="245" t="n"/>
      <c r="F378" s="245" t="n"/>
      <c r="G378" s="245" t="n"/>
      <c r="H378" s="247" t="n">
        <v>18</v>
      </c>
      <c r="I378" s="245" t="inlineStr"/>
      <c r="J378" s="245" t="inlineStr"/>
      <c r="K378" s="245" t="inlineStr">
        <is>
          <t>12IN AIRFLOW GEL FOAM MATT TW</t>
        </is>
      </c>
      <c r="L378" s="245" t="inlineStr">
        <is>
          <t>ZU-MFMA1RZI-12T</t>
        </is>
      </c>
      <c r="M378" s="248" t="inlineStr">
        <is>
          <t>6Z5ABDQU</t>
        </is>
      </c>
      <c r="N378" s="245" t="inlineStr">
        <is>
          <t>F.MFM.12T.011.AD</t>
        </is>
      </c>
      <c r="O378" s="245" t="n"/>
      <c r="P378" s="245" t="n"/>
      <c r="Q378" s="250">
        <f>R378/H378</f>
        <v/>
      </c>
      <c r="R378" s="251" t="n">
        <v>754.5599999999999</v>
      </c>
      <c r="S378" s="249" t="n">
        <v>17843</v>
      </c>
      <c r="T378" s="252">
        <f>S378*R378</f>
        <v/>
      </c>
      <c r="U378" s="245" t="n"/>
      <c r="V378" s="245" t="n"/>
      <c r="W378" s="245" t="n"/>
      <c r="X378" s="245" t="n"/>
      <c r="Y378" s="245" t="n"/>
      <c r="Z378" s="245" t="n"/>
    </row>
    <row r="379" ht="16.5" customHeight="1" s="202">
      <c r="A379" s="245" t="n"/>
      <c r="B379" s="245" t="n"/>
      <c r="C379" s="245" t="n"/>
      <c r="D379" s="245" t="n"/>
      <c r="E379" s="245" t="n"/>
      <c r="F379" s="245" t="n"/>
      <c r="G379" s="245" t="n"/>
      <c r="H379" s="247" t="n">
        <v>3</v>
      </c>
      <c r="I379" s="245" t="inlineStr"/>
      <c r="J379" s="245" t="inlineStr"/>
      <c r="K379" s="245" t="inlineStr">
        <is>
          <t>12IN GREEN TEA MF MATTRESS TW</t>
        </is>
      </c>
      <c r="L379" s="245" t="inlineStr">
        <is>
          <t>ZU-MFMA1ZZI-12T</t>
        </is>
      </c>
      <c r="M379" s="248" t="inlineStr">
        <is>
          <t>6Z5ABDQU</t>
        </is>
      </c>
      <c r="N379" s="245" t="inlineStr">
        <is>
          <t>F.MFM.12T.006.AD</t>
        </is>
      </c>
      <c r="O379" s="245" t="n"/>
      <c r="P379" s="245" t="n"/>
      <c r="Q379" s="250">
        <f>R379/H379</f>
        <v/>
      </c>
      <c r="R379" s="251" t="n">
        <v>189.6</v>
      </c>
      <c r="S379" s="249" t="n">
        <v>17843</v>
      </c>
      <c r="T379" s="252">
        <f>S379*R379</f>
        <v/>
      </c>
      <c r="U379" s="245" t="n"/>
      <c r="V379" s="245" t="n"/>
      <c r="W379" s="245" t="n"/>
      <c r="X379" s="245" t="n"/>
      <c r="Y379" s="245" t="n"/>
      <c r="Z379" s="245" t="n"/>
    </row>
    <row r="380" ht="17.1" customHeight="1" s="202">
      <c r="A380" s="254" t="n"/>
      <c r="B380" s="254" t="n"/>
      <c r="C380" s="254" t="n"/>
      <c r="D380" s="254" t="n"/>
      <c r="E380" s="254" t="n"/>
      <c r="F380" s="254" t="n"/>
      <c r="G380" s="254" t="n"/>
      <c r="H380" s="255">
        <f>SUM(H354:H379)</f>
        <v/>
      </c>
      <c r="I380" s="254">
        <f>COUNTA(I354:I379)</f>
        <v/>
      </c>
      <c r="J380" s="254" t="n"/>
      <c r="K380" s="254" t="n"/>
      <c r="L380" s="254" t="n"/>
      <c r="M380" s="254" t="n"/>
      <c r="N380" s="254" t="n"/>
      <c r="O380" s="256">
        <f>SUM(O354:O379)</f>
        <v/>
      </c>
      <c r="P380" s="256">
        <f>SUM(P354:P379)</f>
        <v/>
      </c>
      <c r="Q380" s="254" t="n"/>
      <c r="R380" s="257">
        <f>SUM(R354:R379)</f>
        <v/>
      </c>
      <c r="S380" s="254" t="n"/>
      <c r="T380" s="258">
        <f>SUM(T354:T379)</f>
        <v/>
      </c>
      <c r="U380" s="254" t="n"/>
      <c r="V380" s="254" t="n"/>
      <c r="W380" s="254" t="n"/>
      <c r="X380" s="254" t="n"/>
      <c r="Y380" s="254" t="n"/>
      <c r="Z380" s="254" t="n"/>
    </row>
    <row r="381" ht="16.5" customHeight="1" s="202">
      <c r="A381" s="245" t="n">
        <v>46</v>
      </c>
      <c r="B381" s="245" t="inlineStr">
        <is>
          <t>000030ZIK48020260824000681</t>
        </is>
      </c>
      <c r="C381" s="245" t="n">
        <v>427466</v>
      </c>
      <c r="D381" s="245" t="n">
        <v>427247</v>
      </c>
      <c r="E381" s="246" t="n">
        <v>46258</v>
      </c>
      <c r="F381" s="245" t="inlineStr">
        <is>
          <t>SAMPLE-ZIID26-0069-NCV</t>
        </is>
      </c>
      <c r="G381" s="246" t="n">
        <v>46253</v>
      </c>
      <c r="H381" s="247" t="n">
        <v>5</v>
      </c>
      <c r="I381" s="245" t="inlineStr"/>
      <c r="J381" s="245" t="inlineStr"/>
      <c r="K381" s="245" t="inlineStr">
        <is>
          <t>12IN QUADCOOL MF MATTRESS TW</t>
        </is>
      </c>
      <c r="L381" s="245" t="inlineStr">
        <is>
          <t>ZU-MFGNU2ZU-12T</t>
        </is>
      </c>
      <c r="M381" s="248" t="inlineStr"/>
      <c r="N381" s="245" t="inlineStr">
        <is>
          <t>F.MFG.12T.000.AD</t>
        </is>
      </c>
      <c r="O381" s="249" t="n">
        <v>109</v>
      </c>
      <c r="P381" s="249" t="n">
        <v>100</v>
      </c>
      <c r="Q381" s="250">
        <f>R381/H381</f>
        <v/>
      </c>
      <c r="R381" s="251" t="n">
        <v>381.22</v>
      </c>
      <c r="S381" s="249" t="n">
        <v>17843</v>
      </c>
      <c r="T381" s="252">
        <f>S381*R381</f>
        <v/>
      </c>
      <c r="U381" s="245" t="inlineStr">
        <is>
          <t>050100/KPPBC</t>
        </is>
      </c>
      <c r="V381" s="245" t="inlineStr">
        <is>
          <t>S. HATTA</t>
        </is>
      </c>
      <c r="W381" s="245" t="inlineStr">
        <is>
          <t>GUANGZHOU, US</t>
        </is>
      </c>
      <c r="X381" s="245" t="inlineStr">
        <is>
          <t>SGS-CSTC STANDARDS TECHNICAL SERVICES</t>
        </is>
      </c>
      <c r="Y381" s="245" t="inlineStr">
        <is>
          <t>PLIID2H02397</t>
        </is>
      </c>
      <c r="Z381" s="246" t="n">
        <v>46258</v>
      </c>
    </row>
    <row r="382" ht="16.5" customHeight="1" s="202">
      <c r="A382" s="245" t="n"/>
      <c r="B382" s="245" t="n"/>
      <c r="C382" s="245" t="n"/>
      <c r="D382" s="245" t="n"/>
      <c r="E382" s="245" t="n"/>
      <c r="F382" s="245" t="n"/>
      <c r="G382" s="245" t="n"/>
      <c r="H382" s="245" t="n"/>
      <c r="I382" s="245" t="n"/>
      <c r="J382" s="245" t="n"/>
      <c r="K382" s="245" t="n"/>
      <c r="L382" s="245" t="n"/>
      <c r="M382" s="245" t="n"/>
      <c r="N382" s="245" t="n"/>
      <c r="O382" s="245" t="n"/>
      <c r="P382" s="245" t="n"/>
      <c r="Q382" s="245" t="n"/>
      <c r="R382" s="245" t="n"/>
      <c r="S382" s="245" t="n"/>
      <c r="T382" s="245" t="n"/>
      <c r="U382" s="245" t="n"/>
      <c r="V382" s="245" t="n"/>
      <c r="W382" s="245" t="inlineStr">
        <is>
          <t>ETD : 31-08-2026</t>
        </is>
      </c>
      <c r="X382" s="245" t="n"/>
      <c r="Y382" s="245" t="n"/>
      <c r="Z382" s="245" t="n"/>
    </row>
    <row r="383" ht="17.1" customHeight="1" s="202">
      <c r="A383" s="254" t="n"/>
      <c r="B383" s="254" t="n"/>
      <c r="C383" s="254" t="n"/>
      <c r="D383" s="254" t="n"/>
      <c r="E383" s="254" t="n"/>
      <c r="F383" s="254" t="n"/>
      <c r="G383" s="254" t="n"/>
      <c r="H383" s="255">
        <f>SUM(H381:H382)</f>
        <v/>
      </c>
      <c r="I383" s="254">
        <f>COUNTA(I381:I382)</f>
        <v/>
      </c>
      <c r="J383" s="254" t="n"/>
      <c r="K383" s="254" t="n"/>
      <c r="L383" s="254" t="n"/>
      <c r="M383" s="254" t="n"/>
      <c r="N383" s="254" t="n"/>
      <c r="O383" s="256">
        <f>SUM(O381:O382)</f>
        <v/>
      </c>
      <c r="P383" s="256">
        <f>SUM(P381:P382)</f>
        <v/>
      </c>
      <c r="Q383" s="254" t="n"/>
      <c r="R383" s="257">
        <f>SUM(R381:R382)</f>
        <v/>
      </c>
      <c r="S383" s="254" t="n"/>
      <c r="T383" s="258">
        <f>SUM(T381:T382)</f>
        <v/>
      </c>
      <c r="U383" s="254" t="n"/>
      <c r="V383" s="254" t="n"/>
      <c r="W383" s="254" t="n"/>
      <c r="X383" s="254" t="n"/>
      <c r="Y383" s="254" t="n"/>
      <c r="Z383" s="254" t="n"/>
    </row>
    <row r="384" ht="16.5" customHeight="1" s="202">
      <c r="A384" s="245" t="n">
        <v>47</v>
      </c>
      <c r="B384" s="245" t="inlineStr">
        <is>
          <t>000030ZIK48020260824000682</t>
        </is>
      </c>
      <c r="C384" s="245" t="n">
        <v>534851</v>
      </c>
      <c r="D384" s="245" t="n">
        <v>534808</v>
      </c>
      <c r="E384" s="246" t="n">
        <v>46259</v>
      </c>
      <c r="F384" s="245" t="inlineStr">
        <is>
          <t>ID2608-8187</t>
        </is>
      </c>
      <c r="G384" s="246" t="n">
        <v>46254</v>
      </c>
      <c r="H384" s="247" t="n">
        <v>210</v>
      </c>
      <c r="I384" s="245" t="inlineStr">
        <is>
          <t>TCLU1741006</t>
        </is>
      </c>
      <c r="J384" s="245" t="inlineStr">
        <is>
          <t>40FT</t>
        </is>
      </c>
      <c r="K384" s="245" t="inlineStr">
        <is>
          <t>8IN MYGEL FOAM MATTRESS FL</t>
        </is>
      </c>
      <c r="L384" s="245" t="inlineStr">
        <is>
          <t>ZU-MFGN1YZI-08F</t>
        </is>
      </c>
      <c r="M384" s="248" t="inlineStr">
        <is>
          <t>489TNDQI</t>
        </is>
      </c>
      <c r="N384" s="245" t="inlineStr">
        <is>
          <t>F.MFG.08F.003.AD</t>
        </is>
      </c>
      <c r="O384" s="249" t="n">
        <v>70373.98</v>
      </c>
      <c r="P384" s="249" t="n">
        <v>60589.85</v>
      </c>
      <c r="Q384" s="250">
        <f>R384/H384</f>
        <v/>
      </c>
      <c r="R384" s="251" t="n">
        <v>11594.1</v>
      </c>
      <c r="S384" s="249" t="n">
        <v>17843</v>
      </c>
      <c r="T384" s="252">
        <f>S384*R384</f>
        <v/>
      </c>
      <c r="U384" s="245" t="inlineStr">
        <is>
          <t>040300/KPPBC</t>
        </is>
      </c>
      <c r="V384" s="245" t="inlineStr">
        <is>
          <t>TG. PRIOK</t>
        </is>
      </c>
      <c r="W384" s="245" t="inlineStr">
        <is>
          <t>LOS ANGELES, US</t>
        </is>
      </c>
      <c r="X384" s="245" t="inlineStr">
        <is>
          <t>AMAZON.COM SERVICES LLC</t>
        </is>
      </c>
      <c r="Y384" s="245" t="inlineStr">
        <is>
          <t>MAEU274529254</t>
        </is>
      </c>
      <c r="Z384" s="246" t="n">
        <v>46259</v>
      </c>
    </row>
    <row r="385" ht="16.5" customHeight="1" s="202">
      <c r="A385" s="245" t="n"/>
      <c r="B385" s="245" t="n"/>
      <c r="C385" s="245" t="n"/>
      <c r="D385" s="245" t="n"/>
      <c r="E385" s="245" t="n"/>
      <c r="F385" s="245" t="n"/>
      <c r="G385" s="245" t="n"/>
      <c r="H385" s="247" t="n">
        <v>265</v>
      </c>
      <c r="I385" s="245" t="inlineStr">
        <is>
          <t>MRKU3192092</t>
        </is>
      </c>
      <c r="J385" s="245" t="inlineStr">
        <is>
          <t>40FT</t>
        </is>
      </c>
      <c r="K385" s="245" t="inlineStr">
        <is>
          <t>8IN OPP HD FL</t>
        </is>
      </c>
      <c r="L385" s="245" t="inlineStr">
        <is>
          <t>ZU-MFMA1OZI-08F</t>
        </is>
      </c>
      <c r="M385" s="248" t="inlineStr">
        <is>
          <t>489TNDQI</t>
        </is>
      </c>
      <c r="N385" s="245" t="inlineStr">
        <is>
          <t>F.MFM.08F.013.AD</t>
        </is>
      </c>
      <c r="O385" s="245" t="n"/>
      <c r="P385" s="245" t="n"/>
      <c r="Q385" s="250">
        <f>R385/H385</f>
        <v/>
      </c>
      <c r="R385" s="251" t="n">
        <v>10316.45</v>
      </c>
      <c r="S385" s="249" t="n">
        <v>17843</v>
      </c>
      <c r="T385" s="252">
        <f>S385*R385</f>
        <v/>
      </c>
      <c r="U385" s="245" t="n"/>
      <c r="V385" s="245" t="n"/>
      <c r="W385" s="245" t="inlineStr">
        <is>
          <t>ETD : 30-08-2026</t>
        </is>
      </c>
      <c r="X385" s="245" t="n"/>
      <c r="Y385" s="245" t="n"/>
      <c r="Z385" s="245" t="n"/>
    </row>
    <row r="386" ht="16.5" customHeight="1" s="202">
      <c r="A386" s="245" t="n"/>
      <c r="B386" s="245" t="n"/>
      <c r="C386" s="245" t="n"/>
      <c r="D386" s="245" t="n"/>
      <c r="E386" s="245" t="n"/>
      <c r="F386" s="245" t="n"/>
      <c r="G386" s="245" t="n"/>
      <c r="H386" s="247" t="n">
        <v>195</v>
      </c>
      <c r="I386" s="245" t="inlineStr">
        <is>
          <t>TCNU2572079</t>
        </is>
      </c>
      <c r="J386" s="245" t="inlineStr">
        <is>
          <t>40FT</t>
        </is>
      </c>
      <c r="K386" s="245" t="inlineStr">
        <is>
          <t>6IN GREEN TEA MF MATTRESS QN</t>
        </is>
      </c>
      <c r="L386" s="245" t="inlineStr">
        <is>
          <t>ZU-MFMA1ZZI-06Q</t>
        </is>
      </c>
      <c r="M386" s="248" t="inlineStr">
        <is>
          <t>489TNDQI</t>
        </is>
      </c>
      <c r="N386" s="245" t="inlineStr">
        <is>
          <t>F.MFM.06Q.007.AD</t>
        </is>
      </c>
      <c r="O386" s="245" t="n"/>
      <c r="P386" s="245" t="n"/>
      <c r="Q386" s="250">
        <f>R386/H386</f>
        <v/>
      </c>
      <c r="R386" s="251" t="n">
        <v>8874.450000000001</v>
      </c>
      <c r="S386" s="249" t="n">
        <v>17843</v>
      </c>
      <c r="T386" s="252">
        <f>S386*R386</f>
        <v/>
      </c>
      <c r="U386" s="245" t="n"/>
      <c r="V386" s="245" t="n"/>
      <c r="W386" s="245" t="n"/>
      <c r="X386" s="245" t="n"/>
      <c r="Y386" s="245" t="n"/>
      <c r="Z386" s="245" t="n"/>
    </row>
    <row r="387" ht="16.5" customHeight="1" s="202">
      <c r="A387" s="245" t="n"/>
      <c r="B387" s="245" t="n"/>
      <c r="C387" s="245" t="n"/>
      <c r="D387" s="245" t="n"/>
      <c r="E387" s="245" t="n"/>
      <c r="F387" s="245" t="n"/>
      <c r="G387" s="245" t="n"/>
      <c r="H387" s="247" t="n">
        <v>396</v>
      </c>
      <c r="I387" s="245" t="inlineStr">
        <is>
          <t>SEKU4615028</t>
        </is>
      </c>
      <c r="J387" s="245" t="inlineStr">
        <is>
          <t>40FT</t>
        </is>
      </c>
      <c r="K387" s="245" t="inlineStr">
        <is>
          <t>12IN AIRFLOW GEL FOAM MATT QN</t>
        </is>
      </c>
      <c r="L387" s="245" t="inlineStr">
        <is>
          <t>ZU-MFMA1RZI-12Q</t>
        </is>
      </c>
      <c r="M387" s="248" t="inlineStr">
        <is>
          <t>4D7K75EV</t>
        </is>
      </c>
      <c r="N387" s="245" t="inlineStr">
        <is>
          <t>F.MFM.12Q.011.AD</t>
        </is>
      </c>
      <c r="O387" s="245" t="n"/>
      <c r="P387" s="245" t="n"/>
      <c r="Q387" s="250">
        <f>R387/H387</f>
        <v/>
      </c>
      <c r="R387" s="251" t="n">
        <v>26757.72</v>
      </c>
      <c r="S387" s="249" t="n">
        <v>17843</v>
      </c>
      <c r="T387" s="252">
        <f>S387*R387</f>
        <v/>
      </c>
      <c r="U387" s="245" t="n"/>
      <c r="V387" s="245" t="n"/>
      <c r="W387" s="245" t="n"/>
      <c r="X387" s="245" t="n"/>
      <c r="Y387" s="245" t="n"/>
      <c r="Z387" s="245" t="n"/>
    </row>
    <row r="388" ht="16.5" customHeight="1" s="202">
      <c r="A388" s="245" t="n"/>
      <c r="B388" s="245" t="n"/>
      <c r="C388" s="245" t="n"/>
      <c r="D388" s="245" t="n"/>
      <c r="E388" s="245" t="n"/>
      <c r="F388" s="245" t="n"/>
      <c r="G388" s="245" t="n"/>
      <c r="H388" s="247" t="n">
        <v>85</v>
      </c>
      <c r="I388" s="245" t="inlineStr">
        <is>
          <t>MSKU0565208</t>
        </is>
      </c>
      <c r="J388" s="245" t="inlineStr">
        <is>
          <t>40FT</t>
        </is>
      </c>
      <c r="K388" s="245" t="inlineStr">
        <is>
          <t>10IN GREEN TEA MF MATTRESS SQ</t>
        </is>
      </c>
      <c r="L388" s="245" t="inlineStr">
        <is>
          <t>ZU-MFMA1FZI-10S</t>
        </is>
      </c>
      <c r="M388" s="248" t="inlineStr">
        <is>
          <t>4T8QK63X</t>
        </is>
      </c>
      <c r="N388" s="245" t="inlineStr">
        <is>
          <t>F.MFM.10S.009.AD</t>
        </is>
      </c>
      <c r="O388" s="245" t="n"/>
      <c r="P388" s="245" t="n"/>
      <c r="Q388" s="250">
        <f>R388/H388</f>
        <v/>
      </c>
      <c r="R388" s="251" t="n">
        <v>6206.7</v>
      </c>
      <c r="S388" s="249" t="n">
        <v>17843</v>
      </c>
      <c r="T388" s="252">
        <f>S388*R388</f>
        <v/>
      </c>
      <c r="U388" s="245" t="n"/>
      <c r="V388" s="245" t="n"/>
      <c r="W388" s="245" t="n"/>
      <c r="X388" s="245" t="n"/>
      <c r="Y388" s="245" t="n"/>
      <c r="Z388" s="245" t="n"/>
    </row>
    <row r="389" ht="16.5" customHeight="1" s="202">
      <c r="A389" s="245" t="n"/>
      <c r="B389" s="245" t="n"/>
      <c r="C389" s="245" t="n"/>
      <c r="D389" s="245" t="n"/>
      <c r="E389" s="245" t="n"/>
      <c r="F389" s="245" t="n"/>
      <c r="G389" s="245" t="n"/>
      <c r="H389" s="247" t="n">
        <v>676</v>
      </c>
      <c r="I389" s="245" t="inlineStr">
        <is>
          <t>HASU4435775</t>
        </is>
      </c>
      <c r="J389" s="245" t="inlineStr">
        <is>
          <t>40FT</t>
        </is>
      </c>
      <c r="K389" s="245" t="inlineStr">
        <is>
          <t>6IN OPP HD TW</t>
        </is>
      </c>
      <c r="L389" s="245" t="inlineStr">
        <is>
          <t>ZU-MFMA1OZI-06T</t>
        </is>
      </c>
      <c r="M389" s="248" t="inlineStr">
        <is>
          <t>4T8QK63X</t>
        </is>
      </c>
      <c r="N389" s="245" t="inlineStr">
        <is>
          <t>F.MFM.06T.008.AD</t>
        </is>
      </c>
      <c r="O389" s="245" t="n"/>
      <c r="P389" s="245" t="n"/>
      <c r="Q389" s="250">
        <f>R389/H389</f>
        <v/>
      </c>
      <c r="R389" s="251" t="n">
        <v>18218.2</v>
      </c>
      <c r="S389" s="249" t="n">
        <v>17843</v>
      </c>
      <c r="T389" s="252">
        <f>S389*R389</f>
        <v/>
      </c>
      <c r="U389" s="245" t="n"/>
      <c r="V389" s="245" t="n"/>
      <c r="W389" s="245" t="n"/>
      <c r="X389" s="245" t="n"/>
      <c r="Y389" s="245" t="n"/>
      <c r="Z389" s="245" t="n"/>
    </row>
    <row r="390" ht="16.5" customHeight="1" s="202">
      <c r="A390" s="245" t="n"/>
      <c r="B390" s="245" t="n"/>
      <c r="C390" s="245" t="n"/>
      <c r="D390" s="245" t="n"/>
      <c r="E390" s="245" t="n"/>
      <c r="F390" s="245" t="n"/>
      <c r="G390" s="245" t="n"/>
      <c r="H390" s="247" t="n">
        <v>145</v>
      </c>
      <c r="I390" s="245" t="inlineStr"/>
      <c r="J390" s="245" t="inlineStr"/>
      <c r="K390" s="245" t="inlineStr">
        <is>
          <t>6IN GREEN TEA MF MATTRESS QN</t>
        </is>
      </c>
      <c r="L390" s="245" t="inlineStr">
        <is>
          <t>ZU-MFMA1ZZI-06Q</t>
        </is>
      </c>
      <c r="M390" s="248" t="inlineStr">
        <is>
          <t>4T8QK63X</t>
        </is>
      </c>
      <c r="N390" s="245" t="inlineStr">
        <is>
          <t>F.MFM.06Q.007.AD</t>
        </is>
      </c>
      <c r="O390" s="245" t="n"/>
      <c r="P390" s="245" t="n"/>
      <c r="Q390" s="250">
        <f>R390/H390</f>
        <v/>
      </c>
      <c r="R390" s="251" t="n">
        <v>6598.95</v>
      </c>
      <c r="S390" s="249" t="n">
        <v>17843</v>
      </c>
      <c r="T390" s="252">
        <f>S390*R390</f>
        <v/>
      </c>
      <c r="U390" s="245" t="n"/>
      <c r="V390" s="245" t="n"/>
      <c r="W390" s="245" t="n"/>
      <c r="X390" s="245" t="n"/>
      <c r="Y390" s="245" t="n"/>
      <c r="Z390" s="245" t="n"/>
    </row>
    <row r="391" ht="16.5" customHeight="1" s="202">
      <c r="A391" s="245" t="n"/>
      <c r="B391" s="245" t="n"/>
      <c r="C391" s="245" t="n"/>
      <c r="D391" s="245" t="n"/>
      <c r="E391" s="245" t="n"/>
      <c r="F391" s="245" t="n"/>
      <c r="G391" s="245" t="n"/>
      <c r="H391" s="247" t="n">
        <v>1055</v>
      </c>
      <c r="I391" s="245" t="inlineStr"/>
      <c r="J391" s="245" t="inlineStr"/>
      <c r="K391" s="245" t="inlineStr">
        <is>
          <t>6IN GREEN TEA MF MATTRESS TW</t>
        </is>
      </c>
      <c r="L391" s="245" t="inlineStr">
        <is>
          <t>ZU-MFMA1ZZI-06T</t>
        </is>
      </c>
      <c r="M391" s="248" t="inlineStr">
        <is>
          <t>6JPN7WYY</t>
        </is>
      </c>
      <c r="N391" s="245" t="inlineStr">
        <is>
          <t>F.MFM.06T.007.AD</t>
        </is>
      </c>
      <c r="O391" s="245" t="n"/>
      <c r="P391" s="245" t="n"/>
      <c r="Q391" s="250">
        <f>R391/H391</f>
        <v/>
      </c>
      <c r="R391" s="251" t="n">
        <v>32188.05</v>
      </c>
      <c r="S391" s="249" t="n">
        <v>17843</v>
      </c>
      <c r="T391" s="252">
        <f>S391*R391</f>
        <v/>
      </c>
      <c r="U391" s="245" t="n"/>
      <c r="V391" s="245" t="n"/>
      <c r="W391" s="245" t="n"/>
      <c r="X391" s="245" t="n"/>
      <c r="Y391" s="245" t="n"/>
      <c r="Z391" s="245" t="n"/>
    </row>
    <row r="392" ht="16.5" customHeight="1" s="202">
      <c r="A392" s="245" t="n"/>
      <c r="B392" s="245" t="n"/>
      <c r="C392" s="245" t="n"/>
      <c r="D392" s="245" t="n"/>
      <c r="E392" s="245" t="n"/>
      <c r="F392" s="245" t="n"/>
      <c r="G392" s="245" t="n"/>
      <c r="H392" s="247" t="n">
        <v>270</v>
      </c>
      <c r="I392" s="245" t="inlineStr"/>
      <c r="J392" s="245" t="inlineStr"/>
      <c r="K392" s="245" t="inlineStr">
        <is>
          <t>6IN MYGEL FOAM MATTRESS FL</t>
        </is>
      </c>
      <c r="L392" s="245" t="inlineStr">
        <is>
          <t>ZU-MFGN1YZI-06F</t>
        </is>
      </c>
      <c r="M392" s="248" t="inlineStr">
        <is>
          <t>6SCS6I8S</t>
        </is>
      </c>
      <c r="N392" s="245" t="inlineStr">
        <is>
          <t>F.MFG.06F.002.AD</t>
        </is>
      </c>
      <c r="O392" s="245" t="n"/>
      <c r="P392" s="245" t="n"/>
      <c r="Q392" s="250">
        <f>R392/H392</f>
        <v/>
      </c>
      <c r="R392" s="251" t="n">
        <v>10511.1</v>
      </c>
      <c r="S392" s="249" t="n">
        <v>17843</v>
      </c>
      <c r="T392" s="252">
        <f>S392*R392</f>
        <v/>
      </c>
      <c r="U392" s="245" t="n"/>
      <c r="V392" s="245" t="n"/>
      <c r="W392" s="245" t="n"/>
      <c r="X392" s="245" t="n"/>
      <c r="Y392" s="245" t="n"/>
      <c r="Z392" s="245" t="n"/>
    </row>
    <row r="393" ht="16.5" customHeight="1" s="202">
      <c r="A393" s="245" t="n"/>
      <c r="B393" s="245" t="n"/>
      <c r="C393" s="245" t="n"/>
      <c r="D393" s="245" t="n"/>
      <c r="E393" s="245" t="n"/>
      <c r="F393" s="245" t="n"/>
      <c r="G393" s="245" t="n"/>
      <c r="H393" s="247" t="n">
        <v>22</v>
      </c>
      <c r="I393" s="245" t="inlineStr"/>
      <c r="J393" s="245" t="inlineStr"/>
      <c r="K393" s="245" t="inlineStr">
        <is>
          <t>12IN MYGEL FOAM MATTRESS FL</t>
        </is>
      </c>
      <c r="L393" s="245" t="inlineStr">
        <is>
          <t>ZU-MFGN1YZI-12F</t>
        </is>
      </c>
      <c r="M393" s="248" t="inlineStr">
        <is>
          <t>6SCS6I8S</t>
        </is>
      </c>
      <c r="N393" s="245" t="inlineStr">
        <is>
          <t>F.MFG.12F.002.AD</t>
        </is>
      </c>
      <c r="O393" s="245" t="n"/>
      <c r="P393" s="245" t="n"/>
      <c r="Q393" s="250">
        <f>R393/H393</f>
        <v/>
      </c>
      <c r="R393" s="251" t="n">
        <v>1557.82</v>
      </c>
      <c r="S393" s="249" t="n">
        <v>17843</v>
      </c>
      <c r="T393" s="252">
        <f>S393*R393</f>
        <v/>
      </c>
      <c r="U393" s="245" t="n"/>
      <c r="V393" s="245" t="n"/>
      <c r="W393" s="245" t="n"/>
      <c r="X393" s="245" t="n"/>
      <c r="Y393" s="245" t="n"/>
      <c r="Z393" s="245" t="n"/>
    </row>
    <row r="394" ht="16.5" customHeight="1" s="202">
      <c r="A394" s="245" t="n"/>
      <c r="B394" s="245" t="n"/>
      <c r="C394" s="245" t="n"/>
      <c r="D394" s="245" t="n"/>
      <c r="E394" s="245" t="n"/>
      <c r="F394" s="245" t="n"/>
      <c r="G394" s="245" t="n"/>
      <c r="H394" s="247" t="n">
        <v>34</v>
      </c>
      <c r="I394" s="245" t="inlineStr"/>
      <c r="J394" s="245" t="inlineStr"/>
      <c r="K394" s="245" t="inlineStr">
        <is>
          <t>10IN AIRFLOW GEL FOAM MATT FL</t>
        </is>
      </c>
      <c r="L394" s="245" t="inlineStr">
        <is>
          <t>ZU-MFMA1RZI-10F</t>
        </is>
      </c>
      <c r="M394" s="248" t="inlineStr">
        <is>
          <t>6SCS6I8S</t>
        </is>
      </c>
      <c r="N394" s="245" t="inlineStr">
        <is>
          <t>F.MFM.10F.014.AD</t>
        </is>
      </c>
      <c r="O394" s="245" t="n"/>
      <c r="P394" s="245" t="n"/>
      <c r="Q394" s="250">
        <f>R394/H394</f>
        <v/>
      </c>
      <c r="R394" s="251" t="n">
        <v>1628.94</v>
      </c>
      <c r="S394" s="249" t="n">
        <v>17843</v>
      </c>
      <c r="T394" s="252">
        <f>S394*R394</f>
        <v/>
      </c>
      <c r="U394" s="245" t="n"/>
      <c r="V394" s="245" t="n"/>
      <c r="W394" s="245" t="n"/>
      <c r="X394" s="245" t="n"/>
      <c r="Y394" s="245" t="n"/>
      <c r="Z394" s="245" t="n"/>
    </row>
    <row r="395" ht="16.5" customHeight="1" s="202">
      <c r="A395" s="245" t="n"/>
      <c r="B395" s="245" t="n"/>
      <c r="C395" s="245" t="n"/>
      <c r="D395" s="245" t="n"/>
      <c r="E395" s="245" t="n"/>
      <c r="F395" s="245" t="n"/>
      <c r="G395" s="245" t="n"/>
      <c r="H395" s="247" t="n">
        <v>370</v>
      </c>
      <c r="I395" s="245" t="inlineStr"/>
      <c r="J395" s="245" t="inlineStr"/>
      <c r="K395" s="245" t="inlineStr">
        <is>
          <t>6IN GREEN TEA MF MATTRESS TW</t>
        </is>
      </c>
      <c r="L395" s="245" t="inlineStr">
        <is>
          <t>ZU-MFMA1ZZI-06T</t>
        </is>
      </c>
      <c r="M395" s="248" t="inlineStr">
        <is>
          <t>6SCS6I8S</t>
        </is>
      </c>
      <c r="N395" s="245" t="inlineStr">
        <is>
          <t>F.MFM.06T.007.AD</t>
        </is>
      </c>
      <c r="O395" s="245" t="n"/>
      <c r="P395" s="245" t="n"/>
      <c r="Q395" s="250">
        <f>R395/H395</f>
        <v/>
      </c>
      <c r="R395" s="251" t="n">
        <v>11288.7</v>
      </c>
      <c r="S395" s="249" t="n">
        <v>17843</v>
      </c>
      <c r="T395" s="252">
        <f>S395*R395</f>
        <v/>
      </c>
      <c r="U395" s="245" t="n"/>
      <c r="V395" s="245" t="n"/>
      <c r="W395" s="245" t="n"/>
      <c r="X395" s="245" t="n"/>
      <c r="Y395" s="245" t="n"/>
      <c r="Z395" s="245" t="n"/>
    </row>
    <row r="396" ht="16.5" customHeight="1" s="202">
      <c r="A396" s="245" t="n"/>
      <c r="B396" s="245" t="n"/>
      <c r="C396" s="245" t="n"/>
      <c r="D396" s="245" t="n"/>
      <c r="E396" s="245" t="n"/>
      <c r="F396" s="245" t="n"/>
      <c r="G396" s="245" t="n"/>
      <c r="H396" s="247" t="n">
        <v>50</v>
      </c>
      <c r="I396" s="245" t="inlineStr"/>
      <c r="J396" s="245" t="inlineStr"/>
      <c r="K396" s="245" t="inlineStr">
        <is>
          <t>10IN OPP HD FL</t>
        </is>
      </c>
      <c r="L396" s="245" t="inlineStr">
        <is>
          <t>ZU-MFMA1OZI-10F</t>
        </is>
      </c>
      <c r="M396" s="248" t="inlineStr">
        <is>
          <t>8SUD6J3H</t>
        </is>
      </c>
      <c r="N396" s="245" t="inlineStr">
        <is>
          <t>F.MFM.10F.013.AD</t>
        </is>
      </c>
      <c r="O396" s="245" t="n"/>
      <c r="P396" s="245" t="n"/>
      <c r="Q396" s="250">
        <f>R396/H396</f>
        <v/>
      </c>
      <c r="R396" s="251" t="n">
        <v>2395.5</v>
      </c>
      <c r="S396" s="249" t="n">
        <v>17843</v>
      </c>
      <c r="T396" s="252">
        <f>S396*R396</f>
        <v/>
      </c>
      <c r="U396" s="245" t="n"/>
      <c r="V396" s="245" t="n"/>
      <c r="W396" s="245" t="n"/>
      <c r="X396" s="245" t="n"/>
      <c r="Y396" s="245" t="n"/>
      <c r="Z396" s="245" t="n"/>
    </row>
    <row r="397" ht="16.5" customHeight="1" s="202">
      <c r="A397" s="245" t="n"/>
      <c r="B397" s="245" t="n"/>
      <c r="C397" s="245" t="n"/>
      <c r="D397" s="245" t="n"/>
      <c r="E397" s="245" t="n"/>
      <c r="F397" s="245" t="n"/>
      <c r="G397" s="245" t="n"/>
      <c r="H397" s="247" t="n">
        <v>865</v>
      </c>
      <c r="I397" s="245" t="inlineStr"/>
      <c r="J397" s="245" t="inlineStr"/>
      <c r="K397" s="245" t="inlineStr">
        <is>
          <t>6IN GREEN TEA MF MATTRESS TW</t>
        </is>
      </c>
      <c r="L397" s="245" t="inlineStr">
        <is>
          <t>ZU-MFMA1ZZI-06T</t>
        </is>
      </c>
      <c r="M397" s="248" t="inlineStr">
        <is>
          <t>8SUD6J3H</t>
        </is>
      </c>
      <c r="N397" s="245" t="inlineStr">
        <is>
          <t>F.MFM.06T.007.AD</t>
        </is>
      </c>
      <c r="O397" s="245" t="n"/>
      <c r="P397" s="245" t="n"/>
      <c r="Q397" s="250">
        <f>R397/H397</f>
        <v/>
      </c>
      <c r="R397" s="251" t="n">
        <v>26391.15</v>
      </c>
      <c r="S397" s="249" t="n">
        <v>17843</v>
      </c>
      <c r="T397" s="252">
        <f>S397*R397</f>
        <v/>
      </c>
      <c r="U397" s="245" t="n"/>
      <c r="V397" s="245" t="n"/>
      <c r="W397" s="245" t="n"/>
      <c r="X397" s="245" t="n"/>
      <c r="Y397" s="245" t="n"/>
      <c r="Z397" s="245" t="n"/>
    </row>
    <row r="398" ht="17.1" customHeight="1" s="202">
      <c r="A398" s="254" t="n"/>
      <c r="B398" s="254" t="n"/>
      <c r="C398" s="254" t="n"/>
      <c r="D398" s="254" t="n"/>
      <c r="E398" s="254" t="n"/>
      <c r="F398" s="254" t="n"/>
      <c r="G398" s="254" t="n"/>
      <c r="H398" s="255">
        <f>SUM(H384:H397)</f>
        <v/>
      </c>
      <c r="I398" s="254">
        <f>COUNTA(I384:I397)</f>
        <v/>
      </c>
      <c r="J398" s="254" t="n"/>
      <c r="K398" s="254" t="n"/>
      <c r="L398" s="254" t="n"/>
      <c r="M398" s="254" t="n"/>
      <c r="N398" s="254" t="n"/>
      <c r="O398" s="256">
        <f>SUM(O384:O397)</f>
        <v/>
      </c>
      <c r="P398" s="256">
        <f>SUM(P384:P397)</f>
        <v/>
      </c>
      <c r="Q398" s="254" t="n"/>
      <c r="R398" s="257">
        <f>SUM(R384:R397)</f>
        <v/>
      </c>
      <c r="S398" s="254" t="n"/>
      <c r="T398" s="258">
        <f>SUM(T384:T397)</f>
        <v/>
      </c>
      <c r="U398" s="254" t="n"/>
      <c r="V398" s="254" t="n"/>
      <c r="W398" s="254" t="n"/>
      <c r="X398" s="254" t="n"/>
      <c r="Y398" s="254" t="n"/>
      <c r="Z398" s="254" t="n"/>
    </row>
    <row r="399" ht="16.5" customHeight="1" s="202">
      <c r="A399" s="245" t="n">
        <v>48</v>
      </c>
      <c r="B399" s="245" t="inlineStr">
        <is>
          <t>000030ZIK48020260824000683</t>
        </is>
      </c>
      <c r="C399" s="245" t="n">
        <v>534861</v>
      </c>
      <c r="D399" s="245" t="n">
        <v>534817</v>
      </c>
      <c r="E399" s="246" t="n">
        <v>46259</v>
      </c>
      <c r="F399" s="245" t="inlineStr">
        <is>
          <t>ID2608-8069</t>
        </is>
      </c>
      <c r="G399" s="246" t="n">
        <v>46241</v>
      </c>
      <c r="H399" s="247" t="n">
        <v>307</v>
      </c>
      <c r="I399" s="245" t="inlineStr">
        <is>
          <t>MRKU5377855</t>
        </is>
      </c>
      <c r="J399" s="245" t="inlineStr">
        <is>
          <t>40FT</t>
        </is>
      </c>
      <c r="K399" s="245" t="inlineStr">
        <is>
          <t>8IN MYGEL FOAM MATTRESS FL</t>
        </is>
      </c>
      <c r="L399" s="245" t="inlineStr">
        <is>
          <t>ZU-MFGN1YZI-08F</t>
        </is>
      </c>
      <c r="M399" s="248" t="inlineStr">
        <is>
          <t>423ZKH9J</t>
        </is>
      </c>
      <c r="N399" s="245" t="inlineStr">
        <is>
          <t>F.MFG.08F.003.AD</t>
        </is>
      </c>
      <c r="O399" s="249" t="n">
        <v>70919.67</v>
      </c>
      <c r="P399" s="249" t="n">
        <v>61602.47</v>
      </c>
      <c r="Q399" s="250">
        <f>R399/H399</f>
        <v/>
      </c>
      <c r="R399" s="251" t="n">
        <v>16949.47</v>
      </c>
      <c r="S399" s="249" t="n">
        <v>17843</v>
      </c>
      <c r="T399" s="252">
        <f>S399*R399</f>
        <v/>
      </c>
      <c r="U399" s="245" t="inlineStr">
        <is>
          <t>040300/KPPBC</t>
        </is>
      </c>
      <c r="V399" s="245" t="inlineStr">
        <is>
          <t>TG. PRIOK</t>
        </is>
      </c>
      <c r="W399" s="245" t="inlineStr">
        <is>
          <t>LOS ANGELES, US</t>
        </is>
      </c>
      <c r="X399" s="245" t="inlineStr">
        <is>
          <t>AMAZON.COM SERVICES LLC</t>
        </is>
      </c>
      <c r="Y399" s="245" t="inlineStr">
        <is>
          <t>MAEU274604805</t>
        </is>
      </c>
      <c r="Z399" s="246" t="n">
        <v>46259</v>
      </c>
    </row>
    <row r="400" ht="16.5" customHeight="1" s="202">
      <c r="A400" s="245" t="n"/>
      <c r="B400" s="245" t="n"/>
      <c r="C400" s="245" t="n"/>
      <c r="D400" s="245" t="n"/>
      <c r="E400" s="245" t="n"/>
      <c r="F400" s="245" t="n"/>
      <c r="G400" s="245" t="n"/>
      <c r="H400" s="247" t="n">
        <v>574</v>
      </c>
      <c r="I400" s="245" t="inlineStr">
        <is>
          <t>MRSU4448113</t>
        </is>
      </c>
      <c r="J400" s="245" t="inlineStr">
        <is>
          <t>40FT</t>
        </is>
      </c>
      <c r="K400" s="245" t="inlineStr">
        <is>
          <t>6IN GREEN TEA MF MATTRESS TW</t>
        </is>
      </c>
      <c r="L400" s="245" t="inlineStr">
        <is>
          <t>ZU-MFMA1ZZI-06T</t>
        </is>
      </c>
      <c r="M400" s="248" t="inlineStr">
        <is>
          <t>423ZKH9J</t>
        </is>
      </c>
      <c r="N400" s="245" t="inlineStr">
        <is>
          <t>F.MFM.06T.007.AD</t>
        </is>
      </c>
      <c r="O400" s="245" t="n"/>
      <c r="P400" s="245" t="n"/>
      <c r="Q400" s="250">
        <f>R400/H400</f>
        <v/>
      </c>
      <c r="R400" s="251" t="n">
        <v>17512.74</v>
      </c>
      <c r="S400" s="249" t="n">
        <v>17843</v>
      </c>
      <c r="T400" s="252">
        <f>S400*R400</f>
        <v/>
      </c>
      <c r="U400" s="245" t="n"/>
      <c r="V400" s="245" t="n"/>
      <c r="W400" s="245" t="inlineStr">
        <is>
          <t>ETD : 30-08-2026</t>
        </is>
      </c>
      <c r="X400" s="245" t="n"/>
      <c r="Y400" s="245" t="n"/>
      <c r="Z400" s="245" t="n"/>
    </row>
    <row r="401" ht="16.5" customHeight="1" s="202">
      <c r="A401" s="245" t="n"/>
      <c r="B401" s="245" t="n"/>
      <c r="C401" s="245" t="n"/>
      <c r="D401" s="245" t="n"/>
      <c r="E401" s="245" t="n"/>
      <c r="F401" s="245" t="n"/>
      <c r="G401" s="245" t="n"/>
      <c r="H401" s="247" t="n">
        <v>108</v>
      </c>
      <c r="I401" s="245" t="inlineStr">
        <is>
          <t>MRSU3184361</t>
        </is>
      </c>
      <c r="J401" s="245" t="inlineStr">
        <is>
          <t>40FT</t>
        </is>
      </c>
      <c r="K401" s="245" t="inlineStr">
        <is>
          <t>8IN MYGEL FOAM MATTRESS TW</t>
        </is>
      </c>
      <c r="L401" s="245" t="inlineStr">
        <is>
          <t>ZU-MFGN1YZI-08T</t>
        </is>
      </c>
      <c r="M401" s="248" t="inlineStr">
        <is>
          <t>47SM2HZF</t>
        </is>
      </c>
      <c r="N401" s="245" t="inlineStr">
        <is>
          <t>F.MFG.08T.003.AD</t>
        </is>
      </c>
      <c r="O401" s="245" t="n"/>
      <c r="P401" s="245" t="n"/>
      <c r="Q401" s="250">
        <f>R401/H401</f>
        <v/>
      </c>
      <c r="R401" s="251" t="n">
        <v>3880.44</v>
      </c>
      <c r="S401" s="249" t="n">
        <v>17843</v>
      </c>
      <c r="T401" s="252">
        <f>S401*R401</f>
        <v/>
      </c>
      <c r="U401" s="245" t="n"/>
      <c r="V401" s="245" t="n"/>
      <c r="W401" s="245" t="n"/>
      <c r="X401" s="245" t="n"/>
      <c r="Y401" s="245" t="n"/>
      <c r="Z401" s="245" t="n"/>
    </row>
    <row r="402" ht="16.5" customHeight="1" s="202">
      <c r="A402" s="245" t="n"/>
      <c r="B402" s="245" t="n"/>
      <c r="C402" s="245" t="n"/>
      <c r="D402" s="245" t="n"/>
      <c r="E402" s="245" t="n"/>
      <c r="F402" s="245" t="n"/>
      <c r="G402" s="245" t="n"/>
      <c r="H402" s="247" t="n">
        <v>117</v>
      </c>
      <c r="I402" s="245" t="inlineStr">
        <is>
          <t>MRSU5574707</t>
        </is>
      </c>
      <c r="J402" s="245" t="inlineStr">
        <is>
          <t>40FT</t>
        </is>
      </c>
      <c r="K402" s="245" t="inlineStr">
        <is>
          <t>10IN GREEN TEA MF MATTRESS SQ</t>
        </is>
      </c>
      <c r="L402" s="245" t="inlineStr">
        <is>
          <t>ZU-MFMA1FZI-10S</t>
        </is>
      </c>
      <c r="M402" s="248" t="inlineStr">
        <is>
          <t>47SM2HZF</t>
        </is>
      </c>
      <c r="N402" s="245" t="inlineStr">
        <is>
          <t>F.MFM.10S.009.AD</t>
        </is>
      </c>
      <c r="O402" s="245" t="n"/>
      <c r="P402" s="245" t="n"/>
      <c r="Q402" s="250">
        <f>R402/H402</f>
        <v/>
      </c>
      <c r="R402" s="251" t="n">
        <v>8543.34</v>
      </c>
      <c r="S402" s="249" t="n">
        <v>17843</v>
      </c>
      <c r="T402" s="252">
        <f>S402*R402</f>
        <v/>
      </c>
      <c r="U402" s="245" t="n"/>
      <c r="V402" s="245" t="n"/>
      <c r="W402" s="245" t="n"/>
      <c r="X402" s="245" t="n"/>
      <c r="Y402" s="245" t="n"/>
      <c r="Z402" s="245" t="n"/>
    </row>
    <row r="403" ht="16.5" customHeight="1" s="202">
      <c r="A403" s="245" t="n"/>
      <c r="B403" s="245" t="n"/>
      <c r="C403" s="245" t="n"/>
      <c r="D403" s="245" t="n"/>
      <c r="E403" s="245" t="n"/>
      <c r="F403" s="245" t="n"/>
      <c r="G403" s="245" t="n"/>
      <c r="H403" s="247" t="n">
        <v>150</v>
      </c>
      <c r="I403" s="245" t="inlineStr">
        <is>
          <t>TCKU7098902</t>
        </is>
      </c>
      <c r="J403" s="245" t="inlineStr">
        <is>
          <t>40FT</t>
        </is>
      </c>
      <c r="K403" s="245" t="inlineStr">
        <is>
          <t>8IN OPP HD FL</t>
        </is>
      </c>
      <c r="L403" s="245" t="inlineStr">
        <is>
          <t>ZU-MFMA1OZI-08F</t>
        </is>
      </c>
      <c r="M403" s="248" t="inlineStr">
        <is>
          <t>47SM2HZF</t>
        </is>
      </c>
      <c r="N403" s="245" t="inlineStr">
        <is>
          <t>F.MFM.08F.013.AD</t>
        </is>
      </c>
      <c r="O403" s="245" t="n"/>
      <c r="P403" s="245" t="n"/>
      <c r="Q403" s="250">
        <f>R403/H403</f>
        <v/>
      </c>
      <c r="R403" s="251" t="n">
        <v>5839.5</v>
      </c>
      <c r="S403" s="249" t="n">
        <v>17843</v>
      </c>
      <c r="T403" s="252">
        <f>S403*R403</f>
        <v/>
      </c>
      <c r="U403" s="245" t="n"/>
      <c r="V403" s="245" t="n"/>
      <c r="W403" s="245" t="n"/>
      <c r="X403" s="245" t="n"/>
      <c r="Y403" s="245" t="n"/>
      <c r="Z403" s="245" t="n"/>
    </row>
    <row r="404" ht="16.5" customHeight="1" s="202">
      <c r="A404" s="245" t="n"/>
      <c r="B404" s="245" t="n"/>
      <c r="C404" s="245" t="n"/>
      <c r="D404" s="245" t="n"/>
      <c r="E404" s="245" t="n"/>
      <c r="F404" s="245" t="n"/>
      <c r="G404" s="245" t="n"/>
      <c r="H404" s="247" t="n">
        <v>57</v>
      </c>
      <c r="I404" s="245" t="inlineStr">
        <is>
          <t>TRHU4334659</t>
        </is>
      </c>
      <c r="J404" s="245" t="inlineStr">
        <is>
          <t>40FT</t>
        </is>
      </c>
      <c r="K404" s="245" t="inlineStr">
        <is>
          <t>10IN OPP HD FL</t>
        </is>
      </c>
      <c r="L404" s="245" t="inlineStr">
        <is>
          <t>ZU-MFMA1OZI-10F</t>
        </is>
      </c>
      <c r="M404" s="248" t="inlineStr">
        <is>
          <t>47SM2HZF</t>
        </is>
      </c>
      <c r="N404" s="245" t="inlineStr">
        <is>
          <t>F.MFM.10F.013.AD</t>
        </is>
      </c>
      <c r="O404" s="245" t="n"/>
      <c r="P404" s="245" t="n"/>
      <c r="Q404" s="250">
        <f>R404/H404</f>
        <v/>
      </c>
      <c r="R404" s="251" t="n">
        <v>2730.87</v>
      </c>
      <c r="S404" s="249" t="n">
        <v>17843</v>
      </c>
      <c r="T404" s="252">
        <f>S404*R404</f>
        <v/>
      </c>
      <c r="U404" s="245" t="n"/>
      <c r="V404" s="245" t="n"/>
      <c r="W404" s="245" t="n"/>
      <c r="X404" s="245" t="n"/>
      <c r="Y404" s="245" t="n"/>
      <c r="Z404" s="245" t="n"/>
    </row>
    <row r="405" ht="16.5" customHeight="1" s="202">
      <c r="A405" s="245" t="n"/>
      <c r="B405" s="245" t="n"/>
      <c r="C405" s="245" t="n"/>
      <c r="D405" s="245" t="n"/>
      <c r="E405" s="245" t="n"/>
      <c r="F405" s="245" t="n"/>
      <c r="G405" s="245" t="n"/>
      <c r="H405" s="247" t="n">
        <v>234</v>
      </c>
      <c r="I405" s="245" t="inlineStr"/>
      <c r="J405" s="245" t="inlineStr"/>
      <c r="K405" s="245" t="inlineStr">
        <is>
          <t>10IN OPP HD TW</t>
        </is>
      </c>
      <c r="L405" s="245" t="inlineStr">
        <is>
          <t>ZU-MFMA1OZI-10T</t>
        </is>
      </c>
      <c r="M405" s="248" t="inlineStr">
        <is>
          <t>47SM2HZF</t>
        </is>
      </c>
      <c r="N405" s="245" t="inlineStr">
        <is>
          <t>F.MFM.10T.013.AD</t>
        </is>
      </c>
      <c r="O405" s="245" t="n"/>
      <c r="P405" s="245" t="n"/>
      <c r="Q405" s="250">
        <f>R405/H405</f>
        <v/>
      </c>
      <c r="R405" s="251" t="n">
        <v>9109.620000000001</v>
      </c>
      <c r="S405" s="249" t="n">
        <v>17843</v>
      </c>
      <c r="T405" s="252">
        <f>S405*R405</f>
        <v/>
      </c>
      <c r="U405" s="245" t="n"/>
      <c r="V405" s="245" t="n"/>
      <c r="W405" s="245" t="n"/>
      <c r="X405" s="245" t="n"/>
      <c r="Y405" s="245" t="n"/>
      <c r="Z405" s="245" t="n"/>
    </row>
    <row r="406" ht="16.5" customHeight="1" s="202">
      <c r="A406" s="245" t="n"/>
      <c r="B406" s="245" t="n"/>
      <c r="C406" s="245" t="n"/>
      <c r="D406" s="245" t="n"/>
      <c r="E406" s="245" t="n"/>
      <c r="F406" s="245" t="n"/>
      <c r="G406" s="245" t="n"/>
      <c r="H406" s="247" t="n">
        <v>79</v>
      </c>
      <c r="I406" s="245" t="inlineStr"/>
      <c r="J406" s="245" t="inlineStr"/>
      <c r="K406" s="245" t="inlineStr">
        <is>
          <t>6IN GREEN TEA MF MATTRESS TW</t>
        </is>
      </c>
      <c r="L406" s="245" t="inlineStr">
        <is>
          <t>ZU-MFMA1ZZI-06T</t>
        </is>
      </c>
      <c r="M406" s="248" t="inlineStr">
        <is>
          <t>47SM2HZF</t>
        </is>
      </c>
      <c r="N406" s="245" t="inlineStr">
        <is>
          <t>F.MFM.06T.007.AD</t>
        </is>
      </c>
      <c r="O406" s="245" t="n"/>
      <c r="P406" s="245" t="n"/>
      <c r="Q406" s="250">
        <f>R406/H406</f>
        <v/>
      </c>
      <c r="R406" s="251" t="n">
        <v>2410.29</v>
      </c>
      <c r="S406" s="249" t="n">
        <v>17843</v>
      </c>
      <c r="T406" s="252">
        <f>S406*R406</f>
        <v/>
      </c>
      <c r="U406" s="245" t="n"/>
      <c r="V406" s="245" t="n"/>
      <c r="W406" s="245" t="n"/>
      <c r="X406" s="245" t="n"/>
      <c r="Y406" s="245" t="n"/>
      <c r="Z406" s="245" t="n"/>
    </row>
    <row r="407" ht="16.5" customHeight="1" s="202">
      <c r="A407" s="245" t="n"/>
      <c r="B407" s="245" t="n"/>
      <c r="C407" s="245" t="n"/>
      <c r="D407" s="245" t="n"/>
      <c r="E407" s="245" t="n"/>
      <c r="F407" s="245" t="n"/>
      <c r="G407" s="245" t="n"/>
      <c r="H407" s="247" t="n">
        <v>29</v>
      </c>
      <c r="I407" s="245" t="inlineStr"/>
      <c r="J407" s="245" t="inlineStr"/>
      <c r="K407" s="245" t="inlineStr">
        <is>
          <t>8IN GREEN TEA MF MATTRESS SQ</t>
        </is>
      </c>
      <c r="L407" s="245" t="inlineStr">
        <is>
          <t>ZU-MFMA1ZZI-08S</t>
        </is>
      </c>
      <c r="M407" s="248" t="inlineStr">
        <is>
          <t>47SM2HZF</t>
        </is>
      </c>
      <c r="N407" s="245" t="inlineStr">
        <is>
          <t>F.MFM.08S.011.AD</t>
        </is>
      </c>
      <c r="O407" s="245" t="n"/>
      <c r="P407" s="245" t="n"/>
      <c r="Q407" s="250">
        <f>R407/H407</f>
        <v/>
      </c>
      <c r="R407" s="251" t="n">
        <v>1713.9</v>
      </c>
      <c r="S407" s="249" t="n">
        <v>17843</v>
      </c>
      <c r="T407" s="252">
        <f>S407*R407</f>
        <v/>
      </c>
      <c r="U407" s="245" t="n"/>
      <c r="V407" s="245" t="n"/>
      <c r="W407" s="245" t="n"/>
      <c r="X407" s="245" t="n"/>
      <c r="Y407" s="245" t="n"/>
      <c r="Z407" s="245" t="n"/>
    </row>
    <row r="408" ht="16.5" customHeight="1" s="202">
      <c r="A408" s="245" t="n"/>
      <c r="B408" s="245" t="n"/>
      <c r="C408" s="245" t="n"/>
      <c r="D408" s="245" t="n"/>
      <c r="E408" s="245" t="n"/>
      <c r="F408" s="245" t="n"/>
      <c r="G408" s="245" t="n"/>
      <c r="H408" s="247" t="n">
        <v>615</v>
      </c>
      <c r="I408" s="245" t="inlineStr"/>
      <c r="J408" s="245" t="inlineStr"/>
      <c r="K408" s="245" t="inlineStr">
        <is>
          <t>8IN MYGEL FOAM MATTRESS TW</t>
        </is>
      </c>
      <c r="L408" s="245" t="inlineStr">
        <is>
          <t>ZU-MFGN1YZI-08T</t>
        </is>
      </c>
      <c r="M408" s="248" t="inlineStr">
        <is>
          <t>4ILEJDOO</t>
        </is>
      </c>
      <c r="N408" s="245" t="inlineStr">
        <is>
          <t>F.MFG.08T.003.AD</t>
        </is>
      </c>
      <c r="O408" s="245" t="n"/>
      <c r="P408" s="245" t="n"/>
      <c r="Q408" s="250">
        <f>R408/H408</f>
        <v/>
      </c>
      <c r="R408" s="251" t="n">
        <v>22096.95</v>
      </c>
      <c r="S408" s="249" t="n">
        <v>17843</v>
      </c>
      <c r="T408" s="252">
        <f>S408*R408</f>
        <v/>
      </c>
      <c r="U408" s="245" t="n"/>
      <c r="V408" s="245" t="n"/>
      <c r="W408" s="245" t="n"/>
      <c r="X408" s="245" t="n"/>
      <c r="Y408" s="245" t="n"/>
      <c r="Z408" s="245" t="n"/>
    </row>
    <row r="409" ht="16.5" customHeight="1" s="202">
      <c r="A409" s="245" t="n"/>
      <c r="B409" s="245" t="n"/>
      <c r="C409" s="245" t="n"/>
      <c r="D409" s="245" t="n"/>
      <c r="E409" s="245" t="n"/>
      <c r="F409" s="245" t="n"/>
      <c r="G409" s="245" t="n"/>
      <c r="H409" s="247" t="n">
        <v>110</v>
      </c>
      <c r="I409" s="245" t="inlineStr"/>
      <c r="J409" s="245" t="inlineStr"/>
      <c r="K409" s="245" t="inlineStr">
        <is>
          <t>12IN AIRFLOW GEL FOAM MATT QN</t>
        </is>
      </c>
      <c r="L409" s="245" t="inlineStr">
        <is>
          <t>ZU-MFMA1RZI-12Q</t>
        </is>
      </c>
      <c r="M409" s="248" t="inlineStr">
        <is>
          <t>4ILEJDOO</t>
        </is>
      </c>
      <c r="N409" s="245" t="inlineStr">
        <is>
          <t>F.MFM.12Q.011.AD</t>
        </is>
      </c>
      <c r="O409" s="245" t="n"/>
      <c r="P409" s="245" t="n"/>
      <c r="Q409" s="250">
        <f>R409/H409</f>
        <v/>
      </c>
      <c r="R409" s="251" t="n">
        <v>7432.7</v>
      </c>
      <c r="S409" s="249" t="n">
        <v>17843</v>
      </c>
      <c r="T409" s="252">
        <f>S409*R409</f>
        <v/>
      </c>
      <c r="U409" s="245" t="n"/>
      <c r="V409" s="245" t="n"/>
      <c r="W409" s="245" t="n"/>
      <c r="X409" s="245" t="n"/>
      <c r="Y409" s="245" t="n"/>
      <c r="Z409" s="245" t="n"/>
    </row>
    <row r="410" ht="16.5" customHeight="1" s="202">
      <c r="A410" s="245" t="n"/>
      <c r="B410" s="245" t="n"/>
      <c r="C410" s="245" t="n"/>
      <c r="D410" s="245" t="n"/>
      <c r="E410" s="245" t="n"/>
      <c r="F410" s="245" t="n"/>
      <c r="G410" s="245" t="n"/>
      <c r="H410" s="247" t="n">
        <v>95</v>
      </c>
      <c r="I410" s="245" t="inlineStr"/>
      <c r="J410" s="245" t="inlineStr"/>
      <c r="K410" s="245" t="inlineStr">
        <is>
          <t>12IN GREEN TEA MF MATTRESS TW</t>
        </is>
      </c>
      <c r="L410" s="245" t="inlineStr">
        <is>
          <t>ZU-MFMA1ZZI-12T</t>
        </is>
      </c>
      <c r="M410" s="248" t="inlineStr">
        <is>
          <t>4ILEJDOO</t>
        </is>
      </c>
      <c r="N410" s="245" t="inlineStr">
        <is>
          <t>F.MFM.12T.006.AD</t>
        </is>
      </c>
      <c r="O410" s="245" t="n"/>
      <c r="P410" s="245" t="n"/>
      <c r="Q410" s="250">
        <f>R410/H410</f>
        <v/>
      </c>
      <c r="R410" s="251" t="n">
        <v>6004</v>
      </c>
      <c r="S410" s="249" t="n">
        <v>17843</v>
      </c>
      <c r="T410" s="252">
        <f>S410*R410</f>
        <v/>
      </c>
      <c r="U410" s="245" t="n"/>
      <c r="V410" s="245" t="n"/>
      <c r="W410" s="245" t="n"/>
      <c r="X410" s="245" t="n"/>
      <c r="Y410" s="245" t="n"/>
      <c r="Z410" s="245" t="n"/>
    </row>
    <row r="411" ht="16.5" customHeight="1" s="202">
      <c r="A411" s="245" t="n"/>
      <c r="B411" s="245" t="n"/>
      <c r="C411" s="245" t="n"/>
      <c r="D411" s="245" t="n"/>
      <c r="E411" s="245" t="n"/>
      <c r="F411" s="245" t="n"/>
      <c r="G411" s="245" t="n"/>
      <c r="H411" s="247" t="n">
        <v>330</v>
      </c>
      <c r="I411" s="245" t="inlineStr"/>
      <c r="J411" s="245" t="inlineStr"/>
      <c r="K411" s="245" t="inlineStr">
        <is>
          <t>6IN MYGEL FOAM MATTRESS FL</t>
        </is>
      </c>
      <c r="L411" s="245" t="inlineStr">
        <is>
          <t>ZU-MFGN1YZI-06F</t>
        </is>
      </c>
      <c r="M411" s="248" t="inlineStr">
        <is>
          <t>6G6GOEFX</t>
        </is>
      </c>
      <c r="N411" s="245" t="inlineStr">
        <is>
          <t>F.MFG.06F.002.AD</t>
        </is>
      </c>
      <c r="O411" s="245" t="n"/>
      <c r="P411" s="245" t="n"/>
      <c r="Q411" s="250">
        <f>R411/H411</f>
        <v/>
      </c>
      <c r="R411" s="251" t="n">
        <v>12846.9</v>
      </c>
      <c r="S411" s="249" t="n">
        <v>17843</v>
      </c>
      <c r="T411" s="252">
        <f>S411*R411</f>
        <v/>
      </c>
      <c r="U411" s="245" t="n"/>
      <c r="V411" s="245" t="n"/>
      <c r="W411" s="245" t="n"/>
      <c r="X411" s="245" t="n"/>
      <c r="Y411" s="245" t="n"/>
      <c r="Z411" s="245" t="n"/>
    </row>
    <row r="412" ht="16.5" customHeight="1" s="202">
      <c r="A412" s="245" t="n"/>
      <c r="B412" s="245" t="n"/>
      <c r="C412" s="245" t="n"/>
      <c r="D412" s="245" t="n"/>
      <c r="E412" s="245" t="n"/>
      <c r="F412" s="245" t="n"/>
      <c r="G412" s="245" t="n"/>
      <c r="H412" s="247" t="n">
        <v>183</v>
      </c>
      <c r="I412" s="245" t="inlineStr"/>
      <c r="J412" s="245" t="inlineStr"/>
      <c r="K412" s="245" t="inlineStr">
        <is>
          <t>6IN OPP HD TW</t>
        </is>
      </c>
      <c r="L412" s="245" t="inlineStr">
        <is>
          <t>ZU-MFMA1OZI-06T</t>
        </is>
      </c>
      <c r="M412" s="248" t="inlineStr">
        <is>
          <t>6G6GOEFX</t>
        </is>
      </c>
      <c r="N412" s="245" t="inlineStr">
        <is>
          <t>F.MFM.06T.008.AD</t>
        </is>
      </c>
      <c r="O412" s="245" t="n"/>
      <c r="P412" s="245" t="n"/>
      <c r="Q412" s="250">
        <f>R412/H412</f>
        <v/>
      </c>
      <c r="R412" s="251" t="n">
        <v>4931.85</v>
      </c>
      <c r="S412" s="249" t="n">
        <v>17843</v>
      </c>
      <c r="T412" s="252">
        <f>S412*R412</f>
        <v/>
      </c>
      <c r="U412" s="245" t="n"/>
      <c r="V412" s="245" t="n"/>
      <c r="W412" s="245" t="n"/>
      <c r="X412" s="245" t="n"/>
      <c r="Y412" s="245" t="n"/>
      <c r="Z412" s="245" t="n"/>
    </row>
    <row r="413" ht="16.5" customHeight="1" s="202">
      <c r="A413" s="245" t="n"/>
      <c r="B413" s="245" t="n"/>
      <c r="C413" s="245" t="n"/>
      <c r="D413" s="245" t="n"/>
      <c r="E413" s="245" t="n"/>
      <c r="F413" s="245" t="n"/>
      <c r="G413" s="245" t="n"/>
      <c r="H413" s="247" t="n">
        <v>293</v>
      </c>
      <c r="I413" s="245" t="inlineStr"/>
      <c r="J413" s="245" t="inlineStr"/>
      <c r="K413" s="245" t="inlineStr">
        <is>
          <t>10IN OPP HD QN</t>
        </is>
      </c>
      <c r="L413" s="245" t="inlineStr">
        <is>
          <t>ZU-MFMA1OZI-10Q</t>
        </is>
      </c>
      <c r="M413" s="248" t="inlineStr">
        <is>
          <t>6G6GOEFX</t>
        </is>
      </c>
      <c r="N413" s="245" t="inlineStr">
        <is>
          <t>F.MFM.10Q.013.AD</t>
        </is>
      </c>
      <c r="O413" s="245" t="n"/>
      <c r="P413" s="245" t="n"/>
      <c r="Q413" s="250">
        <f>R413/H413</f>
        <v/>
      </c>
      <c r="R413" s="251" t="n">
        <v>15792.7</v>
      </c>
      <c r="S413" s="249" t="n">
        <v>17843</v>
      </c>
      <c r="T413" s="252">
        <f>S413*R413</f>
        <v/>
      </c>
      <c r="U413" s="245" t="n"/>
      <c r="V413" s="245" t="n"/>
      <c r="W413" s="245" t="n"/>
      <c r="X413" s="245" t="n"/>
      <c r="Y413" s="245" t="n"/>
      <c r="Z413" s="245" t="n"/>
    </row>
    <row r="414" ht="16.5" customHeight="1" s="202">
      <c r="A414" s="245" t="n"/>
      <c r="B414" s="245" t="n"/>
      <c r="C414" s="245" t="n"/>
      <c r="D414" s="245" t="n"/>
      <c r="E414" s="245" t="n"/>
      <c r="F414" s="245" t="n"/>
      <c r="G414" s="245" t="n"/>
      <c r="H414" s="247" t="n">
        <v>275</v>
      </c>
      <c r="I414" s="245" t="inlineStr"/>
      <c r="J414" s="245" t="inlineStr"/>
      <c r="K414" s="245" t="inlineStr">
        <is>
          <t>8IN MYGEL FOAM MATTRESS TW</t>
        </is>
      </c>
      <c r="L414" s="245" t="inlineStr">
        <is>
          <t>ZU-MFGN1YZI-08T</t>
        </is>
      </c>
      <c r="M414" s="248" t="inlineStr">
        <is>
          <t>8TMCW7AN</t>
        </is>
      </c>
      <c r="N414" s="245" t="inlineStr">
        <is>
          <t>F.MFG.08T.003.AD</t>
        </is>
      </c>
      <c r="O414" s="245" t="n"/>
      <c r="P414" s="245" t="n"/>
      <c r="Q414" s="250">
        <f>R414/H414</f>
        <v/>
      </c>
      <c r="R414" s="251" t="n">
        <v>9880.75</v>
      </c>
      <c r="S414" s="249" t="n">
        <v>17843</v>
      </c>
      <c r="T414" s="252">
        <f>S414*R414</f>
        <v/>
      </c>
      <c r="U414" s="245" t="n"/>
      <c r="V414" s="245" t="n"/>
      <c r="W414" s="245" t="n"/>
      <c r="X414" s="245" t="n"/>
      <c r="Y414" s="245" t="n"/>
      <c r="Z414" s="245" t="n"/>
    </row>
    <row r="415" ht="16.5" customHeight="1" s="202">
      <c r="A415" s="245" t="n"/>
      <c r="B415" s="245" t="n"/>
      <c r="C415" s="245" t="n"/>
      <c r="D415" s="245" t="n"/>
      <c r="E415" s="245" t="n"/>
      <c r="F415" s="245" t="n"/>
      <c r="G415" s="245" t="n"/>
      <c r="H415" s="247" t="n">
        <v>20</v>
      </c>
      <c r="I415" s="245" t="inlineStr"/>
      <c r="J415" s="245" t="inlineStr"/>
      <c r="K415" s="245" t="inlineStr">
        <is>
          <t>6IN GREEN TEA MF MATTRESS QN</t>
        </is>
      </c>
      <c r="L415" s="245" t="inlineStr">
        <is>
          <t>ZU-MFMA1FZI-06Q</t>
        </is>
      </c>
      <c r="M415" s="248" t="inlineStr">
        <is>
          <t>8TMCW7AN</t>
        </is>
      </c>
      <c r="N415" s="245" t="inlineStr">
        <is>
          <t>F.MFM.06Q.006.AD</t>
        </is>
      </c>
      <c r="O415" s="245" t="n"/>
      <c r="P415" s="245" t="n"/>
      <c r="Q415" s="250">
        <f>R415/H415</f>
        <v/>
      </c>
      <c r="R415" s="251" t="n">
        <v>975.6</v>
      </c>
      <c r="S415" s="249" t="n">
        <v>17843</v>
      </c>
      <c r="T415" s="252">
        <f>S415*R415</f>
        <v/>
      </c>
      <c r="U415" s="245" t="n"/>
      <c r="V415" s="245" t="n"/>
      <c r="W415" s="245" t="n"/>
      <c r="X415" s="245" t="n"/>
      <c r="Y415" s="245" t="n"/>
      <c r="Z415" s="245" t="n"/>
    </row>
    <row r="416" ht="16.5" customHeight="1" s="202">
      <c r="A416" s="245" t="n"/>
      <c r="B416" s="245" t="n"/>
      <c r="C416" s="245" t="n"/>
      <c r="D416" s="245" t="n"/>
      <c r="E416" s="245" t="n"/>
      <c r="F416" s="245" t="n"/>
      <c r="G416" s="245" t="n"/>
      <c r="H416" s="247" t="n">
        <v>213</v>
      </c>
      <c r="I416" s="245" t="inlineStr"/>
      <c r="J416" s="245" t="inlineStr"/>
      <c r="K416" s="245" t="inlineStr">
        <is>
          <t>10IN OPP HD QN</t>
        </is>
      </c>
      <c r="L416" s="245" t="inlineStr">
        <is>
          <t>ZU-MFMA1OZI-10Q</t>
        </is>
      </c>
      <c r="M416" s="248" t="inlineStr">
        <is>
          <t>8TMCW7AN</t>
        </is>
      </c>
      <c r="N416" s="245" t="inlineStr">
        <is>
          <t>F.MFM.10Q.013.AD</t>
        </is>
      </c>
      <c r="O416" s="245" t="n"/>
      <c r="P416" s="245" t="n"/>
      <c r="Q416" s="250">
        <f>R416/H416</f>
        <v/>
      </c>
      <c r="R416" s="251" t="n">
        <v>11480.7</v>
      </c>
      <c r="S416" s="249" t="n">
        <v>17843</v>
      </c>
      <c r="T416" s="252">
        <f>S416*R416</f>
        <v/>
      </c>
      <c r="U416" s="245" t="n"/>
      <c r="V416" s="245" t="n"/>
      <c r="W416" s="245" t="n"/>
      <c r="X416" s="245" t="n"/>
      <c r="Y416" s="245" t="n"/>
      <c r="Z416" s="245" t="n"/>
    </row>
    <row r="417" ht="16.5" customHeight="1" s="202">
      <c r="A417" s="245" t="n"/>
      <c r="B417" s="245" t="n"/>
      <c r="C417" s="245" t="n"/>
      <c r="D417" s="245" t="n"/>
      <c r="E417" s="245" t="n"/>
      <c r="F417" s="245" t="n"/>
      <c r="G417" s="245" t="n"/>
      <c r="H417" s="247" t="n">
        <v>238</v>
      </c>
      <c r="I417" s="245" t="inlineStr"/>
      <c r="J417" s="245" t="inlineStr"/>
      <c r="K417" s="245" t="inlineStr">
        <is>
          <t>10IN OPP HD TW</t>
        </is>
      </c>
      <c r="L417" s="245" t="inlineStr">
        <is>
          <t>ZU-MFMA1OZI-10T</t>
        </is>
      </c>
      <c r="M417" s="248" t="inlineStr">
        <is>
          <t>8TMCW7AN</t>
        </is>
      </c>
      <c r="N417" s="245" t="inlineStr">
        <is>
          <t>F.MFM.10T.013.AD</t>
        </is>
      </c>
      <c r="O417" s="245" t="n"/>
      <c r="P417" s="245" t="n"/>
      <c r="Q417" s="250">
        <f>R417/H417</f>
        <v/>
      </c>
      <c r="R417" s="251" t="n">
        <v>9265.34</v>
      </c>
      <c r="S417" s="249" t="n">
        <v>17843</v>
      </c>
      <c r="T417" s="252">
        <f>S417*R417</f>
        <v/>
      </c>
      <c r="U417" s="245" t="n"/>
      <c r="V417" s="245" t="n"/>
      <c r="W417" s="245" t="n"/>
      <c r="X417" s="245" t="n"/>
      <c r="Y417" s="245" t="n"/>
      <c r="Z417" s="245" t="n"/>
    </row>
    <row r="418" ht="16.5" customHeight="1" s="202">
      <c r="A418" s="245" t="n"/>
      <c r="B418" s="245" t="n"/>
      <c r="C418" s="245" t="n"/>
      <c r="D418" s="245" t="n"/>
      <c r="E418" s="245" t="n"/>
      <c r="F418" s="245" t="n"/>
      <c r="G418" s="245" t="n"/>
      <c r="H418" s="247" t="n">
        <v>12</v>
      </c>
      <c r="I418" s="245" t="inlineStr"/>
      <c r="J418" s="245" t="inlineStr"/>
      <c r="K418" s="245" t="inlineStr">
        <is>
          <t>12IN AIRFLOW GEL FOAM MATT QN</t>
        </is>
      </c>
      <c r="L418" s="245" t="inlineStr">
        <is>
          <t>ZU-MFMA1RZI-12Q</t>
        </is>
      </c>
      <c r="M418" s="248" t="inlineStr">
        <is>
          <t>8TMCW7AN</t>
        </is>
      </c>
      <c r="N418" s="245" t="inlineStr">
        <is>
          <t>F.MFM.12Q.011.AD</t>
        </is>
      </c>
      <c r="O418" s="245" t="n"/>
      <c r="P418" s="245" t="n"/>
      <c r="Q418" s="250">
        <f>R418/H418</f>
        <v/>
      </c>
      <c r="R418" s="251" t="n">
        <v>810.84</v>
      </c>
      <c r="S418" s="249" t="n">
        <v>17843</v>
      </c>
      <c r="T418" s="252">
        <f>S418*R418</f>
        <v/>
      </c>
      <c r="U418" s="245" t="n"/>
      <c r="V418" s="245" t="n"/>
      <c r="W418" s="245" t="n"/>
      <c r="X418" s="245" t="n"/>
      <c r="Y418" s="245" t="n"/>
      <c r="Z418" s="245" t="n"/>
    </row>
    <row r="419" ht="17.1" customHeight="1" s="202">
      <c r="A419" s="254" t="n"/>
      <c r="B419" s="254" t="n"/>
      <c r="C419" s="254" t="n"/>
      <c r="D419" s="254" t="n"/>
      <c r="E419" s="254" t="n"/>
      <c r="F419" s="254" t="n"/>
      <c r="G419" s="254" t="n"/>
      <c r="H419" s="255">
        <f>SUM(H399:H418)</f>
        <v/>
      </c>
      <c r="I419" s="254">
        <f>COUNTA(I399:I418)</f>
        <v/>
      </c>
      <c r="J419" s="254" t="n"/>
      <c r="K419" s="254" t="n"/>
      <c r="L419" s="254" t="n"/>
      <c r="M419" s="254" t="n"/>
      <c r="N419" s="254" t="n"/>
      <c r="O419" s="256">
        <f>SUM(O399:O418)</f>
        <v/>
      </c>
      <c r="P419" s="256">
        <f>SUM(P399:P418)</f>
        <v/>
      </c>
      <c r="Q419" s="254" t="n"/>
      <c r="R419" s="257">
        <f>SUM(R399:R418)</f>
        <v/>
      </c>
      <c r="S419" s="254" t="n"/>
      <c r="T419" s="258">
        <f>SUM(T399:T418)</f>
        <v/>
      </c>
      <c r="U419" s="254" t="n"/>
      <c r="V419" s="254" t="n"/>
      <c r="W419" s="254" t="n"/>
      <c r="X419" s="254" t="n"/>
      <c r="Y419" s="254" t="n"/>
      <c r="Z419" s="254" t="n"/>
    </row>
    <row r="420" ht="16.5" customHeight="1" s="202">
      <c r="A420" s="245" t="n">
        <v>49</v>
      </c>
      <c r="B420" s="245" t="inlineStr">
        <is>
          <t>000030ZIK48020260824000684</t>
        </is>
      </c>
      <c r="C420" s="245" t="n">
        <v>534825</v>
      </c>
      <c r="D420" s="245" t="n">
        <v>534782</v>
      </c>
      <c r="E420" s="246" t="n">
        <v>46259</v>
      </c>
      <c r="F420" s="245" t="inlineStr">
        <is>
          <t>ID2608-8082</t>
        </is>
      </c>
      <c r="G420" s="246" t="n">
        <v>46211</v>
      </c>
      <c r="H420" s="247" t="n">
        <v>398</v>
      </c>
      <c r="I420" s="245" t="inlineStr">
        <is>
          <t>MRSU5138909</t>
        </is>
      </c>
      <c r="J420" s="245" t="inlineStr">
        <is>
          <t>40FT</t>
        </is>
      </c>
      <c r="K420" s="245" t="inlineStr">
        <is>
          <t>3.5IN TRIFOLD GREENTEA MATT.TW</t>
        </is>
      </c>
      <c r="L420" s="245" t="inlineStr">
        <is>
          <t>CA-MFMTRI-35T</t>
        </is>
      </c>
      <c r="M420" s="248" t="inlineStr">
        <is>
          <t>0002718432</t>
        </is>
      </c>
      <c r="N420" s="245" t="inlineStr">
        <is>
          <t>F.MFM.03T.002.WN</t>
        </is>
      </c>
      <c r="O420" s="249" t="n">
        <v>76252.8</v>
      </c>
      <c r="P420" s="249" t="n">
        <v>63254.3</v>
      </c>
      <c r="Q420" s="250">
        <f>R420/H420</f>
        <v/>
      </c>
      <c r="R420" s="251" t="n">
        <v>8282.379999999999</v>
      </c>
      <c r="S420" s="249" t="n">
        <v>17843</v>
      </c>
      <c r="T420" s="252">
        <f>S420*R420</f>
        <v/>
      </c>
      <c r="U420" s="245" t="inlineStr">
        <is>
          <t>040300/KPPBC</t>
        </is>
      </c>
      <c r="V420" s="245" t="inlineStr">
        <is>
          <t>TG. PRIOK</t>
        </is>
      </c>
      <c r="W420" s="245" t="inlineStr">
        <is>
          <t>VANCOUVER, CA</t>
        </is>
      </c>
      <c r="X420" s="245" t="inlineStr">
        <is>
          <t>WAL-MART CANADA CORP</t>
        </is>
      </c>
      <c r="Y420" s="245" t="inlineStr"/>
      <c r="Z420" s="245" t="inlineStr"/>
    </row>
    <row r="421" ht="16.5" customHeight="1" s="202">
      <c r="A421" s="245" t="n"/>
      <c r="B421" s="245" t="n"/>
      <c r="C421" s="245" t="n"/>
      <c r="D421" s="245" t="n"/>
      <c r="E421" s="245" t="n"/>
      <c r="F421" s="245" t="n"/>
      <c r="G421" s="245" t="n"/>
      <c r="H421" s="247" t="n">
        <v>50</v>
      </c>
      <c r="I421" s="245" t="inlineStr">
        <is>
          <t>MRSU4486690</t>
        </is>
      </c>
      <c r="J421" s="245" t="inlineStr">
        <is>
          <t>40FT</t>
        </is>
      </c>
      <c r="K421" s="245" t="inlineStr">
        <is>
          <t>6IN GREEN TEA MF MATTRESS FL</t>
        </is>
      </c>
      <c r="L421" s="245" t="inlineStr">
        <is>
          <t>WCA-FMS-6F</t>
        </is>
      </c>
      <c r="M421" s="248" t="inlineStr">
        <is>
          <t>0002718432</t>
        </is>
      </c>
      <c r="N421" s="245" t="inlineStr">
        <is>
          <t>F.MFM.06F.000.WN</t>
        </is>
      </c>
      <c r="O421" s="245" t="n"/>
      <c r="P421" s="245" t="n"/>
      <c r="Q421" s="250">
        <f>R421/H421</f>
        <v/>
      </c>
      <c r="R421" s="251" t="n">
        <v>1924</v>
      </c>
      <c r="S421" s="249" t="n">
        <v>17843</v>
      </c>
      <c r="T421" s="252">
        <f>S421*R421</f>
        <v/>
      </c>
      <c r="U421" s="245" t="n"/>
      <c r="V421" s="245" t="n"/>
      <c r="W421" s="245" t="inlineStr">
        <is>
          <t>ETD : 30-08-2026</t>
        </is>
      </c>
      <c r="X421" s="245" t="n"/>
      <c r="Y421" s="245" t="n"/>
      <c r="Z421" s="245" t="n"/>
    </row>
    <row r="422" ht="16.5" customHeight="1" s="202">
      <c r="A422" s="245" t="n"/>
      <c r="B422" s="245" t="n"/>
      <c r="C422" s="245" t="n"/>
      <c r="D422" s="245" t="n"/>
      <c r="E422" s="245" t="n"/>
      <c r="F422" s="245" t="n"/>
      <c r="G422" s="245" t="n"/>
      <c r="H422" s="247" t="n">
        <v>738</v>
      </c>
      <c r="I422" s="245" t="inlineStr">
        <is>
          <t>MRSU5445187</t>
        </is>
      </c>
      <c r="J422" s="245" t="inlineStr">
        <is>
          <t>40FT</t>
        </is>
      </c>
      <c r="K422" s="245" t="inlineStr">
        <is>
          <t>6IN GREEN TEA MF MATTRESS QN</t>
        </is>
      </c>
      <c r="L422" s="245" t="inlineStr">
        <is>
          <t>WCA-FMS-6Q</t>
        </is>
      </c>
      <c r="M422" s="248" t="inlineStr">
        <is>
          <t>0002718432</t>
        </is>
      </c>
      <c r="N422" s="245" t="inlineStr">
        <is>
          <t>F.MFM.06Q.000.WN</t>
        </is>
      </c>
      <c r="O422" s="245" t="n"/>
      <c r="P422" s="245" t="n"/>
      <c r="Q422" s="250">
        <f>R422/H422</f>
        <v/>
      </c>
      <c r="R422" s="251" t="n">
        <v>33180.48</v>
      </c>
      <c r="S422" s="249" t="n">
        <v>17843</v>
      </c>
      <c r="T422" s="252">
        <f>S422*R422</f>
        <v/>
      </c>
      <c r="U422" s="245" t="n"/>
      <c r="V422" s="245" t="n"/>
      <c r="W422" s="245" t="n"/>
      <c r="X422" s="245" t="n"/>
      <c r="Y422" s="245" t="n"/>
      <c r="Z422" s="245" t="n"/>
    </row>
    <row r="423" ht="16.5" customHeight="1" s="202">
      <c r="A423" s="245" t="n"/>
      <c r="B423" s="245" t="n"/>
      <c r="C423" s="245" t="n"/>
      <c r="D423" s="245" t="n"/>
      <c r="E423" s="245" t="n"/>
      <c r="F423" s="245" t="n"/>
      <c r="G423" s="245" t="n"/>
      <c r="H423" s="247" t="n">
        <v>50</v>
      </c>
      <c r="I423" s="245" t="inlineStr">
        <is>
          <t>MSKU1422372</t>
        </is>
      </c>
      <c r="J423" s="245" t="inlineStr">
        <is>
          <t>40FT</t>
        </is>
      </c>
      <c r="K423" s="245" t="inlineStr">
        <is>
          <t>6IN GREEN TEA MF MATTRESS TW</t>
        </is>
      </c>
      <c r="L423" s="245" t="inlineStr">
        <is>
          <t>WCA-FMS-6T</t>
        </is>
      </c>
      <c r="M423" s="248" t="inlineStr">
        <is>
          <t>0002718432</t>
        </is>
      </c>
      <c r="N423" s="245" t="inlineStr">
        <is>
          <t>F.MFM.06T.000.WN</t>
        </is>
      </c>
      <c r="O423" s="245" t="n"/>
      <c r="P423" s="245" t="n"/>
      <c r="Q423" s="250">
        <f>R423/H423</f>
        <v/>
      </c>
      <c r="R423" s="251" t="n">
        <v>1466</v>
      </c>
      <c r="S423" s="249" t="n">
        <v>17843</v>
      </c>
      <c r="T423" s="252">
        <f>S423*R423</f>
        <v/>
      </c>
      <c r="U423" s="245" t="n"/>
      <c r="V423" s="245" t="n"/>
      <c r="W423" s="245" t="n"/>
      <c r="X423" s="245" t="n"/>
      <c r="Y423" s="245" t="n"/>
      <c r="Z423" s="245" t="n"/>
    </row>
    <row r="424" ht="16.5" customHeight="1" s="202">
      <c r="A424" s="245" t="n"/>
      <c r="B424" s="245" t="n"/>
      <c r="C424" s="245" t="n"/>
      <c r="D424" s="245" t="n"/>
      <c r="E424" s="245" t="n"/>
      <c r="F424" s="245" t="n"/>
      <c r="G424" s="245" t="n"/>
      <c r="H424" s="247" t="n">
        <v>100</v>
      </c>
      <c r="I424" s="245" t="inlineStr">
        <is>
          <t>MRSU5920076</t>
        </is>
      </c>
      <c r="J424" s="245" t="inlineStr">
        <is>
          <t>40FT</t>
        </is>
      </c>
      <c r="K424" s="245" t="inlineStr">
        <is>
          <t>8IN GREEN TEA MF MATTRESS FL</t>
        </is>
      </c>
      <c r="L424" s="245" t="inlineStr">
        <is>
          <t>WMC-FMN-8F</t>
        </is>
      </c>
      <c r="M424" s="248" t="inlineStr">
        <is>
          <t>0002718432</t>
        </is>
      </c>
      <c r="N424" s="245" t="inlineStr">
        <is>
          <t>F.MFM.08F.002.WN</t>
        </is>
      </c>
      <c r="O424" s="245" t="n"/>
      <c r="P424" s="245" t="n"/>
      <c r="Q424" s="250">
        <f>R424/H424</f>
        <v/>
      </c>
      <c r="R424" s="251" t="n">
        <v>4989</v>
      </c>
      <c r="S424" s="249" t="n">
        <v>17843</v>
      </c>
      <c r="T424" s="252">
        <f>S424*R424</f>
        <v/>
      </c>
      <c r="U424" s="245" t="n"/>
      <c r="V424" s="245" t="n"/>
      <c r="W424" s="245" t="n"/>
      <c r="X424" s="245" t="n"/>
      <c r="Y424" s="245" t="n"/>
      <c r="Z424" s="245" t="n"/>
    </row>
    <row r="425" ht="16.5" customHeight="1" s="202">
      <c r="A425" s="245" t="n"/>
      <c r="B425" s="245" t="n"/>
      <c r="C425" s="245" t="n"/>
      <c r="D425" s="245" t="n"/>
      <c r="E425" s="245" t="n"/>
      <c r="F425" s="245" t="n"/>
      <c r="G425" s="245" t="n"/>
      <c r="H425" s="247" t="n">
        <v>719</v>
      </c>
      <c r="I425" s="245" t="inlineStr"/>
      <c r="J425" s="245" t="inlineStr"/>
      <c r="K425" s="245" t="inlineStr">
        <is>
          <t>6IN SP TT MSS TW</t>
        </is>
      </c>
      <c r="L425" s="245" t="inlineStr">
        <is>
          <t>WMC-BLBN-6T</t>
        </is>
      </c>
      <c r="M425" s="248" t="inlineStr">
        <is>
          <t>0002718432</t>
        </is>
      </c>
      <c r="N425" s="245" t="inlineStr">
        <is>
          <t>F.MSS.06T.002.WN</t>
        </is>
      </c>
      <c r="O425" s="245" t="n"/>
      <c r="P425" s="245" t="n"/>
      <c r="Q425" s="250">
        <f>R425/H425</f>
        <v/>
      </c>
      <c r="R425" s="251" t="n">
        <v>19283.58</v>
      </c>
      <c r="S425" s="249" t="n">
        <v>17843</v>
      </c>
      <c r="T425" s="252">
        <f>S425*R425</f>
        <v/>
      </c>
      <c r="U425" s="245" t="n"/>
      <c r="V425" s="245" t="n"/>
      <c r="W425" s="245" t="n"/>
      <c r="X425" s="245" t="n"/>
      <c r="Y425" s="245" t="n"/>
      <c r="Z425" s="245" t="n"/>
    </row>
    <row r="426" ht="16.5" customHeight="1" s="202">
      <c r="A426" s="245" t="n"/>
      <c r="B426" s="245" t="n"/>
      <c r="C426" s="245" t="n"/>
      <c r="D426" s="245" t="n"/>
      <c r="E426" s="245" t="n"/>
      <c r="F426" s="245" t="n"/>
      <c r="G426" s="245" t="n"/>
      <c r="H426" s="247" t="n">
        <v>745</v>
      </c>
      <c r="I426" s="245" t="inlineStr"/>
      <c r="J426" s="245" t="inlineStr"/>
      <c r="K426" s="245" t="inlineStr">
        <is>
          <t>8IN TIGHT TOP POCKET FL</t>
        </is>
      </c>
      <c r="L426" s="245" t="inlineStr">
        <is>
          <t>WMC-SMT-8F</t>
        </is>
      </c>
      <c r="M426" s="248" t="inlineStr">
        <is>
          <t>CKET</t>
        </is>
      </c>
      <c r="N426" s="245" t="inlineStr">
        <is>
          <t>F.MSS.08F.002.WN</t>
        </is>
      </c>
      <c r="O426" s="245" t="n"/>
      <c r="P426" s="245" t="n"/>
      <c r="Q426" s="250">
        <f>R426/H426</f>
        <v/>
      </c>
      <c r="R426" s="251" t="n">
        <v>35380.05</v>
      </c>
      <c r="S426" s="249" t="n">
        <v>17843</v>
      </c>
      <c r="T426" s="252">
        <f>S426*R426</f>
        <v/>
      </c>
      <c r="U426" s="245" t="n"/>
      <c r="V426" s="245" t="n"/>
      <c r="W426" s="245" t="n"/>
      <c r="X426" s="245" t="n"/>
      <c r="Y426" s="245" t="n"/>
      <c r="Z426" s="245" t="n"/>
    </row>
    <row r="427" ht="16.5" customHeight="1" s="202">
      <c r="A427" s="245" t="n"/>
      <c r="B427" s="245" t="n"/>
      <c r="C427" s="245" t="n"/>
      <c r="D427" s="245" t="n"/>
      <c r="E427" s="245" t="n"/>
      <c r="F427" s="245" t="n"/>
      <c r="G427" s="245" t="n"/>
      <c r="H427" s="247" t="n">
        <v>617</v>
      </c>
      <c r="I427" s="245" t="inlineStr"/>
      <c r="J427" s="245" t="inlineStr"/>
      <c r="K427" s="245" t="inlineStr">
        <is>
          <t>8IN TIGHT TOP POCKET QN</t>
        </is>
      </c>
      <c r="L427" s="245" t="inlineStr">
        <is>
          <t>WMC-SMT-8Q</t>
        </is>
      </c>
      <c r="M427" s="248" t="inlineStr">
        <is>
          <t>CKET</t>
        </is>
      </c>
      <c r="N427" s="245" t="inlineStr">
        <is>
          <t>F.MSS.08Q.002.WN</t>
        </is>
      </c>
      <c r="O427" s="245" t="n"/>
      <c r="P427" s="245" t="n"/>
      <c r="Q427" s="250">
        <f>R427/H427</f>
        <v/>
      </c>
      <c r="R427" s="251" t="n">
        <v>32805.89</v>
      </c>
      <c r="S427" s="249" t="n">
        <v>17843</v>
      </c>
      <c r="T427" s="252">
        <f>S427*R427</f>
        <v/>
      </c>
      <c r="U427" s="245" t="n"/>
      <c r="V427" s="245" t="n"/>
      <c r="W427" s="245" t="n"/>
      <c r="X427" s="245" t="n"/>
      <c r="Y427" s="245" t="n"/>
      <c r="Z427" s="245" t="n"/>
    </row>
    <row r="428" ht="16.5" customHeight="1" s="202">
      <c r="A428" s="245" t="n"/>
      <c r="B428" s="245" t="n"/>
      <c r="C428" s="245" t="n"/>
      <c r="D428" s="245" t="n"/>
      <c r="E428" s="245" t="n"/>
      <c r="F428" s="245" t="n"/>
      <c r="G428" s="245" t="n"/>
      <c r="H428" s="247" t="n">
        <v>37</v>
      </c>
      <c r="I428" s="245" t="inlineStr"/>
      <c r="J428" s="245" t="inlineStr"/>
      <c r="K428" s="245" t="inlineStr">
        <is>
          <t>8IN TIGHT TOP POCKET TW</t>
        </is>
      </c>
      <c r="L428" s="245" t="inlineStr">
        <is>
          <t>WMC-SMT-8T</t>
        </is>
      </c>
      <c r="M428" s="248" t="inlineStr">
        <is>
          <t>CKET</t>
        </is>
      </c>
      <c r="N428" s="245" t="inlineStr">
        <is>
          <t>F.MSS.08T.002.WN</t>
        </is>
      </c>
      <c r="O428" s="245" t="n"/>
      <c r="P428" s="245" t="n"/>
      <c r="Q428" s="250">
        <f>R428/H428</f>
        <v/>
      </c>
      <c r="R428" s="251" t="n">
        <v>1323.86</v>
      </c>
      <c r="S428" s="249" t="n">
        <v>17843</v>
      </c>
      <c r="T428" s="252">
        <f>S428*R428</f>
        <v/>
      </c>
      <c r="U428" s="245" t="n"/>
      <c r="V428" s="245" t="n"/>
      <c r="W428" s="245" t="n"/>
      <c r="X428" s="245" t="n"/>
      <c r="Y428" s="245" t="n"/>
      <c r="Z428" s="245" t="n"/>
    </row>
    <row r="429" ht="17.1" customHeight="1" s="202">
      <c r="A429" s="254" t="n"/>
      <c r="B429" s="254" t="n"/>
      <c r="C429" s="254" t="n"/>
      <c r="D429" s="254" t="n"/>
      <c r="E429" s="254" t="n"/>
      <c r="F429" s="254" t="n"/>
      <c r="G429" s="254" t="n"/>
      <c r="H429" s="255">
        <f>SUM(H420:H428)</f>
        <v/>
      </c>
      <c r="I429" s="254">
        <f>COUNTA(I420:I428)</f>
        <v/>
      </c>
      <c r="J429" s="254" t="n"/>
      <c r="K429" s="254" t="n"/>
      <c r="L429" s="254" t="n"/>
      <c r="M429" s="254" t="n"/>
      <c r="N429" s="254" t="n"/>
      <c r="O429" s="256">
        <f>SUM(O420:O428)</f>
        <v/>
      </c>
      <c r="P429" s="256">
        <f>SUM(P420:P428)</f>
        <v/>
      </c>
      <c r="Q429" s="254" t="n"/>
      <c r="R429" s="257">
        <f>SUM(R420:R428)</f>
        <v/>
      </c>
      <c r="S429" s="254" t="n"/>
      <c r="T429" s="258">
        <f>SUM(T420:T428)</f>
        <v/>
      </c>
      <c r="U429" s="254" t="n"/>
      <c r="V429" s="254" t="n"/>
      <c r="W429" s="254" t="n"/>
      <c r="X429" s="254" t="n"/>
      <c r="Y429" s="254" t="n"/>
      <c r="Z429" s="254" t="n"/>
    </row>
    <row r="430" ht="16.5" customHeight="1" s="202">
      <c r="A430" s="245" t="n">
        <v>50</v>
      </c>
      <c r="B430" s="245" t="inlineStr">
        <is>
          <t>000030ZIK48020260824000685</t>
        </is>
      </c>
      <c r="C430" s="245" t="n">
        <v>534818</v>
      </c>
      <c r="D430" s="245" t="n">
        <v>534775</v>
      </c>
      <c r="E430" s="246" t="n">
        <v>46259</v>
      </c>
      <c r="F430" s="245" t="inlineStr">
        <is>
          <t>ID2608-8083</t>
        </is>
      </c>
      <c r="G430" s="246" t="n">
        <v>46211</v>
      </c>
      <c r="H430" s="247" t="n">
        <v>25</v>
      </c>
      <c r="I430" s="245" t="inlineStr">
        <is>
          <t>MRSU5920076</t>
        </is>
      </c>
      <c r="J430" s="245" t="inlineStr">
        <is>
          <t>40FT</t>
        </is>
      </c>
      <c r="K430" s="245" t="inlineStr">
        <is>
          <t>8IN TIGHT TOP COOL POCKET FL</t>
        </is>
      </c>
      <c r="L430" s="245" t="inlineStr">
        <is>
          <t>WMC-HBM-8F</t>
        </is>
      </c>
      <c r="M430" s="248" t="inlineStr">
        <is>
          <t>CKET</t>
        </is>
      </c>
      <c r="N430" s="245" t="inlineStr">
        <is>
          <t>F.MSH.08F.003.WD</t>
        </is>
      </c>
      <c r="O430" s="249" t="n">
        <v>1623</v>
      </c>
      <c r="P430" s="249" t="n">
        <v>1361.25</v>
      </c>
      <c r="Q430" s="250">
        <f>R430/H430</f>
        <v/>
      </c>
      <c r="R430" s="251" t="n">
        <v>1377.5</v>
      </c>
      <c r="S430" s="249" t="n">
        <v>17843</v>
      </c>
      <c r="T430" s="252">
        <f>S430*R430</f>
        <v/>
      </c>
      <c r="U430" s="245" t="inlineStr">
        <is>
          <t>040300/KPPBC</t>
        </is>
      </c>
      <c r="V430" s="245" t="inlineStr">
        <is>
          <t>TG. PRIOK</t>
        </is>
      </c>
      <c r="W430" s="245" t="inlineStr">
        <is>
          <t>VANCOUVER, CA</t>
        </is>
      </c>
      <c r="X430" s="245" t="inlineStr">
        <is>
          <t>WAL-MART CANADA CORP</t>
        </is>
      </c>
      <c r="Y430" s="245" t="inlineStr">
        <is>
          <t>MAEU274533050</t>
        </is>
      </c>
      <c r="Z430" s="246" t="n">
        <v>46259</v>
      </c>
    </row>
    <row r="431" ht="16.5" customHeight="1" s="202">
      <c r="A431" s="245" t="n"/>
      <c r="B431" s="245" t="n"/>
      <c r="C431" s="245" t="n"/>
      <c r="D431" s="245" t="n"/>
      <c r="E431" s="245" t="n"/>
      <c r="F431" s="245" t="n"/>
      <c r="G431" s="245" t="n"/>
      <c r="H431" s="247" t="n">
        <v>25</v>
      </c>
      <c r="I431" s="245" t="inlineStr"/>
      <c r="J431" s="245" t="inlineStr"/>
      <c r="K431" s="245" t="inlineStr">
        <is>
          <t>8IN TIGHT TOP COOL POCKET QN</t>
        </is>
      </c>
      <c r="L431" s="245" t="inlineStr">
        <is>
          <t>WMC-HBM-8Q</t>
        </is>
      </c>
      <c r="M431" s="248" t="inlineStr">
        <is>
          <t>CKET</t>
        </is>
      </c>
      <c r="N431" s="245" t="inlineStr">
        <is>
          <t>F.MSH.08Q.003.WD</t>
        </is>
      </c>
      <c r="O431" s="245" t="n"/>
      <c r="P431" s="245" t="n"/>
      <c r="Q431" s="250">
        <f>R431/H431</f>
        <v/>
      </c>
      <c r="R431" s="251" t="n">
        <v>1539.75</v>
      </c>
      <c r="S431" s="249" t="n">
        <v>17843</v>
      </c>
      <c r="T431" s="252">
        <f>S431*R431</f>
        <v/>
      </c>
      <c r="U431" s="245" t="n"/>
      <c r="V431" s="245" t="n"/>
      <c r="W431" s="245" t="inlineStr">
        <is>
          <t>ETD : 30-08-2026</t>
        </is>
      </c>
      <c r="X431" s="245" t="n"/>
      <c r="Y431" s="245" t="n"/>
      <c r="Z431" s="245" t="n"/>
    </row>
    <row r="432" ht="17.1" customHeight="1" s="202">
      <c r="A432" s="254" t="n"/>
      <c r="B432" s="254" t="n"/>
      <c r="C432" s="254" t="n"/>
      <c r="D432" s="254" t="n"/>
      <c r="E432" s="254" t="n"/>
      <c r="F432" s="254" t="n"/>
      <c r="G432" s="254" t="n"/>
      <c r="H432" s="255">
        <f>SUM(H430:H431)</f>
        <v/>
      </c>
      <c r="I432" s="254">
        <f>COUNTA(I430:I431)</f>
        <v/>
      </c>
      <c r="J432" s="254" t="n"/>
      <c r="K432" s="254" t="n"/>
      <c r="L432" s="254" t="n"/>
      <c r="M432" s="254" t="n"/>
      <c r="N432" s="254" t="n"/>
      <c r="O432" s="256">
        <f>SUM(O430:O431)</f>
        <v/>
      </c>
      <c r="P432" s="256">
        <f>SUM(P430:P431)</f>
        <v/>
      </c>
      <c r="Q432" s="254" t="n"/>
      <c r="R432" s="257">
        <f>SUM(R430:R431)</f>
        <v/>
      </c>
      <c r="S432" s="254" t="n"/>
      <c r="T432" s="258">
        <f>SUM(T430:T431)</f>
        <v/>
      </c>
      <c r="U432" s="254" t="n"/>
      <c r="V432" s="254" t="n"/>
      <c r="W432" s="254" t="n"/>
      <c r="X432" s="254" t="n"/>
      <c r="Y432" s="254" t="n"/>
      <c r="Z432" s="254" t="n"/>
    </row>
    <row r="433" ht="8.1" customHeight="1" s="202"/>
    <row r="434" ht="20.1" customHeight="1" s="202">
      <c r="A434" s="259">
        <f>COUNT(A12:A433)</f>
        <v/>
      </c>
      <c r="B434" s="260" t="n"/>
      <c r="C434" s="260" t="n"/>
      <c r="D434" s="260" t="n"/>
      <c r="E434" s="260" t="n"/>
      <c r="F434" s="260" t="n"/>
      <c r="G434" s="260" t="n"/>
      <c r="H434" s="261">
        <f>SUM(H25,H35,H65,H81,H84,H87,H94,H101,H110,H113,H116,H119,H123,H126,H129,H132,H135,H138,H141,H144,H147,H150,H153,H156,H159,H162,H165,H168,H171,H242,H245,H248,H251,H254,H257,H260,H290,H293,H297,H300,H303,H306,H350,H353,H380,H383,H398,H419,H429,H432)</f>
        <v/>
      </c>
      <c r="I434" s="261">
        <f>SUM(I25,I35,I65,I81,I84,I87,I94,I101,I110,I113,I116,I119,I123,I126,I129,I132,I135,I138,I141,I144,I147,I150,I153,I156,I159,I162,I165,I168,I171,I242,I245,I248,I251,I254,I257,I260,I290,I293,I297,I300,I303,I306,I350,I353,I380,I383,I398,I419,I429,I432)</f>
        <v/>
      </c>
      <c r="J434" s="260" t="n"/>
      <c r="K434" s="260" t="n"/>
      <c r="L434" s="260" t="n"/>
      <c r="M434" s="260" t="n"/>
      <c r="N434" s="260" t="n"/>
      <c r="O434" s="262">
        <f>SUM(O25,O35,O65,O81,O84,O87,O94,O101,O110,O113,O116,O119,O123,O126,O129,O132,O135,O138,O141,O144,O147,O150,O153,O156,O159,O162,O165,O168,O171,O242,O245,O248,O251,O254,O257,O260,O290,O293,O297,O300,O303,O306,O350,O353,O380,O383,O398,O419,O429,O432)</f>
        <v/>
      </c>
      <c r="P434" s="262">
        <f>SUM(P25,P35,P65,P81,P84,P87,P94,P101,P110,P113,P116,P119,P123,P126,P129,P132,P135,P138,P141,P144,P147,P150,P153,P156,P159,P162,P165,P168,P171,P242,P245,P248,P251,P254,P257,P260,P290,P293,P297,P300,P303,P306,P350,P353,P380,P383,P398,P419,P429,P432)</f>
        <v/>
      </c>
      <c r="Q434" s="260" t="n"/>
      <c r="R434" s="263">
        <f>SUM(R25,R35,R65,R81,R84,R87,R94,R101,R110,R113,R116,R119,R123,R126,R129,R132,R135,R138,R141,R144,R147,R150,R153,R156,R159,R162,R165,R168,R171,R242,R245,R248,R251,R254,R257,R260,R290,R293,R297,R300,R303,R306,R350,R353,R380,R383,R398,R419,R429,R432)</f>
        <v/>
      </c>
      <c r="S434" s="260" t="n"/>
      <c r="T434" s="264">
        <f>SUM(T25,T35,T65,T81,T84,T87,T94,T101,T110,T113,T116,T119,T123,T126,T129,T132,T135,T138,T141,T144,T147,T150,T153,T156,T159,T162,T165,T168,T171,T242,T245,T248,T251,T254,T257,T260,T290,T293,T297,T300,T303,T306,T350,T353,T380,T383,T398,T419,T429,T432)</f>
        <v/>
      </c>
      <c r="U434" s="260" t="n"/>
      <c r="V434" s="260" t="n"/>
      <c r="W434" s="260" t="n"/>
      <c r="X434" s="260" t="n"/>
      <c r="Y434" s="260" t="n"/>
      <c r="Z434" s="260" t="n"/>
    </row>
    <row r="435" ht="17.1" customHeight="1" s="202"/>
    <row r="436" ht="17.1" customHeight="1" s="202">
      <c r="B436" s="265" t="inlineStr">
        <is>
          <t>Total Qty Export :</t>
        </is>
      </c>
      <c r="C436" s="266">
        <f>H434-C437</f>
        <v/>
      </c>
    </row>
    <row r="437" ht="17.1" customHeight="1" s="202">
      <c r="B437" s="267" t="inlineStr">
        <is>
          <t>Total Qty Export Sample :</t>
        </is>
      </c>
      <c r="C437" s="268" t="inlineStr"/>
    </row>
    <row r="439" ht="17.1" customHeight="1" s="202">
      <c r="A439" s="269" t="n"/>
      <c r="B439" s="270" t="n"/>
      <c r="C439" s="270" t="n"/>
      <c r="D439" s="271" t="n"/>
      <c r="U439" s="272" t="inlineStr">
        <is>
          <t>Tangerang, 25 August 2026</t>
        </is>
      </c>
    </row>
    <row r="440" ht="17.1" customHeight="1" s="202">
      <c r="A440" s="273" t="inlineStr">
        <is>
          <t>Total Document</t>
        </is>
      </c>
      <c r="C440" s="274">
        <f>A434</f>
        <v/>
      </c>
      <c r="D440" s="275" t="n"/>
      <c r="U440" s="272" t="inlineStr">
        <is>
          <t>Kasubsi Hanggar Pabean dan Cukai</t>
        </is>
      </c>
    </row>
    <row r="441" ht="17.1" customHeight="1" s="202">
      <c r="A441" s="273" t="inlineStr">
        <is>
          <t>Gross Weight</t>
        </is>
      </c>
      <c r="C441" s="276">
        <f>O434</f>
        <v/>
      </c>
      <c r="D441" s="275" t="n"/>
    </row>
    <row r="442" ht="17.1" customHeight="1" s="202">
      <c r="A442" s="273" t="inlineStr">
        <is>
          <t>Nett Weight</t>
        </is>
      </c>
      <c r="C442" s="276">
        <f>P434</f>
        <v/>
      </c>
      <c r="D442" s="275" t="n"/>
    </row>
    <row r="443" ht="17.1" customHeight="1" s="202">
      <c r="A443" s="273" t="inlineStr">
        <is>
          <t>Amount</t>
        </is>
      </c>
      <c r="C443" s="277">
        <f>R434</f>
        <v/>
      </c>
      <c r="D443" s="275" t="n"/>
    </row>
    <row r="444" ht="17.1" customHeight="1" s="202">
      <c r="A444" s="273" t="inlineStr">
        <is>
          <t>Jumlah Container</t>
        </is>
      </c>
      <c r="C444" s="278">
        <f>I434-C445</f>
        <v/>
      </c>
      <c r="D444" s="275" t="n"/>
    </row>
    <row r="445" ht="17.1" customHeight="1" s="202">
      <c r="A445" s="279" t="n"/>
      <c r="C445" s="280" t="inlineStr"/>
      <c r="D445" s="275" t="n"/>
    </row>
    <row r="446" ht="17.1" customHeight="1" s="202">
      <c r="A446" s="279" t="n"/>
      <c r="C446" s="281">
        <f>C444*2+C445</f>
        <v/>
      </c>
      <c r="D446" s="275" t="n"/>
    </row>
    <row r="447" ht="16.2" customHeight="1" s="202">
      <c r="A447" s="282" t="n"/>
      <c r="B447" s="283" t="n"/>
      <c r="C447" s="283" t="n"/>
      <c r="D447" s="284" t="n"/>
    </row>
  </sheetData>
  <autoFilter ref="A10:Z11">
    <filterColumn colId="2" hiddenButton="0" showButton="0"/>
    <filterColumn colId="8" hiddenButton="0" showButton="0"/>
  </autoFilter>
  <mergeCells count="26">
    <mergeCell ref="C446:D446"/>
    <mergeCell ref="C440:D440"/>
    <mergeCell ref="E10:E11"/>
    <mergeCell ref="G10:G11"/>
    <mergeCell ref="M10:M11"/>
    <mergeCell ref="Y10:Y11"/>
    <mergeCell ref="Q10:Q11"/>
    <mergeCell ref="C10:D10"/>
    <mergeCell ref="C445:D445"/>
    <mergeCell ref="C441:D441"/>
    <mergeCell ref="I10:J11"/>
    <mergeCell ref="A6:Z6"/>
    <mergeCell ref="C444:D444"/>
    <mergeCell ref="B10:B11"/>
    <mergeCell ref="A7:Z7"/>
    <mergeCell ref="L10:L11"/>
    <mergeCell ref="X10:X11"/>
    <mergeCell ref="N10:N11"/>
    <mergeCell ref="Z10:Z11"/>
    <mergeCell ref="C443:D443"/>
    <mergeCell ref="A10:A11"/>
    <mergeCell ref="K10:K11"/>
    <mergeCell ref="C442:D442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2026-08-25T13:24:51Z</dcterms:modified>
  <cp:lastModifiedBy>Chiswa Dian Hermansyah(ZINUS ZDI)</cp:lastModifiedBy>
</cp:coreProperties>
</file>