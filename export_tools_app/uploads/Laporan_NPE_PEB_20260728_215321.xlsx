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</numFmts>
  <fonts count="26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0092D050"/>
        <bgColor rgb="0092D050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51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" fontId="7" fillId="0" borderId="2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5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2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7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6" fontId="7" fillId="0" borderId="7" applyAlignment="1" pivotButton="0" quotePrefix="0" xfId="6">
      <alignment horizontal="center" vertical="center" wrapText="1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4" fontId="23" fillId="0" borderId="0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0" fontId="0" fillId="0" borderId="0" pivotButton="0" quotePrefix="0" xfId="0"/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70" fontId="4" fillId="0" borderId="12" applyAlignment="1" pivotButton="0" quotePrefix="1" xfId="5">
      <alignment horizontal="center" vertical="center" wrapText="1"/>
    </xf>
    <xf numFmtId="166" fontId="4" fillId="0" borderId="12" applyAlignment="1" pivotButton="0" quotePrefix="0" xfId="1">
      <alignment vertical="center" wrapText="1"/>
    </xf>
    <xf numFmtId="167" fontId="4" fillId="0" borderId="12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41" fontId="9" fillId="0" borderId="0" applyAlignment="1" pivotButton="0" quotePrefix="0" xfId="4">
      <alignment vertical="center" wrapText="1"/>
    </xf>
    <xf numFmtId="49" fontId="4" fillId="0" borderId="12" applyAlignment="1" pivotButton="0" quotePrefix="0" xfId="5">
      <alignment horizontal="center" vertical="center" wrapText="1"/>
    </xf>
    <xf numFmtId="170" fontId="4" fillId="0" borderId="12" applyAlignment="1" pivotButton="0" quotePrefix="0" xfId="5">
      <alignment horizontal="center" vertical="center" wrapText="1"/>
    </xf>
    <xf numFmtId="14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1" xfId="5">
      <alignment horizontal="center"/>
    </xf>
    <xf numFmtId="0" fontId="4" fillId="0" borderId="12" applyAlignment="1" pivotButton="0" quotePrefix="0" xfId="4">
      <alignment horizontal="center" vertical="center" wrapText="1"/>
    </xf>
    <xf numFmtId="170" fontId="4" fillId="0" borderId="12" applyAlignment="1" pivotButton="0" quotePrefix="0" xfId="4">
      <alignment horizontal="center" vertical="center" wrapText="1"/>
    </xf>
    <xf numFmtId="49" fontId="9" fillId="2" borderId="15" applyAlignment="1" pivotButton="0" quotePrefix="1" xfId="5">
      <alignment horizontal="center" vertical="center"/>
    </xf>
    <xf numFmtId="14" fontId="9" fillId="2" borderId="15" applyAlignment="1" pivotButton="0" quotePrefix="1" xfId="5">
      <alignment horizontal="center" vertical="center"/>
    </xf>
    <xf numFmtId="0" fontId="9" fillId="2" borderId="15" applyAlignment="1" pivotButton="0" quotePrefix="0" xfId="7">
      <alignment horizontal="center" vertical="center"/>
    </xf>
    <xf numFmtId="14" fontId="13" fillId="2" borderId="15" applyAlignment="1" pivotButton="0" quotePrefix="0" xfId="5">
      <alignment horizontal="center" vertical="center" wrapText="1"/>
    </xf>
    <xf numFmtId="0" fontId="9" fillId="2" borderId="15" applyAlignment="1" pivotButton="0" quotePrefix="1" xfId="5">
      <alignment horizontal="center" vertical="center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1" xfId="4">
      <alignment horizontal="center" vertical="center" wrapText="1"/>
    </xf>
    <xf numFmtId="0" fontId="9" fillId="2" borderId="15" applyAlignment="1" pivotButton="0" quotePrefix="1" xfId="5">
      <alignment horizontal="center" vertical="center" wrapText="1"/>
    </xf>
    <xf numFmtId="49" fontId="4" fillId="0" borderId="12" applyAlignment="1" pivotButton="0" quotePrefix="1" xfId="8">
      <alignment horizontal="center" vertical="center" wrapText="1"/>
    </xf>
    <xf numFmtId="49" fontId="4" fillId="0" borderId="12" applyAlignment="1" pivotButton="0" quotePrefix="1" xfId="4">
      <alignment horizontal="center" vertical="center" wrapText="1"/>
    </xf>
    <xf numFmtId="170" fontId="4" fillId="0" borderId="12" applyAlignment="1" pivotButton="0" quotePrefix="1" xfId="4">
      <alignment horizontal="center" vertical="center" wrapText="1"/>
    </xf>
    <xf numFmtId="14" fontId="4" fillId="0" borderId="12" applyAlignment="1" pivotButton="0" quotePrefix="1" xfId="4">
      <alignment horizontal="center" vertical="center" wrapText="1"/>
    </xf>
    <xf numFmtId="0" fontId="4" fillId="0" borderId="12" applyAlignment="1" pivotButton="0" quotePrefix="0" xfId="4">
      <alignment horizontal="center"/>
    </xf>
    <xf numFmtId="0" fontId="11" fillId="0" borderId="12" applyAlignment="1" pivotButton="0" quotePrefix="0" xfId="4">
      <alignment horizontal="center"/>
    </xf>
    <xf numFmtId="39" fontId="4" fillId="0" borderId="12" applyAlignment="1" pivotButton="0" quotePrefix="1" xfId="2">
      <alignment vertical="center"/>
    </xf>
    <xf numFmtId="166" fontId="4" fillId="0" borderId="12" applyAlignment="1" pivotButton="0" quotePrefix="1" xfId="4">
      <alignment vertical="center" wrapText="1"/>
    </xf>
    <xf numFmtId="167" fontId="4" fillId="0" borderId="12" applyAlignment="1" pivotButton="0" quotePrefix="1" xfId="3">
      <alignment horizontal="center" vertical="center" wrapText="1"/>
    </xf>
    <xf numFmtId="168" fontId="4" fillId="0" borderId="12" applyAlignment="1" pivotButton="0" quotePrefix="1" xfId="3">
      <alignment horizontal="center" vertical="center" wrapText="1"/>
    </xf>
    <xf numFmtId="0" fontId="4" fillId="0" borderId="12" applyAlignment="1" pivotButton="0" quotePrefix="1" xfId="4">
      <alignment horizontal="center" vertical="top" wrapText="1"/>
    </xf>
    <xf numFmtId="0" fontId="11" fillId="0" borderId="12" applyAlignment="1" pivotButton="0" quotePrefix="1" xfId="4">
      <alignment horizontal="center" vertical="center"/>
    </xf>
    <xf numFmtId="0" fontId="4" fillId="0" borderId="12" applyAlignment="1" pivotButton="0" quotePrefix="0" xfId="9">
      <alignment horizontal="center" vertical="center"/>
    </xf>
    <xf numFmtId="0" fontId="4" fillId="0" borderId="12" applyAlignment="1" pivotButton="0" quotePrefix="0" xfId="9">
      <alignment horizontal="center" vertical="center" wrapText="1"/>
    </xf>
    <xf numFmtId="170" fontId="4" fillId="0" borderId="12" applyAlignment="1" pivotButton="0" quotePrefix="0" xfId="9">
      <alignment horizontal="center" vertical="center" wrapText="1"/>
    </xf>
    <xf numFmtId="49" fontId="4" fillId="0" borderId="12" applyAlignment="1" pivotButton="0" quotePrefix="0" xfId="4">
      <alignment horizontal="center" vertical="center" wrapText="1"/>
    </xf>
    <xf numFmtId="14" fontId="4" fillId="0" borderId="12" applyAlignment="1" pivotButton="0" quotePrefix="0" xfId="4">
      <alignment horizontal="center" vertical="center" wrapText="1"/>
    </xf>
    <xf numFmtId="0" fontId="4" fillId="0" borderId="12" applyAlignment="1" pivotButton="0" quotePrefix="0" xfId="10">
      <alignment horizontal="center" vertical="center"/>
    </xf>
    <xf numFmtId="39" fontId="4" fillId="0" borderId="12" applyAlignment="1" pivotButton="0" quotePrefix="0" xfId="10">
      <alignment vertical="center"/>
    </xf>
    <xf numFmtId="166" fontId="4" fillId="0" borderId="12" applyAlignment="1" pivotButton="0" quotePrefix="0" xfId="9">
      <alignment vertical="center" wrapText="1"/>
    </xf>
    <xf numFmtId="167" fontId="4" fillId="0" borderId="12" applyAlignment="1" pivotButton="0" quotePrefix="0" xfId="10">
      <alignment horizontal="center" vertical="center" wrapText="1"/>
    </xf>
    <xf numFmtId="168" fontId="4" fillId="0" borderId="12" applyAlignment="1" pivotButton="0" quotePrefix="0" xfId="10">
      <alignment horizontal="center" vertical="center" wrapText="1"/>
    </xf>
    <xf numFmtId="0" fontId="4" fillId="0" borderId="12" applyAlignment="1" pivotButton="0" quotePrefix="0" xfId="9">
      <alignment horizontal="center" vertical="top" wrapText="1"/>
    </xf>
    <xf numFmtId="0" fontId="11" fillId="0" borderId="12" applyAlignment="1" pivotButton="0" quotePrefix="0" xfId="9">
      <alignment horizontal="center" vertical="center"/>
    </xf>
    <xf numFmtId="49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1" xfId="4">
      <alignment horizontal="center" vertical="center"/>
    </xf>
    <xf numFmtId="39" fontId="4" fillId="0" borderId="12" applyAlignment="1" pivotButton="0" quotePrefix="0" xfId="0">
      <alignment vertical="center"/>
    </xf>
    <xf numFmtId="167" fontId="4" fillId="0" borderId="12" applyAlignment="1" pivotButton="0" quotePrefix="0" xfId="0">
      <alignment horizontal="center" vertical="center" wrapText="1"/>
    </xf>
    <xf numFmtId="168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0" fontId="4" fillId="0" borderId="12" applyAlignment="1" pivotButton="0" quotePrefix="0" xfId="0">
      <alignment horizontal="center" vertical="center"/>
    </xf>
    <xf numFmtId="166" fontId="4" fillId="0" borderId="12" applyAlignment="1" pivotButton="0" quotePrefix="0" xfId="0">
      <alignment vertical="center" wrapText="1"/>
    </xf>
    <xf numFmtId="0" fontId="4" fillId="0" borderId="12" applyAlignment="1" pivotButton="0" quotePrefix="0" xfId="0">
      <alignment horizontal="center" vertical="top" wrapText="1"/>
    </xf>
    <xf numFmtId="0" fontId="4" fillId="0" borderId="12" applyAlignment="1" pivotButton="0" quotePrefix="0" xfId="4">
      <alignment horizontal="center" vertical="top" wrapText="1"/>
    </xf>
    <xf numFmtId="0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/>
    </xf>
    <xf numFmtId="170" fontId="4" fillId="0" borderId="12" applyAlignment="1" pivotButton="0" quotePrefix="0" xfId="0">
      <alignment horizontal="center" vertical="center" wrapText="1"/>
    </xf>
    <xf numFmtId="166" fontId="4" fillId="0" borderId="12" applyAlignment="1" pivotButton="0" quotePrefix="0" xfId="4">
      <alignment vertical="center" wrapText="1"/>
    </xf>
    <xf numFmtId="1" fontId="4" fillId="0" borderId="12" applyAlignment="1" pivotButton="0" quotePrefix="0" xfId="4">
      <alignment horizontal="center" vertical="center" wrapText="1"/>
    </xf>
    <xf numFmtId="14" fontId="4" fillId="0" borderId="12" applyAlignment="1" pivotButton="0" quotePrefix="0" xfId="0">
      <alignment horizontal="center" vertical="center" wrapText="1"/>
    </xf>
    <xf numFmtId="49" fontId="4" fillId="0" borderId="12" applyAlignment="1" pivotButton="0" quotePrefix="0" xfId="4">
      <alignment horizontal="center" vertical="center"/>
    </xf>
    <xf numFmtId="1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4">
      <alignment horizontal="center" vertical="center"/>
    </xf>
    <xf numFmtId="49" fontId="4" fillId="0" borderId="12" applyAlignment="1" pivotButton="0" quotePrefix="0" xfId="0">
      <alignment horizontal="center" vertical="center"/>
    </xf>
    <xf numFmtId="1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/>
    </xf>
    <xf numFmtId="14" fontId="9" fillId="2" borderId="15" applyAlignment="1" pivotButton="0" quotePrefix="0" xfId="0">
      <alignment horizontal="center" vertical="center"/>
    </xf>
    <xf numFmtId="0" fontId="9" fillId="2" borderId="15" applyAlignment="1" pivotButton="0" quotePrefix="0" xfId="0">
      <alignment horizontal="center" vertical="center"/>
    </xf>
    <xf numFmtId="0" fontId="9" fillId="2" borderId="16" applyAlignment="1" pivotButton="0" quotePrefix="0" xfId="0">
      <alignment horizontal="center"/>
    </xf>
    <xf numFmtId="14" fontId="13" fillId="2" borderId="15" applyAlignment="1" pivotButton="0" quotePrefix="0" xfId="0">
      <alignment horizontal="center" vertical="center" wrapText="1"/>
    </xf>
    <xf numFmtId="165" fontId="13" fillId="2" borderId="15" applyAlignment="1" pivotButton="0" quotePrefix="0" xfId="0">
      <alignment horizontal="center"/>
    </xf>
    <xf numFmtId="166" fontId="9" fillId="2" borderId="15" applyAlignment="1" pivotButton="0" quotePrefix="0" xfId="0">
      <alignment vertical="center" wrapText="1"/>
    </xf>
    <xf numFmtId="167" fontId="9" fillId="2" borderId="15" applyAlignment="1" pivotButton="0" quotePrefix="0" xfId="0">
      <alignment horizontal="center" vertical="center" wrapText="1"/>
    </xf>
    <xf numFmtId="168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/>
    </xf>
    <xf numFmtId="0" fontId="24" fillId="6" borderId="0" applyAlignment="1" pivotButton="0" quotePrefix="0" xfId="0">
      <alignment horizontal="left" vertical="center"/>
    </xf>
    <xf numFmtId="0" fontId="25" fillId="6" borderId="0" applyAlignment="1" pivotButton="0" quotePrefix="0" xfId="0">
      <alignment horizontal="right" vertical="center"/>
    </xf>
    <xf numFmtId="0" fontId="24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right" vertical="center"/>
    </xf>
    <xf numFmtId="0" fontId="25" fillId="0" borderId="0" pivotButton="0" quotePrefix="0" xfId="0"/>
    <xf numFmtId="41" fontId="3" fillId="4" borderId="0" applyAlignment="1" pivotButton="0" quotePrefix="0" xfId="4">
      <alignment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33"/>
  <sheetViews>
    <sheetView tabSelected="1" zoomScale="55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F36" sqref="F36"/>
    </sheetView>
  </sheetViews>
  <sheetFormatPr baseColWidth="8" defaultColWidth="9.109375" defaultRowHeight="15.6"/>
  <cols>
    <col width="6.5546875" customWidth="1" style="17" min="1" max="1"/>
    <col width="34.109375" customWidth="1" style="6" min="2" max="2"/>
    <col width="27.33203125" customWidth="1" style="3" min="3" max="4"/>
    <col width="16.109375" customWidth="1" style="4" min="5" max="5"/>
    <col width="27.6640625" customWidth="1" style="5" min="6" max="6"/>
    <col width="13.109375" customWidth="1" style="5" min="7" max="7"/>
    <col width="13.5546875" customWidth="1" style="6" min="8" max="8"/>
    <col width="19.109375" customWidth="1" style="6" min="9" max="9"/>
    <col width="5.6640625" customWidth="1" style="6" min="10" max="10"/>
    <col width="92.109375" customWidth="1" style="215" min="11" max="11"/>
    <col width="28" customWidth="1" style="215" min="12" max="12"/>
    <col width="16.5546875" customWidth="1" style="215" min="13" max="13"/>
    <col width="21.5546875" customWidth="1" style="216" min="14" max="14"/>
    <col width="16.33203125" customWidth="1" style="217" min="15" max="16"/>
    <col width="13.88671875" customWidth="1" style="218" min="17" max="17"/>
    <col width="20.33203125" customWidth="1" style="219" min="18" max="18"/>
    <col width="15.5546875" customWidth="1" style="220" min="19" max="19"/>
    <col width="28.44140625" customWidth="1" style="220" min="20" max="20"/>
    <col width="22.33203125" customWidth="1" style="221" min="21" max="21"/>
    <col width="18.6640625" customWidth="1" style="221" min="22" max="22"/>
    <col width="33.5546875" customWidth="1" style="221" min="23" max="23"/>
    <col width="64" customWidth="1" style="221" min="24" max="24"/>
    <col width="26.6640625" customWidth="1" style="221" min="25" max="25"/>
    <col width="22.5546875" customWidth="1" style="221" min="26" max="26"/>
    <col width="9.109375" customWidth="1" style="222" min="27" max="289"/>
    <col width="24.88671875" bestFit="1" customWidth="1" style="222" min="290" max="290"/>
    <col width="9.109375" customWidth="1" style="222" min="291" max="16384"/>
  </cols>
  <sheetData>
    <row r="1" hidden="1" ht="18" customHeight="1" s="223">
      <c r="A1" s="1" t="inlineStr">
        <is>
          <t>KEMENTERIAN KEUANGAN REPUBLIK INDONESIA</t>
        </is>
      </c>
      <c r="B1" s="2" t="n"/>
    </row>
    <row r="2" hidden="1" ht="18" customHeight="1" s="223">
      <c r="A2" s="1" t="inlineStr">
        <is>
          <t>DIREKTORAT JENDERAL BEA DAN CUKAI</t>
        </is>
      </c>
      <c r="B2" s="2" t="n"/>
    </row>
    <row r="3" hidden="1" ht="18" customHeight="1" s="223">
      <c r="A3" s="15" t="inlineStr">
        <is>
          <t>KANTOR WILAYAH DJBC BANTEN</t>
        </is>
      </c>
      <c r="B3" s="16" t="n"/>
    </row>
    <row r="4" hidden="1" ht="18" customHeight="1" s="223">
      <c r="A4" s="15" t="inlineStr">
        <is>
          <t>KANTOR PENGAWASAN DAN PELAYANAN BEA DAN CUKAI TIPE MADYA PABEAN A TANGERANG</t>
        </is>
      </c>
      <c r="B4" s="16" t="n"/>
    </row>
    <row r="5" ht="14.25" customHeight="1" s="223"/>
    <row r="6" ht="24.75" customHeight="1" s="223">
      <c r="A6" s="224" t="inlineStr">
        <is>
          <t>LAPORAN BULANAN  EKSPOR (BC 3.0)</t>
        </is>
      </c>
    </row>
    <row r="7" ht="24.75" customHeight="1" s="223">
      <c r="A7" s="224" t="inlineStr">
        <is>
          <t>PT. ZINUS DREAM INDONESIA</t>
        </is>
      </c>
    </row>
    <row r="8" ht="24.75" customHeight="1" s="223">
      <c r="A8" s="19" t="inlineStr">
        <is>
          <t>BULAN : JULY 2026</t>
        </is>
      </c>
    </row>
    <row r="9" ht="14.25" customHeight="1" s="223" thickBot="1">
      <c r="A9" s="20" t="n"/>
      <c r="B9" s="21" t="n"/>
      <c r="C9" s="22" t="n"/>
      <c r="D9" s="22" t="n"/>
      <c r="E9" s="23" t="n"/>
      <c r="F9" s="24" t="n"/>
      <c r="G9" s="24" t="n"/>
      <c r="H9" s="21" t="n"/>
      <c r="I9" s="21" t="n"/>
      <c r="J9" s="21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32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51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104" t="n">
        <v>1</v>
      </c>
      <c r="B12" s="105" t="inlineStr">
        <is>
          <t>000030ZIK48020260722000504</t>
        </is>
      </c>
      <c r="C12" s="106" t="n">
        <v>455806</v>
      </c>
      <c r="D12" s="106" t="n">
        <v>455745</v>
      </c>
      <c r="E12" s="258" t="n">
        <v>46226</v>
      </c>
      <c r="F12" s="107" t="inlineStr">
        <is>
          <t>ID2607-7886</t>
        </is>
      </c>
      <c r="G12" s="258" t="n">
        <v>46225</v>
      </c>
      <c r="H12" s="108" t="n">
        <v>966</v>
      </c>
      <c r="I12" s="67" t="inlineStr">
        <is>
          <t>EGHU9205621</t>
        </is>
      </c>
      <c r="J12" s="67" t="inlineStr">
        <is>
          <t>40FT</t>
        </is>
      </c>
      <c r="K12" s="69" t="inlineStr">
        <is>
          <t>8IN OPP HD TW</t>
        </is>
      </c>
      <c r="L12" s="109" t="inlineStr">
        <is>
          <t>ZU-MFMA1OZI-08T</t>
        </is>
      </c>
      <c r="M12" s="110" t="inlineStr">
        <is>
          <t>3NDHMI4R</t>
        </is>
      </c>
      <c r="N12" s="69" t="inlineStr">
        <is>
          <t>F.MFM.08T.013.AD</t>
        </is>
      </c>
      <c r="O12" s="111" t="n">
        <v>79248.28999999999</v>
      </c>
      <c r="P12" s="111" t="n">
        <v>68661.08</v>
      </c>
      <c r="Q12" s="259">
        <f>IFERROR(R12/H12, 0)</f>
        <v/>
      </c>
      <c r="R12" s="260" t="n">
        <v>28922.04</v>
      </c>
      <c r="S12" s="261" t="n">
        <v>18056</v>
      </c>
      <c r="T12" s="261">
        <f>IFERROR(S12*R12, 0)</f>
        <v/>
      </c>
      <c r="U12" s="73" t="inlineStr">
        <is>
          <t>040300/KPPBC</t>
        </is>
      </c>
      <c r="V12" s="74" t="inlineStr">
        <is>
          <t>TG. PRIOK</t>
        </is>
      </c>
      <c r="W12" s="75" t="inlineStr">
        <is>
          <t>SAVANNAH</t>
        </is>
      </c>
      <c r="X12" s="76" t="inlineStr">
        <is>
          <t>AMAZON.COM SERVICES LLC</t>
        </is>
      </c>
      <c r="Y12" s="77" t="inlineStr">
        <is>
          <t>EGLV080600441792</t>
        </is>
      </c>
      <c r="Z12" s="258" t="n">
        <v>46226</v>
      </c>
    </row>
    <row r="13" ht="16.5" customFormat="1" customHeight="1" s="257">
      <c r="A13" s="104" t="n"/>
      <c r="B13" s="105" t="n"/>
      <c r="C13" s="106" t="n"/>
      <c r="D13" s="106" t="n"/>
      <c r="E13" s="258" t="n"/>
      <c r="F13" s="107" t="n"/>
      <c r="G13" s="258" t="n"/>
      <c r="H13" s="108" t="n">
        <v>1145</v>
      </c>
      <c r="I13" s="67" t="inlineStr">
        <is>
          <t>EGHU9121367</t>
        </is>
      </c>
      <c r="J13" s="67" t="inlineStr">
        <is>
          <t>40FT</t>
        </is>
      </c>
      <c r="K13" s="69" t="inlineStr">
        <is>
          <t>5IN GREEN TEA MF MATTRESS TW</t>
        </is>
      </c>
      <c r="L13" s="109" t="inlineStr">
        <is>
          <t>ZU-MFMA1ZZI-05T</t>
        </is>
      </c>
      <c r="M13" s="110" t="inlineStr">
        <is>
          <t>4I3CD5IH</t>
        </is>
      </c>
      <c r="N13" s="69" t="inlineStr">
        <is>
          <t>F.MFM.05T.007.AD</t>
        </is>
      </c>
      <c r="O13" s="111" t="n"/>
      <c r="P13" s="111" t="n"/>
      <c r="Q13" s="259">
        <f>IFERROR(R13/H13, 0)</f>
        <v/>
      </c>
      <c r="R13" s="260" t="n">
        <v>27090.7</v>
      </c>
      <c r="S13" s="261" t="n">
        <v>18056</v>
      </c>
      <c r="T13" s="261">
        <f>IFERROR(S13*R13, 0)</f>
        <v/>
      </c>
      <c r="U13" s="73" t="n"/>
      <c r="V13" s="74" t="n"/>
      <c r="W13" s="75" t="inlineStr">
        <is>
          <t>ETD : 27-07-2026</t>
        </is>
      </c>
      <c r="X13" s="76" t="n"/>
      <c r="Y13" s="77" t="n"/>
      <c r="Z13" s="258" t="n"/>
    </row>
    <row r="14" ht="16.5" customFormat="1" customHeight="1" s="257">
      <c r="A14" s="104" t="n"/>
      <c r="B14" s="105" t="n"/>
      <c r="C14" s="106" t="n"/>
      <c r="D14" s="106" t="n"/>
      <c r="E14" s="258" t="n"/>
      <c r="F14" s="107" t="n"/>
      <c r="G14" s="258" t="n"/>
      <c r="H14" s="108" t="n">
        <v>1144</v>
      </c>
      <c r="I14" s="67" t="inlineStr">
        <is>
          <t>EGHU9713330</t>
        </is>
      </c>
      <c r="J14" s="67" t="inlineStr">
        <is>
          <t>40FT</t>
        </is>
      </c>
      <c r="K14" s="69" t="inlineStr">
        <is>
          <t>5IN GREEN TEA MF MATTRESS TW</t>
        </is>
      </c>
      <c r="L14" s="109" t="inlineStr">
        <is>
          <t>ZU-MFMA1ZZI-05T</t>
        </is>
      </c>
      <c r="M14" s="110" t="inlineStr">
        <is>
          <t>88Y96MHS</t>
        </is>
      </c>
      <c r="N14" s="69" t="inlineStr">
        <is>
          <t>F.MFM.05T.007.AD</t>
        </is>
      </c>
      <c r="O14" s="111" t="n"/>
      <c r="P14" s="111" t="n"/>
      <c r="Q14" s="259">
        <f>IFERROR(R14/H14, 0)</f>
        <v/>
      </c>
      <c r="R14" s="260" t="n">
        <v>27067.04</v>
      </c>
      <c r="S14" s="261" t="n">
        <v>18056</v>
      </c>
      <c r="T14" s="261">
        <f>IFERROR(S14*R14, 0)</f>
        <v/>
      </c>
      <c r="U14" s="73" t="n"/>
      <c r="V14" s="74" t="n"/>
      <c r="W14" s="75" t="n"/>
      <c r="X14" s="76" t="n"/>
      <c r="Y14" s="77" t="n"/>
      <c r="Z14" s="258" t="n"/>
    </row>
    <row r="15" ht="16.5" customFormat="1" customHeight="1" s="257">
      <c r="A15" s="104" t="n"/>
      <c r="B15" s="105" t="n"/>
      <c r="C15" s="106" t="n"/>
      <c r="D15" s="106" t="n"/>
      <c r="E15" s="258" t="n"/>
      <c r="F15" s="107" t="n"/>
      <c r="G15" s="258" t="n"/>
      <c r="H15" s="108" t="n">
        <v>502</v>
      </c>
      <c r="I15" s="67" t="inlineStr">
        <is>
          <t>EMCU8701869</t>
        </is>
      </c>
      <c r="J15" s="67" t="inlineStr">
        <is>
          <t>40FT</t>
        </is>
      </c>
      <c r="K15" s="69" t="inlineStr">
        <is>
          <t>12IN GREEN TEA MF MATTRESS QN</t>
        </is>
      </c>
      <c r="L15" s="109" t="inlineStr">
        <is>
          <t>ZU-MFMA1ZZI-12Q</t>
        </is>
      </c>
      <c r="M15" s="110" t="inlineStr">
        <is>
          <t>8B4RWISK</t>
        </is>
      </c>
      <c r="N15" s="69" t="inlineStr">
        <is>
          <t>F.MFM.12Q.006.AD</t>
        </is>
      </c>
      <c r="O15" s="111" t="n"/>
      <c r="P15" s="111" t="n"/>
      <c r="Q15" s="259">
        <f>IFERROR(R15/H15, 0)</f>
        <v/>
      </c>
      <c r="R15" s="260" t="n">
        <v>42062.58</v>
      </c>
      <c r="S15" s="261" t="n">
        <v>18056</v>
      </c>
      <c r="T15" s="261">
        <f>IFERROR(S15*R15, 0)</f>
        <v/>
      </c>
      <c r="U15" s="73" t="n"/>
      <c r="V15" s="74" t="n"/>
      <c r="W15" s="75" t="n"/>
      <c r="X15" s="76" t="n"/>
      <c r="Y15" s="77" t="n"/>
      <c r="Z15" s="258" t="n"/>
    </row>
    <row r="16" ht="16.5" customFormat="1" customHeight="1" s="257">
      <c r="A16" s="104" t="n"/>
      <c r="B16" s="105" t="n"/>
      <c r="C16" s="106" t="n"/>
      <c r="D16" s="106" t="n"/>
      <c r="E16" s="258" t="n"/>
      <c r="F16" s="107" t="n"/>
      <c r="G16" s="258" t="n"/>
      <c r="H16" s="108" t="n">
        <v>3</v>
      </c>
      <c r="I16" s="67" t="inlineStr">
        <is>
          <t>EMCU1598276</t>
        </is>
      </c>
      <c r="J16" s="67" t="inlineStr">
        <is>
          <t>40FT</t>
        </is>
      </c>
      <c r="K16" s="69" t="inlineStr">
        <is>
          <t>8IN OPP HD FL</t>
        </is>
      </c>
      <c r="L16" s="109" t="inlineStr">
        <is>
          <t>ZU-MFMA1OZI-08F</t>
        </is>
      </c>
      <c r="M16" s="110" t="inlineStr">
        <is>
          <t>8GO2PUDD</t>
        </is>
      </c>
      <c r="N16" s="69" t="inlineStr">
        <is>
          <t>F.MFM.08F.013.AD</t>
        </is>
      </c>
      <c r="O16" s="111" t="n"/>
      <c r="P16" s="111" t="n"/>
      <c r="Q16" s="259">
        <f>IFERROR(R16/H16, 0)</f>
        <v/>
      </c>
      <c r="R16" s="260" t="n">
        <v>116.79</v>
      </c>
      <c r="S16" s="261" t="n">
        <v>18056</v>
      </c>
      <c r="T16" s="261">
        <f>IFERROR(S16*R16, 0)</f>
        <v/>
      </c>
      <c r="U16" s="73" t="n"/>
      <c r="V16" s="74" t="n"/>
      <c r="W16" s="75" t="n"/>
      <c r="X16" s="76" t="n"/>
      <c r="Y16" s="77" t="n"/>
      <c r="Z16" s="258" t="n"/>
    </row>
    <row r="17" ht="16.5" customFormat="1" customHeight="1" s="262">
      <c r="A17" s="104" t="n"/>
      <c r="B17" s="105" t="n"/>
      <c r="C17" s="263" t="n"/>
      <c r="D17" s="263" t="n"/>
      <c r="E17" s="264" t="n"/>
      <c r="F17" s="265" t="n"/>
      <c r="G17" s="264" t="n"/>
      <c r="H17" s="67" t="n">
        <v>400</v>
      </c>
      <c r="I17" s="67" t="inlineStr">
        <is>
          <t>EGSU1735716</t>
        </is>
      </c>
      <c r="J17" s="67" t="inlineStr">
        <is>
          <t>40FT</t>
        </is>
      </c>
      <c r="K17" s="69" t="inlineStr">
        <is>
          <t>8IN GREEN TEA MF MATTRESS TW</t>
        </is>
      </c>
      <c r="L17" s="266" t="inlineStr">
        <is>
          <t>ZU-MFMA1ZZI-08T</t>
        </is>
      </c>
      <c r="M17" s="67" t="inlineStr">
        <is>
          <t>8GO2PUDD</t>
        </is>
      </c>
      <c r="N17" s="69" t="inlineStr">
        <is>
          <t>F.MFM.08T.008.AD</t>
        </is>
      </c>
      <c r="O17" s="111" t="n"/>
      <c r="P17" s="111" t="n"/>
      <c r="Q17" s="259">
        <f>IFERROR(R17/H17, 0)</f>
        <v/>
      </c>
      <c r="R17" s="260" t="n">
        <v>14372</v>
      </c>
      <c r="S17" s="261" t="n">
        <v>18056</v>
      </c>
      <c r="T17" s="261">
        <f>IFERROR(S17*R17, 0)</f>
        <v/>
      </c>
      <c r="U17" s="73" t="n"/>
      <c r="V17" s="74" t="n"/>
      <c r="W17" s="75" t="n"/>
      <c r="X17" s="76" t="n"/>
      <c r="Y17" s="267" t="n"/>
      <c r="Z17" s="268" t="n"/>
    </row>
    <row r="18" ht="16.5" customFormat="1" customHeight="1" s="257">
      <c r="A18" s="104" t="n"/>
      <c r="B18" s="105" t="n"/>
      <c r="C18" s="106" t="n"/>
      <c r="D18" s="106" t="n"/>
      <c r="E18" s="258" t="n"/>
      <c r="F18" s="107" t="n"/>
      <c r="G18" s="258" t="n"/>
      <c r="H18" s="108" t="n">
        <v>206</v>
      </c>
      <c r="I18" s="67" t="inlineStr">
        <is>
          <t>EGHU9733906</t>
        </is>
      </c>
      <c r="J18" s="67" t="inlineStr">
        <is>
          <t>40FT</t>
        </is>
      </c>
      <c r="K18" s="69" t="inlineStr">
        <is>
          <t>12IN GREEN TEA MF MATTRESS QN</t>
        </is>
      </c>
      <c r="L18" s="109" t="inlineStr">
        <is>
          <t>ZU-MFMA1ZZI-12Q</t>
        </is>
      </c>
      <c r="M18" s="110" t="inlineStr">
        <is>
          <t>8GO2PUDD</t>
        </is>
      </c>
      <c r="N18" s="69" t="inlineStr">
        <is>
          <t>F.MFM.12Q.006.AD</t>
        </is>
      </c>
      <c r="O18" s="111" t="n"/>
      <c r="P18" s="111" t="n"/>
      <c r="Q18" s="259">
        <f>IFERROR(R18/H18, 0)</f>
        <v/>
      </c>
      <c r="R18" s="260" t="n">
        <v>17260.74</v>
      </c>
      <c r="S18" s="261" t="n">
        <v>18056</v>
      </c>
      <c r="T18" s="261">
        <f>IFERROR(S18*R18, 0)</f>
        <v/>
      </c>
      <c r="U18" s="73" t="n"/>
      <c r="V18" s="74" t="n"/>
      <c r="W18" s="75" t="n"/>
      <c r="X18" s="76" t="n"/>
      <c r="Y18" s="77" t="n"/>
      <c r="Z18" s="258" t="n"/>
    </row>
    <row r="19" ht="16.5" customFormat="1" customHeight="1" s="257">
      <c r="A19" s="104" t="n"/>
      <c r="B19" s="105" t="n"/>
      <c r="C19" s="106" t="n"/>
      <c r="D19" s="106" t="n"/>
      <c r="E19" s="258" t="n"/>
      <c r="F19" s="107" t="n"/>
      <c r="G19" s="258" t="n"/>
      <c r="H19" s="108" t="n">
        <v>605</v>
      </c>
      <c r="I19" s="67" t="inlineStr"/>
      <c r="J19" s="67" t="inlineStr"/>
      <c r="K19" s="69" t="inlineStr">
        <is>
          <t>8IN OPP HD TW</t>
        </is>
      </c>
      <c r="L19" s="109" t="inlineStr">
        <is>
          <t>ZU-MFMA1OZI-08T</t>
        </is>
      </c>
      <c r="M19" s="110" t="inlineStr">
        <is>
          <t>8VH5JQ8T</t>
        </is>
      </c>
      <c r="N19" s="69" t="inlineStr">
        <is>
          <t>F.MFM.08T.013.AD</t>
        </is>
      </c>
      <c r="O19" s="111" t="n"/>
      <c r="P19" s="111" t="n"/>
      <c r="Q19" s="259">
        <f>IFERROR(R19/H19, 0)</f>
        <v/>
      </c>
      <c r="R19" s="260" t="n">
        <v>18113.7</v>
      </c>
      <c r="S19" s="261" t="n">
        <v>18056</v>
      </c>
      <c r="T19" s="261">
        <f>IFERROR(S19*R19, 0)</f>
        <v/>
      </c>
      <c r="U19" s="73" t="n"/>
      <c r="V19" s="74" t="n"/>
      <c r="W19" s="75" t="n"/>
      <c r="X19" s="76" t="n"/>
      <c r="Y19" s="77" t="n"/>
      <c r="Z19" s="258" t="n"/>
    </row>
    <row r="20" ht="16.5" customFormat="1" customHeight="1" s="257">
      <c r="A20" s="104" t="n"/>
      <c r="B20" s="105" t="n"/>
      <c r="C20" s="106" t="n"/>
      <c r="D20" s="106" t="n"/>
      <c r="E20" s="258" t="n"/>
      <c r="F20" s="107" t="n"/>
      <c r="G20" s="258" t="n"/>
      <c r="H20" s="108" t="n">
        <v>427</v>
      </c>
      <c r="I20" s="67" t="inlineStr"/>
      <c r="J20" s="67" t="inlineStr"/>
      <c r="K20" s="69" t="inlineStr">
        <is>
          <t>5IN GREEN TEA MF MATTRESS TW</t>
        </is>
      </c>
      <c r="L20" s="109" t="inlineStr">
        <is>
          <t>ZU-MFMA1ZZI-05T</t>
        </is>
      </c>
      <c r="M20" s="110" t="inlineStr">
        <is>
          <t>8VH5JQ8T</t>
        </is>
      </c>
      <c r="N20" s="69" t="inlineStr">
        <is>
          <t>F.MFM.05T.007.AD</t>
        </is>
      </c>
      <c r="O20" s="111" t="n"/>
      <c r="P20" s="111" t="n"/>
      <c r="Q20" s="259">
        <f>IFERROR(R20/H20, 0)</f>
        <v/>
      </c>
      <c r="R20" s="260" t="n">
        <v>10102.82</v>
      </c>
      <c r="S20" s="261" t="n">
        <v>18056</v>
      </c>
      <c r="T20" s="261">
        <f>IFERROR(S20*R20, 0)</f>
        <v/>
      </c>
      <c r="U20" s="73" t="n"/>
      <c r="V20" s="74" t="n"/>
      <c r="W20" s="75" t="n"/>
      <c r="X20" s="76" t="n"/>
      <c r="Y20" s="77" t="n"/>
      <c r="Z20" s="258" t="n"/>
    </row>
    <row r="21" ht="16.5" customFormat="1" customHeight="1" s="257">
      <c r="A21" s="104" t="n"/>
      <c r="B21" s="105" t="n"/>
      <c r="C21" s="106" t="n"/>
      <c r="D21" s="106" t="n"/>
      <c r="E21" s="258" t="n"/>
      <c r="F21" s="107" t="n"/>
      <c r="G21" s="258" t="n"/>
      <c r="H21" s="108" t="n">
        <v>1</v>
      </c>
      <c r="I21" s="67" t="inlineStr"/>
      <c r="J21" s="67" t="inlineStr"/>
      <c r="K21" s="69" t="inlineStr">
        <is>
          <t>12IN GREEN TEA MF MATTRESS QN</t>
        </is>
      </c>
      <c r="L21" s="109" t="inlineStr">
        <is>
          <t>ZU-MFMA1ZZI-12Q</t>
        </is>
      </c>
      <c r="M21" s="110" t="inlineStr">
        <is>
          <t>8VH5JQ8T</t>
        </is>
      </c>
      <c r="N21" s="69" t="inlineStr">
        <is>
          <t>F.MFM.12Q.006.AD</t>
        </is>
      </c>
      <c r="O21" s="111" t="n"/>
      <c r="P21" s="111" t="n"/>
      <c r="Q21" s="259">
        <f>IFERROR(R21/H21, 0)</f>
        <v/>
      </c>
      <c r="R21" s="260" t="n">
        <v>83.79000000000001</v>
      </c>
      <c r="S21" s="261" t="n">
        <v>18056</v>
      </c>
      <c r="T21" s="261">
        <f>IFERROR(S21*R21, 0)</f>
        <v/>
      </c>
      <c r="U21" s="73" t="n"/>
      <c r="V21" s="74" t="n"/>
      <c r="W21" s="75" t="n"/>
      <c r="X21" s="76" t="n"/>
      <c r="Y21" s="77" t="n"/>
      <c r="Z21" s="258" t="n"/>
    </row>
    <row r="22" ht="17.1" customFormat="1" customHeight="1" s="257">
      <c r="A22" s="89" t="n"/>
      <c r="B22" s="90" t="n"/>
      <c r="C22" s="269" t="n"/>
      <c r="D22" s="269" t="n"/>
      <c r="E22" s="270" t="n"/>
      <c r="F22" s="270" t="n"/>
      <c r="G22" s="270" t="n"/>
      <c r="H22" s="271">
        <f>SUM(H12:H21)</f>
        <v/>
      </c>
      <c r="I22" s="94">
        <f>COUNTA(I12:I21)</f>
        <v/>
      </c>
      <c r="J22" s="93" t="n"/>
      <c r="K22" s="93" t="n"/>
      <c r="L22" s="272" t="n"/>
      <c r="M22" s="273" t="n"/>
      <c r="N22" s="93" t="n"/>
      <c r="O22" s="274">
        <f>SUM(O12:O21)</f>
        <v/>
      </c>
      <c r="P22" s="274">
        <f>SUM(P12:P21)</f>
        <v/>
      </c>
      <c r="Q22" s="275" t="n"/>
      <c r="R22" s="276">
        <f>SUM(R12:R21)</f>
        <v/>
      </c>
      <c r="S22" s="277" t="n"/>
      <c r="T22" s="277">
        <f>SUM(T12:T21)</f>
        <v/>
      </c>
      <c r="U22" s="93" t="n"/>
      <c r="V22" s="100" t="n"/>
      <c r="W22" s="101" t="n"/>
      <c r="X22" s="102" t="n"/>
      <c r="Y22" s="278" t="n"/>
      <c r="Z22" s="279" t="n"/>
    </row>
    <row r="23" ht="16.5" customFormat="1" customHeight="1" s="262">
      <c r="A23" s="104" t="n">
        <v>2</v>
      </c>
      <c r="B23" s="105" t="inlineStr">
        <is>
          <t>000030ZIK48020260722000505</t>
        </is>
      </c>
      <c r="C23" s="263" t="n">
        <v>457069</v>
      </c>
      <c r="D23" s="263" t="n">
        <v>457014</v>
      </c>
      <c r="E23" s="264" t="n">
        <v>46226</v>
      </c>
      <c r="F23" s="265" t="inlineStr">
        <is>
          <t>ID2607-7887</t>
        </is>
      </c>
      <c r="G23" s="264" t="n">
        <v>46225</v>
      </c>
      <c r="H23" s="67" t="n">
        <v>1</v>
      </c>
      <c r="I23" s="67" t="inlineStr">
        <is>
          <t>EMCU0087902</t>
        </is>
      </c>
      <c r="J23" s="67" t="inlineStr">
        <is>
          <t>40FT</t>
        </is>
      </c>
      <c r="K23" s="69" t="inlineStr">
        <is>
          <t>8IN MYGEL FOAM MATTRESS TW</t>
        </is>
      </c>
      <c r="L23" s="266" t="inlineStr">
        <is>
          <t>ZU-MFGN1YZI-08T</t>
        </is>
      </c>
      <c r="M23" s="67" t="inlineStr">
        <is>
          <t>1CPXSUHR</t>
        </is>
      </c>
      <c r="N23" s="69" t="inlineStr">
        <is>
          <t>F.MFG.08T.003.AD</t>
        </is>
      </c>
      <c r="O23" s="111" t="n">
        <v>70550.23</v>
      </c>
      <c r="P23" s="111" t="n">
        <v>61053.73</v>
      </c>
      <c r="Q23" s="259">
        <f>IFERROR(R23/H23, 0)</f>
        <v/>
      </c>
      <c r="R23" s="260" t="n">
        <v>35.93</v>
      </c>
      <c r="S23" s="261" t="n">
        <v>18056</v>
      </c>
      <c r="T23" s="261">
        <f>IFERROR(S23*R23, 0)</f>
        <v/>
      </c>
      <c r="U23" s="73" t="inlineStr">
        <is>
          <t>040300/KPPBC</t>
        </is>
      </c>
      <c r="V23" s="74" t="inlineStr">
        <is>
          <t>TG. PRIOK</t>
        </is>
      </c>
      <c r="W23" s="75" t="inlineStr">
        <is>
          <t>SAVANNAH</t>
        </is>
      </c>
      <c r="X23" s="76" t="inlineStr">
        <is>
          <t>AMAZON.COM SERVICES LLC</t>
        </is>
      </c>
      <c r="Y23" s="267" t="inlineStr">
        <is>
          <t>EGLV080600449962</t>
        </is>
      </c>
      <c r="Z23" s="268" t="n">
        <v>46226</v>
      </c>
    </row>
    <row r="24" ht="16.5" customFormat="1" customHeight="1" s="262">
      <c r="A24" s="104" t="n"/>
      <c r="B24" s="105" t="n"/>
      <c r="C24" s="106" t="n"/>
      <c r="D24" s="106" t="n"/>
      <c r="E24" s="258" t="n"/>
      <c r="F24" s="107" t="n"/>
      <c r="G24" s="258" t="n"/>
      <c r="H24" s="108" t="n">
        <v>6</v>
      </c>
      <c r="I24" s="67" t="inlineStr">
        <is>
          <t>GAOU6330736</t>
        </is>
      </c>
      <c r="J24" s="67" t="inlineStr">
        <is>
          <t>40FT</t>
        </is>
      </c>
      <c r="K24" s="69" t="inlineStr">
        <is>
          <t>8IN GREEN TEA MF MATTRESS SQ</t>
        </is>
      </c>
      <c r="L24" s="109" t="inlineStr">
        <is>
          <t>ZU-MFMA1FZI-08S</t>
        </is>
      </c>
      <c r="M24" s="67" t="inlineStr">
        <is>
          <t>1CPXSUHR</t>
        </is>
      </c>
      <c r="N24" s="69" t="inlineStr">
        <is>
          <t>F.MFM.08S.012.AD</t>
        </is>
      </c>
      <c r="O24" s="111" t="n"/>
      <c r="P24" s="111" t="n"/>
      <c r="Q24" s="259">
        <f>IFERROR(R24/H24, 0)</f>
        <v/>
      </c>
      <c r="R24" s="260" t="n">
        <v>372.9</v>
      </c>
      <c r="S24" s="261" t="n">
        <v>18056</v>
      </c>
      <c r="T24" s="261">
        <f>IFERROR(S24*R24, 0)</f>
        <v/>
      </c>
      <c r="U24" s="73" t="n"/>
      <c r="V24" s="74" t="n"/>
      <c r="W24" s="75" t="inlineStr">
        <is>
          <t>ETD : 27-07-2026</t>
        </is>
      </c>
      <c r="X24" s="76" t="n"/>
      <c r="Y24" s="77" t="n"/>
      <c r="Z24" s="258" t="n"/>
    </row>
    <row r="25" ht="16.5" customHeight="1" s="223" thickBot="1">
      <c r="A25" s="104" t="n"/>
      <c r="B25" s="105" t="n"/>
      <c r="C25" s="280" t="n"/>
      <c r="D25" s="281" t="n"/>
      <c r="E25" s="282" t="n"/>
      <c r="F25" s="283" t="n"/>
      <c r="G25" s="282" t="n"/>
      <c r="H25" s="76" t="n">
        <v>1</v>
      </c>
      <c r="I25" s="76" t="inlineStr">
        <is>
          <t>EISU8561414</t>
        </is>
      </c>
      <c r="J25" s="76" t="inlineStr">
        <is>
          <t>40FT</t>
        </is>
      </c>
      <c r="K25" s="284" t="inlineStr">
        <is>
          <t>10IN OPP HD FL</t>
        </is>
      </c>
      <c r="L25" s="285" t="inlineStr">
        <is>
          <t>ZU-MFMA1OZI-10F</t>
        </is>
      </c>
      <c r="M25" s="76" t="inlineStr">
        <is>
          <t>1CPXSUHR</t>
        </is>
      </c>
      <c r="N25" s="284" t="inlineStr">
        <is>
          <t>F.MFM.10F.013.AD</t>
        </is>
      </c>
      <c r="O25" s="286" t="n"/>
      <c r="P25" s="286" t="n"/>
      <c r="Q25" s="287">
        <f>IFERROR(R25/H25, 0)</f>
        <v/>
      </c>
      <c r="R25" s="288" t="n">
        <v>47.91</v>
      </c>
      <c r="S25" s="289" t="n">
        <v>18056</v>
      </c>
      <c r="T25" s="289">
        <f>IFERROR(S25*R25, 0)</f>
        <v/>
      </c>
      <c r="U25" s="290" t="n"/>
      <c r="V25" s="77" t="n"/>
      <c r="W25" s="291" t="n"/>
      <c r="X25" s="292" t="n"/>
      <c r="Y25" s="293" t="n"/>
      <c r="Z25" s="294" t="n"/>
    </row>
    <row r="26" ht="16.5" customFormat="1" customHeight="1" s="231" thickBot="1">
      <c r="A26" s="104" t="n"/>
      <c r="B26" s="105" t="n"/>
      <c r="C26" s="295" t="n"/>
      <c r="D26" s="295" t="n"/>
      <c r="E26" s="268" t="n"/>
      <c r="F26" s="296" t="n"/>
      <c r="G26" s="268" t="n"/>
      <c r="H26" s="297" t="n">
        <v>2</v>
      </c>
      <c r="I26" s="297" t="inlineStr">
        <is>
          <t>EITU1674433</t>
        </is>
      </c>
      <c r="J26" s="76" t="inlineStr">
        <is>
          <t>40FT</t>
        </is>
      </c>
      <c r="K26" s="284" t="inlineStr">
        <is>
          <t>10IN AIRFLOW GEL FOAM MATT QN</t>
        </is>
      </c>
      <c r="L26" s="285" t="inlineStr">
        <is>
          <t>ZU-MFMA1RZI-10Q</t>
        </is>
      </c>
      <c r="M26" s="76" t="inlineStr">
        <is>
          <t>1CPXSUHR</t>
        </is>
      </c>
      <c r="N26" s="284" t="inlineStr">
        <is>
          <t>F.MFM.10Q.014.AD</t>
        </is>
      </c>
      <c r="O26" s="298" t="n"/>
      <c r="P26" s="298" t="n"/>
      <c r="Q26" s="299">
        <f>IFERROR(R26/H26, 0)</f>
        <v/>
      </c>
      <c r="R26" s="300" t="n">
        <v>107.8</v>
      </c>
      <c r="S26" s="301" t="n">
        <v>18056</v>
      </c>
      <c r="T26" s="301">
        <f>IFERROR(S26*R26, 0)</f>
        <v/>
      </c>
      <c r="U26" s="302" t="n"/>
      <c r="V26" s="293" t="n"/>
      <c r="W26" s="303" t="n"/>
      <c r="X26" s="292" t="n"/>
      <c r="Y26" s="293" t="n"/>
      <c r="Z26" s="294" t="n"/>
    </row>
    <row r="27" ht="16.5" customHeight="1" s="223">
      <c r="A27" s="104" t="n"/>
      <c r="B27" s="105" t="n"/>
      <c r="C27" s="281" t="n"/>
      <c r="D27" s="304" t="n"/>
      <c r="E27" s="282" t="n"/>
      <c r="F27" s="283" t="n"/>
      <c r="G27" s="282" t="n"/>
      <c r="H27" s="305" t="n">
        <v>311</v>
      </c>
      <c r="I27" s="305" t="inlineStr">
        <is>
          <t>TCKU6083451</t>
        </is>
      </c>
      <c r="J27" s="305" t="inlineStr">
        <is>
          <t>40FT</t>
        </is>
      </c>
      <c r="K27" s="284" t="inlineStr">
        <is>
          <t>6IN GREEN TEA MF MATTRESS FL</t>
        </is>
      </c>
      <c r="L27" s="285" t="inlineStr">
        <is>
          <t>ZU-MFMA1ZZI-06F</t>
        </is>
      </c>
      <c r="M27" s="76" t="inlineStr">
        <is>
          <t>1CPXSUHR</t>
        </is>
      </c>
      <c r="N27" s="284" t="inlineStr">
        <is>
          <t>F.MFM.06F.007.AD</t>
        </is>
      </c>
      <c r="O27" s="306" t="n"/>
      <c r="P27" s="306" t="n"/>
      <c r="Q27" s="299">
        <f>IFERROR(R27/H27, 0)</f>
        <v/>
      </c>
      <c r="R27" s="307" t="n">
        <v>11920.63</v>
      </c>
      <c r="S27" s="308" t="n">
        <v>18056</v>
      </c>
      <c r="T27" s="308">
        <f>IFERROR(S27*R27, 0)</f>
        <v/>
      </c>
      <c r="U27" s="302" t="n"/>
      <c r="V27" s="293" t="n"/>
      <c r="W27" s="303" t="n"/>
      <c r="X27" s="292" t="n"/>
      <c r="Y27" s="293" t="n"/>
      <c r="Z27" s="294" t="n"/>
    </row>
    <row r="28" ht="16.5" customHeight="1" s="223">
      <c r="A28" s="104" t="n"/>
      <c r="B28" s="105" t="n"/>
      <c r="C28" s="281" t="n"/>
      <c r="D28" s="304" t="n"/>
      <c r="E28" s="282" t="n"/>
      <c r="F28" s="283" t="n"/>
      <c r="G28" s="282" t="n"/>
      <c r="H28" s="305" t="n">
        <v>355</v>
      </c>
      <c r="I28" s="305" t="inlineStr">
        <is>
          <t>EITU1661164</t>
        </is>
      </c>
      <c r="J28" s="305" t="inlineStr">
        <is>
          <t>40FT</t>
        </is>
      </c>
      <c r="K28" s="284" t="inlineStr">
        <is>
          <t>8IN GREEN TEA MF MATTRESS FL</t>
        </is>
      </c>
      <c r="L28" s="285" t="inlineStr">
        <is>
          <t>ZU-MFMA1ZZI-08F</t>
        </is>
      </c>
      <c r="M28" s="76" t="inlineStr">
        <is>
          <t>1CPXSUHR</t>
        </is>
      </c>
      <c r="N28" s="284" t="inlineStr">
        <is>
          <t>F.MFM.08F.008.AD</t>
        </is>
      </c>
      <c r="O28" s="306" t="n"/>
      <c r="P28" s="306" t="n"/>
      <c r="Q28" s="299">
        <f>IFERROR(R28/H28, 0)</f>
        <v/>
      </c>
      <c r="R28" s="307" t="n">
        <v>19876.45</v>
      </c>
      <c r="S28" s="308" t="n">
        <v>18056</v>
      </c>
      <c r="T28" s="308">
        <f>IFERROR(S28*R28, 0)</f>
        <v/>
      </c>
      <c r="U28" s="302" t="n"/>
      <c r="V28" s="293" t="n"/>
      <c r="W28" s="303" t="n"/>
      <c r="X28" s="292" t="n"/>
      <c r="Y28" s="293" t="n"/>
      <c r="Z28" s="294" t="n"/>
    </row>
    <row r="29" ht="16.5" customHeight="1" s="223">
      <c r="A29" s="104" t="n"/>
      <c r="B29" s="105" t="n"/>
      <c r="C29" s="281" t="n"/>
      <c r="D29" s="304" t="n"/>
      <c r="E29" s="282" t="n"/>
      <c r="F29" s="283" t="n"/>
      <c r="G29" s="282" t="n"/>
      <c r="H29" s="305" t="n">
        <v>1</v>
      </c>
      <c r="I29" s="305" t="inlineStr"/>
      <c r="J29" s="305" t="inlineStr"/>
      <c r="K29" s="309" t="inlineStr">
        <is>
          <t>12IN GREEN TEA MF MATTRESS EK</t>
        </is>
      </c>
      <c r="L29" s="310" t="inlineStr">
        <is>
          <t>ZU-MFMA1ZZI-12K</t>
        </is>
      </c>
      <c r="M29" s="311" t="inlineStr">
        <is>
          <t>1CPXSUHR</t>
        </is>
      </c>
      <c r="N29" s="309" t="inlineStr">
        <is>
          <t>F.MFM.12K.006.AD</t>
        </is>
      </c>
      <c r="O29" s="306" t="n"/>
      <c r="P29" s="306" t="n"/>
      <c r="Q29" s="312">
        <f>IFERROR(R29/H29, 0)</f>
        <v/>
      </c>
      <c r="R29" s="307" t="n">
        <v>101.97</v>
      </c>
      <c r="S29" s="308" t="n">
        <v>18056</v>
      </c>
      <c r="T29" s="261">
        <f>IFERROR(S29*R29, 0)</f>
        <v/>
      </c>
      <c r="U29" s="313" t="n"/>
      <c r="V29" s="293" t="n"/>
      <c r="W29" s="303" t="n"/>
      <c r="X29" s="292" t="n"/>
      <c r="Y29" s="293" t="n"/>
      <c r="Z29" s="294" t="n"/>
    </row>
    <row r="30" ht="16.5" customHeight="1" s="223" thickBot="1">
      <c r="A30" s="104" t="n"/>
      <c r="B30" s="105" t="n"/>
      <c r="C30" s="281" t="n"/>
      <c r="D30" s="281" t="n"/>
      <c r="E30" s="282" t="n"/>
      <c r="F30" s="283" t="n"/>
      <c r="G30" s="282" t="n"/>
      <c r="H30" s="305" t="n">
        <v>5</v>
      </c>
      <c r="I30" s="305" t="inlineStr"/>
      <c r="J30" s="305" t="inlineStr"/>
      <c r="K30" s="284" t="inlineStr">
        <is>
          <t>8IN GREEN TEA MF MATTRESS SQ</t>
        </is>
      </c>
      <c r="L30" s="285" t="inlineStr">
        <is>
          <t>ZU-MFMA1FZI-08S</t>
        </is>
      </c>
      <c r="M30" s="76" t="inlineStr">
        <is>
          <t>23OYBVEV</t>
        </is>
      </c>
      <c r="N30" s="309" t="inlineStr">
        <is>
          <t>F.MFM.08S.012.AD</t>
        </is>
      </c>
      <c r="O30" s="306" t="n"/>
      <c r="P30" s="306" t="n"/>
      <c r="Q30" s="312">
        <f>IFERROR(R30/H30, 0)</f>
        <v/>
      </c>
      <c r="R30" s="260" t="n">
        <v>310.75</v>
      </c>
      <c r="S30" s="261" t="n">
        <v>18056</v>
      </c>
      <c r="T30" s="308">
        <f>IFERROR(S30*R30, 0)</f>
        <v/>
      </c>
      <c r="U30" s="314" t="n"/>
      <c r="V30" s="315" t="n"/>
      <c r="W30" s="316" t="n"/>
      <c r="X30" s="311" t="n"/>
      <c r="Y30" s="315" t="n"/>
      <c r="Z30" s="317" t="n"/>
    </row>
    <row r="31" ht="16.5" customHeight="1" s="223" thickTop="1">
      <c r="A31" s="104" t="n"/>
      <c r="B31" s="105" t="n"/>
      <c r="C31" s="281" t="n"/>
      <c r="D31" s="281" t="n"/>
      <c r="E31" s="282" t="n"/>
      <c r="F31" s="283" t="n"/>
      <c r="G31" s="282" t="n"/>
      <c r="H31" s="76" t="n">
        <v>197</v>
      </c>
      <c r="I31" s="76" t="inlineStr"/>
      <c r="J31" s="311" t="inlineStr"/>
      <c r="K31" s="284" t="inlineStr">
        <is>
          <t>8IN OPP HD FL</t>
        </is>
      </c>
      <c r="L31" s="285" t="inlineStr">
        <is>
          <t>ZU-MFMA1OZI-08F</t>
        </is>
      </c>
      <c r="M31" s="76" t="inlineStr">
        <is>
          <t>23OYBVEV</t>
        </is>
      </c>
      <c r="N31" s="284" t="inlineStr">
        <is>
          <t>F.MFM.08F.013.AD</t>
        </is>
      </c>
      <c r="O31" s="306" t="n"/>
      <c r="P31" s="111" t="n"/>
      <c r="Q31" s="318">
        <f>IFERROR(R31/H31, 0)</f>
        <v/>
      </c>
      <c r="R31" s="260" t="n">
        <v>7669.21</v>
      </c>
      <c r="S31" s="261" t="n">
        <v>18056</v>
      </c>
      <c r="T31" s="261">
        <f>IFERROR(S31*R31, 0)</f>
        <v/>
      </c>
      <c r="U31" s="314" t="n"/>
      <c r="V31" s="315" t="n"/>
      <c r="W31" s="316" t="n"/>
      <c r="X31" s="311" t="n"/>
      <c r="Y31" s="315" t="n"/>
      <c r="Z31" s="317" t="n"/>
    </row>
    <row r="32" ht="16.5" customHeight="1" s="223">
      <c r="A32" s="319" t="n"/>
      <c r="B32" s="105" t="n"/>
      <c r="C32" s="295" t="n"/>
      <c r="D32" s="304" t="n"/>
      <c r="E32" s="317" t="n"/>
      <c r="F32" s="320" t="n"/>
      <c r="G32" s="282" t="n"/>
      <c r="H32" s="76" t="n">
        <v>18</v>
      </c>
      <c r="I32" s="76" t="inlineStr"/>
      <c r="J32" s="311" t="inlineStr"/>
      <c r="K32" s="284" t="inlineStr">
        <is>
          <t>8IN OPP HD QN</t>
        </is>
      </c>
      <c r="L32" s="285" t="inlineStr">
        <is>
          <t>ZU-MFMA1OZI-08Q</t>
        </is>
      </c>
      <c r="M32" s="76" t="inlineStr">
        <is>
          <t>23OYBVEV</t>
        </is>
      </c>
      <c r="N32" s="284" t="inlineStr">
        <is>
          <t>F.MFM.08Q.013.AD</t>
        </is>
      </c>
      <c r="O32" s="306" t="n"/>
      <c r="P32" s="111" t="n"/>
      <c r="Q32" s="318">
        <f>IFERROR(R32/H32, 0)</f>
        <v/>
      </c>
      <c r="R32" s="260" t="n">
        <v>1010.52</v>
      </c>
      <c r="S32" s="261" t="n">
        <v>18056</v>
      </c>
      <c r="T32" s="261">
        <f>IFERROR(S32*R32, 0)</f>
        <v/>
      </c>
      <c r="U32" s="314" t="n"/>
      <c r="V32" s="315" t="n"/>
      <c r="W32" s="316" t="n"/>
      <c r="X32" s="311" t="n"/>
      <c r="Y32" s="315" t="n"/>
      <c r="Z32" s="317" t="n"/>
    </row>
    <row r="33" ht="16.5" customHeight="1" s="223">
      <c r="A33" s="319" t="n"/>
      <c r="B33" s="321" t="n"/>
      <c r="C33" s="295" t="n"/>
      <c r="D33" s="304" t="n"/>
      <c r="E33" s="317" t="n"/>
      <c r="F33" s="320" t="n"/>
      <c r="G33" s="317" t="n"/>
      <c r="H33" s="76" t="n">
        <v>1</v>
      </c>
      <c r="I33" s="76" t="inlineStr"/>
      <c r="J33" s="311" t="inlineStr"/>
      <c r="K33" s="284" t="inlineStr">
        <is>
          <t>12IN OPP HD QN</t>
        </is>
      </c>
      <c r="L33" s="285" t="inlineStr">
        <is>
          <t>ZU-MFMA1OZI-12Q</t>
        </is>
      </c>
      <c r="M33" s="76" t="inlineStr">
        <is>
          <t>23OYBVEV</t>
        </is>
      </c>
      <c r="N33" s="284" t="inlineStr">
        <is>
          <t>F.MFM.12Q.010.AD</t>
        </is>
      </c>
      <c r="O33" s="306" t="n"/>
      <c r="P33" s="111" t="n"/>
      <c r="Q33" s="318">
        <f>IFERROR(R33/H33, 0)</f>
        <v/>
      </c>
      <c r="R33" s="260" t="n">
        <v>67.56999999999999</v>
      </c>
      <c r="S33" s="261" t="n">
        <v>18056</v>
      </c>
      <c r="T33" s="261">
        <f>IFERROR(S33*R33, 0)</f>
        <v/>
      </c>
      <c r="U33" s="314" t="n"/>
      <c r="V33" s="315" t="n"/>
      <c r="W33" s="316" t="n"/>
      <c r="X33" s="311" t="n"/>
      <c r="Y33" s="315" t="n"/>
      <c r="Z33" s="317" t="n"/>
    </row>
    <row r="34" ht="16.5" customHeight="1" s="223">
      <c r="A34" s="319" t="n"/>
      <c r="B34" s="321" t="n"/>
      <c r="C34" s="295" t="n"/>
      <c r="D34" s="304" t="n"/>
      <c r="E34" s="317" t="n"/>
      <c r="F34" s="320" t="n"/>
      <c r="G34" s="317" t="n"/>
      <c r="H34" s="311" t="n">
        <v>2</v>
      </c>
      <c r="I34" s="311" t="inlineStr"/>
      <c r="J34" s="311" t="inlineStr"/>
      <c r="K34" s="284" t="inlineStr">
        <is>
          <t>10IN AIRFLOW GEL FOAM MATT EK</t>
        </is>
      </c>
      <c r="L34" s="285" t="inlineStr">
        <is>
          <t>ZU-MFMA1RZI-10K</t>
        </is>
      </c>
      <c r="M34" s="76" t="inlineStr">
        <is>
          <t>23OYBVEV</t>
        </is>
      </c>
      <c r="N34" s="284" t="inlineStr">
        <is>
          <t>F.MFM.10K.014.AD</t>
        </is>
      </c>
      <c r="O34" s="306" t="n"/>
      <c r="P34" s="111" t="n"/>
      <c r="Q34" s="318">
        <f>IFERROR(R34/H34, 0)</f>
        <v/>
      </c>
      <c r="R34" s="260" t="n">
        <v>131.76</v>
      </c>
      <c r="S34" s="261" t="n">
        <v>18056</v>
      </c>
      <c r="T34" s="261">
        <f>IFERROR(S34*R34, 0)</f>
        <v/>
      </c>
      <c r="U34" s="314" t="n"/>
      <c r="V34" s="315" t="n"/>
      <c r="W34" s="316" t="n"/>
      <c r="X34" s="311" t="n"/>
      <c r="Y34" s="315" t="n"/>
      <c r="Z34" s="317" t="n"/>
    </row>
    <row r="35" ht="16.5" customHeight="1" s="223">
      <c r="A35" s="319" t="n"/>
      <c r="B35" s="321" t="n"/>
      <c r="C35" s="295" t="n"/>
      <c r="D35" s="304" t="n"/>
      <c r="E35" s="317" t="n"/>
      <c r="F35" s="320" t="n"/>
      <c r="G35" s="317" t="n"/>
      <c r="H35" s="311" t="n">
        <v>302</v>
      </c>
      <c r="I35" s="311" t="inlineStr"/>
      <c r="J35" s="311" t="inlineStr"/>
      <c r="K35" s="284" t="inlineStr">
        <is>
          <t>6IN MYGEL FOAM MATTRESS FL</t>
        </is>
      </c>
      <c r="L35" s="285" t="inlineStr">
        <is>
          <t>ZU-MFGN1YZI-06F</t>
        </is>
      </c>
      <c r="M35" s="76" t="inlineStr">
        <is>
          <t>299957YO</t>
        </is>
      </c>
      <c r="N35" s="284" t="inlineStr">
        <is>
          <t>F.MFG.06F.002.AD</t>
        </is>
      </c>
      <c r="O35" s="306" t="n"/>
      <c r="P35" s="111" t="n"/>
      <c r="Q35" s="318">
        <f>IFERROR(R35/H35, 0)</f>
        <v/>
      </c>
      <c r="R35" s="260" t="n">
        <v>11756.86</v>
      </c>
      <c r="S35" s="261" t="n">
        <v>18056</v>
      </c>
      <c r="T35" s="261">
        <f>IFERROR(S35*R35, 0)</f>
        <v/>
      </c>
      <c r="U35" s="314" t="n"/>
      <c r="V35" s="315" t="n"/>
      <c r="W35" s="316" t="n"/>
      <c r="X35" s="311" t="n"/>
      <c r="Y35" s="315" t="n"/>
      <c r="Z35" s="317" t="n"/>
    </row>
    <row r="36" ht="16.5" customHeight="1" s="223">
      <c r="A36" s="319" t="n"/>
      <c r="B36" s="321" t="n"/>
      <c r="C36" s="295" t="n"/>
      <c r="D36" s="304" t="n"/>
      <c r="E36" s="317" t="n"/>
      <c r="F36" s="320" t="n"/>
      <c r="G36" s="317" t="n"/>
      <c r="H36" s="311" t="n">
        <v>450</v>
      </c>
      <c r="I36" s="311" t="inlineStr"/>
      <c r="J36" s="311" t="inlineStr"/>
      <c r="K36" s="284" t="inlineStr">
        <is>
          <t>8IN OPP HD FL</t>
        </is>
      </c>
      <c r="L36" s="285" t="inlineStr">
        <is>
          <t>ZU-MFMA1OZI-08F</t>
        </is>
      </c>
      <c r="M36" s="76" t="inlineStr">
        <is>
          <t>299957YO</t>
        </is>
      </c>
      <c r="N36" s="284" t="inlineStr">
        <is>
          <t>F.MFM.08F.013.AD</t>
        </is>
      </c>
      <c r="O36" s="306" t="n"/>
      <c r="P36" s="111" t="n"/>
      <c r="Q36" s="318">
        <f>IFERROR(R36/H36, 0)</f>
        <v/>
      </c>
      <c r="R36" s="260" t="n">
        <v>17518.5</v>
      </c>
      <c r="S36" s="261" t="n">
        <v>18056</v>
      </c>
      <c r="T36" s="261">
        <f>IFERROR(S36*R36, 0)</f>
        <v/>
      </c>
      <c r="U36" s="314" t="n"/>
      <c r="V36" s="315" t="n"/>
      <c r="W36" s="316" t="n"/>
      <c r="X36" s="311" t="n"/>
      <c r="Y36" s="315" t="n"/>
      <c r="Z36" s="317" t="n"/>
    </row>
    <row r="37" ht="16.5" customHeight="1" s="223">
      <c r="A37" s="319" t="n"/>
      <c r="B37" s="321" t="n"/>
      <c r="C37" s="295" t="n"/>
      <c r="D37" s="304" t="n"/>
      <c r="E37" s="317" t="n"/>
      <c r="F37" s="320" t="n"/>
      <c r="G37" s="317" t="n"/>
      <c r="H37" s="311" t="n">
        <v>1</v>
      </c>
      <c r="I37" s="311" t="inlineStr"/>
      <c r="J37" s="311" t="inlineStr"/>
      <c r="K37" s="284" t="inlineStr">
        <is>
          <t>8IN GREEN TEA MF MATTRESS SQ</t>
        </is>
      </c>
      <c r="L37" s="285" t="inlineStr">
        <is>
          <t>ZU-MFMA1ZZI-08S</t>
        </is>
      </c>
      <c r="M37" s="76" t="inlineStr">
        <is>
          <t>299957YO</t>
        </is>
      </c>
      <c r="N37" s="284" t="inlineStr">
        <is>
          <t>F.MFM.08S.011.AD</t>
        </is>
      </c>
      <c r="O37" s="306" t="n"/>
      <c r="P37" s="111" t="n"/>
      <c r="Q37" s="318">
        <f>IFERROR(R37/H37, 0)</f>
        <v/>
      </c>
      <c r="R37" s="260" t="n">
        <v>59.1</v>
      </c>
      <c r="S37" s="261" t="n">
        <v>18056</v>
      </c>
      <c r="T37" s="261">
        <f>IFERROR(S37*R37, 0)</f>
        <v/>
      </c>
      <c r="U37" s="314" t="n"/>
      <c r="V37" s="315" t="n"/>
      <c r="W37" s="316" t="n"/>
      <c r="X37" s="311" t="n"/>
      <c r="Y37" s="315" t="n"/>
      <c r="Z37" s="317" t="n"/>
    </row>
    <row r="38" ht="16.5" customHeight="1" s="223">
      <c r="A38" s="319" t="n"/>
      <c r="B38" s="321" t="n"/>
      <c r="C38" s="295" t="n"/>
      <c r="D38" s="304" t="n"/>
      <c r="E38" s="317" t="n"/>
      <c r="F38" s="320" t="n"/>
      <c r="G38" s="317" t="n"/>
      <c r="H38" s="311" t="n">
        <v>6</v>
      </c>
      <c r="I38" s="311" t="inlineStr"/>
      <c r="J38" s="311" t="inlineStr"/>
      <c r="K38" s="284" t="inlineStr">
        <is>
          <t>10IN GREEN TEA MF MATTRESS EK</t>
        </is>
      </c>
      <c r="L38" s="285" t="inlineStr">
        <is>
          <t>ZU-MFMA1ZZI-10K</t>
        </is>
      </c>
      <c r="M38" s="76" t="inlineStr">
        <is>
          <t>299957YO</t>
        </is>
      </c>
      <c r="N38" s="284" t="inlineStr">
        <is>
          <t>F.MFM.10K.007.AD</t>
        </is>
      </c>
      <c r="O38" s="306" t="n"/>
      <c r="P38" s="306" t="n"/>
      <c r="Q38" s="312">
        <f>IFERROR(R38/H38, 0)</f>
        <v/>
      </c>
      <c r="R38" s="307" t="n">
        <v>582.66</v>
      </c>
      <c r="S38" s="308" t="n">
        <v>18056</v>
      </c>
      <c r="T38" s="308">
        <f>IFERROR(S38*R38, 0)</f>
        <v/>
      </c>
      <c r="U38" s="313" t="n"/>
      <c r="V38" s="315" t="n"/>
      <c r="W38" s="316" t="n"/>
      <c r="X38" s="311" t="n"/>
      <c r="Y38" s="315" t="n"/>
      <c r="Z38" s="317" t="n"/>
    </row>
    <row r="39" ht="16.5" customHeight="1" s="223" thickBot="1">
      <c r="A39" s="319" t="n"/>
      <c r="B39" s="321" t="n"/>
      <c r="C39" s="295" t="n"/>
      <c r="D39" s="295" t="n"/>
      <c r="E39" s="317" t="n"/>
      <c r="F39" s="320" t="n"/>
      <c r="G39" s="317" t="n"/>
      <c r="H39" s="311" t="n">
        <v>149</v>
      </c>
      <c r="I39" s="311" t="inlineStr"/>
      <c r="J39" s="311" t="inlineStr"/>
      <c r="K39" s="309" t="inlineStr">
        <is>
          <t>8IN MYGEL FOAM MATTRESS TW</t>
        </is>
      </c>
      <c r="L39" s="310" t="inlineStr">
        <is>
          <t>ZU-MFGN1YZI-08T</t>
        </is>
      </c>
      <c r="M39" s="311" t="inlineStr">
        <is>
          <t>2OD43VAH</t>
        </is>
      </c>
      <c r="N39" s="309" t="inlineStr">
        <is>
          <t>F.MFG.08T.003.AD</t>
        </is>
      </c>
      <c r="O39" s="306" t="n"/>
      <c r="P39" s="306" t="n"/>
      <c r="Q39" s="312">
        <f>IFERROR(R39/H39, 0)</f>
        <v/>
      </c>
      <c r="R39" s="307" t="n">
        <v>5353.57</v>
      </c>
      <c r="S39" s="308" t="n">
        <v>18056</v>
      </c>
      <c r="T39" s="308">
        <f>IFERROR(S39*R39, 0)</f>
        <v/>
      </c>
      <c r="U39" s="313" t="n"/>
      <c r="V39" s="315" t="n"/>
      <c r="W39" s="316" t="n"/>
      <c r="X39" s="311" t="n"/>
      <c r="Y39" s="315" t="n"/>
      <c r="Z39" s="317" t="n"/>
    </row>
    <row r="40" ht="16.5" customFormat="1" customHeight="1" s="17" thickTop="1">
      <c r="A40" s="322" t="n"/>
      <c r="B40" s="321" t="n"/>
      <c r="C40" s="295" t="n"/>
      <c r="D40" s="295" t="n"/>
      <c r="E40" s="268" t="n"/>
      <c r="F40" s="296" t="n"/>
      <c r="G40" s="268" t="n"/>
      <c r="H40" s="76" t="n">
        <v>2</v>
      </c>
      <c r="I40" s="76" t="inlineStr"/>
      <c r="J40" s="76" t="inlineStr"/>
      <c r="K40" s="284" t="inlineStr">
        <is>
          <t>10IN OPP HD FL</t>
        </is>
      </c>
      <c r="L40" s="285" t="inlineStr">
        <is>
          <t>ZU-MFMA1OZI-10F</t>
        </is>
      </c>
      <c r="M40" s="76" t="inlineStr">
        <is>
          <t>2OD43VAH</t>
        </is>
      </c>
      <c r="N40" s="284" t="inlineStr">
        <is>
          <t>F.MFM.10F.013.AD</t>
        </is>
      </c>
      <c r="O40" s="111" t="n"/>
      <c r="P40" s="111" t="n"/>
      <c r="Q40" s="318">
        <f>IFERROR(R40/H40, 0)</f>
        <v/>
      </c>
      <c r="R40" s="260" t="n">
        <v>95.81999999999999</v>
      </c>
      <c r="S40" s="261" t="n">
        <v>18056</v>
      </c>
      <c r="T40" s="261">
        <f>IFERROR(S40*R40, 0)</f>
        <v/>
      </c>
      <c r="U40" s="314" t="n"/>
      <c r="V40" s="267" t="n"/>
      <c r="W40" s="323" t="n"/>
      <c r="X40" s="76" t="n"/>
      <c r="Y40" s="267" t="n"/>
      <c r="Z40" s="268" t="n"/>
      <c r="AA40" s="222" t="n"/>
      <c r="AB40" s="222" t="n"/>
      <c r="AC40" s="222" t="n"/>
      <c r="AD40" s="222" t="n"/>
      <c r="AE40" s="222" t="n"/>
      <c r="AF40" s="222" t="n"/>
      <c r="AG40" s="222" t="n"/>
      <c r="AH40" s="222" t="n"/>
      <c r="AI40" s="222" t="n"/>
      <c r="AJ40" s="222" t="n"/>
      <c r="AK40" s="222" t="n"/>
      <c r="AL40" s="222" t="n"/>
      <c r="AM40" s="222" t="n"/>
      <c r="AN40" s="222" t="n"/>
      <c r="AO40" s="222" t="n"/>
      <c r="AP40" s="222" t="n"/>
      <c r="AQ40" s="222" t="n"/>
      <c r="AR40" s="222" t="n"/>
      <c r="AS40" s="222" t="n"/>
      <c r="AT40" s="222" t="n"/>
      <c r="AU40" s="222" t="n"/>
      <c r="AV40" s="222" t="n"/>
      <c r="AW40" s="222" t="n"/>
      <c r="AX40" s="222" t="n"/>
      <c r="AY40" s="222" t="n"/>
      <c r="AZ40" s="222" t="n"/>
      <c r="BA40" s="222" t="n"/>
      <c r="BB40" s="222" t="n"/>
      <c r="BC40" s="222" t="n"/>
      <c r="BD40" s="222" t="n"/>
      <c r="BE40" s="222" t="n"/>
      <c r="BF40" s="222" t="n"/>
      <c r="BG40" s="222" t="n"/>
      <c r="BH40" s="222" t="n"/>
      <c r="BI40" s="222" t="n"/>
      <c r="BJ40" s="222" t="n"/>
      <c r="BK40" s="222" t="n"/>
      <c r="BL40" s="222" t="n"/>
      <c r="BM40" s="222" t="n"/>
      <c r="BN40" s="222" t="n"/>
      <c r="BO40" s="222" t="n"/>
      <c r="BP40" s="222" t="n"/>
      <c r="BQ40" s="222" t="n"/>
      <c r="BR40" s="222" t="n"/>
      <c r="BS40" s="222" t="n"/>
      <c r="BT40" s="222" t="n"/>
      <c r="BU40" s="222" t="n"/>
      <c r="BV40" s="222" t="n"/>
      <c r="BW40" s="222" t="n"/>
      <c r="BX40" s="222" t="n"/>
      <c r="BY40" s="222" t="n"/>
      <c r="BZ40" s="222" t="n"/>
      <c r="CA40" s="222" t="n"/>
      <c r="CB40" s="222" t="n"/>
      <c r="CC40" s="222" t="n"/>
      <c r="CD40" s="222" t="n"/>
      <c r="CE40" s="222" t="n"/>
      <c r="CF40" s="222" t="n"/>
      <c r="CG40" s="222" t="n"/>
      <c r="CH40" s="222" t="n"/>
      <c r="CI40" s="222" t="n"/>
      <c r="CJ40" s="222" t="n"/>
      <c r="CK40" s="222" t="n"/>
      <c r="CL40" s="222" t="n"/>
      <c r="CM40" s="222" t="n"/>
      <c r="CN40" s="222" t="n"/>
      <c r="CO40" s="222" t="n"/>
      <c r="CP40" s="222" t="n"/>
      <c r="CQ40" s="222" t="n"/>
      <c r="CR40" s="222" t="n"/>
      <c r="CS40" s="222" t="n"/>
      <c r="CT40" s="222" t="n"/>
      <c r="CU40" s="222" t="n"/>
      <c r="CV40" s="222" t="n"/>
      <c r="CW40" s="222" t="n"/>
      <c r="CX40" s="222" t="n"/>
      <c r="CY40" s="222" t="n"/>
      <c r="CZ40" s="222" t="n"/>
      <c r="DA40" s="222" t="n"/>
      <c r="DB40" s="222" t="n"/>
      <c r="DC40" s="222" t="n"/>
      <c r="DD40" s="222" t="n"/>
      <c r="DE40" s="222" t="n"/>
      <c r="DF40" s="222" t="n"/>
      <c r="DG40" s="222" t="n"/>
      <c r="DH40" s="222" t="n"/>
      <c r="DI40" s="222" t="n"/>
      <c r="DJ40" s="222" t="n"/>
      <c r="DK40" s="222" t="n"/>
      <c r="DL40" s="222" t="n"/>
      <c r="DM40" s="222" t="n"/>
      <c r="DN40" s="222" t="n"/>
      <c r="DO40" s="222" t="n"/>
      <c r="DP40" s="222" t="n"/>
      <c r="DQ40" s="222" t="n"/>
      <c r="DR40" s="222" t="n"/>
      <c r="DS40" s="222" t="n"/>
      <c r="DT40" s="222" t="n"/>
      <c r="DU40" s="222" t="n"/>
      <c r="DV40" s="222" t="n"/>
      <c r="DW40" s="222" t="n"/>
      <c r="DX40" s="222" t="n"/>
      <c r="DY40" s="222" t="n"/>
      <c r="DZ40" s="222" t="n"/>
      <c r="EA40" s="222" t="n"/>
      <c r="EB40" s="222" t="n"/>
      <c r="EC40" s="222" t="n"/>
      <c r="ED40" s="222" t="n"/>
      <c r="EE40" s="222" t="n"/>
      <c r="EF40" s="222" t="n"/>
      <c r="EG40" s="222" t="n"/>
      <c r="EH40" s="222" t="n"/>
      <c r="EI40" s="222" t="n"/>
      <c r="EJ40" s="222" t="n"/>
      <c r="EK40" s="222" t="n"/>
      <c r="EL40" s="222" t="n"/>
      <c r="EM40" s="222" t="n"/>
      <c r="EN40" s="222" t="n"/>
      <c r="EO40" s="222" t="n"/>
      <c r="EP40" s="222" t="n"/>
      <c r="EQ40" s="222" t="n"/>
      <c r="ER40" s="222" t="n"/>
      <c r="ES40" s="222" t="n"/>
      <c r="ET40" s="222" t="n"/>
      <c r="EU40" s="222" t="n"/>
      <c r="EV40" s="222" t="n"/>
      <c r="EW40" s="222" t="n"/>
      <c r="EX40" s="222" t="n"/>
      <c r="EY40" s="222" t="n"/>
      <c r="EZ40" s="222" t="n"/>
      <c r="FA40" s="222" t="n"/>
      <c r="FB40" s="222" t="n"/>
      <c r="FC40" s="222" t="n"/>
      <c r="FD40" s="222" t="n"/>
      <c r="FE40" s="222" t="n"/>
      <c r="FF40" s="222" t="n"/>
      <c r="FG40" s="222" t="n"/>
      <c r="FH40" s="222" t="n"/>
      <c r="FI40" s="222" t="n"/>
      <c r="FJ40" s="222" t="n"/>
      <c r="FK40" s="222" t="n"/>
      <c r="FL40" s="222" t="n"/>
      <c r="FM40" s="222" t="n"/>
      <c r="FN40" s="222" t="n"/>
      <c r="FO40" s="222" t="n"/>
      <c r="FP40" s="222" t="n"/>
      <c r="FQ40" s="222" t="n"/>
      <c r="FR40" s="222" t="n"/>
      <c r="FS40" s="222" t="n"/>
      <c r="FT40" s="222" t="n"/>
      <c r="FU40" s="222" t="n"/>
      <c r="FV40" s="222" t="n"/>
      <c r="FW40" s="222" t="n"/>
      <c r="FX40" s="222" t="n"/>
      <c r="FY40" s="222" t="n"/>
      <c r="FZ40" s="222" t="n"/>
      <c r="GA40" s="222" t="n"/>
      <c r="GB40" s="222" t="n"/>
      <c r="GC40" s="222" t="n"/>
      <c r="GD40" s="222" t="n"/>
      <c r="GE40" s="222" t="n"/>
      <c r="GF40" s="222" t="n"/>
      <c r="GG40" s="222" t="n"/>
      <c r="GH40" s="222" t="n"/>
      <c r="GI40" s="222" t="n"/>
      <c r="GJ40" s="222" t="n"/>
      <c r="GK40" s="222" t="n"/>
      <c r="GL40" s="222" t="n"/>
      <c r="GM40" s="222" t="n"/>
      <c r="GN40" s="222" t="n"/>
      <c r="GO40" s="222" t="n"/>
      <c r="GP40" s="222" t="n"/>
      <c r="GQ40" s="222" t="n"/>
      <c r="GR40" s="222" t="n"/>
      <c r="GS40" s="222" t="n"/>
      <c r="GT40" s="222" t="n"/>
      <c r="GU40" s="222" t="n"/>
      <c r="GV40" s="222" t="n"/>
      <c r="GW40" s="222" t="n"/>
      <c r="GX40" s="222" t="n"/>
      <c r="GY40" s="222" t="n"/>
      <c r="GZ40" s="222" t="n"/>
      <c r="HA40" s="222" t="n"/>
      <c r="HB40" s="222" t="n"/>
      <c r="HC40" s="222" t="n"/>
      <c r="HD40" s="222" t="n"/>
      <c r="HE40" s="222" t="n"/>
      <c r="HF40" s="222" t="n"/>
      <c r="HG40" s="222" t="n"/>
      <c r="HH40" s="222" t="n"/>
      <c r="HI40" s="222" t="n"/>
      <c r="HJ40" s="222" t="n"/>
      <c r="HK40" s="222" t="n"/>
      <c r="HL40" s="222" t="n"/>
      <c r="HM40" s="222" t="n"/>
      <c r="HN40" s="222" t="n"/>
      <c r="HO40" s="222" t="n"/>
      <c r="HP40" s="222" t="n"/>
      <c r="HQ40" s="222" t="n"/>
      <c r="HR40" s="222" t="n"/>
      <c r="HS40" s="222" t="n"/>
      <c r="HT40" s="222" t="n"/>
      <c r="HU40" s="222" t="n"/>
      <c r="HV40" s="222" t="n"/>
      <c r="HW40" s="222" t="n"/>
      <c r="HX40" s="222" t="n"/>
      <c r="HY40" s="222" t="n"/>
      <c r="HZ40" s="222" t="n"/>
      <c r="IA40" s="222" t="n"/>
      <c r="IB40" s="222" t="n"/>
      <c r="IC40" s="222" t="n"/>
      <c r="ID40" s="222" t="n"/>
      <c r="IE40" s="222" t="n"/>
      <c r="IF40" s="222" t="n"/>
      <c r="IG40" s="222" t="n"/>
      <c r="IH40" s="222" t="n"/>
      <c r="II40" s="222" t="n"/>
      <c r="IJ40" s="222" t="n"/>
      <c r="IK40" s="222" t="n"/>
      <c r="IL40" s="222" t="n"/>
      <c r="IM40" s="222" t="n"/>
      <c r="IN40" s="222" t="n"/>
      <c r="IO40" s="222" t="n"/>
      <c r="IP40" s="222" t="n"/>
      <c r="IQ40" s="222" t="n"/>
      <c r="IR40" s="222" t="n"/>
      <c r="IS40" s="222" t="n"/>
      <c r="IT40" s="222" t="n"/>
      <c r="IU40" s="222" t="n"/>
      <c r="IV40" s="222" t="n"/>
      <c r="IW40" s="222" t="n"/>
      <c r="IX40" s="222" t="n"/>
      <c r="IY40" s="222" t="n"/>
      <c r="IZ40" s="222" t="n"/>
      <c r="JA40" s="222" t="n"/>
      <c r="JB40" s="222" t="n"/>
      <c r="JC40" s="222" t="n"/>
      <c r="JD40" s="222" t="n"/>
      <c r="JE40" s="222" t="n"/>
      <c r="JF40" s="222" t="n"/>
      <c r="JG40" s="222" t="n"/>
      <c r="JH40" s="222" t="n"/>
      <c r="JI40" s="222" t="n"/>
      <c r="JJ40" s="222" t="n"/>
      <c r="JK40" s="222" t="n"/>
      <c r="JL40" s="222" t="n"/>
      <c r="JM40" s="222" t="n"/>
      <c r="JN40" s="222" t="n"/>
      <c r="JO40" s="222" t="n"/>
      <c r="JP40" s="222" t="n"/>
      <c r="JQ40" s="222" t="n"/>
      <c r="JR40" s="222" t="n"/>
      <c r="JS40" s="222" t="n"/>
      <c r="JT40" s="222" t="n"/>
      <c r="JU40" s="222" t="n"/>
      <c r="JV40" s="222" t="n"/>
      <c r="JW40" s="222" t="n"/>
      <c r="JX40" s="222" t="n"/>
      <c r="JY40" s="222" t="n"/>
      <c r="JZ40" s="222" t="n"/>
      <c r="KA40" s="222" t="n"/>
      <c r="KB40" s="222" t="n"/>
      <c r="KC40" s="222" t="n"/>
      <c r="KD40" s="222" t="n"/>
    </row>
    <row r="41" ht="16.5" customHeight="1" s="223">
      <c r="A41" s="322" t="n"/>
      <c r="B41" s="324" t="n"/>
      <c r="C41" s="304" t="n"/>
      <c r="D41" s="304" t="n"/>
      <c r="E41" s="317" t="n"/>
      <c r="F41" s="320" t="n"/>
      <c r="G41" s="317" t="n"/>
      <c r="H41" s="311" t="n">
        <v>400</v>
      </c>
      <c r="I41" s="311" t="inlineStr"/>
      <c r="J41" s="311" t="inlineStr"/>
      <c r="K41" s="309" t="inlineStr">
        <is>
          <t>12IN OPP HD QN</t>
        </is>
      </c>
      <c r="L41" s="310" t="inlineStr">
        <is>
          <t>ZU-MFMA1OZI-12Q</t>
        </is>
      </c>
      <c r="M41" s="311" t="inlineStr">
        <is>
          <t>2OD43VAH</t>
        </is>
      </c>
      <c r="N41" s="309" t="inlineStr">
        <is>
          <t>F.MFM.12Q.010.AD</t>
        </is>
      </c>
      <c r="O41" s="306" t="n"/>
      <c r="P41" s="306" t="n"/>
      <c r="Q41" s="312">
        <f>IFERROR(R41/H41, 0)</f>
        <v/>
      </c>
      <c r="R41" s="307" t="n">
        <v>27028</v>
      </c>
      <c r="S41" s="308" t="n">
        <v>18056</v>
      </c>
      <c r="T41" s="308">
        <f>IFERROR(S41*R41, 0)</f>
        <v/>
      </c>
      <c r="U41" s="313" t="n"/>
      <c r="V41" s="315" t="n"/>
      <c r="W41" s="316" t="n"/>
      <c r="X41" s="311" t="n"/>
      <c r="Y41" s="315" t="n"/>
      <c r="Z41" s="317" t="n"/>
    </row>
    <row r="42" ht="16.5" customHeight="1" s="223">
      <c r="A42" s="322" t="n"/>
      <c r="B42" s="324" t="n"/>
      <c r="C42" s="304" t="n"/>
      <c r="D42" s="304" t="n"/>
      <c r="E42" s="317" t="n"/>
      <c r="F42" s="320" t="n"/>
      <c r="G42" s="317" t="n"/>
      <c r="H42" s="311" t="n">
        <v>1</v>
      </c>
      <c r="I42" s="311" t="inlineStr"/>
      <c r="J42" s="311" t="inlineStr"/>
      <c r="K42" s="309" t="inlineStr">
        <is>
          <t>10IN AIRFLOW GEL FOAM MATT QN</t>
        </is>
      </c>
      <c r="L42" s="310" t="inlineStr">
        <is>
          <t>ZU-MFMA1RZI-10Q</t>
        </is>
      </c>
      <c r="M42" s="311" t="inlineStr">
        <is>
          <t>2OD43VAH</t>
        </is>
      </c>
      <c r="N42" s="309" t="inlineStr">
        <is>
          <t>F.MFM.10Q.014.AD</t>
        </is>
      </c>
      <c r="O42" s="306" t="n"/>
      <c r="P42" s="306" t="n"/>
      <c r="Q42" s="312">
        <f>IFERROR(R42/H42, 0)</f>
        <v/>
      </c>
      <c r="R42" s="307" t="n">
        <v>53.9</v>
      </c>
      <c r="S42" s="308" t="n">
        <v>18056</v>
      </c>
      <c r="T42" s="308">
        <f>IFERROR(S42*R42, 0)</f>
        <v/>
      </c>
      <c r="U42" s="313" t="n"/>
      <c r="V42" s="315" t="n"/>
      <c r="W42" s="316" t="n"/>
      <c r="X42" s="311" t="n"/>
      <c r="Y42" s="315" t="n"/>
      <c r="Z42" s="317" t="n"/>
    </row>
    <row r="43" ht="16.5" customHeight="1" s="223">
      <c r="A43" s="322" t="n"/>
      <c r="B43" s="324" t="n"/>
      <c r="C43" s="304" t="n"/>
      <c r="D43" s="304" t="n"/>
      <c r="E43" s="317" t="n"/>
      <c r="F43" s="320" t="n"/>
      <c r="G43" s="317" t="n"/>
      <c r="H43" s="311" t="n">
        <v>1</v>
      </c>
      <c r="I43" s="311" t="inlineStr"/>
      <c r="J43" s="311" t="inlineStr"/>
      <c r="K43" s="309" t="inlineStr">
        <is>
          <t>12IN AIRFLOW GEL FOAM MATT QN</t>
        </is>
      </c>
      <c r="L43" s="310" t="inlineStr">
        <is>
          <t>ZU-MFMA1RZI-12Q</t>
        </is>
      </c>
      <c r="M43" s="311" t="inlineStr">
        <is>
          <t>2OD43VAH</t>
        </is>
      </c>
      <c r="N43" s="309" t="inlineStr">
        <is>
          <t>F.MFM.12Q.011.AD</t>
        </is>
      </c>
      <c r="O43" s="306" t="n"/>
      <c r="P43" s="306" t="n"/>
      <c r="Q43" s="312">
        <f>IFERROR(R43/H43, 0)</f>
        <v/>
      </c>
      <c r="R43" s="307" t="n">
        <v>67.56999999999999</v>
      </c>
      <c r="S43" s="308" t="n">
        <v>18056</v>
      </c>
      <c r="T43" s="308">
        <f>IFERROR(S43*R43, 0)</f>
        <v/>
      </c>
      <c r="U43" s="313" t="n"/>
      <c r="V43" s="315" t="n"/>
      <c r="W43" s="316" t="n"/>
      <c r="X43" s="311" t="n"/>
      <c r="Y43" s="315" t="n"/>
      <c r="Z43" s="317" t="n"/>
    </row>
    <row r="44" ht="16.5" customHeight="1" s="223">
      <c r="A44" s="322" t="n"/>
      <c r="B44" s="324" t="n"/>
      <c r="C44" s="304" t="n"/>
      <c r="D44" s="304" t="n"/>
      <c r="E44" s="317" t="n"/>
      <c r="F44" s="320" t="n"/>
      <c r="G44" s="317" t="n"/>
      <c r="H44" s="311" t="n">
        <v>1</v>
      </c>
      <c r="I44" s="311" t="inlineStr"/>
      <c r="J44" s="311" t="inlineStr"/>
      <c r="K44" s="309" t="inlineStr">
        <is>
          <t>8IN GREEN TEA MF MATTRESS SQ</t>
        </is>
      </c>
      <c r="L44" s="310" t="inlineStr">
        <is>
          <t>ZU-MFMA1ZZI-08S</t>
        </is>
      </c>
      <c r="M44" s="311" t="inlineStr">
        <is>
          <t>2OD43VAH</t>
        </is>
      </c>
      <c r="N44" s="309" t="inlineStr">
        <is>
          <t>F.MFM.08S.011.AD</t>
        </is>
      </c>
      <c r="O44" s="306" t="n"/>
      <c r="P44" s="306" t="n"/>
      <c r="Q44" s="312">
        <f>IFERROR(R44/H44, 0)</f>
        <v/>
      </c>
      <c r="R44" s="307" t="n">
        <v>59.1</v>
      </c>
      <c r="S44" s="308" t="n">
        <v>18056</v>
      </c>
      <c r="T44" s="308">
        <f>IFERROR(S44*R44, 0)</f>
        <v/>
      </c>
      <c r="U44" s="313" t="n"/>
      <c r="V44" s="315" t="n"/>
      <c r="W44" s="316" t="n"/>
      <c r="X44" s="311" t="n"/>
      <c r="Y44" s="315" t="n"/>
      <c r="Z44" s="317" t="n"/>
    </row>
    <row r="45" ht="16.5" customHeight="1" s="223">
      <c r="A45" s="322" t="n"/>
      <c r="B45" s="324" t="n"/>
      <c r="C45" s="304" t="n"/>
      <c r="D45" s="304" t="n"/>
      <c r="E45" s="317" t="n"/>
      <c r="F45" s="320" t="n"/>
      <c r="G45" s="317" t="n"/>
      <c r="H45" s="311" t="n">
        <v>368</v>
      </c>
      <c r="I45" s="311" t="inlineStr"/>
      <c r="J45" s="311" t="inlineStr"/>
      <c r="K45" s="309" t="inlineStr">
        <is>
          <t>8IN OPP HD FL</t>
        </is>
      </c>
      <c r="L45" s="310" t="inlineStr">
        <is>
          <t>ZU-MFMA1OZI-08F</t>
        </is>
      </c>
      <c r="M45" s="311" t="inlineStr">
        <is>
          <t>2XLW4FKE</t>
        </is>
      </c>
      <c r="N45" s="309" t="inlineStr">
        <is>
          <t>F.MFM.08F.013.AD</t>
        </is>
      </c>
      <c r="O45" s="306" t="n"/>
      <c r="P45" s="306" t="n"/>
      <c r="Q45" s="312">
        <f>IFERROR(R45/H45, 0)</f>
        <v/>
      </c>
      <c r="R45" s="307" t="n">
        <v>14326.24</v>
      </c>
      <c r="S45" s="308" t="n">
        <v>18056</v>
      </c>
      <c r="T45" s="308">
        <f>IFERROR(S45*R45, 0)</f>
        <v/>
      </c>
      <c r="U45" s="313" t="n"/>
      <c r="V45" s="315" t="n"/>
      <c r="W45" s="316" t="n"/>
      <c r="X45" s="311" t="n"/>
      <c r="Y45" s="315" t="n"/>
      <c r="Z45" s="317" t="n"/>
    </row>
    <row r="46" ht="16.5" customHeight="1" s="223">
      <c r="A46" s="322" t="n"/>
      <c r="B46" s="324" t="n"/>
      <c r="C46" s="304" t="n"/>
      <c r="D46" s="304" t="n"/>
      <c r="E46" s="317" t="n"/>
      <c r="F46" s="320" t="n"/>
      <c r="G46" s="317" t="n"/>
      <c r="H46" s="311" t="n">
        <v>198</v>
      </c>
      <c r="I46" s="311" t="inlineStr"/>
      <c r="J46" s="311" t="inlineStr"/>
      <c r="K46" s="309" t="inlineStr">
        <is>
          <t>12IN OPP HD QN</t>
        </is>
      </c>
      <c r="L46" s="310" t="inlineStr">
        <is>
          <t>ZU-MFMA1OZI-12Q</t>
        </is>
      </c>
      <c r="M46" s="311" t="inlineStr">
        <is>
          <t>2XLW4FKE</t>
        </is>
      </c>
      <c r="N46" s="309" t="inlineStr">
        <is>
          <t>F.MFM.12Q.010.AD</t>
        </is>
      </c>
      <c r="O46" s="306" t="n"/>
      <c r="P46" s="306" t="n"/>
      <c r="Q46" s="312">
        <f>IFERROR(R46/H46, 0)</f>
        <v/>
      </c>
      <c r="R46" s="307" t="n">
        <v>13378.86</v>
      </c>
      <c r="S46" s="308" t="n">
        <v>18056</v>
      </c>
      <c r="T46" s="308">
        <f>IFERROR(S46*R46, 0)</f>
        <v/>
      </c>
      <c r="U46" s="313" t="n"/>
      <c r="V46" s="315" t="n"/>
      <c r="W46" s="316" t="n"/>
      <c r="X46" s="311" t="n"/>
      <c r="Y46" s="315" t="n"/>
      <c r="Z46" s="317" t="n"/>
    </row>
    <row r="47" ht="16.5" customHeight="1" s="223">
      <c r="A47" s="322" t="n"/>
      <c r="B47" s="324" t="n"/>
      <c r="C47" s="304" t="n"/>
      <c r="D47" s="304" t="n"/>
      <c r="E47" s="317" t="n"/>
      <c r="F47" s="320" t="n"/>
      <c r="G47" s="317" t="n"/>
      <c r="H47" s="311" t="n">
        <v>56</v>
      </c>
      <c r="I47" s="311" t="inlineStr"/>
      <c r="J47" s="311" t="inlineStr"/>
      <c r="K47" s="309" t="inlineStr">
        <is>
          <t>12IN GREEN TEA MF MATTRESS TX</t>
        </is>
      </c>
      <c r="L47" s="310" t="inlineStr">
        <is>
          <t>ZU-MFMA1ZZI-12X</t>
        </is>
      </c>
      <c r="M47" s="311" t="inlineStr">
        <is>
          <t>2XLW4FKE</t>
        </is>
      </c>
      <c r="N47" s="309" t="inlineStr">
        <is>
          <t>F.MFM.12X.006.AD</t>
        </is>
      </c>
      <c r="O47" s="306" t="n"/>
      <c r="P47" s="306" t="n"/>
      <c r="Q47" s="312">
        <f>IFERROR(R47/H47, 0)</f>
        <v/>
      </c>
      <c r="R47" s="307" t="n">
        <v>3264.8</v>
      </c>
      <c r="S47" s="308" t="n">
        <v>18056</v>
      </c>
      <c r="T47" s="308">
        <f>IFERROR(S47*R47, 0)</f>
        <v/>
      </c>
      <c r="U47" s="313" t="n"/>
      <c r="V47" s="315" t="n"/>
      <c r="W47" s="316" t="n"/>
      <c r="X47" s="311" t="n"/>
      <c r="Y47" s="315" t="n"/>
      <c r="Z47" s="317" t="n"/>
    </row>
    <row r="48" ht="16.5" customHeight="1" s="223">
      <c r="A48" s="322" t="n"/>
      <c r="B48" s="324" t="n"/>
      <c r="C48" s="304" t="n"/>
      <c r="D48" s="304" t="n"/>
      <c r="E48" s="317" t="n"/>
      <c r="F48" s="320" t="n"/>
      <c r="G48" s="317" t="n"/>
      <c r="H48" s="311" t="n">
        <v>1</v>
      </c>
      <c r="I48" s="311" t="inlineStr"/>
      <c r="J48" s="311" t="inlineStr"/>
      <c r="K48" s="309" t="inlineStr">
        <is>
          <t>5IN OPP HD TW</t>
        </is>
      </c>
      <c r="L48" s="310" t="inlineStr">
        <is>
          <t>ZU-MFMA1OZI-05T</t>
        </is>
      </c>
      <c r="M48" s="311" t="inlineStr">
        <is>
          <t>4JWS37TM</t>
        </is>
      </c>
      <c r="N48" s="309" t="inlineStr">
        <is>
          <t>F.MFM.05T.008.AD</t>
        </is>
      </c>
      <c r="O48" s="306" t="n"/>
      <c r="P48" s="306" t="n"/>
      <c r="Q48" s="312">
        <f>IFERROR(R48/H48, 0)</f>
        <v/>
      </c>
      <c r="R48" s="307" t="n">
        <v>23.95</v>
      </c>
      <c r="S48" s="308" t="n">
        <v>18056</v>
      </c>
      <c r="T48" s="308">
        <f>IFERROR(S48*R48, 0)</f>
        <v/>
      </c>
      <c r="U48" s="313" t="n"/>
      <c r="V48" s="315" t="n"/>
      <c r="W48" s="316" t="n"/>
      <c r="X48" s="311" t="n"/>
      <c r="Y48" s="315" t="n"/>
      <c r="Z48" s="317" t="n"/>
    </row>
    <row r="49" ht="16.5" customHeight="1" s="223">
      <c r="A49" s="322" t="n"/>
      <c r="B49" s="324" t="n"/>
      <c r="C49" s="304" t="n"/>
      <c r="D49" s="304" t="n"/>
      <c r="E49" s="317" t="n"/>
      <c r="F49" s="320" t="n"/>
      <c r="G49" s="317" t="n"/>
      <c r="H49" s="311" t="n">
        <v>1138</v>
      </c>
      <c r="I49" s="311" t="inlineStr"/>
      <c r="J49" s="311" t="inlineStr"/>
      <c r="K49" s="309" t="inlineStr">
        <is>
          <t>5IN GREEN TEA MF MATTRESS TW</t>
        </is>
      </c>
      <c r="L49" s="310" t="inlineStr">
        <is>
          <t>ZU-MFMA1ZZI-05T</t>
        </is>
      </c>
      <c r="M49" s="311" t="inlineStr">
        <is>
          <t>4JWS37TM</t>
        </is>
      </c>
      <c r="N49" s="309" t="inlineStr">
        <is>
          <t>F.MFM.05T.007.AD</t>
        </is>
      </c>
      <c r="O49" s="306" t="n"/>
      <c r="P49" s="306" t="n"/>
      <c r="Q49" s="312">
        <f>IFERROR(R49/H49, 0)</f>
        <v/>
      </c>
      <c r="R49" s="307" t="n">
        <v>26925.08</v>
      </c>
      <c r="S49" s="308" t="n">
        <v>18056</v>
      </c>
      <c r="T49" s="308">
        <f>IFERROR(S49*R49, 0)</f>
        <v/>
      </c>
      <c r="U49" s="313" t="n"/>
      <c r="V49" s="315" t="n"/>
      <c r="W49" s="316" t="n"/>
      <c r="X49" s="311" t="n"/>
      <c r="Y49" s="315" t="n"/>
      <c r="Z49" s="317" t="n"/>
    </row>
    <row r="50" ht="17.1" customHeight="1" s="223">
      <c r="A50" s="325" t="n"/>
      <c r="B50" s="326" t="n"/>
      <c r="C50" s="327" t="n"/>
      <c r="D50" s="327" t="n"/>
      <c r="E50" s="328" t="n"/>
      <c r="F50" s="328" t="n"/>
      <c r="G50" s="328" t="n"/>
      <c r="H50" s="329">
        <f>SUM(H23:H49)</f>
        <v/>
      </c>
      <c r="I50" s="330">
        <f>COUNTA(I23:I49)</f>
        <v/>
      </c>
      <c r="J50" s="329" t="n"/>
      <c r="K50" s="329" t="n"/>
      <c r="L50" s="331" t="n"/>
      <c r="M50" s="329" t="n"/>
      <c r="N50" s="329" t="n"/>
      <c r="O50" s="332">
        <f>SUM(O23:O49)</f>
        <v/>
      </c>
      <c r="P50" s="332">
        <f>SUM(P23:P49)</f>
        <v/>
      </c>
      <c r="Q50" s="333" t="n"/>
      <c r="R50" s="334">
        <f>SUM(R23:R49)</f>
        <v/>
      </c>
      <c r="S50" s="335" t="n"/>
      <c r="T50" s="335">
        <f>SUM(T23:T49)</f>
        <v/>
      </c>
      <c r="U50" s="329" t="n"/>
      <c r="V50" s="336" t="n"/>
      <c r="W50" s="337" t="n"/>
      <c r="X50" s="336" t="n"/>
      <c r="Y50" s="336" t="n"/>
      <c r="Z50" s="336" t="n"/>
    </row>
    <row r="51" ht="16.5" customHeight="1" s="223">
      <c r="A51" s="322" t="n">
        <v>3</v>
      </c>
      <c r="B51" s="324" t="inlineStr">
        <is>
          <t>000030ZIK48020260722000506</t>
        </is>
      </c>
      <c r="C51" s="304" t="n">
        <v>454283</v>
      </c>
      <c r="D51" s="304" t="n">
        <v>454227</v>
      </c>
      <c r="E51" s="317" t="n">
        <v>46226</v>
      </c>
      <c r="F51" s="320" t="inlineStr">
        <is>
          <t>ID2607-7885</t>
        </is>
      </c>
      <c r="G51" s="317" t="n">
        <v>46225</v>
      </c>
      <c r="H51" s="311" t="n">
        <v>182</v>
      </c>
      <c r="I51" s="311" t="inlineStr">
        <is>
          <t>MSMU5513960</t>
        </is>
      </c>
      <c r="J51" s="311" t="inlineStr">
        <is>
          <t>40FT</t>
        </is>
      </c>
      <c r="K51" s="309" t="inlineStr">
        <is>
          <t>10IN GREEN TEA MF MATTRESS TX</t>
        </is>
      </c>
      <c r="L51" s="310" t="inlineStr">
        <is>
          <t>OLC-FMS-1000TXL-IN</t>
        </is>
      </c>
      <c r="M51" s="311" t="inlineStr">
        <is>
          <t>5FFUUH8B</t>
        </is>
      </c>
      <c r="N51" s="309" t="inlineStr">
        <is>
          <t>F.MFM.10X.003.BD</t>
        </is>
      </c>
      <c r="O51" s="306" t="n">
        <v>55657.92</v>
      </c>
      <c r="P51" s="306" t="n">
        <v>41484.87</v>
      </c>
      <c r="Q51" s="312">
        <f>IFERROR(R51/H51, 0)</f>
        <v/>
      </c>
      <c r="R51" s="307" t="n">
        <v>10437.7</v>
      </c>
      <c r="S51" s="308" t="n">
        <v>18056</v>
      </c>
      <c r="T51" s="308">
        <f>IFERROR(S51*R51, 0)</f>
        <v/>
      </c>
      <c r="U51" s="313" t="inlineStr">
        <is>
          <t>040300/KPPBC</t>
        </is>
      </c>
      <c r="V51" s="315" t="inlineStr">
        <is>
          <t>TG. PRIOK</t>
        </is>
      </c>
      <c r="W51" s="316" t="inlineStr">
        <is>
          <t>LONG BEACH</t>
        </is>
      </c>
      <c r="X51" s="311" t="inlineStr">
        <is>
          <t>AMAZON.COM SERVICES LLC</t>
        </is>
      </c>
      <c r="Y51" s="315" t="inlineStr">
        <is>
          <t>MEDURQ965481</t>
        </is>
      </c>
      <c r="Z51" s="317" t="n">
        <v>46226</v>
      </c>
    </row>
    <row r="52" ht="16.5" customHeight="1" s="223">
      <c r="A52" s="322" t="n"/>
      <c r="B52" s="324" t="n"/>
      <c r="C52" s="304" t="n"/>
      <c r="D52" s="304" t="n"/>
      <c r="E52" s="317" t="n"/>
      <c r="F52" s="320" t="n"/>
      <c r="G52" s="317" t="n"/>
      <c r="H52" s="311" t="n">
        <v>101</v>
      </c>
      <c r="I52" s="311" t="inlineStr">
        <is>
          <t>TLLU5166027</t>
        </is>
      </c>
      <c r="J52" s="311" t="inlineStr">
        <is>
          <t>40FT</t>
        </is>
      </c>
      <c r="K52" s="309" t="inlineStr">
        <is>
          <t>12IN GEL FOAM MATTRESS TW</t>
        </is>
      </c>
      <c r="L52" s="310" t="inlineStr">
        <is>
          <t>GFM-12T</t>
        </is>
      </c>
      <c r="M52" s="311" t="inlineStr">
        <is>
          <t>77K91MJU</t>
        </is>
      </c>
      <c r="N52" s="309" t="inlineStr">
        <is>
          <t>F.MFG.12T.000.BD</t>
        </is>
      </c>
      <c r="O52" s="306" t="n"/>
      <c r="P52" s="306" t="n"/>
      <c r="Q52" s="312">
        <f>IFERROR(R52/H52, 0)</f>
        <v/>
      </c>
      <c r="R52" s="307" t="n">
        <v>5225.74</v>
      </c>
      <c r="S52" s="308" t="n">
        <v>18056</v>
      </c>
      <c r="T52" s="308">
        <f>IFERROR(S52*R52, 0)</f>
        <v/>
      </c>
      <c r="U52" s="313" t="n"/>
      <c r="V52" s="315" t="n"/>
      <c r="W52" s="316" t="inlineStr">
        <is>
          <t>ETD : 27-07-2026</t>
        </is>
      </c>
      <c r="X52" s="311" t="n"/>
      <c r="Y52" s="315" t="n"/>
      <c r="Z52" s="317" t="n"/>
    </row>
    <row r="53" ht="16.5" customHeight="1" s="223">
      <c r="A53" s="322" t="n"/>
      <c r="B53" s="324" t="n"/>
      <c r="C53" s="304" t="n"/>
      <c r="D53" s="304" t="n"/>
      <c r="E53" s="317" t="n"/>
      <c r="F53" s="320" t="n"/>
      <c r="G53" s="317" t="n"/>
      <c r="H53" s="311" t="n">
        <v>174</v>
      </c>
      <c r="I53" s="311" t="inlineStr">
        <is>
          <t>MSMU4309479</t>
        </is>
      </c>
      <c r="J53" s="311" t="inlineStr">
        <is>
          <t>40FT</t>
        </is>
      </c>
      <c r="K53" s="309" t="inlineStr">
        <is>
          <t>10IN GREEN TEA MF MATTRESS TX</t>
        </is>
      </c>
      <c r="L53" s="310" t="inlineStr">
        <is>
          <t>OLC-FMS-1000TXL-IN</t>
        </is>
      </c>
      <c r="M53" s="311" t="inlineStr">
        <is>
          <t>77K91MJU</t>
        </is>
      </c>
      <c r="N53" s="309" t="inlineStr">
        <is>
          <t>F.MFM.10X.003.BD</t>
        </is>
      </c>
      <c r="O53" s="306" t="n"/>
      <c r="P53" s="306" t="n"/>
      <c r="Q53" s="312">
        <f>IFERROR(R53/H53, 0)</f>
        <v/>
      </c>
      <c r="R53" s="307" t="n">
        <v>9978.9</v>
      </c>
      <c r="S53" s="308" t="n">
        <v>18056</v>
      </c>
      <c r="T53" s="308">
        <f>IFERROR(S53*R53, 0)</f>
        <v/>
      </c>
      <c r="U53" s="313" t="n"/>
      <c r="V53" s="315" t="n"/>
      <c r="W53" s="316" t="n"/>
      <c r="X53" s="311" t="n"/>
      <c r="Y53" s="315" t="n"/>
      <c r="Z53" s="317" t="n"/>
    </row>
    <row r="54" ht="16.5" customHeight="1" s="223">
      <c r="A54" s="322" t="n"/>
      <c r="B54" s="324" t="n"/>
      <c r="C54" s="304" t="n"/>
      <c r="D54" s="304" t="n"/>
      <c r="E54" s="317" t="n"/>
      <c r="F54" s="320" t="n"/>
      <c r="G54" s="317" t="n"/>
      <c r="H54" s="311" t="n">
        <v>64</v>
      </c>
      <c r="I54" s="311" t="inlineStr">
        <is>
          <t>TGHU4968395</t>
        </is>
      </c>
      <c r="J54" s="311" t="inlineStr">
        <is>
          <t>40FT</t>
        </is>
      </c>
      <c r="K54" s="309" t="inlineStr">
        <is>
          <t>12IN GEL FOAM MATTRESS TW</t>
        </is>
      </c>
      <c r="L54" s="310" t="inlineStr">
        <is>
          <t>GFM-12T</t>
        </is>
      </c>
      <c r="M54" s="311" t="inlineStr">
        <is>
          <t>7D4ITY4N</t>
        </is>
      </c>
      <c r="N54" s="309" t="inlineStr">
        <is>
          <t>F.MFG.12T.000.BD</t>
        </is>
      </c>
      <c r="O54" s="306" t="n"/>
      <c r="P54" s="306" t="n"/>
      <c r="Q54" s="312">
        <f>IFERROR(R54/H54, 0)</f>
        <v/>
      </c>
      <c r="R54" s="307" t="n">
        <v>3311.36</v>
      </c>
      <c r="S54" s="308" t="n">
        <v>18056</v>
      </c>
      <c r="T54" s="308">
        <f>IFERROR(S54*R54, 0)</f>
        <v/>
      </c>
      <c r="U54" s="313" t="n"/>
      <c r="V54" s="315" t="n"/>
      <c r="W54" s="316" t="n"/>
      <c r="X54" s="311" t="n"/>
      <c r="Y54" s="315" t="n"/>
      <c r="Z54" s="317" t="n"/>
    </row>
    <row r="55" ht="16.5" customHeight="1" s="223">
      <c r="A55" s="322" t="n"/>
      <c r="B55" s="324" t="n"/>
      <c r="C55" s="304" t="n"/>
      <c r="D55" s="304" t="n"/>
      <c r="E55" s="317" t="n"/>
      <c r="F55" s="320" t="n"/>
      <c r="G55" s="317" t="n"/>
      <c r="H55" s="311" t="n">
        <v>99</v>
      </c>
      <c r="I55" s="311" t="inlineStr">
        <is>
          <t>MSBU4617117</t>
        </is>
      </c>
      <c r="J55" s="311" t="inlineStr">
        <is>
          <t>40FT</t>
        </is>
      </c>
      <c r="K55" s="309" t="inlineStr">
        <is>
          <t>10IN GREEN TEA MF MATTRESS TX</t>
        </is>
      </c>
      <c r="L55" s="310" t="inlineStr">
        <is>
          <t>OLC-FMS-1000TXL-IN</t>
        </is>
      </c>
      <c r="M55" s="311" t="inlineStr">
        <is>
          <t>7D4ITY4N</t>
        </is>
      </c>
      <c r="N55" s="309" t="inlineStr">
        <is>
          <t>F.MFM.10X.003.BD</t>
        </is>
      </c>
      <c r="O55" s="306" t="n"/>
      <c r="P55" s="306" t="n"/>
      <c r="Q55" s="312">
        <f>IFERROR(R55/H55, 0)</f>
        <v/>
      </c>
      <c r="R55" s="307" t="n">
        <v>5677.65</v>
      </c>
      <c r="S55" s="308" t="n">
        <v>18056</v>
      </c>
      <c r="T55" s="308">
        <f>IFERROR(S55*R55, 0)</f>
        <v/>
      </c>
      <c r="U55" s="313" t="n"/>
      <c r="V55" s="315" t="n"/>
      <c r="W55" s="316" t="n"/>
      <c r="X55" s="311" t="n"/>
      <c r="Y55" s="315" t="n"/>
      <c r="Z55" s="317" t="n"/>
    </row>
    <row r="56" ht="16.5" customHeight="1" s="223">
      <c r="A56" s="322" t="n"/>
      <c r="B56" s="324" t="n"/>
      <c r="C56" s="304" t="n"/>
      <c r="D56" s="304" t="n"/>
      <c r="E56" s="317" t="n"/>
      <c r="F56" s="320" t="n"/>
      <c r="G56" s="317" t="n"/>
      <c r="H56" s="311" t="n">
        <v>1</v>
      </c>
      <c r="I56" s="311" t="inlineStr"/>
      <c r="J56" s="311" t="inlineStr"/>
      <c r="K56" s="309" t="inlineStr">
        <is>
          <t>10IN GREEN TEA MF MATTRESS TX</t>
        </is>
      </c>
      <c r="L56" s="310" t="inlineStr">
        <is>
          <t>OLC-FMS-1000TXL-IN</t>
        </is>
      </c>
      <c r="M56" s="311" t="inlineStr">
        <is>
          <t>7MO3ZAUN</t>
        </is>
      </c>
      <c r="N56" s="309" t="inlineStr">
        <is>
          <t>F.MFM.10X.003.BD</t>
        </is>
      </c>
      <c r="O56" s="306" t="n"/>
      <c r="P56" s="306" t="n"/>
      <c r="Q56" s="312">
        <f>IFERROR(R56/H56, 0)</f>
        <v/>
      </c>
      <c r="R56" s="307" t="n">
        <v>57.35</v>
      </c>
      <c r="S56" s="308" t="n">
        <v>18056</v>
      </c>
      <c r="T56" s="308">
        <f>IFERROR(S56*R56, 0)</f>
        <v/>
      </c>
      <c r="U56" s="313" t="n"/>
      <c r="V56" s="315" t="n"/>
      <c r="W56" s="316" t="n"/>
      <c r="X56" s="311" t="n"/>
      <c r="Y56" s="315" t="n"/>
      <c r="Z56" s="317" t="n"/>
    </row>
    <row r="57" ht="16.5" customHeight="1" s="223">
      <c r="A57" s="322" t="n"/>
      <c r="B57" s="324" t="n"/>
      <c r="C57" s="304" t="n"/>
      <c r="D57" s="304" t="n"/>
      <c r="E57" s="317" t="n"/>
      <c r="F57" s="320" t="n"/>
      <c r="G57" s="317" t="n"/>
      <c r="H57" s="311" t="n">
        <v>152</v>
      </c>
      <c r="I57" s="311" t="inlineStr"/>
      <c r="J57" s="311" t="inlineStr"/>
      <c r="K57" s="309" t="inlineStr">
        <is>
          <t>12IN GEL FOAM MATTRESS TW</t>
        </is>
      </c>
      <c r="L57" s="310" t="inlineStr">
        <is>
          <t>GFM-12T</t>
        </is>
      </c>
      <c r="M57" s="311" t="inlineStr">
        <is>
          <t>8Y39N9EN</t>
        </is>
      </c>
      <c r="N57" s="309" t="inlineStr">
        <is>
          <t>F.MFG.12T.000.BD</t>
        </is>
      </c>
      <c r="O57" s="306" t="n"/>
      <c r="P57" s="306" t="n"/>
      <c r="Q57" s="312">
        <f>IFERROR(R57/H57, 0)</f>
        <v/>
      </c>
      <c r="R57" s="307" t="n">
        <v>7864.48</v>
      </c>
      <c r="S57" s="308" t="n">
        <v>18056</v>
      </c>
      <c r="T57" s="308">
        <f>IFERROR(S57*R57, 0)</f>
        <v/>
      </c>
      <c r="U57" s="313" t="n"/>
      <c r="V57" s="315" t="n"/>
      <c r="W57" s="316" t="n"/>
      <c r="X57" s="311" t="n"/>
      <c r="Y57" s="315" t="n"/>
      <c r="Z57" s="317" t="n"/>
    </row>
    <row r="58" ht="16.5" customHeight="1" s="223">
      <c r="A58" s="322" t="n"/>
      <c r="B58" s="324" t="n"/>
      <c r="C58" s="304" t="n"/>
      <c r="D58" s="304" t="n"/>
      <c r="E58" s="317" t="n"/>
      <c r="F58" s="320" t="n"/>
      <c r="G58" s="317" t="n"/>
      <c r="H58" s="311" t="n">
        <v>390</v>
      </c>
      <c r="I58" s="311" t="inlineStr"/>
      <c r="J58" s="311" t="inlineStr"/>
      <c r="K58" s="309" t="inlineStr">
        <is>
          <t>3IN CV LAVENDER MF TOPPER FL</t>
        </is>
      </c>
      <c r="L58" s="310" t="inlineStr">
        <is>
          <t>ECMF-03FL-IN</t>
        </is>
      </c>
      <c r="M58" s="311" t="inlineStr">
        <is>
          <t>5FFUUH8B</t>
        </is>
      </c>
      <c r="N58" s="309" t="inlineStr">
        <is>
          <t>F.TMT.03F.010.BD</t>
        </is>
      </c>
      <c r="O58" s="306" t="n"/>
      <c r="P58" s="306" t="n"/>
      <c r="Q58" s="312">
        <f>IFERROR(R58/H58, 0)</f>
        <v/>
      </c>
      <c r="R58" s="307" t="n">
        <v>5697.9</v>
      </c>
      <c r="S58" s="308" t="n">
        <v>18056</v>
      </c>
      <c r="T58" s="308">
        <f>IFERROR(S58*R58, 0)</f>
        <v/>
      </c>
      <c r="U58" s="313" t="n"/>
      <c r="V58" s="315" t="n"/>
      <c r="W58" s="316" t="n"/>
      <c r="X58" s="311" t="n"/>
      <c r="Y58" s="315" t="n"/>
      <c r="Z58" s="317" t="n"/>
    </row>
    <row r="59" ht="16.5" customHeight="1" s="223">
      <c r="A59" s="322" t="n"/>
      <c r="B59" s="324" t="n"/>
      <c r="C59" s="304" t="n"/>
      <c r="D59" s="304" t="n"/>
      <c r="E59" s="317" t="n"/>
      <c r="F59" s="320" t="n"/>
      <c r="G59" s="317" t="n"/>
      <c r="H59" s="311" t="n">
        <v>874</v>
      </c>
      <c r="I59" s="311" t="inlineStr"/>
      <c r="J59" s="311" t="inlineStr"/>
      <c r="K59" s="309" t="inlineStr">
        <is>
          <t>3IN CV LAVENDER MF TOPPER TW</t>
        </is>
      </c>
      <c r="L59" s="310" t="inlineStr">
        <is>
          <t>ECMF-03TL-IN</t>
        </is>
      </c>
      <c r="M59" s="311" t="inlineStr">
        <is>
          <t>5FFUUH8B</t>
        </is>
      </c>
      <c r="N59" s="309" t="inlineStr">
        <is>
          <t>F.TMT.03T.010.BD</t>
        </is>
      </c>
      <c r="O59" s="306" t="n"/>
      <c r="P59" s="306" t="n"/>
      <c r="Q59" s="312">
        <f>IFERROR(R59/H59, 0)</f>
        <v/>
      </c>
      <c r="R59" s="307" t="n">
        <v>9657.700000000001</v>
      </c>
      <c r="S59" s="308" t="n">
        <v>18056</v>
      </c>
      <c r="T59" s="308">
        <f>IFERROR(S59*R59, 0)</f>
        <v/>
      </c>
      <c r="U59" s="313" t="n"/>
      <c r="V59" s="315" t="n"/>
      <c r="W59" s="316" t="n"/>
      <c r="X59" s="311" t="n"/>
      <c r="Y59" s="315" t="n"/>
      <c r="Z59" s="317" t="n"/>
    </row>
    <row r="60" ht="16.5" customHeight="1" s="223">
      <c r="A60" s="322" t="n"/>
      <c r="B60" s="324" t="n"/>
      <c r="C60" s="304" t="n"/>
      <c r="D60" s="304" t="n"/>
      <c r="E60" s="317" t="n"/>
      <c r="F60" s="320" t="n"/>
      <c r="G60" s="317" t="n"/>
      <c r="H60" s="311" t="n">
        <v>455</v>
      </c>
      <c r="I60" s="311" t="inlineStr"/>
      <c r="J60" s="311" t="inlineStr"/>
      <c r="K60" s="309" t="inlineStr">
        <is>
          <t>3IN CV LAVENDER MF TOPPER FL</t>
        </is>
      </c>
      <c r="L60" s="310" t="inlineStr">
        <is>
          <t>ECMF-03FL-IN</t>
        </is>
      </c>
      <c r="M60" s="311" t="inlineStr">
        <is>
          <t>77K91MJU</t>
        </is>
      </c>
      <c r="N60" s="309" t="inlineStr">
        <is>
          <t>F.TMT.03F.010.BD</t>
        </is>
      </c>
      <c r="O60" s="306" t="n"/>
      <c r="P60" s="306" t="n"/>
      <c r="Q60" s="312">
        <f>IFERROR(R60/H60, 0)</f>
        <v/>
      </c>
      <c r="R60" s="307" t="n">
        <v>6647.55</v>
      </c>
      <c r="S60" s="308" t="n">
        <v>18056</v>
      </c>
      <c r="T60" s="308">
        <f>IFERROR(S60*R60, 0)</f>
        <v/>
      </c>
      <c r="U60" s="313" t="n"/>
      <c r="V60" s="315" t="n"/>
      <c r="W60" s="316" t="n"/>
      <c r="X60" s="311" t="n"/>
      <c r="Y60" s="315" t="n"/>
      <c r="Z60" s="317" t="n"/>
    </row>
    <row r="61" ht="16.5" customHeight="1" s="223">
      <c r="A61" s="322" t="n"/>
      <c r="B61" s="324" t="n"/>
      <c r="C61" s="304" t="n"/>
      <c r="D61" s="304" t="n"/>
      <c r="E61" s="317" t="n"/>
      <c r="F61" s="320" t="n"/>
      <c r="G61" s="317" t="n"/>
      <c r="H61" s="311" t="n">
        <v>196</v>
      </c>
      <c r="I61" s="311" t="inlineStr"/>
      <c r="J61" s="311" t="inlineStr"/>
      <c r="K61" s="309" t="inlineStr">
        <is>
          <t>3IN CV LAVENDER MF TOPPER QN</t>
        </is>
      </c>
      <c r="L61" s="310" t="inlineStr">
        <is>
          <t>ECMF-03QL-IN</t>
        </is>
      </c>
      <c r="M61" s="311" t="inlineStr">
        <is>
          <t>77K91MJU</t>
        </is>
      </c>
      <c r="N61" s="309" t="inlineStr">
        <is>
          <t>F.TMT.03Q.010.BD</t>
        </is>
      </c>
      <c r="O61" s="306" t="n"/>
      <c r="P61" s="306" t="n"/>
      <c r="Q61" s="312">
        <f>IFERROR(R61/H61, 0)</f>
        <v/>
      </c>
      <c r="R61" s="307" t="n">
        <v>3661.28</v>
      </c>
      <c r="S61" s="308" t="n">
        <v>18056</v>
      </c>
      <c r="T61" s="308">
        <f>IFERROR(S61*R61, 0)</f>
        <v/>
      </c>
      <c r="U61" s="313" t="n"/>
      <c r="V61" s="315" t="n"/>
      <c r="W61" s="316" t="n"/>
      <c r="X61" s="311" t="n"/>
      <c r="Y61" s="315" t="n"/>
      <c r="Z61" s="317" t="n"/>
    </row>
    <row r="62" ht="16.5" customHeight="1" s="223">
      <c r="A62" s="322" t="n"/>
      <c r="B62" s="324" t="n"/>
      <c r="C62" s="304" t="n"/>
      <c r="D62" s="304" t="n"/>
      <c r="E62" s="317" t="n"/>
      <c r="F62" s="320" t="n"/>
      <c r="G62" s="317" t="n"/>
      <c r="H62" s="311" t="n">
        <v>500</v>
      </c>
      <c r="I62" s="311" t="inlineStr"/>
      <c r="J62" s="311" t="inlineStr"/>
      <c r="K62" s="309" t="inlineStr">
        <is>
          <t>3IN CV LAVENDER MF TOPPER TW</t>
        </is>
      </c>
      <c r="L62" s="310" t="inlineStr">
        <is>
          <t>ECMF-03TL-IN</t>
        </is>
      </c>
      <c r="M62" s="311" t="inlineStr">
        <is>
          <t>77K91MJU</t>
        </is>
      </c>
      <c r="N62" s="309" t="inlineStr">
        <is>
          <t>F.TMT.03T.010.BD</t>
        </is>
      </c>
      <c r="O62" s="306" t="n"/>
      <c r="P62" s="306" t="n"/>
      <c r="Q62" s="312">
        <f>IFERROR(R62/H62, 0)</f>
        <v/>
      </c>
      <c r="R62" s="307" t="n">
        <v>5525</v>
      </c>
      <c r="S62" s="308" t="n">
        <v>18056</v>
      </c>
      <c r="T62" s="308">
        <f>IFERROR(S62*R62, 0)</f>
        <v/>
      </c>
      <c r="U62" s="313" t="n"/>
      <c r="V62" s="315" t="n"/>
      <c r="W62" s="316" t="n"/>
      <c r="X62" s="311" t="n"/>
      <c r="Y62" s="315" t="n"/>
      <c r="Z62" s="317" t="n"/>
    </row>
    <row r="63" ht="16.5" customHeight="1" s="223">
      <c r="A63" s="322" t="n"/>
      <c r="B63" s="324" t="n"/>
      <c r="C63" s="304" t="n"/>
      <c r="D63" s="304" t="n"/>
      <c r="E63" s="317" t="n"/>
      <c r="F63" s="320" t="n"/>
      <c r="G63" s="317" t="n"/>
      <c r="H63" s="311" t="n">
        <v>8</v>
      </c>
      <c r="I63" s="311" t="inlineStr"/>
      <c r="J63" s="311" t="inlineStr"/>
      <c r="K63" s="309" t="inlineStr">
        <is>
          <t>3IN CV LAVENDER MF TOPPER TX</t>
        </is>
      </c>
      <c r="L63" s="310" t="inlineStr">
        <is>
          <t>ECMF-03TXLL-IN</t>
        </is>
      </c>
      <c r="M63" s="311" t="inlineStr">
        <is>
          <t>77K91MJU</t>
        </is>
      </c>
      <c r="N63" s="309" t="inlineStr">
        <is>
          <t>F.TMT.03X.010.BD</t>
        </is>
      </c>
      <c r="O63" s="306" t="n"/>
      <c r="P63" s="306" t="n"/>
      <c r="Q63" s="312">
        <f>IFERROR(R63/H63, 0)</f>
        <v/>
      </c>
      <c r="R63" s="307" t="n">
        <v>96.16</v>
      </c>
      <c r="S63" s="308" t="n">
        <v>18056</v>
      </c>
      <c r="T63" s="308">
        <f>IFERROR(S63*R63, 0)</f>
        <v/>
      </c>
      <c r="U63" s="313" t="n"/>
      <c r="V63" s="315" t="n"/>
      <c r="W63" s="316" t="n"/>
      <c r="X63" s="311" t="n"/>
      <c r="Y63" s="315" t="n"/>
      <c r="Z63" s="317" t="n"/>
    </row>
    <row r="64" ht="16.5" customHeight="1" s="223">
      <c r="A64" s="322" t="n"/>
      <c r="B64" s="324" t="n"/>
      <c r="C64" s="304" t="n"/>
      <c r="D64" s="304" t="n"/>
      <c r="E64" s="317" t="n"/>
      <c r="F64" s="320" t="n"/>
      <c r="G64" s="317" t="n"/>
      <c r="H64" s="311" t="n">
        <v>31</v>
      </c>
      <c r="I64" s="311" t="inlineStr"/>
      <c r="J64" s="311" t="inlineStr"/>
      <c r="K64" s="309" t="inlineStr">
        <is>
          <t>4IN CV LAVENDER MF TOPPER TW</t>
        </is>
      </c>
      <c r="L64" s="310" t="inlineStr">
        <is>
          <t>ECMF-LV4T-IN</t>
        </is>
      </c>
      <c r="M64" s="311" t="inlineStr">
        <is>
          <t>77K91MJU</t>
        </is>
      </c>
      <c r="N64" s="309" t="inlineStr">
        <is>
          <t>F.TMT.04T.012.BD</t>
        </is>
      </c>
      <c r="O64" s="306" t="n"/>
      <c r="P64" s="306" t="n"/>
      <c r="Q64" s="312">
        <f>IFERROR(R64/H64, 0)</f>
        <v/>
      </c>
      <c r="R64" s="307" t="n">
        <v>438.34</v>
      </c>
      <c r="S64" s="308" t="n">
        <v>18056</v>
      </c>
      <c r="T64" s="308">
        <f>IFERROR(S64*R64, 0)</f>
        <v/>
      </c>
      <c r="U64" s="313" t="n"/>
      <c r="V64" s="315" t="n"/>
      <c r="W64" s="316" t="n"/>
      <c r="X64" s="311" t="n"/>
      <c r="Y64" s="315" t="n"/>
      <c r="Z64" s="317" t="n"/>
    </row>
    <row r="65" ht="16.5" customHeight="1" s="223">
      <c r="A65" s="322" t="n"/>
      <c r="B65" s="324" t="n"/>
      <c r="C65" s="304" t="n"/>
      <c r="D65" s="304" t="n"/>
      <c r="E65" s="317" t="n"/>
      <c r="F65" s="320" t="n"/>
      <c r="G65" s="317" t="n"/>
      <c r="H65" s="311" t="n">
        <v>284</v>
      </c>
      <c r="I65" s="311" t="inlineStr"/>
      <c r="J65" s="311" t="inlineStr"/>
      <c r="K65" s="309" t="inlineStr">
        <is>
          <t>3IN CV LAVENDER MF TOPPER FL</t>
        </is>
      </c>
      <c r="L65" s="310" t="inlineStr">
        <is>
          <t>ECMF-03FL-IN</t>
        </is>
      </c>
      <c r="M65" s="311" t="inlineStr">
        <is>
          <t>7D4ITY4N</t>
        </is>
      </c>
      <c r="N65" s="309" t="inlineStr">
        <is>
          <t>F.TMT.03F.010.BD</t>
        </is>
      </c>
      <c r="O65" s="306" t="n"/>
      <c r="P65" s="306" t="n"/>
      <c r="Q65" s="312">
        <f>IFERROR(R65/H65, 0)</f>
        <v/>
      </c>
      <c r="R65" s="307" t="n">
        <v>4149.24</v>
      </c>
      <c r="S65" s="308" t="n">
        <v>18056</v>
      </c>
      <c r="T65" s="308">
        <f>IFERROR(S65*R65, 0)</f>
        <v/>
      </c>
      <c r="U65" s="313" t="n"/>
      <c r="V65" s="315" t="n"/>
      <c r="W65" s="316" t="n"/>
      <c r="X65" s="311" t="n"/>
      <c r="Y65" s="315" t="n"/>
      <c r="Z65" s="317" t="n"/>
    </row>
    <row r="66" ht="16.5" customHeight="1" s="223">
      <c r="A66" s="322" t="n"/>
      <c r="B66" s="324" t="n"/>
      <c r="C66" s="304" t="n"/>
      <c r="D66" s="304" t="n"/>
      <c r="E66" s="317" t="n"/>
      <c r="F66" s="320" t="n"/>
      <c r="G66" s="317" t="n"/>
      <c r="H66" s="311" t="n">
        <v>337</v>
      </c>
      <c r="I66" s="311" t="inlineStr"/>
      <c r="J66" s="311" t="inlineStr"/>
      <c r="K66" s="309" t="inlineStr">
        <is>
          <t>3IN CV LAVENDER MF TOPPER QN</t>
        </is>
      </c>
      <c r="L66" s="310" t="inlineStr">
        <is>
          <t>ECMF-03QL-IN</t>
        </is>
      </c>
      <c r="M66" s="311" t="inlineStr">
        <is>
          <t>7D4ITY4N</t>
        </is>
      </c>
      <c r="N66" s="309" t="inlineStr">
        <is>
          <t>F.TMT.03Q.010.BD</t>
        </is>
      </c>
      <c r="O66" s="306" t="n"/>
      <c r="P66" s="306" t="n"/>
      <c r="Q66" s="312">
        <f>IFERROR(R66/H66, 0)</f>
        <v/>
      </c>
      <c r="R66" s="307" t="n">
        <v>6295.16</v>
      </c>
      <c r="S66" s="308" t="n">
        <v>18056</v>
      </c>
      <c r="T66" s="308">
        <f>IFERROR(S66*R66, 0)</f>
        <v/>
      </c>
      <c r="U66" s="313" t="n"/>
      <c r="V66" s="315" t="n"/>
      <c r="W66" s="316" t="n"/>
      <c r="X66" s="311" t="n"/>
      <c r="Y66" s="315" t="n"/>
      <c r="Z66" s="317" t="n"/>
    </row>
    <row r="67" ht="16.5" customHeight="1" s="223">
      <c r="A67" s="322" t="n"/>
      <c r="B67" s="324" t="n"/>
      <c r="C67" s="304" t="n"/>
      <c r="D67" s="304" t="n"/>
      <c r="E67" s="317" t="n"/>
      <c r="F67" s="320" t="n"/>
      <c r="G67" s="317" t="n"/>
      <c r="H67" s="311" t="n">
        <v>715</v>
      </c>
      <c r="I67" s="311" t="inlineStr"/>
      <c r="J67" s="311" t="inlineStr"/>
      <c r="K67" s="309" t="inlineStr">
        <is>
          <t>3IN CV LAVENDER MF TOPPER TW</t>
        </is>
      </c>
      <c r="L67" s="310" t="inlineStr">
        <is>
          <t>ECMF-03TL-IN</t>
        </is>
      </c>
      <c r="M67" s="311" t="inlineStr">
        <is>
          <t>7D4ITY4N</t>
        </is>
      </c>
      <c r="N67" s="309" t="inlineStr">
        <is>
          <t>F.TMT.03T.010.BD</t>
        </is>
      </c>
      <c r="O67" s="306" t="n"/>
      <c r="P67" s="306" t="n"/>
      <c r="Q67" s="312">
        <f>IFERROR(R67/H67, 0)</f>
        <v/>
      </c>
      <c r="R67" s="307" t="n">
        <v>7900.75</v>
      </c>
      <c r="S67" s="308" t="n">
        <v>18056</v>
      </c>
      <c r="T67" s="308">
        <f>IFERROR(S67*R67, 0)</f>
        <v/>
      </c>
      <c r="U67" s="313" t="n"/>
      <c r="V67" s="315" t="n"/>
      <c r="W67" s="316" t="n"/>
      <c r="X67" s="311" t="n"/>
      <c r="Y67" s="315" t="n"/>
      <c r="Z67" s="317" t="n"/>
    </row>
    <row r="68" ht="16.5" customHeight="1" s="223">
      <c r="A68" s="322" t="n"/>
      <c r="B68" s="324" t="n"/>
      <c r="C68" s="304" t="n"/>
      <c r="D68" s="304" t="n"/>
      <c r="E68" s="317" t="n"/>
      <c r="F68" s="320" t="n"/>
      <c r="G68" s="317" t="n"/>
      <c r="H68" s="311" t="n">
        <v>37</v>
      </c>
      <c r="I68" s="311" t="inlineStr"/>
      <c r="J68" s="311" t="inlineStr"/>
      <c r="K68" s="309" t="inlineStr">
        <is>
          <t>3IN CV LAVENDER MF TOPPER TX</t>
        </is>
      </c>
      <c r="L68" s="310" t="inlineStr">
        <is>
          <t>ECMF-03TXLL-IN</t>
        </is>
      </c>
      <c r="M68" s="311" t="inlineStr">
        <is>
          <t>7D4ITY4N</t>
        </is>
      </c>
      <c r="N68" s="309" t="inlineStr">
        <is>
          <t>F.TMT.03X.010.BD</t>
        </is>
      </c>
      <c r="O68" s="306" t="n"/>
      <c r="P68" s="306" t="n"/>
      <c r="Q68" s="312">
        <f>IFERROR(R68/H68, 0)</f>
        <v/>
      </c>
      <c r="R68" s="307" t="n">
        <v>444.74</v>
      </c>
      <c r="S68" s="308" t="n">
        <v>18056</v>
      </c>
      <c r="T68" s="308">
        <f>IFERROR(S68*R68, 0)</f>
        <v/>
      </c>
      <c r="U68" s="313" t="n"/>
      <c r="V68" s="315" t="n"/>
      <c r="W68" s="316" t="n"/>
      <c r="X68" s="311" t="n"/>
      <c r="Y68" s="315" t="n"/>
      <c r="Z68" s="317" t="n"/>
    </row>
    <row r="69" ht="16.5" customHeight="1" s="223">
      <c r="A69" s="322" t="n"/>
      <c r="B69" s="324" t="n"/>
      <c r="C69" s="304" t="n"/>
      <c r="D69" s="304" t="n"/>
      <c r="E69" s="317" t="n"/>
      <c r="F69" s="320" t="n"/>
      <c r="G69" s="317" t="n"/>
      <c r="H69" s="311" t="n">
        <v>3</v>
      </c>
      <c r="I69" s="311" t="inlineStr"/>
      <c r="J69" s="311" t="inlineStr"/>
      <c r="K69" s="309" t="inlineStr">
        <is>
          <t>2IN CV LAVENDER MF TOPPER QN</t>
        </is>
      </c>
      <c r="L69" s="310" t="inlineStr">
        <is>
          <t>ECMF-LV2Q-IN</t>
        </is>
      </c>
      <c r="M69" s="311" t="inlineStr">
        <is>
          <t>7D4ITY4N</t>
        </is>
      </c>
      <c r="N69" s="309" t="inlineStr">
        <is>
          <t>F.TMT.02Q.008.BD</t>
        </is>
      </c>
      <c r="O69" s="306" t="n"/>
      <c r="P69" s="306" t="n"/>
      <c r="Q69" s="312">
        <f>IFERROR(R69/H69, 0)</f>
        <v/>
      </c>
      <c r="R69" s="307" t="n">
        <v>36.39</v>
      </c>
      <c r="S69" s="308" t="n">
        <v>18056</v>
      </c>
      <c r="T69" s="308">
        <f>IFERROR(S69*R69, 0)</f>
        <v/>
      </c>
      <c r="U69" s="313" t="n"/>
      <c r="V69" s="315" t="n"/>
      <c r="W69" s="316" t="n"/>
      <c r="X69" s="311" t="n"/>
      <c r="Y69" s="315" t="n"/>
      <c r="Z69" s="317" t="n"/>
    </row>
    <row r="70" ht="16.5" customHeight="1" s="223">
      <c r="A70" s="322" t="n"/>
      <c r="B70" s="324" t="n"/>
      <c r="C70" s="304" t="n"/>
      <c r="D70" s="304" t="n"/>
      <c r="E70" s="317" t="n"/>
      <c r="F70" s="320" t="n"/>
      <c r="G70" s="317" t="n"/>
      <c r="H70" s="311" t="n">
        <v>86</v>
      </c>
      <c r="I70" s="311" t="inlineStr"/>
      <c r="J70" s="311" t="inlineStr"/>
      <c r="K70" s="309" t="inlineStr">
        <is>
          <t>4IN CV LAVENDER MF TOPPER TW</t>
        </is>
      </c>
      <c r="L70" s="310" t="inlineStr">
        <is>
          <t>ECMF-LV4T-IN</t>
        </is>
      </c>
      <c r="M70" s="311" t="inlineStr">
        <is>
          <t>7D4ITY4N</t>
        </is>
      </c>
      <c r="N70" s="309" t="inlineStr">
        <is>
          <t>F.TMT.04T.012.BD</t>
        </is>
      </c>
      <c r="O70" s="306" t="n"/>
      <c r="P70" s="306" t="n"/>
      <c r="Q70" s="312">
        <f>IFERROR(R70/H70, 0)</f>
        <v/>
      </c>
      <c r="R70" s="307" t="n">
        <v>1216.04</v>
      </c>
      <c r="S70" s="308" t="n">
        <v>18056</v>
      </c>
      <c r="T70" s="308">
        <f>IFERROR(S70*R70, 0)</f>
        <v/>
      </c>
      <c r="U70" s="313" t="n"/>
      <c r="V70" s="315" t="n"/>
      <c r="W70" s="316" t="n"/>
      <c r="X70" s="311" t="n"/>
      <c r="Y70" s="315" t="n"/>
      <c r="Z70" s="317" t="n"/>
    </row>
    <row r="71" ht="16.5" customHeight="1" s="223">
      <c r="A71" s="322" t="n"/>
      <c r="B71" s="324" t="n"/>
      <c r="C71" s="304" t="n"/>
      <c r="D71" s="304" t="n"/>
      <c r="E71" s="317" t="n"/>
      <c r="F71" s="320" t="n"/>
      <c r="G71" s="317" t="n"/>
      <c r="H71" s="311" t="n">
        <v>455</v>
      </c>
      <c r="I71" s="311" t="inlineStr"/>
      <c r="J71" s="311" t="inlineStr"/>
      <c r="K71" s="309" t="inlineStr">
        <is>
          <t>3IN CV LAVENDER MF TOPPER QN</t>
        </is>
      </c>
      <c r="L71" s="310" t="inlineStr">
        <is>
          <t>ECMF-03QL-IN</t>
        </is>
      </c>
      <c r="M71" s="311" t="inlineStr">
        <is>
          <t>7MO3ZAUN</t>
        </is>
      </c>
      <c r="N71" s="309" t="inlineStr">
        <is>
          <t>F.TMT.03Q.010.BD</t>
        </is>
      </c>
      <c r="O71" s="306" t="n"/>
      <c r="P71" s="306" t="n"/>
      <c r="Q71" s="312">
        <f>IFERROR(R71/H71, 0)</f>
        <v/>
      </c>
      <c r="R71" s="307" t="n">
        <v>8499.4</v>
      </c>
      <c r="S71" s="308" t="n">
        <v>18056</v>
      </c>
      <c r="T71" s="308">
        <f>IFERROR(S71*R71, 0)</f>
        <v/>
      </c>
      <c r="U71" s="313" t="n"/>
      <c r="V71" s="315" t="n"/>
      <c r="W71" s="316" t="n"/>
      <c r="X71" s="311" t="n"/>
      <c r="Y71" s="315" t="n"/>
      <c r="Z71" s="317" t="n"/>
    </row>
    <row r="72" ht="16.5" customHeight="1" s="223">
      <c r="A72" s="322" t="n"/>
      <c r="B72" s="324" t="n"/>
      <c r="C72" s="304" t="n"/>
      <c r="D72" s="304" t="n"/>
      <c r="E72" s="317" t="n"/>
      <c r="F72" s="320" t="n"/>
      <c r="G72" s="317" t="n"/>
      <c r="H72" s="311" t="n">
        <v>1490</v>
      </c>
      <c r="I72" s="311" t="inlineStr"/>
      <c r="J72" s="311" t="inlineStr"/>
      <c r="K72" s="309" t="inlineStr">
        <is>
          <t>3IN CV LAVENDER MF TOPPER TW</t>
        </is>
      </c>
      <c r="L72" s="310" t="inlineStr">
        <is>
          <t>ECMF-03TL-IN</t>
        </is>
      </c>
      <c r="M72" s="311" t="inlineStr">
        <is>
          <t>7MO3ZAUN</t>
        </is>
      </c>
      <c r="N72" s="309" t="inlineStr">
        <is>
          <t>F.TMT.03T.010.BD</t>
        </is>
      </c>
      <c r="O72" s="306" t="n"/>
      <c r="P72" s="306" t="n"/>
      <c r="Q72" s="312">
        <f>IFERROR(R72/H72, 0)</f>
        <v/>
      </c>
      <c r="R72" s="307" t="n">
        <v>16464.5</v>
      </c>
      <c r="S72" s="308" t="n">
        <v>18056</v>
      </c>
      <c r="T72" s="308">
        <f>IFERROR(S72*R72, 0)</f>
        <v/>
      </c>
      <c r="U72" s="313" t="n"/>
      <c r="V72" s="315" t="n"/>
      <c r="W72" s="316" t="n"/>
      <c r="X72" s="311" t="n"/>
      <c r="Y72" s="315" t="n"/>
      <c r="Z72" s="317" t="n"/>
    </row>
    <row r="73" ht="16.5" customHeight="1" s="223">
      <c r="A73" s="322" t="n"/>
      <c r="B73" s="324" t="n"/>
      <c r="C73" s="304" t="n"/>
      <c r="D73" s="304" t="n"/>
      <c r="E73" s="317" t="n"/>
      <c r="F73" s="320" t="n"/>
      <c r="G73" s="317" t="n"/>
      <c r="H73" s="311" t="n">
        <v>35</v>
      </c>
      <c r="I73" s="311" t="inlineStr"/>
      <c r="J73" s="311" t="inlineStr"/>
      <c r="K73" s="309" t="inlineStr">
        <is>
          <t>3IN CV LAVENDER MF TOPPER TX</t>
        </is>
      </c>
      <c r="L73" s="310" t="inlineStr">
        <is>
          <t>ECMF-03TXLL-IN</t>
        </is>
      </c>
      <c r="M73" s="311" t="inlineStr">
        <is>
          <t>7MO3ZAUN</t>
        </is>
      </c>
      <c r="N73" s="309" t="inlineStr">
        <is>
          <t>F.TMT.03X.010.BD</t>
        </is>
      </c>
      <c r="O73" s="306" t="n"/>
      <c r="P73" s="306" t="n"/>
      <c r="Q73" s="312">
        <f>IFERROR(R73/H73, 0)</f>
        <v/>
      </c>
      <c r="R73" s="307" t="n">
        <v>420.7</v>
      </c>
      <c r="S73" s="308" t="n">
        <v>18056</v>
      </c>
      <c r="T73" s="308">
        <f>IFERROR(S73*R73, 0)</f>
        <v/>
      </c>
      <c r="U73" s="313" t="n"/>
      <c r="V73" s="315" t="n"/>
      <c r="W73" s="316" t="n"/>
      <c r="X73" s="311" t="n"/>
      <c r="Y73" s="315" t="n"/>
      <c r="Z73" s="317" t="n"/>
    </row>
    <row r="74" ht="16.5" customHeight="1" s="223">
      <c r="A74" s="322" t="n"/>
      <c r="B74" s="324" t="n"/>
      <c r="C74" s="304" t="n"/>
      <c r="D74" s="304" t="n"/>
      <c r="E74" s="317" t="n"/>
      <c r="F74" s="320" t="n"/>
      <c r="G74" s="317" t="n"/>
      <c r="H74" s="311" t="n">
        <v>119</v>
      </c>
      <c r="I74" s="311" t="inlineStr"/>
      <c r="J74" s="311" t="inlineStr"/>
      <c r="K74" s="309" t="inlineStr">
        <is>
          <t>4IN CV LAVENDER MF TOPPER TW</t>
        </is>
      </c>
      <c r="L74" s="310" t="inlineStr">
        <is>
          <t>ECMF-LV4T-IN</t>
        </is>
      </c>
      <c r="M74" s="311" t="inlineStr">
        <is>
          <t>7MO3ZAUN</t>
        </is>
      </c>
      <c r="N74" s="309" t="inlineStr">
        <is>
          <t>F.TMT.04T.012.BD</t>
        </is>
      </c>
      <c r="O74" s="306" t="n"/>
      <c r="P74" s="306" t="n"/>
      <c r="Q74" s="312">
        <f>IFERROR(R74/H74, 0)</f>
        <v/>
      </c>
      <c r="R74" s="307" t="n">
        <v>1682.66</v>
      </c>
      <c r="S74" s="308" t="n">
        <v>18056</v>
      </c>
      <c r="T74" s="308">
        <f>IFERROR(S74*R74, 0)</f>
        <v/>
      </c>
      <c r="U74" s="313" t="n"/>
      <c r="V74" s="315" t="n"/>
      <c r="W74" s="316" t="n"/>
      <c r="X74" s="311" t="n"/>
      <c r="Y74" s="315" t="n"/>
      <c r="Z74" s="317" t="n"/>
    </row>
    <row r="75" ht="16.5" customHeight="1" s="223">
      <c r="A75" s="322" t="n"/>
      <c r="B75" s="324" t="n"/>
      <c r="C75" s="304" t="n"/>
      <c r="D75" s="304" t="n"/>
      <c r="E75" s="317" t="n"/>
      <c r="F75" s="320" t="n"/>
      <c r="G75" s="317" t="n"/>
      <c r="H75" s="311" t="n">
        <v>470</v>
      </c>
      <c r="I75" s="311" t="inlineStr"/>
      <c r="J75" s="311" t="inlineStr"/>
      <c r="K75" s="309" t="inlineStr">
        <is>
          <t>3IN CV LAVENDER MF TOPPER QN</t>
        </is>
      </c>
      <c r="L75" s="310" t="inlineStr">
        <is>
          <t>ECMF-03QL-IN</t>
        </is>
      </c>
      <c r="M75" s="311" t="inlineStr">
        <is>
          <t>8Y39N9EN</t>
        </is>
      </c>
      <c r="N75" s="309" t="inlineStr">
        <is>
          <t>F.TMT.03Q.010.BD</t>
        </is>
      </c>
      <c r="O75" s="306" t="n"/>
      <c r="P75" s="306" t="n"/>
      <c r="Q75" s="312">
        <f>IFERROR(R75/H75, 0)</f>
        <v/>
      </c>
      <c r="R75" s="307" t="n">
        <v>8779.6</v>
      </c>
      <c r="S75" s="308" t="n">
        <v>18056</v>
      </c>
      <c r="T75" s="308">
        <f>IFERROR(S75*R75, 0)</f>
        <v/>
      </c>
      <c r="U75" s="313" t="n"/>
      <c r="V75" s="315" t="n"/>
      <c r="W75" s="316" t="n"/>
      <c r="X75" s="311" t="n"/>
      <c r="Y75" s="315" t="n"/>
      <c r="Z75" s="317" t="n"/>
    </row>
    <row r="76" ht="16.5" customHeight="1" s="223">
      <c r="A76" s="322" t="n"/>
      <c r="B76" s="324" t="n"/>
      <c r="C76" s="304" t="n"/>
      <c r="D76" s="304" t="n"/>
      <c r="E76" s="317" t="n"/>
      <c r="F76" s="320" t="n"/>
      <c r="G76" s="317" t="n"/>
      <c r="H76" s="311" t="n">
        <v>323</v>
      </c>
      <c r="I76" s="311" t="inlineStr"/>
      <c r="J76" s="311" t="inlineStr"/>
      <c r="K76" s="309" t="inlineStr">
        <is>
          <t>3IN CV LAVENDER MF TOPPER TX</t>
        </is>
      </c>
      <c r="L76" s="310" t="inlineStr">
        <is>
          <t>ECMF-03TXLL-IN</t>
        </is>
      </c>
      <c r="M76" s="311" t="inlineStr">
        <is>
          <t>8Y39N9EN</t>
        </is>
      </c>
      <c r="N76" s="309" t="inlineStr">
        <is>
          <t>F.TMT.03X.010.BD</t>
        </is>
      </c>
      <c r="O76" s="306" t="n"/>
      <c r="P76" s="306" t="n"/>
      <c r="Q76" s="312">
        <f>IFERROR(R76/H76, 0)</f>
        <v/>
      </c>
      <c r="R76" s="307" t="n">
        <v>3882.46</v>
      </c>
      <c r="S76" s="308" t="n">
        <v>18056</v>
      </c>
      <c r="T76" s="308">
        <f>IFERROR(S76*R76, 0)</f>
        <v/>
      </c>
      <c r="U76" s="313" t="n"/>
      <c r="V76" s="315" t="n"/>
      <c r="W76" s="316" t="n"/>
      <c r="X76" s="311" t="n"/>
      <c r="Y76" s="315" t="n"/>
      <c r="Z76" s="317" t="n"/>
    </row>
    <row r="77" ht="16.5" customHeight="1" s="223">
      <c r="A77" s="322" t="n"/>
      <c r="B77" s="324" t="n"/>
      <c r="C77" s="304" t="n"/>
      <c r="D77" s="304" t="n"/>
      <c r="E77" s="317" t="n"/>
      <c r="F77" s="320" t="n"/>
      <c r="G77" s="317" t="n"/>
      <c r="H77" s="311" t="n">
        <v>19</v>
      </c>
      <c r="I77" s="311" t="inlineStr"/>
      <c r="J77" s="311" t="inlineStr"/>
      <c r="K77" s="309" t="inlineStr">
        <is>
          <t>2IN CV LAVENDER MF TOPPER QN</t>
        </is>
      </c>
      <c r="L77" s="310" t="inlineStr">
        <is>
          <t>ECMF-LV2Q-IN</t>
        </is>
      </c>
      <c r="M77" s="311" t="inlineStr">
        <is>
          <t>8Y39N9EN</t>
        </is>
      </c>
      <c r="N77" s="309" t="inlineStr">
        <is>
          <t>F.TMT.02Q.008.BD</t>
        </is>
      </c>
      <c r="O77" s="306" t="n"/>
      <c r="P77" s="306" t="n"/>
      <c r="Q77" s="312">
        <f>IFERROR(R77/H77, 0)</f>
        <v/>
      </c>
      <c r="R77" s="307" t="n">
        <v>230.47</v>
      </c>
      <c r="S77" s="308" t="n">
        <v>18056</v>
      </c>
      <c r="T77" s="308">
        <f>IFERROR(S77*R77, 0)</f>
        <v/>
      </c>
      <c r="U77" s="313" t="n"/>
      <c r="V77" s="315" t="n"/>
      <c r="W77" s="316" t="n"/>
      <c r="X77" s="311" t="n"/>
      <c r="Y77" s="315" t="n"/>
      <c r="Z77" s="317" t="n"/>
    </row>
    <row r="78" ht="16.5" customHeight="1" s="223">
      <c r="A78" s="322" t="n"/>
      <c r="B78" s="324" t="n"/>
      <c r="C78" s="304" t="n"/>
      <c r="D78" s="304" t="n"/>
      <c r="E78" s="317" t="n"/>
      <c r="F78" s="320" t="n"/>
      <c r="G78" s="317" t="n"/>
      <c r="H78" s="311" t="n">
        <v>127</v>
      </c>
      <c r="I78" s="311" t="inlineStr"/>
      <c r="J78" s="311" t="inlineStr"/>
      <c r="K78" s="309" t="inlineStr">
        <is>
          <t>4IN CV LAVENDER MF TOPPER TW</t>
        </is>
      </c>
      <c r="L78" s="310" t="inlineStr">
        <is>
          <t>ECMF-LV4T-IN</t>
        </is>
      </c>
      <c r="M78" s="311" t="inlineStr">
        <is>
          <t>8Y39N9EN</t>
        </is>
      </c>
      <c r="N78" s="309" t="inlineStr">
        <is>
          <t>F.TMT.04T.012.BD</t>
        </is>
      </c>
      <c r="O78" s="306" t="n"/>
      <c r="P78" s="306" t="n"/>
      <c r="Q78" s="312">
        <f>IFERROR(R78/H78, 0)</f>
        <v/>
      </c>
      <c r="R78" s="307" t="n">
        <v>1795.78</v>
      </c>
      <c r="S78" s="308" t="n">
        <v>18056</v>
      </c>
      <c r="T78" s="308">
        <f>IFERROR(S78*R78, 0)</f>
        <v/>
      </c>
      <c r="U78" s="313" t="n"/>
      <c r="V78" s="315" t="n"/>
      <c r="W78" s="316" t="n"/>
      <c r="X78" s="311" t="n"/>
      <c r="Y78" s="315" t="n"/>
      <c r="Z78" s="317" t="n"/>
    </row>
    <row r="79" ht="17.1" customHeight="1" s="223">
      <c r="A79" s="325" t="n"/>
      <c r="B79" s="326" t="n"/>
      <c r="C79" s="327" t="n"/>
      <c r="D79" s="327" t="n"/>
      <c r="E79" s="328" t="n"/>
      <c r="F79" s="328" t="n"/>
      <c r="G79" s="328" t="n"/>
      <c r="H79" s="329">
        <f>SUM(H51:H78)</f>
        <v/>
      </c>
      <c r="I79" s="330">
        <f>COUNTA(I51:I78)</f>
        <v/>
      </c>
      <c r="J79" s="329" t="n"/>
      <c r="K79" s="329" t="n"/>
      <c r="L79" s="331" t="n"/>
      <c r="M79" s="329" t="n"/>
      <c r="N79" s="329" t="n"/>
      <c r="O79" s="332">
        <f>SUM(O51:O78)</f>
        <v/>
      </c>
      <c r="P79" s="332">
        <f>SUM(P51:P78)</f>
        <v/>
      </c>
      <c r="Q79" s="333" t="n"/>
      <c r="R79" s="334">
        <f>SUM(R51:R78)</f>
        <v/>
      </c>
      <c r="S79" s="335" t="n"/>
      <c r="T79" s="335">
        <f>SUM(T51:T78)</f>
        <v/>
      </c>
      <c r="U79" s="329" t="n"/>
      <c r="V79" s="336" t="n"/>
      <c r="W79" s="337" t="n"/>
      <c r="X79" s="336" t="n"/>
      <c r="Y79" s="336" t="n"/>
      <c r="Z79" s="336" t="n"/>
    </row>
    <row r="80" ht="16.5" customHeight="1" s="223">
      <c r="A80" s="322" t="n">
        <v>4</v>
      </c>
      <c r="B80" s="324" t="inlineStr">
        <is>
          <t>000030ZIK48020260722000507</t>
        </is>
      </c>
      <c r="C80" s="304" t="n">
        <v>457157</v>
      </c>
      <c r="D80" s="304" t="n">
        <v>457102</v>
      </c>
      <c r="E80" s="317" t="n">
        <v>46226</v>
      </c>
      <c r="F80" s="320" t="inlineStr">
        <is>
          <t>ID2607-7865</t>
        </is>
      </c>
      <c r="G80" s="317" t="n">
        <v>46223</v>
      </c>
      <c r="H80" s="311" t="n">
        <v>520</v>
      </c>
      <c r="I80" s="311" t="inlineStr">
        <is>
          <t>CMAU3883460</t>
        </is>
      </c>
      <c r="J80" s="311" t="inlineStr">
        <is>
          <t>40FT</t>
        </is>
      </c>
      <c r="K80" s="309" t="inlineStr">
        <is>
          <t>8IN GREEN TEA MF MATTRESS FL</t>
        </is>
      </c>
      <c r="L80" s="310" t="inlineStr">
        <is>
          <t>SCF-STR-800F</t>
        </is>
      </c>
      <c r="M80" s="311" t="inlineStr">
        <is>
          <t>0993630656</t>
        </is>
      </c>
      <c r="N80" s="309" t="inlineStr">
        <is>
          <t>F.MFM.08F.000.WS</t>
        </is>
      </c>
      <c r="O80" s="306" t="n">
        <v>10618.4</v>
      </c>
      <c r="P80" s="306" t="n">
        <v>9370.4</v>
      </c>
      <c r="Q80" s="312">
        <f>IFERROR(R80/H80, 0)</f>
        <v/>
      </c>
      <c r="R80" s="307" t="n">
        <v>41480.4</v>
      </c>
      <c r="S80" s="308" t="n">
        <v>18056</v>
      </c>
      <c r="T80" s="308">
        <f>IFERROR(S80*R80, 0)</f>
        <v/>
      </c>
      <c r="U80" s="313" t="inlineStr">
        <is>
          <t>040300/KPPBC</t>
        </is>
      </c>
      <c r="V80" s="315" t="inlineStr">
        <is>
          <t>TG. PRIOK</t>
        </is>
      </c>
      <c r="W80" s="316" t="inlineStr">
        <is>
          <t>MOBILE</t>
        </is>
      </c>
      <c r="X80" s="311" t="inlineStr">
        <is>
          <t>WALMART, INC.</t>
        </is>
      </c>
      <c r="Y80" s="315" t="inlineStr">
        <is>
          <t>CMDUDJA1504766</t>
        </is>
      </c>
      <c r="Z80" s="317" t="n">
        <v>46226</v>
      </c>
    </row>
    <row r="81" ht="16.5" customHeight="1" s="223">
      <c r="A81" s="322" t="n"/>
      <c r="B81" s="324" t="n"/>
      <c r="C81" s="304" t="n"/>
      <c r="D81" s="304" t="n"/>
      <c r="E81" s="317" t="n"/>
      <c r="F81" s="320" t="n"/>
      <c r="G81" s="317" t="n"/>
      <c r="H81" s="311" t="n"/>
      <c r="I81" s="311" t="n"/>
      <c r="J81" s="311" t="n"/>
      <c r="K81" s="309" t="n"/>
      <c r="L81" s="310" t="n"/>
      <c r="M81" s="311" t="n"/>
      <c r="N81" s="309" t="n"/>
      <c r="O81" s="306" t="n"/>
      <c r="P81" s="306" t="n"/>
      <c r="Q81" s="312" t="n"/>
      <c r="R81" s="307" t="n"/>
      <c r="S81" s="308" t="n"/>
      <c r="T81" s="308" t="n"/>
      <c r="U81" s="313" t="n"/>
      <c r="V81" s="315" t="n"/>
      <c r="W81" s="316" t="inlineStr">
        <is>
          <t>ETD : 27-07-2026</t>
        </is>
      </c>
      <c r="X81" s="311" t="n"/>
      <c r="Y81" s="315" t="n"/>
      <c r="Z81" s="317" t="n"/>
    </row>
    <row r="82" ht="17.1" customHeight="1" s="223">
      <c r="A82" s="325" t="n"/>
      <c r="B82" s="326" t="n"/>
      <c r="C82" s="327" t="n"/>
      <c r="D82" s="327" t="n"/>
      <c r="E82" s="328" t="n"/>
      <c r="F82" s="328" t="n"/>
      <c r="G82" s="328" t="n"/>
      <c r="H82" s="329">
        <f>SUM(H80:H81)</f>
        <v/>
      </c>
      <c r="I82" s="330">
        <f>COUNTA(I80:I81)</f>
        <v/>
      </c>
      <c r="J82" s="329" t="n"/>
      <c r="K82" s="329" t="n"/>
      <c r="L82" s="331" t="n"/>
      <c r="M82" s="329" t="n"/>
      <c r="N82" s="329" t="n"/>
      <c r="O82" s="332">
        <f>SUM(O80:O81)</f>
        <v/>
      </c>
      <c r="P82" s="332">
        <f>SUM(P80:P81)</f>
        <v/>
      </c>
      <c r="Q82" s="333" t="n"/>
      <c r="R82" s="334">
        <f>SUM(R80:R81)</f>
        <v/>
      </c>
      <c r="S82" s="335" t="n"/>
      <c r="T82" s="335">
        <f>SUM(T80:T81)</f>
        <v/>
      </c>
      <c r="U82" s="329" t="n"/>
      <c r="V82" s="336" t="n"/>
      <c r="W82" s="337" t="n"/>
      <c r="X82" s="336" t="n"/>
      <c r="Y82" s="336" t="n"/>
      <c r="Z82" s="336" t="n"/>
    </row>
    <row r="83" ht="16.5" customHeight="1" s="223">
      <c r="A83" s="322" t="n">
        <v>5</v>
      </c>
      <c r="B83" s="324" t="inlineStr">
        <is>
          <t>000030ZIK48020260723000508</t>
        </is>
      </c>
      <c r="C83" s="304" t="n">
        <v>458709</v>
      </c>
      <c r="D83" s="304" t="n">
        <v>458650</v>
      </c>
      <c r="E83" s="317" t="n">
        <v>46227</v>
      </c>
      <c r="F83" s="320" t="inlineStr">
        <is>
          <t>ID2607-7881</t>
        </is>
      </c>
      <c r="G83" s="317" t="n">
        <v>46224</v>
      </c>
      <c r="H83" s="311" t="n">
        <v>900</v>
      </c>
      <c r="I83" s="311" t="inlineStr">
        <is>
          <t>TLLU4381447</t>
        </is>
      </c>
      <c r="J83" s="311" t="inlineStr">
        <is>
          <t>40FT</t>
        </is>
      </c>
      <c r="K83" s="309" t="inlineStr">
        <is>
          <t>8IN GREEN TEA MF MATTRESS QN</t>
        </is>
      </c>
      <c r="L83" s="310" t="inlineStr">
        <is>
          <t>SCF-STR-800Q</t>
        </is>
      </c>
      <c r="M83" s="311" t="inlineStr">
        <is>
          <t>0993631021</t>
        </is>
      </c>
      <c r="N83" s="309" t="inlineStr">
        <is>
          <t>F.MFM.08Q.000.WS</t>
        </is>
      </c>
      <c r="O83" s="306" t="n">
        <v>21510</v>
      </c>
      <c r="P83" s="306" t="n">
        <v>19188</v>
      </c>
      <c r="Q83" s="312">
        <f>IFERROR(R83/H83, 0)</f>
        <v/>
      </c>
      <c r="R83" s="307" t="n">
        <v>84573</v>
      </c>
      <c r="S83" s="308" t="n">
        <v>18056</v>
      </c>
      <c r="T83" s="308">
        <f>IFERROR(S83*R83, 0)</f>
        <v/>
      </c>
      <c r="U83" s="313" t="inlineStr">
        <is>
          <t>040300/KPPBC</t>
        </is>
      </c>
      <c r="V83" s="315" t="inlineStr">
        <is>
          <t>TG. PRIOK</t>
        </is>
      </c>
      <c r="W83" s="316" t="inlineStr">
        <is>
          <t>MOBILE</t>
        </is>
      </c>
      <c r="X83" s="311" t="inlineStr">
        <is>
          <t>WALMART, INC.</t>
        </is>
      </c>
      <c r="Y83" s="315" t="inlineStr">
        <is>
          <t>CMDUDJA1509935</t>
        </is>
      </c>
      <c r="Z83" s="317" t="n">
        <v>46227</v>
      </c>
    </row>
    <row r="84" ht="16.5" customHeight="1" s="223">
      <c r="A84" s="322" t="n"/>
      <c r="B84" s="324" t="n"/>
      <c r="C84" s="304" t="n"/>
      <c r="D84" s="304" t="n"/>
      <c r="E84" s="317" t="n"/>
      <c r="F84" s="320" t="n"/>
      <c r="G84" s="317" t="n"/>
      <c r="H84" s="311" t="n"/>
      <c r="I84" s="311" t="n"/>
      <c r="J84" s="311" t="n"/>
      <c r="K84" s="309" t="n"/>
      <c r="L84" s="310" t="n"/>
      <c r="M84" s="311" t="n"/>
      <c r="N84" s="309" t="n"/>
      <c r="O84" s="306" t="n"/>
      <c r="P84" s="306" t="n"/>
      <c r="Q84" s="312" t="n"/>
      <c r="R84" s="307" t="n"/>
      <c r="S84" s="308" t="n"/>
      <c r="T84" s="308" t="n"/>
      <c r="U84" s="313" t="n"/>
      <c r="V84" s="315" t="n"/>
      <c r="W84" s="316" t="inlineStr">
        <is>
          <t>ETD : 27-07-2026</t>
        </is>
      </c>
      <c r="X84" s="311" t="n"/>
      <c r="Y84" s="315" t="n"/>
      <c r="Z84" s="317" t="n"/>
    </row>
    <row r="85" ht="17.1" customHeight="1" s="223">
      <c r="A85" s="325" t="n"/>
      <c r="B85" s="326" t="n"/>
      <c r="C85" s="327" t="n"/>
      <c r="D85" s="327" t="n"/>
      <c r="E85" s="328" t="n"/>
      <c r="F85" s="328" t="n"/>
      <c r="G85" s="328" t="n"/>
      <c r="H85" s="329">
        <f>SUM(H83:H84)</f>
        <v/>
      </c>
      <c r="I85" s="330">
        <f>COUNTA(I83:I84)</f>
        <v/>
      </c>
      <c r="J85" s="329" t="n"/>
      <c r="K85" s="329" t="n"/>
      <c r="L85" s="331" t="n"/>
      <c r="M85" s="329" t="n"/>
      <c r="N85" s="329" t="n"/>
      <c r="O85" s="332">
        <f>SUM(O83:O84)</f>
        <v/>
      </c>
      <c r="P85" s="332">
        <f>SUM(P83:P84)</f>
        <v/>
      </c>
      <c r="Q85" s="333" t="n"/>
      <c r="R85" s="334">
        <f>SUM(R83:R84)</f>
        <v/>
      </c>
      <c r="S85" s="335" t="n"/>
      <c r="T85" s="335">
        <f>SUM(T83:T84)</f>
        <v/>
      </c>
      <c r="U85" s="329" t="n"/>
      <c r="V85" s="336" t="n"/>
      <c r="W85" s="337" t="n"/>
      <c r="X85" s="336" t="n"/>
      <c r="Y85" s="336" t="n"/>
      <c r="Z85" s="336" t="n"/>
    </row>
    <row r="86" ht="16.5" customHeight="1" s="223">
      <c r="A86" s="322" t="n">
        <v>6</v>
      </c>
      <c r="B86" s="324" t="inlineStr">
        <is>
          <t>000030ZIK48020260724000509</t>
        </is>
      </c>
      <c r="C86" s="304" t="n">
        <v>372816</v>
      </c>
      <c r="D86" s="304" t="n">
        <v>372575</v>
      </c>
      <c r="E86" s="317" t="n">
        <v>46227</v>
      </c>
      <c r="F86" s="320" t="inlineStr">
        <is>
          <t>SPL/026/ZDI/VII/2026</t>
        </is>
      </c>
      <c r="G86" s="317" t="n">
        <v>46227</v>
      </c>
      <c r="H86" s="311" t="n">
        <v>1</v>
      </c>
      <c r="I86" s="311" t="inlineStr"/>
      <c r="J86" s="311" t="inlineStr"/>
      <c r="K86" s="309" t="inlineStr">
        <is>
          <t>TOPPER</t>
        </is>
      </c>
      <c r="L86" s="310" t="inlineStr">
        <is>
          <t>ECMF-LV3T</t>
        </is>
      </c>
      <c r="M86" s="311" t="inlineStr"/>
      <c r="N86" s="309" t="inlineStr">
        <is>
          <t>F.TGT.SAMP</t>
        </is>
      </c>
      <c r="O86" s="306" t="n">
        <v>9.039999999999999</v>
      </c>
      <c r="P86" s="306" t="n">
        <v>7.44</v>
      </c>
      <c r="Q86" s="312">
        <f>IFERROR(R86/H86, 0)</f>
        <v/>
      </c>
      <c r="R86" s="307" t="n">
        <v>20</v>
      </c>
      <c r="S86" s="308" t="n">
        <v>18056</v>
      </c>
      <c r="T86" s="308">
        <f>IFERROR(S86*R86, 0)</f>
        <v/>
      </c>
      <c r="U86" s="313" t="inlineStr">
        <is>
          <t>050100/KPPBC</t>
        </is>
      </c>
      <c r="V86" s="315" t="inlineStr">
        <is>
          <t>S. HATTA</t>
        </is>
      </c>
      <c r="W86" s="316" t="inlineStr">
        <is>
          <t>LESTER B. PEARSON INTERNATIONAL/TORONTO</t>
        </is>
      </c>
      <c r="X86" s="311" t="inlineStr">
        <is>
          <t>ZINUS CANADA INC.</t>
        </is>
      </c>
      <c r="Y86" s="315" t="inlineStr">
        <is>
          <t>874825815644</t>
        </is>
      </c>
      <c r="Z86" s="317" t="n">
        <v>46227</v>
      </c>
    </row>
    <row r="87" ht="16.5" customHeight="1" s="223">
      <c r="A87" s="322" t="n"/>
      <c r="B87" s="324" t="n"/>
      <c r="C87" s="304" t="n"/>
      <c r="D87" s="304" t="n"/>
      <c r="E87" s="317" t="n"/>
      <c r="F87" s="320" t="n"/>
      <c r="G87" s="317" t="n"/>
      <c r="H87" s="311" t="n">
        <v>1</v>
      </c>
      <c r="I87" s="311" t="inlineStr"/>
      <c r="J87" s="311" t="inlineStr"/>
      <c r="K87" s="309" t="inlineStr">
        <is>
          <t>TOPPER</t>
        </is>
      </c>
      <c r="L87" s="310" t="inlineStr">
        <is>
          <t>GMT-3T</t>
        </is>
      </c>
      <c r="M87" s="311" t="inlineStr"/>
      <c r="N87" s="309" t="inlineStr">
        <is>
          <t>F.TGT.SAMP</t>
        </is>
      </c>
      <c r="O87" s="306" t="n"/>
      <c r="P87" s="306" t="n"/>
      <c r="Q87" s="312">
        <f>IFERROR(R87/H87, 0)</f>
        <v/>
      </c>
      <c r="R87" s="307" t="n">
        <v>20</v>
      </c>
      <c r="S87" s="308" t="n">
        <v>18056</v>
      </c>
      <c r="T87" s="308">
        <f>IFERROR(S87*R87, 0)</f>
        <v/>
      </c>
      <c r="U87" s="313" t="n"/>
      <c r="V87" s="315" t="n"/>
      <c r="W87" s="316" t="inlineStr">
        <is>
          <t>ETD : 27-07-2026</t>
        </is>
      </c>
      <c r="X87" s="311" t="n"/>
      <c r="Y87" s="315" t="n"/>
      <c r="Z87" s="317" t="n"/>
    </row>
    <row r="88" ht="17.1" customHeight="1" s="223">
      <c r="A88" s="325" t="n"/>
      <c r="B88" s="326" t="n"/>
      <c r="C88" s="327" t="n"/>
      <c r="D88" s="327" t="n"/>
      <c r="E88" s="328" t="n"/>
      <c r="F88" s="328" t="n"/>
      <c r="G88" s="328" t="n"/>
      <c r="H88" s="329">
        <f>SUM(H86:H87)</f>
        <v/>
      </c>
      <c r="I88" s="330">
        <f>COUNTA(I86:I87)</f>
        <v/>
      </c>
      <c r="J88" s="329" t="n"/>
      <c r="K88" s="329" t="n"/>
      <c r="L88" s="331" t="n"/>
      <c r="M88" s="329" t="n"/>
      <c r="N88" s="329" t="n"/>
      <c r="O88" s="332">
        <f>SUM(O86:O87)</f>
        <v/>
      </c>
      <c r="P88" s="332">
        <f>SUM(P86:P87)</f>
        <v/>
      </c>
      <c r="Q88" s="333" t="n"/>
      <c r="R88" s="334">
        <f>SUM(R86:R87)</f>
        <v/>
      </c>
      <c r="S88" s="335" t="n"/>
      <c r="T88" s="335">
        <f>SUM(T86:T87)</f>
        <v/>
      </c>
      <c r="U88" s="329" t="n"/>
      <c r="V88" s="336" t="n"/>
      <c r="W88" s="337" t="n"/>
      <c r="X88" s="336" t="n"/>
      <c r="Y88" s="336" t="n"/>
      <c r="Z88" s="336" t="n"/>
    </row>
    <row r="89" ht="16.5" customHeight="1" s="223">
      <c r="A89" s="322">
        <f>COUNT(A12:A88)</f>
        <v/>
      </c>
      <c r="B89" s="324" t="n"/>
      <c r="C89" s="304" t="n"/>
      <c r="D89" s="304" t="n"/>
      <c r="E89" s="317" t="n"/>
      <c r="F89" s="320" t="n"/>
      <c r="G89" s="317" t="n"/>
      <c r="H89" s="311">
        <f>SUM(H22,H50,H79,H82,H85,H88)</f>
        <v/>
      </c>
      <c r="I89" s="311">
        <f>SUM(I22,I50,I79,I82,I85,I88)</f>
        <v/>
      </c>
      <c r="J89" s="311" t="n"/>
      <c r="K89" s="309" t="n"/>
      <c r="L89" s="310" t="n"/>
      <c r="M89" s="311" t="n"/>
      <c r="N89" s="309" t="n"/>
      <c r="O89" s="306">
        <f>SUM(O22,O50,O79,O82,O85,O88)</f>
        <v/>
      </c>
      <c r="P89" s="306">
        <f>SUM(P22,P50,P79,P82,P85,P88)</f>
        <v/>
      </c>
      <c r="Q89" s="312" t="n"/>
      <c r="R89" s="307">
        <f>SUM(R22,R50,R79,R82,R85,R88)</f>
        <v/>
      </c>
      <c r="S89" s="308" t="n"/>
      <c r="T89" s="308">
        <f>SUM(T22,T50,T79,T82,T85,T88)</f>
        <v/>
      </c>
      <c r="U89" s="313" t="n"/>
      <c r="V89" s="315" t="n"/>
      <c r="W89" s="316" t="n"/>
      <c r="X89" s="311" t="n"/>
      <c r="Y89" s="315" t="n"/>
      <c r="Z89" s="317" t="n"/>
    </row>
    <row r="90"/>
    <row r="91" ht="20" customHeight="1" s="223">
      <c r="B91" s="338" t="inlineStr">
        <is>
          <t>Total Qty Export :</t>
        </is>
      </c>
      <c r="C91" s="339">
        <f>H89-C92</f>
        <v/>
      </c>
    </row>
    <row r="92" ht="20" customHeight="1" s="223">
      <c r="B92" s="340" t="inlineStr">
        <is>
          <t>Total Qty Export Sample :</t>
        </is>
      </c>
      <c r="C92" s="341" t="n">
        <v>0</v>
      </c>
    </row>
    <row r="93"/>
    <row r="94" ht="20" customHeight="1" s="223">
      <c r="U94" s="340" t="inlineStr">
        <is>
          <t>Tangerang, 28 July 2026</t>
        </is>
      </c>
    </row>
    <row r="95" ht="20" customHeight="1" s="223">
      <c r="A95" s="342" t="inlineStr">
        <is>
          <t>Total Document</t>
        </is>
      </c>
      <c r="C95" s="342">
        <f>A89</f>
        <v/>
      </c>
      <c r="U95" s="340" t="inlineStr">
        <is>
          <t>Kasubsi Hanggar Pabean dan Cukai</t>
        </is>
      </c>
    </row>
    <row r="96" ht="20" customHeight="1" s="223">
      <c r="A96" s="342" t="inlineStr">
        <is>
          <t>Gross Weight</t>
        </is>
      </c>
      <c r="C96" s="342">
        <f>O89</f>
        <v/>
      </c>
    </row>
    <row r="97" ht="20" customHeight="1" s="223">
      <c r="A97" s="342" t="inlineStr">
        <is>
          <t>Nett Weight</t>
        </is>
      </c>
      <c r="C97" s="342">
        <f>P89</f>
        <v/>
      </c>
    </row>
    <row r="98" ht="20" customHeight="1" s="223">
      <c r="A98" s="342" t="inlineStr">
        <is>
          <t>Amount</t>
        </is>
      </c>
      <c r="C98" s="342">
        <f>R89</f>
        <v/>
      </c>
    </row>
    <row r="99" ht="20" customHeight="1" s="223">
      <c r="A99" s="342" t="inlineStr">
        <is>
          <t>Jumlah Container</t>
        </is>
      </c>
      <c r="C99" s="342">
        <f>I89</f>
        <v/>
      </c>
    </row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 ht="15" customFormat="1" customHeight="1" s="343">
      <c r="A333" s="202" t="n"/>
      <c r="B333" s="203" t="n"/>
      <c r="C333" s="204" t="n"/>
      <c r="D333" s="204" t="n"/>
      <c r="E333" s="205" t="n"/>
      <c r="F333" s="206" t="n"/>
      <c r="G333" s="206" t="n"/>
      <c r="H333" s="6" t="n"/>
      <c r="I333" s="203" t="n"/>
      <c r="J333" s="203" t="n"/>
      <c r="K333" s="344" t="n"/>
      <c r="L333" s="344" t="n"/>
      <c r="M333" s="344" t="n"/>
      <c r="N333" s="345" t="n"/>
      <c r="O333" s="346" t="n"/>
      <c r="P333" s="346" t="n"/>
      <c r="Q333" s="347" t="n"/>
      <c r="R333" s="348" t="n"/>
      <c r="S333" s="349" t="n"/>
      <c r="T333" s="349" t="n"/>
      <c r="U333" s="350" t="n"/>
      <c r="V333" s="350" t="n"/>
      <c r="W333" s="350" t="n"/>
      <c r="X333" s="350" t="n"/>
      <c r="Y333" s="350" t="n"/>
      <c r="Z333" s="350" t="n"/>
    </row>
  </sheetData>
  <autoFilter ref="A10:Z11">
    <filterColumn colId="2" hiddenButton="0" showButton="0"/>
    <filterColumn colId="8" hiddenButton="0" showButton="0"/>
  </autoFilter>
  <mergeCells count="19">
    <mergeCell ref="E10:E11"/>
    <mergeCell ref="G10:G11"/>
    <mergeCell ref="M10:M11"/>
    <mergeCell ref="Y10:Y11"/>
    <mergeCell ref="Q10:Q11"/>
    <mergeCell ref="C10:D10"/>
    <mergeCell ref="I10:J11"/>
    <mergeCell ref="A6:Z6"/>
    <mergeCell ref="B10:B11"/>
    <mergeCell ref="A7:Z7"/>
    <mergeCell ref="L10:L11"/>
    <mergeCell ref="X10:X11"/>
    <mergeCell ref="N10:N11"/>
    <mergeCell ref="Z10:Z11"/>
    <mergeCell ref="A10:A11"/>
    <mergeCell ref="K10:K11"/>
    <mergeCell ref="A8:Z8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2026-07-28T14:53:21Z</dcterms:modified>
  <cp:lastModifiedBy>Chiswa Dian Hermansyah(ZINUS ZDI)</cp:lastModifiedBy>
</cp:coreProperties>
</file>