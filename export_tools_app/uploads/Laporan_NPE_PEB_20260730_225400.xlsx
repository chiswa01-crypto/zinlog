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2" applyAlignment="1" pivotButton="0" quotePrefix="1" xfId="4">
      <alignment horizontal="left" vertical="center"/>
    </xf>
    <xf numFmtId="49" fontId="25" fillId="0" borderId="12" applyAlignment="1" pivotButton="0" quotePrefix="1" xfId="5">
      <alignment horizontal="right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24" fillId="0" borderId="8" applyAlignment="1" pivotButton="0" quotePrefix="0" xfId="9">
      <alignment horizontal="left" vertical="center"/>
    </xf>
    <xf numFmtId="1" fontId="25" fillId="0" borderId="0" applyAlignment="1" pivotButton="0" quotePrefix="1" xfId="4">
      <alignment horizontal="center" vertical="center"/>
    </xf>
    <xf numFmtId="164" fontId="25" fillId="0" borderId="0" applyAlignment="1" pivotButton="0" quotePrefix="1" xfId="4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24" fillId="0" borderId="0" applyAlignment="1" pivotButton="0" quotePrefix="0" xfId="9">
      <alignment horizontal="left" vertical="center"/>
    </xf>
    <xf numFmtId="3" fontId="25" fillId="4" borderId="0" applyAlignment="1" pivotButton="0" quotePrefix="1" xfId="4">
      <alignment horizontal="center" vertical="center"/>
    </xf>
    <xf numFmtId="3" fontId="2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" fontId="25" fillId="0" borderId="19" applyAlignment="1" pivotButton="0" quotePrefix="1" xfId="4">
      <alignment horizontal="center" vertical="center"/>
    </xf>
    <xf numFmtId="164" fontId="25" fillId="0" borderId="20" applyAlignment="1" pivotButton="0" quotePrefix="1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000030ZIK48020260729000545</t>
        </is>
      </c>
      <c r="C12" s="81" t="n">
        <v>474193</v>
      </c>
      <c r="D12" s="81" t="n">
        <v>474153</v>
      </c>
      <c r="E12" s="258" t="n">
        <v>46233</v>
      </c>
      <c r="F12" s="82" t="inlineStr">
        <is>
          <t>ID2607-7944</t>
        </is>
      </c>
      <c r="G12" s="258" t="n">
        <v>46231</v>
      </c>
      <c r="H12" s="83" t="n">
        <v>2</v>
      </c>
      <c r="I12" s="42" t="inlineStr">
        <is>
          <t>SEGU6357822</t>
        </is>
      </c>
      <c r="J12" s="42" t="inlineStr">
        <is>
          <t>40FT</t>
        </is>
      </c>
      <c r="K12" s="44" t="inlineStr">
        <is>
          <t>10IN GREEN TEA MF MATTRESS TW</t>
        </is>
      </c>
      <c r="L12" s="84" t="inlineStr">
        <is>
          <t>ZU-MFMA1ZZI-10T</t>
        </is>
      </c>
      <c r="M12" s="85" t="inlineStr">
        <is>
          <t>12PKXJ7P</t>
        </is>
      </c>
      <c r="N12" s="44" t="inlineStr">
        <is>
          <t>F.MFM.10T.007.AD</t>
        </is>
      </c>
      <c r="O12" s="86" t="n">
        <v>67790.33</v>
      </c>
      <c r="P12" s="86" t="n">
        <v>55726.63</v>
      </c>
      <c r="Q12" s="259">
        <f>IFERROR(R12/H12, 0)</f>
        <v/>
      </c>
      <c r="R12" s="260" t="n">
        <v>110.48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LOS ANGELES</t>
        </is>
      </c>
      <c r="X12" s="51" t="inlineStr">
        <is>
          <t>AMAZON.COM SERVICES LLC</t>
        </is>
      </c>
      <c r="Y12" s="52" t="inlineStr">
        <is>
          <t>CMDUDJA1507203</t>
        </is>
      </c>
      <c r="Z12" s="258" t="n">
        <v>46233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218</v>
      </c>
      <c r="I13" s="42" t="inlineStr">
        <is>
          <t>SEKU5494701</t>
        </is>
      </c>
      <c r="J13" s="42" t="inlineStr">
        <is>
          <t>40FT</t>
        </is>
      </c>
      <c r="K13" s="44" t="inlineStr">
        <is>
          <t>10IN GREEN TEA MF MATTRESS TW</t>
        </is>
      </c>
      <c r="L13" s="84" t="inlineStr">
        <is>
          <t>ZU-MFMA1ZZI-10T</t>
        </is>
      </c>
      <c r="M13" s="85" t="inlineStr">
        <is>
          <t>191UHIYO</t>
        </is>
      </c>
      <c r="N13" s="44" t="inlineStr">
        <is>
          <t>F.MFM.10T.007.AD</t>
        </is>
      </c>
      <c r="O13" s="86" t="n"/>
      <c r="P13" s="86" t="n"/>
      <c r="Q13" s="259">
        <f>IFERROR(R13/H13, 0)</f>
        <v/>
      </c>
      <c r="R13" s="260" t="n">
        <v>12042.32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1096</v>
      </c>
      <c r="I14" s="42" t="inlineStr">
        <is>
          <t>CXDU1716623</t>
        </is>
      </c>
      <c r="J14" s="42" t="inlineStr">
        <is>
          <t>40FT</t>
        </is>
      </c>
      <c r="K14" s="44" t="inlineStr">
        <is>
          <t>6IN GREEN TEA MF MATTRESS TW</t>
        </is>
      </c>
      <c r="L14" s="84" t="inlineStr">
        <is>
          <t>ZU-MFMA1ZZI-06T</t>
        </is>
      </c>
      <c r="M14" s="85" t="inlineStr">
        <is>
          <t>1E4WOYSE</t>
        </is>
      </c>
      <c r="N14" s="44" t="inlineStr">
        <is>
          <t>F.MFM.06T.007.AD</t>
        </is>
      </c>
      <c r="O14" s="86" t="n"/>
      <c r="P14" s="86" t="n"/>
      <c r="Q14" s="259">
        <f>IFERROR(R14/H14, 0)</f>
        <v/>
      </c>
      <c r="R14" s="260" t="n">
        <v>33438.96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1085</v>
      </c>
      <c r="I15" s="42" t="inlineStr">
        <is>
          <t>TLLU4494926</t>
        </is>
      </c>
      <c r="J15" s="42" t="inlineStr">
        <is>
          <t>40FT</t>
        </is>
      </c>
      <c r="K15" s="44" t="inlineStr">
        <is>
          <t>6IN GREEN TEA MF MATTRESS TW</t>
        </is>
      </c>
      <c r="L15" s="84" t="inlineStr">
        <is>
          <t>ZU-MFMA1ZZI-06T</t>
        </is>
      </c>
      <c r="M15" s="85" t="inlineStr">
        <is>
          <t>2C8RWRTA</t>
        </is>
      </c>
      <c r="N15" s="44" t="inlineStr">
        <is>
          <t>F.MFM.06T.007.AD</t>
        </is>
      </c>
      <c r="O15" s="86" t="n"/>
      <c r="P15" s="86" t="n"/>
      <c r="Q15" s="259">
        <f>IFERROR(R15/H15, 0)</f>
        <v/>
      </c>
      <c r="R15" s="260" t="n">
        <v>33103.35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924</v>
      </c>
      <c r="I16" s="42" t="inlineStr">
        <is>
          <t>CMAU7341702</t>
        </is>
      </c>
      <c r="J16" s="42" t="inlineStr">
        <is>
          <t>40FT</t>
        </is>
      </c>
      <c r="K16" s="44" t="inlineStr">
        <is>
          <t>6IN GREEN TEA MF MATTRESS FL</t>
        </is>
      </c>
      <c r="L16" s="84" t="inlineStr">
        <is>
          <t>ZU-MFMA1ZZI-06F</t>
        </is>
      </c>
      <c r="M16" s="85" t="inlineStr">
        <is>
          <t>2SQ6VO9F</t>
        </is>
      </c>
      <c r="N16" s="44" t="inlineStr">
        <is>
          <t>F.MFM.06F.007.AD</t>
        </is>
      </c>
      <c r="O16" s="86" t="n"/>
      <c r="P16" s="86" t="n"/>
      <c r="Q16" s="259">
        <f>IFERROR(R16/H16, 0)</f>
        <v/>
      </c>
      <c r="R16" s="260" t="n">
        <v>35416.92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1053</v>
      </c>
      <c r="I17" s="42" t="inlineStr">
        <is>
          <t>BEAU4667241</t>
        </is>
      </c>
      <c r="J17" s="42" t="inlineStr">
        <is>
          <t>40FT</t>
        </is>
      </c>
      <c r="K17" s="44" t="inlineStr">
        <is>
          <t>6IN GREEN TEA MF MATTRESS TW</t>
        </is>
      </c>
      <c r="L17" s="266" t="inlineStr">
        <is>
          <t>ZU-MFMA1ZZI-06T</t>
        </is>
      </c>
      <c r="M17" s="42" t="inlineStr">
        <is>
          <t>2WVWORPM</t>
        </is>
      </c>
      <c r="N17" s="44" t="inlineStr">
        <is>
          <t>F.MFM.06T.007.AD</t>
        </is>
      </c>
      <c r="O17" s="86" t="n"/>
      <c r="P17" s="86" t="n"/>
      <c r="Q17" s="259">
        <f>IFERROR(R17/H17, 0)</f>
        <v/>
      </c>
      <c r="R17" s="260" t="n">
        <v>32127.03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1</v>
      </c>
      <c r="I18" s="42" t="inlineStr"/>
      <c r="J18" s="42" t="inlineStr"/>
      <c r="K18" s="44" t="inlineStr">
        <is>
          <t>12IN GREEN TEA MF MATTRESS EK</t>
        </is>
      </c>
      <c r="L18" s="84" t="inlineStr">
        <is>
          <t>ZU-MFMA1ZZI-12K</t>
        </is>
      </c>
      <c r="M18" s="85" t="inlineStr">
        <is>
          <t>2WVWORPM</t>
        </is>
      </c>
      <c r="N18" s="44" t="inlineStr">
        <is>
          <t>F.MFM.12K.006.AD</t>
        </is>
      </c>
      <c r="O18" s="86" t="n"/>
      <c r="P18" s="86" t="n"/>
      <c r="Q18" s="259">
        <f>IFERROR(R18/H18, 0)</f>
        <v/>
      </c>
      <c r="R18" s="260" t="n">
        <v>101.97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1130</v>
      </c>
      <c r="I19" s="42" t="inlineStr"/>
      <c r="J19" s="42" t="inlineStr"/>
      <c r="K19" s="44" t="inlineStr">
        <is>
          <t>6IN GREEN TEA MF MATTRESS TW</t>
        </is>
      </c>
      <c r="L19" s="84" t="inlineStr">
        <is>
          <t>ZU-MFMA1ZZI-06T</t>
        </is>
      </c>
      <c r="M19" s="85" t="inlineStr">
        <is>
          <t>8PX5Z4YR</t>
        </is>
      </c>
      <c r="N19" s="44" t="inlineStr">
        <is>
          <t>F.MFM.06T.007.AD</t>
        </is>
      </c>
      <c r="O19" s="86" t="n"/>
      <c r="P19" s="86" t="n"/>
      <c r="Q19" s="259">
        <f>IFERROR(R19/H19, 0)</f>
        <v/>
      </c>
      <c r="R19" s="260" t="n">
        <v>34476.3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7.1" customFormat="1" customHeight="1" s="257">
      <c r="A20" s="64" t="n"/>
      <c r="B20" s="65" t="n"/>
      <c r="C20" s="269" t="n"/>
      <c r="D20" s="269" t="n"/>
      <c r="E20" s="270" t="n"/>
      <c r="F20" s="270" t="n"/>
      <c r="G20" s="270" t="n"/>
      <c r="H20" s="271">
        <f>SUM(H12:H19)</f>
        <v/>
      </c>
      <c r="I20" s="69">
        <f>COUNTA(I12:I19)</f>
        <v/>
      </c>
      <c r="J20" s="68" t="n"/>
      <c r="K20" s="68" t="n"/>
      <c r="L20" s="272" t="n"/>
      <c r="M20" s="273" t="n"/>
      <c r="N20" s="68" t="n"/>
      <c r="O20" s="274">
        <f>SUM(O12:O19)</f>
        <v/>
      </c>
      <c r="P20" s="274">
        <f>SUM(P12:P19)</f>
        <v/>
      </c>
      <c r="Q20" s="275" t="n"/>
      <c r="R20" s="276">
        <f>SUM(R12:R19)</f>
        <v/>
      </c>
      <c r="S20" s="277" t="n"/>
      <c r="T20" s="277">
        <f>SUM(T12:T19)</f>
        <v/>
      </c>
      <c r="U20" s="68" t="n"/>
      <c r="V20" s="75" t="n"/>
      <c r="W20" s="76" t="n"/>
      <c r="X20" s="77" t="n"/>
      <c r="Y20" s="278" t="n"/>
      <c r="Z20" s="279" t="n"/>
    </row>
    <row r="21" ht="16.5" customFormat="1" customHeight="1" s="257">
      <c r="A21" s="79">
        <f>COUNT(A12:A20)</f>
        <v/>
      </c>
      <c r="B21" s="80" t="n"/>
      <c r="C21" s="81" t="n"/>
      <c r="D21" s="81" t="n"/>
      <c r="E21" s="258" t="n"/>
      <c r="F21" s="82" t="n"/>
      <c r="G21" s="258" t="n"/>
      <c r="H21" s="83">
        <f>SUM(H20)</f>
        <v/>
      </c>
      <c r="I21" s="42">
        <f>SUM(I20)</f>
        <v/>
      </c>
      <c r="J21" s="42" t="n"/>
      <c r="K21" s="44" t="n"/>
      <c r="L21" s="84" t="n"/>
      <c r="M21" s="85" t="n"/>
      <c r="N21" s="44" t="n"/>
      <c r="O21" s="86">
        <f>SUM(O20)</f>
        <v/>
      </c>
      <c r="P21" s="86">
        <f>SUM(P20)</f>
        <v/>
      </c>
      <c r="Q21" s="259" t="n"/>
      <c r="R21" s="260">
        <f>SUM(R20)</f>
        <v/>
      </c>
      <c r="S21" s="261" t="n"/>
      <c r="T21" s="261">
        <f>SUM(T20)</f>
        <v/>
      </c>
      <c r="U21" s="48" t="n"/>
      <c r="V21" s="49" t="n"/>
      <c r="W21" s="50" t="n"/>
      <c r="X21" s="51" t="n"/>
      <c r="Y21" s="52" t="n"/>
      <c r="Z21" s="258" t="n"/>
    </row>
    <row r="22" ht="16.5" customFormat="1" customHeight="1" s="257">
      <c r="A22" s="54" t="n"/>
      <c r="B22" s="55" t="n"/>
      <c r="C22" s="56" t="n"/>
      <c r="D22" s="56" t="n"/>
      <c r="E22" s="280" t="n"/>
      <c r="F22" s="58" t="n"/>
      <c r="G22" s="280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81" t="n"/>
      <c r="S22" s="261" t="n"/>
      <c r="T22" s="261" t="n"/>
      <c r="U22" s="48" t="n"/>
      <c r="V22" s="49" t="n"/>
      <c r="W22" s="50" t="n"/>
      <c r="X22" s="62" t="n"/>
      <c r="Y22" s="63" t="n"/>
      <c r="Z22" s="280" t="n"/>
    </row>
    <row r="23" ht="20" customFormat="1" customHeight="1" s="262">
      <c r="A23" s="64" t="n"/>
      <c r="B23" s="282" t="inlineStr">
        <is>
          <t>Total Qty Export :</t>
        </is>
      </c>
      <c r="C23" s="283">
        <f>H21-C24</f>
        <v/>
      </c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74" t="n"/>
      <c r="P23" s="274" t="n"/>
      <c r="Q23" s="275" t="n"/>
      <c r="R23" s="276" t="n"/>
      <c r="S23" s="277" t="n"/>
      <c r="T23" s="277" t="n"/>
      <c r="U23" s="68" t="n"/>
      <c r="V23" s="75" t="n"/>
      <c r="W23" s="76" t="n"/>
      <c r="X23" s="77" t="n"/>
      <c r="Y23" s="77" t="n"/>
      <c r="Z23" s="77" t="n"/>
    </row>
    <row r="24" ht="20" customFormat="1" customHeight="1" s="262">
      <c r="A24" s="79" t="n"/>
      <c r="B24" s="284" t="inlineStr">
        <is>
          <t>Total Qty Export Sample :</t>
        </is>
      </c>
      <c r="C24" s="285" t="n">
        <v>0</v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8.1" customHeight="1" s="223" thickBot="1">
      <c r="A25" s="89" t="n"/>
      <c r="B25" s="90" t="n"/>
      <c r="C25" s="91" t="n"/>
      <c r="D25" s="92" t="n"/>
      <c r="E25" s="286" t="n"/>
      <c r="F25" s="287" t="n"/>
      <c r="G25" s="287" t="n"/>
      <c r="H25" s="95" t="n"/>
      <c r="I25" s="19" t="n"/>
      <c r="J25" s="19" t="n"/>
      <c r="K25" s="225" t="n"/>
      <c r="L25" s="225" t="n"/>
      <c r="M25" s="225" t="n"/>
      <c r="N25" s="226" t="n"/>
      <c r="O25" s="288" t="n"/>
      <c r="P25" s="288" t="n"/>
      <c r="Q25" s="289" t="n"/>
      <c r="R25" s="290" t="n"/>
      <c r="S25" s="291" t="n"/>
      <c r="T25" s="291" t="n"/>
      <c r="U25" s="292" t="n"/>
      <c r="V25" s="292" t="n"/>
      <c r="W25" s="292" t="n"/>
      <c r="X25" s="101" t="n"/>
      <c r="Y25" s="129" t="n"/>
      <c r="Z25" s="129" t="n"/>
    </row>
    <row r="26" ht="20" customFormat="1" customHeight="1" s="231" thickBot="1">
      <c r="A26" s="103" t="n"/>
      <c r="B26" s="104" t="n"/>
      <c r="C26" s="293" t="n"/>
      <c r="D26" s="294" t="n"/>
      <c r="E26" s="294" t="n"/>
      <c r="F26" s="294" t="n"/>
      <c r="G26" s="294" t="n"/>
      <c r="H26" s="107" t="n"/>
      <c r="I26" s="107" t="n"/>
      <c r="J26" s="108" t="n"/>
      <c r="K26" s="295" t="n"/>
      <c r="L26" s="296" t="n"/>
      <c r="M26" s="297" t="n"/>
      <c r="N26" s="298" t="n"/>
      <c r="O26" s="113" t="n"/>
      <c r="P26" s="113" t="n"/>
      <c r="Q26" s="299" t="n"/>
      <c r="R26" s="300" t="n"/>
      <c r="S26" s="301" t="n"/>
      <c r="T26" s="302" t="n"/>
      <c r="U26" s="303" t="inlineStr">
        <is>
          <t>Tangerang, 30 July 2026</t>
        </is>
      </c>
      <c r="V26" s="118" t="n"/>
      <c r="W26" s="118" t="n"/>
      <c r="X26" s="118" t="n"/>
      <c r="Y26" s="119" t="n"/>
      <c r="Z26" s="119" t="n"/>
    </row>
    <row r="27" ht="20" customHeight="1" s="223">
      <c r="A27" s="304" t="inlineStr">
        <is>
          <t>Total Document</t>
        </is>
      </c>
      <c r="B27" s="121" t="n"/>
      <c r="C27" s="305">
        <f>A21</f>
        <v/>
      </c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310" t="inlineStr">
        <is>
          <t>Kasubsi Hanggar Pabean dan Cukai</t>
        </is>
      </c>
      <c r="V27" s="129" t="n"/>
      <c r="W27" s="129" t="n"/>
      <c r="X27" s="129" t="n"/>
      <c r="Y27" s="129" t="n"/>
      <c r="Z27" s="129" t="n"/>
    </row>
    <row r="28" ht="20" customHeight="1" s="223">
      <c r="A28" s="304" t="inlineStr">
        <is>
          <t>Gross Weight</t>
        </is>
      </c>
      <c r="B28" s="130" t="n"/>
      <c r="C28" s="311">
        <f>O21</f>
        <v/>
      </c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20" customHeight="1" s="223">
      <c r="A29" s="304" t="inlineStr">
        <is>
          <t>Nett Weight</t>
        </is>
      </c>
      <c r="B29" s="132" t="n"/>
      <c r="C29" s="312">
        <f>P21</f>
        <v/>
      </c>
      <c r="E29" s="123" t="n"/>
      <c r="F29" s="124" t="n"/>
      <c r="G29" s="124" t="n"/>
      <c r="H29" s="313" t="n"/>
      <c r="I29" s="313" t="n"/>
      <c r="J29" s="307" t="n"/>
      <c r="T29" s="314" t="n"/>
      <c r="V29" s="129" t="n"/>
      <c r="W29" s="129" t="n"/>
      <c r="X29" s="129" t="n"/>
      <c r="Y29" s="129" t="n"/>
      <c r="Z29" s="129" t="n"/>
    </row>
    <row r="30" ht="20" customHeight="1" s="223" thickBot="1">
      <c r="A30" s="304" t="inlineStr">
        <is>
          <t>Amount</t>
        </is>
      </c>
      <c r="B30" s="136" t="n"/>
      <c r="C30" s="305">
        <f>R21</f>
        <v/>
      </c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5" t="n"/>
      <c r="S30" s="314" t="n"/>
      <c r="U30" s="138" t="n"/>
    </row>
    <row r="31" ht="20" customHeight="1" s="223" thickTop="1">
      <c r="A31" s="316" t="inlineStr">
        <is>
          <t>Jumlah Container</t>
        </is>
      </c>
      <c r="B31" s="140" t="n"/>
      <c r="C31" s="317">
        <f>I21</f>
        <v/>
      </c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8" t="n"/>
      <c r="Q31" s="319" t="n"/>
      <c r="R31" s="315" t="n"/>
      <c r="S31" s="314" t="n"/>
      <c r="T31" s="314" t="n"/>
      <c r="U31" s="148" t="n"/>
    </row>
    <row r="32" ht="17.1" customHeight="1" s="223">
      <c r="A32" s="149" t="n"/>
      <c r="B32" s="150" t="n"/>
      <c r="C32" s="320" t="n"/>
      <c r="G32" s="144" t="n"/>
      <c r="H32" s="151" t="n"/>
      <c r="I32" s="151" t="n"/>
      <c r="K32" s="221" t="n"/>
      <c r="L32" s="221" t="n"/>
      <c r="M32" s="221" t="n"/>
      <c r="N32" s="308" t="n"/>
      <c r="P32" s="318" t="n"/>
      <c r="Q32" s="319" t="n"/>
      <c r="R32" s="315" t="n"/>
      <c r="S32" s="314" t="n"/>
      <c r="T32" s="314" t="n"/>
      <c r="U32" s="148" t="n"/>
    </row>
    <row r="33" ht="17.1" customHeight="1" s="223">
      <c r="A33" s="149" t="n"/>
      <c r="B33" s="152" t="n"/>
      <c r="C33" s="321" t="n"/>
      <c r="H33" s="153" t="n"/>
      <c r="I33" s="154" t="n"/>
      <c r="K33" s="221" t="n"/>
      <c r="L33" s="221" t="n"/>
      <c r="M33" s="221" t="n"/>
      <c r="N33" s="308" t="n"/>
      <c r="P33" s="322" t="n"/>
      <c r="Q33" s="323" t="n"/>
      <c r="R33" s="324" t="n"/>
      <c r="S33" s="325" t="n"/>
      <c r="T33" s="325" t="n"/>
      <c r="U33" s="4" t="n"/>
    </row>
    <row r="34" ht="17.1" customHeight="1" s="223">
      <c r="A34" s="149" t="n"/>
      <c r="B34" s="152" t="n"/>
      <c r="C34" s="321" t="n"/>
      <c r="K34" s="221" t="n"/>
      <c r="L34" s="221" t="n"/>
      <c r="M34" s="221" t="n"/>
      <c r="N34" s="308" t="n"/>
      <c r="P34" s="322" t="n"/>
      <c r="Q34" s="323" t="n"/>
      <c r="R34" s="324" t="n"/>
      <c r="S34" s="325" t="n"/>
      <c r="T34" s="325" t="n"/>
      <c r="U34" s="4" t="n"/>
    </row>
    <row r="35" ht="17.1" customHeight="1" s="223">
      <c r="A35" s="149" t="n"/>
      <c r="B35" s="152" t="n"/>
      <c r="C35" s="326" t="n"/>
      <c r="K35" s="221" t="n"/>
      <c r="L35" s="221" t="n"/>
      <c r="M35" s="221" t="n"/>
      <c r="N35" s="308" t="n"/>
      <c r="P35" s="322" t="n"/>
      <c r="Q35" s="323" t="n"/>
      <c r="R35" s="324" t="n"/>
      <c r="S35" s="325" t="n"/>
      <c r="T35" s="325" t="n"/>
      <c r="U35" s="159" t="n"/>
    </row>
    <row r="36" ht="17.1" customHeight="1" s="223">
      <c r="A36" s="149" t="n"/>
      <c r="B36" s="152" t="n"/>
      <c r="C36" s="327" t="n"/>
      <c r="K36" s="221" t="n"/>
      <c r="L36" s="221" t="n"/>
      <c r="M36" s="221" t="n"/>
      <c r="N36" s="308" t="n"/>
      <c r="P36" s="322" t="n"/>
      <c r="Q36" s="323" t="n"/>
      <c r="R36" s="324" t="n"/>
      <c r="S36" s="325" t="n"/>
      <c r="T36" s="325" t="n"/>
      <c r="U36" s="148" t="n"/>
    </row>
    <row r="37" ht="17.1" customHeight="1" s="223">
      <c r="A37" s="149" t="n"/>
      <c r="B37" s="152" t="n"/>
      <c r="C37" s="328" t="n"/>
      <c r="K37" s="221" t="n"/>
      <c r="L37" s="221" t="n"/>
      <c r="M37" s="221" t="n"/>
      <c r="N37" s="308" t="n"/>
      <c r="P37" s="322" t="n"/>
      <c r="Q37" s="323" t="n"/>
      <c r="R37" s="324" t="n"/>
      <c r="S37" s="325" t="n"/>
      <c r="T37" s="325" t="n"/>
      <c r="U37" s="148" t="n"/>
    </row>
    <row r="38" ht="17.1" customHeight="1" s="223">
      <c r="A38" s="160" t="n"/>
      <c r="B38" s="152" t="n"/>
      <c r="C38" s="329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30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31" t="n"/>
      <c r="L333" s="331" t="n"/>
      <c r="M333" s="331" t="n"/>
      <c r="N333" s="332" t="n"/>
      <c r="O333" s="333" t="n"/>
      <c r="P333" s="333" t="n"/>
      <c r="Q333" s="334" t="n"/>
      <c r="R333" s="335" t="n"/>
      <c r="S333" s="336" t="n"/>
      <c r="T333" s="336" t="n"/>
      <c r="U333" s="337" t="n"/>
      <c r="V333" s="337" t="n"/>
      <c r="W333" s="337" t="n"/>
      <c r="X333" s="337" t="n"/>
      <c r="Y333" s="337" t="n"/>
      <c r="Z333" s="337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2026-07-30T15:54:00Z</dcterms:modified>
  <cp:lastModifiedBy>Chiswa Dian Hermansyah(ZINUS ZDI)</cp:lastModifiedBy>
</cp:coreProperties>
</file>