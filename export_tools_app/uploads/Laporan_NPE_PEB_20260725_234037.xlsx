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0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1" fontId="15" fillId="0" borderId="8" applyAlignment="1" pivotButton="0" quotePrefix="0" xfId="0">
      <alignment horizontal="center" vertical="center"/>
    </xf>
    <xf numFmtId="49" fontId="15" fillId="0" borderId="3" applyAlignment="1" pivotButton="0" quotePrefix="0" xfId="0">
      <alignment horizontal="center" vertical="center"/>
    </xf>
    <xf numFmtId="41" fontId="15" fillId="0" borderId="3" applyAlignment="1" pivotButton="0" quotePrefix="0" xfId="0">
      <alignment vertical="center"/>
    </xf>
    <xf numFmtId="41" fontId="15" fillId="0" borderId="17" applyAlignment="1" pivotButton="0" quotePrefix="0" xfId="0">
      <alignment vertical="center"/>
    </xf>
    <xf numFmtId="3" fontId="17" fillId="0" borderId="18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41" fontId="15" fillId="0" borderId="4" applyAlignment="1" pivotButton="0" quotePrefix="0" xfId="0">
      <alignment vertical="center"/>
    </xf>
    <xf numFmtId="41" fontId="15" fillId="0" borderId="4" applyAlignment="1" pivotButton="0" quotePrefix="0" xfId="0">
      <alignment horizontal="center" vertical="center"/>
    </xf>
    <xf numFmtId="41" fontId="15" fillId="0" borderId="8" applyAlignment="1" pivotButton="0" quotePrefix="0" xfId="0">
      <alignment horizontal="center" vertical="center"/>
    </xf>
    <xf numFmtId="41" fontId="9" fillId="0" borderId="8" applyAlignment="1" pivotButton="0" quotePrefix="0" xfId="0">
      <alignment horizontal="center" vertical="center"/>
    </xf>
    <xf numFmtId="4" fontId="17" fillId="0" borderId="18" applyAlignment="1" pivotButton="0" quotePrefix="0" xfId="0">
      <alignment horizontal="center" vertical="center"/>
    </xf>
    <xf numFmtId="166" fontId="15" fillId="0" borderId="8" applyAlignment="1" pivotButton="0" quotePrefix="0" xfId="0">
      <alignment horizontal="right" vertical="center"/>
    </xf>
    <xf numFmtId="172" fontId="17" fillId="0" borderId="18" applyAlignment="1" pivotButton="0" quotePrefix="0" xfId="0">
      <alignment horizontal="center" vertical="center"/>
    </xf>
    <xf numFmtId="168" fontId="17" fillId="0" borderId="4" applyAlignment="1" pivotButton="0" quotePrefix="0" xfId="0">
      <alignment horizontal="center" vertical="center"/>
    </xf>
    <xf numFmtId="168" fontId="17" fillId="0" borderId="18" applyAlignment="1" pivotButton="0" quotePrefix="0" xfId="0">
      <alignment horizontal="center" vertical="center"/>
    </xf>
    <xf numFmtId="4" fontId="15" fillId="0" borderId="8" applyAlignment="1" pivotButton="0" quotePrefix="0" xfId="0">
      <alignment horizontal="center" vertical="center"/>
    </xf>
    <xf numFmtId="4" fontId="15" fillId="0" borderId="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inlineStr">
        <is>
          <t>450515</t>
        </is>
      </c>
      <c r="D12" s="260" t="inlineStr">
        <is>
          <t>450465</t>
        </is>
      </c>
      <c r="E12" s="261" t="n">
        <v>46225</v>
      </c>
      <c r="F12" s="262" t="inlineStr">
        <is>
          <t>Kantor</t>
        </is>
      </c>
      <c r="G12" s="261" t="n">
        <v>46223</v>
      </c>
      <c r="H12" s="263" t="n">
        <v>850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F.MFM.06F.001.BD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TANJUNG PRIOK</t>
        </is>
      </c>
      <c r="W12" s="272" t="inlineStr">
        <is>
          <t>Ekspor</t>
        </is>
      </c>
      <c r="X12" s="263" t="inlineStr">
        <is>
          <t>AN</t>
        </is>
      </c>
      <c r="Y12" s="271" t="inlineStr">
        <is>
          <t>EGLV080600441901</t>
        </is>
      </c>
      <c r="Z12" s="261" t="n">
        <v>46225</v>
      </c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>
        <f>COUNTA(I12:I12)</f>
        <v/>
      </c>
      <c r="J13" s="277" t="n"/>
      <c r="K13" s="277" t="n"/>
      <c r="L13" s="279" t="n"/>
      <c r="M13" s="277" t="n"/>
      <c r="N13" s="277" t="n"/>
      <c r="O13" s="280">
        <f>SUM(O12:O12)</f>
        <v/>
      </c>
      <c r="P13" s="280">
        <f>SUM(P12:P12)</f>
        <v/>
      </c>
      <c r="Q13" s="281" t="n"/>
      <c r="R13" s="282">
        <f>SUM(R12:R12)</f>
        <v/>
      </c>
      <c r="S13" s="283" t="n"/>
      <c r="T13" s="283">
        <f>SUM(T12:T12)</f>
        <v/>
      </c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286">
        <f>COUNT(A12:A13)</f>
        <v/>
      </c>
      <c r="B14" s="287" t="n"/>
      <c r="C14" s="288" t="n"/>
      <c r="D14" s="289" t="n"/>
      <c r="E14" s="289" t="n"/>
      <c r="F14" s="289" t="n"/>
      <c r="G14" s="289" t="n"/>
      <c r="H14" s="290">
        <f>H13</f>
        <v/>
      </c>
      <c r="I14" s="290">
        <f>I13</f>
        <v/>
      </c>
      <c r="J14" s="291" t="n"/>
      <c r="K14" s="292" t="n"/>
      <c r="L14" s="293" t="n"/>
      <c r="M14" s="294" t="n"/>
      <c r="N14" s="295" t="n"/>
      <c r="O14" s="296">
        <f>O13</f>
        <v/>
      </c>
      <c r="P14" s="296">
        <f>P13</f>
        <v/>
      </c>
      <c r="Q14" s="297" t="n"/>
      <c r="R14" s="298">
        <f>R13</f>
        <v/>
      </c>
      <c r="S14" s="299" t="n"/>
      <c r="T14" s="300">
        <f>T13</f>
        <v/>
      </c>
      <c r="U14" s="301" t="n"/>
      <c r="V14" s="301" t="n"/>
      <c r="W14" s="301" t="n"/>
      <c r="X14" s="301" t="n"/>
      <c r="Y14" s="302" t="n"/>
      <c r="Z14" s="302" t="n"/>
    </row>
    <row r="15" ht="16.5" customFormat="1" customHeight="1" s="257"/>
    <row r="16" ht="16.5" customFormat="1" customHeight="1" s="257">
      <c r="B16" t="inlineStr">
        <is>
          <t>Total Qty Export :</t>
        </is>
      </c>
      <c r="C16">
        <f>H14</f>
        <v/>
      </c>
    </row>
    <row r="17" ht="17.1" customFormat="1" customHeight="1" s="303">
      <c r="B17" t="inlineStr">
        <is>
          <t>Total Qty Export Sample :</t>
        </is>
      </c>
    </row>
    <row r="18" ht="16.5" customFormat="1" customHeight="1" s="257"/>
    <row r="19" ht="16.5" customFormat="1" customHeight="1" s="257">
      <c r="U19" t="inlineStr">
        <is>
          <t>Tangerang, 25 July 2026</t>
        </is>
      </c>
    </row>
    <row r="20" ht="16.5" customFormat="1" customHeight="1" s="257">
      <c r="A20" t="inlineStr">
        <is>
          <t>Total Document</t>
        </is>
      </c>
      <c r="C20">
        <f>A14</f>
        <v/>
      </c>
    </row>
    <row r="21" ht="16.5" customFormat="1" customHeight="1" s="257">
      <c r="A21" t="inlineStr">
        <is>
          <t>Gross Weight</t>
        </is>
      </c>
      <c r="C21">
        <f>O14</f>
        <v/>
      </c>
    </row>
    <row r="22" ht="16.5" customFormat="1" customHeight="1" s="257">
      <c r="A22" t="inlineStr">
        <is>
          <t>Nett Weight</t>
        </is>
      </c>
      <c r="C22">
        <f>P14</f>
        <v/>
      </c>
    </row>
    <row r="23" ht="17.1" customFormat="1" customHeight="1" s="303">
      <c r="A23" t="inlineStr">
        <is>
          <t>Amount</t>
        </is>
      </c>
      <c r="C23">
        <f>R14</f>
        <v/>
      </c>
    </row>
    <row r="24" ht="17.1" customFormat="1" customHeight="1" s="303">
      <c r="A24" t="inlineStr">
        <is>
          <t>Jumlah Container</t>
        </is>
      </c>
      <c r="C24">
        <f>I14</f>
        <v/>
      </c>
    </row>
    <row r="25" ht="8.1" customHeight="1" s="223" thickBot="1"/>
    <row r="26" ht="20.1" customFormat="1" customHeight="1" s="231" thickBot="1"/>
    <row r="27" ht="17.1" customHeight="1" s="223"/>
    <row r="28" ht="17.1" customHeight="1" s="223"/>
    <row r="29" ht="17.1" customHeight="1" s="223"/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333" ht="15" customFormat="1" customHeight="1" s="304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2026-07-25T16:40:37Z</dcterms:modified>
  <cp:lastModifiedBy>Chiswa Dian Hermansyah(ZINUS ZDI)</cp:lastModifiedBy>
</cp:coreProperties>
</file>