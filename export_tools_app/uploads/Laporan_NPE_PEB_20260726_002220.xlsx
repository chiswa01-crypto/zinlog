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ID2607-7887</t>
        </is>
      </c>
      <c r="G19" s="261" t="n">
        <v>46223</v>
      </c>
      <c r="H19" s="263" t="n">
        <v>1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94042120 HE:0 - 1.0000 PIECE (PCE) - INDONESIA (ID) 35.93 - 8IN MYGEL FOAM MATTRESS TW</t>
        </is>
      </c>
      <c r="L19" s="265" t="inlineStr">
        <is>
          <t>ZU- - 12.1400 Kg - KAB. TANGERANG (3603) MFGN1YZI-08T</t>
        </is>
      </c>
      <c r="M19" s="263" t="inlineStr">
        <is>
          <t>1CPXSUHR</t>
        </is>
      </c>
      <c r="N19" s="264" t="inlineStr">
        <is>
          <t>-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6</v>
      </c>
      <c r="I20" s="263" t="inlineStr">
        <is>
          <t>TXGU583994</t>
        </is>
      </c>
      <c r="J20" s="263" t="inlineStr">
        <is>
          <t>40FT</t>
        </is>
      </c>
      <c r="K20" s="264" t="inlineStr">
        <is>
          <t>94042120 HE:0 - 6.0000 PIECE (PCE) - INDONESIA (ID) 372.9 - 8IN GREEN TEA MF MATTRESS SQ</t>
        </is>
      </c>
      <c r="L20" s="265" t="inlineStr">
        <is>
          <t>ZU- - 120.8400 Kg - KAB. TANGERANG (3603) MFMA1FZI-08S</t>
        </is>
      </c>
      <c r="M20" s="263" t="inlineStr">
        <is>
          <t>1CPXSUHR</t>
        </is>
      </c>
      <c r="N20" s="264" t="inlineStr">
        <is>
          <t>-</t>
        </is>
      </c>
      <c r="O20" s="266" t="n"/>
      <c r="P20" s="266" t="n"/>
      <c r="Q20" s="267">
        <f>IFERROR(R20/H20, 0)</f>
        <v/>
      </c>
      <c r="R20" s="268" t="n">
        <v>36097.6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58" t="n"/>
      <c r="B21" s="259" t="n"/>
      <c r="C21" s="260" t="n"/>
      <c r="D21" s="260" t="n"/>
      <c r="E21" s="261" t="n"/>
      <c r="F21" s="262" t="n"/>
      <c r="G21" s="261" t="n"/>
      <c r="H21" s="263" t="n">
        <v>1</v>
      </c>
      <c r="I21" s="263" t="inlineStr">
        <is>
          <t>TXGU583994</t>
        </is>
      </c>
      <c r="J21" s="263" t="inlineStr">
        <is>
          <t>40FT</t>
        </is>
      </c>
      <c r="K21" s="264" t="inlineStr">
        <is>
          <t>94042120 HE:0 - 1.0000 PIECE (PCE) - INDONESIA (ID) 47.91 - 10IN OPP HD FL</t>
        </is>
      </c>
      <c r="L21" s="265" t="inlineStr">
        <is>
          <t>ZU-MFMA1OZI-10F</t>
        </is>
      </c>
      <c r="M21" s="263" t="inlineStr">
        <is>
          <t>1CPXSUHR</t>
        </is>
      </c>
      <c r="N21" s="264" t="inlineStr">
        <is>
          <t>F.MFM.10F.013.AD</t>
        </is>
      </c>
      <c r="O21" s="266" t="n"/>
      <c r="P21" s="266" t="n"/>
      <c r="Q21" s="267">
        <f>IFERROR(R21/H21, 0)</f>
        <v/>
      </c>
      <c r="R21" s="268" t="n">
        <v>36097.6</v>
      </c>
      <c r="S21" s="269" t="n">
        <v>18056</v>
      </c>
      <c r="T21" s="269">
        <f>IFERROR(S21*R21, 0)</f>
        <v/>
      </c>
      <c r="U21" s="270" t="n"/>
      <c r="V21" s="271" t="n"/>
      <c r="W21" s="272" t="n"/>
      <c r="X21" s="263" t="n"/>
      <c r="Y21" s="271" t="n"/>
      <c r="Z21" s="261" t="n"/>
    </row>
    <row r="22" ht="16.5" customFormat="1" customHeight="1" s="257">
      <c r="A22" s="258" t="n"/>
      <c r="B22" s="259" t="n"/>
      <c r="C22" s="260" t="n"/>
      <c r="D22" s="260" t="n"/>
      <c r="E22" s="261" t="n"/>
      <c r="F22" s="262" t="n"/>
      <c r="G22" s="261" t="n"/>
      <c r="H22" s="263" t="n">
        <v>2</v>
      </c>
      <c r="I22" s="263" t="inlineStr">
        <is>
          <t>TXGU583994</t>
        </is>
      </c>
      <c r="J22" s="263" t="inlineStr">
        <is>
          <t>40FT</t>
        </is>
      </c>
      <c r="K22" s="264" t="inlineStr">
        <is>
          <t>94042120 HE:0 - 2.0000 PIECE (PCE) - INDONESIA (ID) 107.8 - 10IN AIRFLOW GEL FOAM MATT QN</t>
        </is>
      </c>
      <c r="L22" s="265" t="inlineStr">
        <is>
          <t>ZU- - 45.8200 Kg - KAB. TANGERANG (3603) MFMA1RZI-10Q</t>
        </is>
      </c>
      <c r="M22" s="263" t="inlineStr">
        <is>
          <t>1CPXSUHR</t>
        </is>
      </c>
      <c r="N22" s="264" t="inlineStr">
        <is>
          <t>-</t>
        </is>
      </c>
      <c r="O22" s="266" t="n"/>
      <c r="P22" s="266" t="n"/>
      <c r="Q22" s="267">
        <f>IFERROR(R22/H22, 0)</f>
        <v/>
      </c>
      <c r="R22" s="268" t="n">
        <v>36097.6</v>
      </c>
      <c r="S22" s="269" t="n">
        <v>18056</v>
      </c>
      <c r="T22" s="269">
        <f>IFERROR(S22*R22, 0)</f>
        <v/>
      </c>
      <c r="U22" s="270" t="n"/>
      <c r="V22" s="271" t="n"/>
      <c r="W22" s="272" t="n"/>
      <c r="X22" s="263" t="n"/>
      <c r="Y22" s="271" t="n"/>
      <c r="Z22" s="261" t="n"/>
    </row>
    <row r="23" ht="17.1" customFormat="1" customHeight="1" s="286">
      <c r="A23" s="258" t="n"/>
      <c r="B23" s="259" t="n"/>
      <c r="C23" s="260" t="n"/>
      <c r="D23" s="260" t="n"/>
      <c r="E23" s="261" t="n"/>
      <c r="F23" s="262" t="n"/>
      <c r="G23" s="261" t="n"/>
      <c r="H23" s="263" t="n">
        <v>311</v>
      </c>
      <c r="I23" s="263" t="inlineStr">
        <is>
          <t>TXGU583994</t>
        </is>
      </c>
      <c r="J23" s="263" t="inlineStr">
        <is>
          <t>40FT</t>
        </is>
      </c>
      <c r="K23" s="264" t="inlineStr">
        <is>
          <t>94042120 HE:0 - 311.0000 PIECE (PCE) - INDONESIA (ID) 11,920.63 - 6IN GREEN TEA MF MATTRESS FL</t>
        </is>
      </c>
      <c r="L23" s="265" t="inlineStr">
        <is>
          <t>ZU- - 3,974.5800 Kg - KAB. TANGERANG (3603) MFMA1ZZI-06F</t>
        </is>
      </c>
      <c r="M23" s="263" t="inlineStr">
        <is>
          <t>1CPXSUHR</t>
        </is>
      </c>
      <c r="N23" s="264" t="inlineStr">
        <is>
          <t>-</t>
        </is>
      </c>
      <c r="O23" s="266" t="n"/>
      <c r="P23" s="266" t="n"/>
      <c r="Q23" s="267">
        <f>IFERROR(R23/H23, 0)</f>
        <v/>
      </c>
      <c r="R23" s="268" t="n">
        <v>36097.6</v>
      </c>
      <c r="S23" s="269" t="n">
        <v>18056</v>
      </c>
      <c r="T23" s="269">
        <f>IFERROR(S23*R23, 0)</f>
        <v/>
      </c>
      <c r="U23" s="270" t="n"/>
      <c r="V23" s="271" t="n"/>
      <c r="W23" s="272" t="n"/>
      <c r="X23" s="263" t="n"/>
      <c r="Y23" s="271" t="n"/>
      <c r="Z23" s="261" t="n"/>
    </row>
    <row r="24" ht="17.1" customFormat="1" customHeight="1" s="286">
      <c r="A24" s="258" t="n"/>
      <c r="B24" s="259" t="n"/>
      <c r="C24" s="260" t="n"/>
      <c r="D24" s="260" t="n"/>
      <c r="E24" s="261" t="n"/>
      <c r="F24" s="262" t="n"/>
      <c r="G24" s="261" t="n"/>
      <c r="H24" s="263" t="n">
        <v>355</v>
      </c>
      <c r="I24" s="263" t="inlineStr">
        <is>
          <t>TXGU583994</t>
        </is>
      </c>
      <c r="J24" s="263" t="inlineStr">
        <is>
          <t>40FT</t>
        </is>
      </c>
      <c r="K24" s="264" t="inlineStr">
        <is>
          <t>94042120 HE:0 - 355.0000 PIECE (PCE) - INDONESIA (ID) 19,876.45 - 8IN GREEN TEA MF MATTRESS FL</t>
        </is>
      </c>
      <c r="L24" s="265" t="inlineStr">
        <is>
          <t>ZU- - 5,907.2000 Kg - KAB. TANGERANG (3603) MFMA1ZZI-08F</t>
        </is>
      </c>
      <c r="M24" s="263" t="inlineStr">
        <is>
          <t>1CPXSUHR</t>
        </is>
      </c>
      <c r="N24" s="264" t="inlineStr">
        <is>
          <t>-</t>
        </is>
      </c>
      <c r="O24" s="266" t="n"/>
      <c r="P24" s="266" t="n"/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n"/>
      <c r="V24" s="271" t="n"/>
      <c r="W24" s="272" t="n"/>
      <c r="X24" s="263" t="n"/>
      <c r="Y24" s="271" t="n"/>
      <c r="Z24" s="261" t="n"/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</v>
      </c>
      <c r="I25" s="263" t="inlineStr">
        <is>
          <t>TXGU583994</t>
        </is>
      </c>
      <c r="J25" s="263" t="inlineStr">
        <is>
          <t>40FT</t>
        </is>
      </c>
      <c r="K25" s="264" t="inlineStr">
        <is>
          <t>94042120 HE:0 - 1.0000 PIECE (PCE) - INDONESIA (ID) 101.97 - 12IN GREEN TEA MF MATTRESS EK</t>
        </is>
      </c>
      <c r="L25" s="265" t="inlineStr">
        <is>
          <t>ZU- - 37.4700 Kg - KAB. TANGERANG (3603) MFMA1ZZI-12K</t>
        </is>
      </c>
      <c r="M25" s="263" t="inlineStr">
        <is>
          <t>1CPXSUHR</t>
        </is>
      </c>
      <c r="N25" s="264" t="inlineStr">
        <is>
          <t>-</t>
        </is>
      </c>
      <c r="O25" s="266" t="n"/>
      <c r="P25" s="266" t="n"/>
      <c r="Q25" s="267">
        <f>IFERROR(R25/H25, 0)</f>
        <v/>
      </c>
      <c r="R25" s="268" t="n">
        <v>36097.6</v>
      </c>
      <c r="S25" s="269" t="n">
        <v>18056</v>
      </c>
      <c r="T25" s="269">
        <f>IFERROR(S25*R25, 0)</f>
        <v/>
      </c>
      <c r="U25" s="270" t="n"/>
      <c r="V25" s="271" t="n"/>
      <c r="W25" s="272" t="n"/>
      <c r="X25" s="263" t="n"/>
      <c r="Y25" s="271" t="n"/>
      <c r="Z25" s="261" t="n"/>
    </row>
    <row r="26" ht="20.1" customFormat="1" customHeight="1" s="231" thickBot="1">
      <c r="A26" s="258" t="n"/>
      <c r="B26" s="259" t="n"/>
      <c r="C26" s="260" t="n"/>
      <c r="D26" s="260" t="n"/>
      <c r="E26" s="261" t="n"/>
      <c r="F26" s="262" t="n"/>
      <c r="G26" s="261" t="n"/>
      <c r="H26" s="263" t="n">
        <v>5</v>
      </c>
      <c r="I26" s="263" t="inlineStr">
        <is>
          <t>TXGU583994</t>
        </is>
      </c>
      <c r="J26" s="263" t="inlineStr">
        <is>
          <t>40FT</t>
        </is>
      </c>
      <c r="K26" s="264" t="inlineStr">
        <is>
          <t>94042120 HE:0 - 5.0000 PIECE (PCE) - INDONESIA (ID) 310.75 - 8IN GREEN TEA MF MATTRESS SQ</t>
        </is>
      </c>
      <c r="L26" s="265" t="inlineStr">
        <is>
          <t>ZU- - 100.7000 Kg - KAB. TANGERANG (3603) MFMA1FZI-08S</t>
        </is>
      </c>
      <c r="M26" s="263" t="inlineStr">
        <is>
          <t>23OYBVEV</t>
        </is>
      </c>
      <c r="N26" s="264" t="inlineStr">
        <is>
          <t>-</t>
        </is>
      </c>
      <c r="O26" s="266" t="n"/>
      <c r="P26" s="266" t="n"/>
      <c r="Q26" s="267">
        <f>IFERROR(R26/H26, 0)</f>
        <v/>
      </c>
      <c r="R26" s="268" t="n">
        <v>36097.6</v>
      </c>
      <c r="S26" s="269" t="n">
        <v>18056</v>
      </c>
      <c r="T26" s="269">
        <f>IFERROR(S26*R26, 0)</f>
        <v/>
      </c>
      <c r="U26" s="270" t="n"/>
      <c r="V26" s="271" t="n"/>
      <c r="W26" s="272" t="n"/>
      <c r="X26" s="263" t="n"/>
      <c r="Y26" s="271" t="n"/>
      <c r="Z26" s="261" t="n"/>
    </row>
    <row r="27" ht="17.1" customHeight="1" s="223">
      <c r="A27" s="258" t="n"/>
      <c r="B27" s="259" t="n"/>
      <c r="C27" s="260" t="n"/>
      <c r="D27" s="260" t="n"/>
      <c r="E27" s="261" t="n"/>
      <c r="F27" s="262" t="n"/>
      <c r="G27" s="261" t="n"/>
      <c r="H27" s="263" t="n">
        <v>197</v>
      </c>
      <c r="I27" s="263" t="inlineStr">
        <is>
          <t>TXGU583994</t>
        </is>
      </c>
      <c r="J27" s="263" t="inlineStr">
        <is>
          <t>40FT</t>
        </is>
      </c>
      <c r="K27" s="264" t="inlineStr">
        <is>
          <t>94042120 HE:0 - 197.0000 PIECE (PCE) - INDONESIA (ID) 7,669.21 - 8IN OPP HD FL</t>
        </is>
      </c>
      <c r="L27" s="265" t="inlineStr">
        <is>
          <t>ZU-MFMA1OZI-08F</t>
        </is>
      </c>
      <c r="M27" s="263" t="inlineStr">
        <is>
          <t>23OYBVEV</t>
        </is>
      </c>
      <c r="N27" s="264" t="inlineStr">
        <is>
          <t>F.MFM.08F.013.AD</t>
        </is>
      </c>
      <c r="O27" s="266" t="n"/>
      <c r="P27" s="266" t="n"/>
      <c r="Q27" s="267">
        <f>IFERROR(R27/H27, 0)</f>
        <v/>
      </c>
      <c r="R27" s="268" t="n">
        <v>36097.6</v>
      </c>
      <c r="S27" s="269" t="n">
        <v>18056</v>
      </c>
      <c r="T27" s="269">
        <f>IFERROR(S27*R27, 0)</f>
        <v/>
      </c>
      <c r="U27" s="270" t="n"/>
      <c r="V27" s="271" t="n"/>
      <c r="W27" s="272" t="n"/>
      <c r="X27" s="263" t="n"/>
      <c r="Y27" s="271" t="n"/>
      <c r="Z27" s="261" t="n"/>
    </row>
    <row r="28" ht="17.1" customHeight="1" s="223">
      <c r="A28" s="258" t="n"/>
      <c r="B28" s="259" t="n"/>
      <c r="C28" s="260" t="n"/>
      <c r="D28" s="260" t="n"/>
      <c r="E28" s="261" t="n"/>
      <c r="F28" s="262" t="n"/>
      <c r="G28" s="261" t="n"/>
      <c r="H28" s="263" t="n">
        <v>18</v>
      </c>
      <c r="I28" s="263" t="inlineStr">
        <is>
          <t>TXGU583994</t>
        </is>
      </c>
      <c r="J28" s="263" t="inlineStr">
        <is>
          <t>40FT</t>
        </is>
      </c>
      <c r="K28" s="264" t="inlineStr">
        <is>
          <t>94042120 HE:0 - 18.0000 PIECE (PCE) - INDONESIA (ID) 1,010.52 - 8IN OPP HD QN</t>
        </is>
      </c>
      <c r="L28" s="265" t="inlineStr">
        <is>
          <t>ZU-MFMA1OZI-08Q</t>
        </is>
      </c>
      <c r="M28" s="263" t="inlineStr">
        <is>
          <t>23OYBVEV</t>
        </is>
      </c>
      <c r="N28" s="264" t="inlineStr">
        <is>
          <t>F.MFM.08Q.013.AD</t>
        </is>
      </c>
      <c r="O28" s="266" t="n"/>
      <c r="P28" s="266" t="n"/>
      <c r="Q28" s="267">
        <f>IFERROR(R28/H28, 0)</f>
        <v/>
      </c>
      <c r="R28" s="268" t="n">
        <v>36097.6</v>
      </c>
      <c r="S28" s="269" t="n">
        <v>18056</v>
      </c>
      <c r="T28" s="269">
        <f>IFERROR(S28*R28, 0)</f>
        <v/>
      </c>
      <c r="U28" s="270" t="n"/>
      <c r="V28" s="271" t="n"/>
      <c r="W28" s="272" t="n"/>
      <c r="X28" s="263" t="n"/>
      <c r="Y28" s="271" t="n"/>
      <c r="Z28" s="261" t="n"/>
    </row>
    <row r="29" ht="17.1" customHeight="1" s="223">
      <c r="A29" s="258" t="n"/>
      <c r="B29" s="259" t="n"/>
      <c r="C29" s="260" t="n"/>
      <c r="D29" s="260" t="n"/>
      <c r="E29" s="261" t="n"/>
      <c r="F29" s="262" t="n"/>
      <c r="G29" s="261" t="n"/>
      <c r="H29" s="263" t="n">
        <v>1</v>
      </c>
      <c r="I29" s="263" t="inlineStr">
        <is>
          <t>TXGU583994</t>
        </is>
      </c>
      <c r="J29" s="263" t="inlineStr">
        <is>
          <t>40FT</t>
        </is>
      </c>
      <c r="K29" s="264" t="inlineStr">
        <is>
          <t>94042120 HE:0 - 1.0000 PIECE (PCE) - INDONESIA (ID) 67.57 - 12IN OPP HD QN</t>
        </is>
      </c>
      <c r="L29" s="265" t="inlineStr">
        <is>
          <t>ZU-MFMA1OZI-12Q</t>
        </is>
      </c>
      <c r="M29" s="263" t="inlineStr">
        <is>
          <t>23OYBVEV</t>
        </is>
      </c>
      <c r="N29" s="264" t="inlineStr">
        <is>
          <t>F.MFM.12Q.010.AD</t>
        </is>
      </c>
      <c r="O29" s="266" t="n"/>
      <c r="P29" s="266" t="n"/>
      <c r="Q29" s="267">
        <f>IFERROR(R29/H29, 0)</f>
        <v/>
      </c>
      <c r="R29" s="268" t="n">
        <v>36097.6</v>
      </c>
      <c r="S29" s="269" t="n">
        <v>18056</v>
      </c>
      <c r="T29" s="269">
        <f>IFERROR(S29*R29, 0)</f>
        <v/>
      </c>
      <c r="U29" s="270" t="n"/>
      <c r="V29" s="271" t="n"/>
      <c r="W29" s="272" t="n"/>
      <c r="X29" s="263" t="n"/>
      <c r="Y29" s="271" t="n"/>
      <c r="Z29" s="261" t="n"/>
    </row>
    <row r="30" ht="17.1" customHeight="1" s="223" thickBot="1">
      <c r="A30" s="258" t="n"/>
      <c r="B30" s="259" t="n"/>
      <c r="C30" s="260" t="n"/>
      <c r="D30" s="260" t="n"/>
      <c r="E30" s="261" t="n"/>
      <c r="F30" s="262" t="n"/>
      <c r="G30" s="261" t="n"/>
      <c r="H30" s="263" t="n">
        <v>2</v>
      </c>
      <c r="I30" s="263" t="inlineStr">
        <is>
          <t>TXGU583994</t>
        </is>
      </c>
      <c r="J30" s="263" t="inlineStr">
        <is>
          <t>40FT</t>
        </is>
      </c>
      <c r="K30" s="264" t="inlineStr">
        <is>
          <t>94042120 HE:0 - 2.0000 PIECE (PCE) - INDONESIA (ID) 131.76 - 10IN AIRFLOW GEL FOAM MATT EK</t>
        </is>
      </c>
      <c r="L30" s="265" t="inlineStr">
        <is>
          <t>ZU- - 57.8200 Kg - KAB. TANGERANG (3603) MFMA1RZI-10K</t>
        </is>
      </c>
      <c r="M30" s="263" t="inlineStr">
        <is>
          <t>23OYBVEV</t>
        </is>
      </c>
      <c r="N30" s="264" t="inlineStr">
        <is>
          <t>-</t>
        </is>
      </c>
      <c r="O30" s="266" t="n"/>
      <c r="P30" s="266" t="n"/>
      <c r="Q30" s="267">
        <f>IFERROR(R30/H30, 0)</f>
        <v/>
      </c>
      <c r="R30" s="268" t="n">
        <v>36097.6</v>
      </c>
      <c r="S30" s="269" t="n">
        <v>18056</v>
      </c>
      <c r="T30" s="269">
        <f>IFERROR(S30*R30, 0)</f>
        <v/>
      </c>
      <c r="U30" s="270" t="n"/>
      <c r="V30" s="271" t="n"/>
      <c r="W30" s="272" t="n"/>
      <c r="X30" s="263" t="n"/>
      <c r="Y30" s="271" t="n"/>
      <c r="Z30" s="261" t="n"/>
    </row>
    <row r="31" ht="17.1" customHeight="1" s="223" thickTop="1">
      <c r="A31" s="258" t="n"/>
      <c r="B31" s="259" t="n"/>
      <c r="C31" s="260" t="n"/>
      <c r="D31" s="260" t="n"/>
      <c r="E31" s="261" t="n"/>
      <c r="F31" s="262" t="n"/>
      <c r="G31" s="261" t="n"/>
      <c r="H31" s="263" t="n">
        <v>302</v>
      </c>
      <c r="I31" s="263" t="inlineStr">
        <is>
          <t>TXGU583994</t>
        </is>
      </c>
      <c r="J31" s="263" t="inlineStr">
        <is>
          <t>40FT</t>
        </is>
      </c>
      <c r="K31" s="264" t="inlineStr">
        <is>
          <t>94042120 HE:0 - 302.0000 PIECE (PCE) - INDONESIA (ID) 11,756.86 - 6IN MYGEL FOAM MATTRESS FL</t>
        </is>
      </c>
      <c r="L31" s="265" t="inlineStr">
        <is>
          <t>ZU-MFGN1YZI- - 3,868.6200 Kg - KAB. TANGERANG (3603) 06F</t>
        </is>
      </c>
      <c r="M31" s="263" t="inlineStr">
        <is>
          <t>299957YO</t>
        </is>
      </c>
      <c r="N31" s="264" t="inlineStr">
        <is>
          <t>F.MFG.06F.002.AD</t>
        </is>
      </c>
      <c r="O31" s="266" t="n"/>
      <c r="P31" s="266" t="n"/>
      <c r="Q31" s="267">
        <f>IFERROR(R31/H31, 0)</f>
        <v/>
      </c>
      <c r="R31" s="268" t="n">
        <v>36097.6</v>
      </c>
      <c r="S31" s="269" t="n">
        <v>18056</v>
      </c>
      <c r="T31" s="269">
        <f>IFERROR(S31*R31, 0)</f>
        <v/>
      </c>
      <c r="U31" s="270" t="n"/>
      <c r="V31" s="271" t="n"/>
      <c r="W31" s="272" t="n"/>
      <c r="X31" s="263" t="n"/>
      <c r="Y31" s="271" t="n"/>
      <c r="Z31" s="261" t="n"/>
    </row>
    <row r="32" ht="17.1" customHeight="1" s="223">
      <c r="A32" s="258" t="n"/>
      <c r="B32" s="259" t="n"/>
      <c r="C32" s="260" t="n"/>
      <c r="D32" s="260" t="n"/>
      <c r="E32" s="261" t="n"/>
      <c r="F32" s="262" t="n"/>
      <c r="G32" s="261" t="n"/>
      <c r="H32" s="263" t="n">
        <v>450</v>
      </c>
      <c r="I32" s="263" t="inlineStr">
        <is>
          <t>TXGU583994</t>
        </is>
      </c>
      <c r="J32" s="263" t="inlineStr">
        <is>
          <t>40FT</t>
        </is>
      </c>
      <c r="K32" s="264" t="inlineStr">
        <is>
          <t>94042120 HE:0 - 450.0000 PIECE (PCE) - INDONESIA (ID) 17,518.5 - 8IN OPP HD FL</t>
        </is>
      </c>
      <c r="L32" s="265" t="inlineStr">
        <is>
          <t>ZU-MFMA1OZI-08F</t>
        </is>
      </c>
      <c r="M32" s="263" t="inlineStr">
        <is>
          <t>299957YO</t>
        </is>
      </c>
      <c r="N32" s="264" t="inlineStr">
        <is>
          <t>F.MFM.08F.013.AD</t>
        </is>
      </c>
      <c r="O32" s="266" t="n"/>
      <c r="P32" s="266" t="n"/>
      <c r="Q32" s="267">
        <f>IFERROR(R32/H32, 0)</f>
        <v/>
      </c>
      <c r="R32" s="268" t="n">
        <v>36097.6</v>
      </c>
      <c r="S32" s="269" t="n">
        <v>18056</v>
      </c>
      <c r="T32" s="269">
        <f>IFERROR(S32*R32, 0)</f>
        <v/>
      </c>
      <c r="U32" s="270" t="n"/>
      <c r="V32" s="271" t="n"/>
      <c r="W32" s="272" t="n"/>
      <c r="X32" s="263" t="n"/>
      <c r="Y32" s="271" t="n"/>
      <c r="Z32" s="261" t="n"/>
    </row>
    <row r="33" ht="17.1" customHeight="1" s="223">
      <c r="A33" s="258" t="n"/>
      <c r="B33" s="259" t="n"/>
      <c r="C33" s="260" t="n"/>
      <c r="D33" s="260" t="n"/>
      <c r="E33" s="261" t="n"/>
      <c r="F33" s="262" t="n"/>
      <c r="G33" s="261" t="n"/>
      <c r="H33" s="263" t="n">
        <v>1</v>
      </c>
      <c r="I33" s="263" t="inlineStr">
        <is>
          <t>TXGU583994</t>
        </is>
      </c>
      <c r="J33" s="263" t="inlineStr">
        <is>
          <t>40FT</t>
        </is>
      </c>
      <c r="K33" s="264" t="inlineStr">
        <is>
          <t>94042120 HE:0 - 1.0000 PIECE (PCE) - INDONESIA (ID) 59.1 - 8IN GREEN TEA MF MATTRESS SQ</t>
        </is>
      </c>
      <c r="L33" s="265" t="inlineStr">
        <is>
          <t>ZU- - 18.2300 Kg - KAB. TANGERANG (3603) MFMA1ZZI-08S</t>
        </is>
      </c>
      <c r="M33" s="263" t="inlineStr">
        <is>
          <t>299957YO</t>
        </is>
      </c>
      <c r="N33" s="264" t="inlineStr">
        <is>
          <t>-</t>
        </is>
      </c>
      <c r="O33" s="266" t="n"/>
      <c r="P33" s="266" t="n"/>
      <c r="Q33" s="267">
        <f>IFERROR(R33/H33, 0)</f>
        <v/>
      </c>
      <c r="R33" s="268" t="n">
        <v>36097.6</v>
      </c>
      <c r="S33" s="269" t="n">
        <v>18056</v>
      </c>
      <c r="T33" s="269">
        <f>IFERROR(S33*R33, 0)</f>
        <v/>
      </c>
      <c r="U33" s="270" t="n"/>
      <c r="V33" s="271" t="n"/>
      <c r="W33" s="272" t="n"/>
      <c r="X33" s="263" t="n"/>
      <c r="Y33" s="271" t="n"/>
      <c r="Z33" s="261" t="n"/>
    </row>
    <row r="34" ht="17.1" customHeight="1" s="223">
      <c r="A34" s="258" t="n"/>
      <c r="B34" s="259" t="n"/>
      <c r="C34" s="260" t="n"/>
      <c r="D34" s="260" t="n"/>
      <c r="E34" s="261" t="n"/>
      <c r="F34" s="262" t="n"/>
      <c r="G34" s="261" t="n"/>
      <c r="H34" s="263" t="n">
        <v>6</v>
      </c>
      <c r="I34" s="263" t="inlineStr">
        <is>
          <t>TXGU583994</t>
        </is>
      </c>
      <c r="J34" s="263" t="inlineStr">
        <is>
          <t>40FT</t>
        </is>
      </c>
      <c r="K34" s="264" t="inlineStr">
        <is>
          <t>94042120 HE:0 - 6.0000 PIECE (PCE) - INDONESIA (ID) 582.66 - 10IN GREEN TEA MF MATTRESS EK</t>
        </is>
      </c>
      <c r="L34" s="265" t="inlineStr">
        <is>
          <t>ZU- - 182.4000 Kg - KAB. TANGERANG (3603) MFMA1ZZI-10K</t>
        </is>
      </c>
      <c r="M34" s="263" t="inlineStr">
        <is>
          <t>299957YO</t>
        </is>
      </c>
      <c r="N34" s="264" t="inlineStr">
        <is>
          <t>-</t>
        </is>
      </c>
      <c r="O34" s="266" t="n"/>
      <c r="P34" s="266" t="n"/>
      <c r="Q34" s="267">
        <f>IFERROR(R34/H34, 0)</f>
        <v/>
      </c>
      <c r="R34" s="268" t="n">
        <v>36097.6</v>
      </c>
      <c r="S34" s="269" t="n">
        <v>18056</v>
      </c>
      <c r="T34" s="269">
        <f>IFERROR(S34*R34, 0)</f>
        <v/>
      </c>
      <c r="U34" s="270" t="n"/>
      <c r="V34" s="271" t="n"/>
      <c r="W34" s="272" t="n"/>
      <c r="X34" s="263" t="n"/>
      <c r="Y34" s="271" t="n"/>
      <c r="Z34" s="261" t="n"/>
    </row>
    <row r="35" ht="17.1" customHeight="1" s="223">
      <c r="A35" s="258" t="n"/>
      <c r="B35" s="259" t="n"/>
      <c r="C35" s="260" t="n"/>
      <c r="D35" s="260" t="n"/>
      <c r="E35" s="261" t="n"/>
      <c r="F35" s="262" t="n"/>
      <c r="G35" s="261" t="n"/>
      <c r="H35" s="263" t="n">
        <v>149</v>
      </c>
      <c r="I35" s="263" t="inlineStr">
        <is>
          <t>TXGU583994</t>
        </is>
      </c>
      <c r="J35" s="263" t="inlineStr">
        <is>
          <t>40FT</t>
        </is>
      </c>
      <c r="K35" s="264" t="inlineStr">
        <is>
          <t>94042120 HE:0 - 149.0000 PIECE (PCE) - INDONESIA (ID) 5,353.57 - 8IN MYGEL FOAM MATTRESS TW</t>
        </is>
      </c>
      <c r="L35" s="265" t="inlineStr">
        <is>
          <t>ZU- - 1,808.8600 Kg - KAB. TANGERANG (3603) MFGN1YZI-08T</t>
        </is>
      </c>
      <c r="M35" s="263" t="inlineStr">
        <is>
          <t>2OD43VAH</t>
        </is>
      </c>
      <c r="N35" s="264" t="inlineStr">
        <is>
          <t>-</t>
        </is>
      </c>
      <c r="O35" s="266" t="n"/>
      <c r="P35" s="266" t="n"/>
      <c r="Q35" s="267">
        <f>IFERROR(R35/H35, 0)</f>
        <v/>
      </c>
      <c r="R35" s="268" t="n">
        <v>36097.6</v>
      </c>
      <c r="S35" s="269" t="n">
        <v>18056</v>
      </c>
      <c r="T35" s="269">
        <f>IFERROR(S35*R35, 0)</f>
        <v/>
      </c>
      <c r="U35" s="270" t="n"/>
      <c r="V35" s="271" t="n"/>
      <c r="W35" s="272" t="n"/>
      <c r="X35" s="263" t="n"/>
      <c r="Y35" s="271" t="n"/>
      <c r="Z35" s="261" t="n"/>
    </row>
    <row r="36" ht="17.1" customHeight="1" s="223">
      <c r="A36" s="258" t="n"/>
      <c r="B36" s="259" t="n"/>
      <c r="C36" s="260" t="n"/>
      <c r="D36" s="260" t="n"/>
      <c r="E36" s="261" t="n"/>
      <c r="F36" s="262" t="n"/>
      <c r="G36" s="261" t="n"/>
      <c r="H36" s="263" t="n">
        <v>2</v>
      </c>
      <c r="I36" s="263" t="inlineStr">
        <is>
          <t>TXGU583994</t>
        </is>
      </c>
      <c r="J36" s="263" t="inlineStr">
        <is>
          <t>40FT</t>
        </is>
      </c>
      <c r="K36" s="264" t="inlineStr">
        <is>
          <t>94042120 HE:0 - 2.0000 PIECE (PCE) - INDONESIA (ID) 95.82 - 10IN OPP HD FL</t>
        </is>
      </c>
      <c r="L36" s="265" t="inlineStr">
        <is>
          <t>ZU-MFMA1OZI-10F</t>
        </is>
      </c>
      <c r="M36" s="263" t="inlineStr">
        <is>
          <t>2OD43VAH</t>
        </is>
      </c>
      <c r="N36" s="264" t="inlineStr">
        <is>
          <t>F.MFM.10F.013.AD</t>
        </is>
      </c>
      <c r="O36" s="266" t="n"/>
      <c r="P36" s="266" t="n"/>
      <c r="Q36" s="267">
        <f>IFERROR(R36/H36, 0)</f>
        <v/>
      </c>
      <c r="R36" s="268" t="n">
        <v>36097.6</v>
      </c>
      <c r="S36" s="269" t="n">
        <v>18056</v>
      </c>
      <c r="T36" s="269">
        <f>IFERROR(S36*R36, 0)</f>
        <v/>
      </c>
      <c r="U36" s="270" t="n"/>
      <c r="V36" s="271" t="n"/>
      <c r="W36" s="272" t="n"/>
      <c r="X36" s="263" t="n"/>
      <c r="Y36" s="271" t="n"/>
      <c r="Z36" s="261" t="n"/>
    </row>
    <row r="37" ht="17.1" customHeight="1" s="223">
      <c r="A37" s="258" t="n"/>
      <c r="B37" s="259" t="n"/>
      <c r="C37" s="260" t="n"/>
      <c r="D37" s="260" t="n"/>
      <c r="E37" s="261" t="n"/>
      <c r="F37" s="262" t="n"/>
      <c r="G37" s="261" t="n"/>
      <c r="H37" s="263" t="n">
        <v>400</v>
      </c>
      <c r="I37" s="263" t="inlineStr">
        <is>
          <t>TXGU583994</t>
        </is>
      </c>
      <c r="J37" s="263" t="inlineStr">
        <is>
          <t>40FT</t>
        </is>
      </c>
      <c r="K37" s="264" t="inlineStr">
        <is>
          <t>94042120 HE:0 - 400.0000 PIECE (PCE) - INDONESIA (ID) 27,028 - 12IN OPP HD QN</t>
        </is>
      </c>
      <c r="L37" s="265" t="inlineStr">
        <is>
          <t>ZU-MFMA1OZI-12Q</t>
        </is>
      </c>
      <c r="M37" s="263" t="inlineStr">
        <is>
          <t>2OD43VAH</t>
        </is>
      </c>
      <c r="N37" s="264" t="inlineStr">
        <is>
          <t>F.MFM.12Q.010.AD</t>
        </is>
      </c>
      <c r="O37" s="266" t="n"/>
      <c r="P37" s="266" t="n"/>
      <c r="Q37" s="267">
        <f>IFERROR(R37/H37, 0)</f>
        <v/>
      </c>
      <c r="R37" s="268" t="n">
        <v>36097.6</v>
      </c>
      <c r="S37" s="269" t="n">
        <v>18056</v>
      </c>
      <c r="T37" s="269">
        <f>IFERROR(S37*R37, 0)</f>
        <v/>
      </c>
      <c r="U37" s="270" t="n"/>
      <c r="V37" s="271" t="n"/>
      <c r="W37" s="272" t="n"/>
      <c r="X37" s="263" t="n"/>
      <c r="Y37" s="271" t="n"/>
      <c r="Z37" s="261" t="n"/>
    </row>
    <row r="38" ht="17.1" customHeight="1" s="223">
      <c r="A38" s="258" t="n"/>
      <c r="B38" s="259" t="n"/>
      <c r="C38" s="260" t="n"/>
      <c r="D38" s="260" t="n"/>
      <c r="E38" s="261" t="n"/>
      <c r="F38" s="262" t="n"/>
      <c r="G38" s="261" t="n"/>
      <c r="H38" s="263" t="n">
        <v>1</v>
      </c>
      <c r="I38" s="263" t="inlineStr">
        <is>
          <t>TXGU583994</t>
        </is>
      </c>
      <c r="J38" s="263" t="inlineStr">
        <is>
          <t>40FT</t>
        </is>
      </c>
      <c r="K38" s="264" t="inlineStr">
        <is>
          <t>94042120 HE:0 - 1.0000 PIECE (PCE) - INDONESIA (ID) 53.9 - 10IN AIRFLOW GEL FOAM MATT QN</t>
        </is>
      </c>
      <c r="L38" s="265" t="inlineStr">
        <is>
          <t>ZU- - 22.9100 Kg - KAB. TANGERANG (3603) MFMA1RZI-10Q</t>
        </is>
      </c>
      <c r="M38" s="263" t="inlineStr">
        <is>
          <t>2OD43VAH</t>
        </is>
      </c>
      <c r="N38" s="264" t="inlineStr">
        <is>
          <t>-</t>
        </is>
      </c>
      <c r="O38" s="266" t="n"/>
      <c r="P38" s="266" t="n"/>
      <c r="Q38" s="267">
        <f>IFERROR(R38/H38, 0)</f>
        <v/>
      </c>
      <c r="R38" s="268" t="n">
        <v>36097.6</v>
      </c>
      <c r="S38" s="269" t="n">
        <v>18056</v>
      </c>
      <c r="T38" s="269">
        <f>IFERROR(S38*R38, 0)</f>
        <v/>
      </c>
      <c r="U38" s="270" t="n"/>
      <c r="V38" s="271" t="n"/>
      <c r="W38" s="272" t="n"/>
      <c r="X38" s="263" t="n"/>
      <c r="Y38" s="271" t="n"/>
      <c r="Z38" s="261" t="n"/>
    </row>
    <row r="39" ht="16.2" customHeight="1" s="223" thickBot="1">
      <c r="A39" s="258" t="n"/>
      <c r="B39" s="259" t="n"/>
      <c r="C39" s="260" t="n"/>
      <c r="D39" s="260" t="n"/>
      <c r="E39" s="261" t="n"/>
      <c r="F39" s="262" t="n"/>
      <c r="G39" s="261" t="n"/>
      <c r="H39" s="263" t="n">
        <v>1</v>
      </c>
      <c r="I39" s="263" t="inlineStr">
        <is>
          <t>TXGU583994</t>
        </is>
      </c>
      <c r="J39" s="263" t="inlineStr">
        <is>
          <t>40FT</t>
        </is>
      </c>
      <c r="K39" s="264" t="inlineStr">
        <is>
          <t>94042120 HE:0 - 1.0000 PIECE (PCE) - INDONESIA (ID) 67.57 - 12IN AIRFLOW GEL FOAM MATT QN</t>
        </is>
      </c>
      <c r="L39" s="265" t="inlineStr">
        <is>
          <t>ZU- - 29.2000 Kg - KAB. TANGERANG (3603) MFMA1RZI-12Q</t>
        </is>
      </c>
      <c r="M39" s="263" t="inlineStr">
        <is>
          <t>2OD43VAH</t>
        </is>
      </c>
      <c r="N39" s="264" t="inlineStr">
        <is>
          <t>-</t>
        </is>
      </c>
      <c r="O39" s="266" t="n"/>
      <c r="P39" s="266" t="n"/>
      <c r="Q39" s="267">
        <f>IFERROR(R39/H39, 0)</f>
        <v/>
      </c>
      <c r="R39" s="268" t="n">
        <v>36097.6</v>
      </c>
      <c r="S39" s="269" t="n">
        <v>18056</v>
      </c>
      <c r="T39" s="269">
        <f>IFERROR(S39*R39, 0)</f>
        <v/>
      </c>
      <c r="U39" s="270" t="n"/>
      <c r="V39" s="271" t="n"/>
      <c r="W39" s="272" t="n"/>
      <c r="X39" s="263" t="n"/>
      <c r="Y39" s="271" t="n"/>
      <c r="Z39" s="261" t="n"/>
    </row>
    <row r="40" ht="16.2" customFormat="1" customHeight="1" s="17" thickTop="1">
      <c r="A40" s="258" t="n"/>
      <c r="B40" s="259" t="n"/>
      <c r="C40" s="260" t="n"/>
      <c r="D40" s="260" t="n"/>
      <c r="E40" s="261" t="n"/>
      <c r="F40" s="262" t="n"/>
      <c r="G40" s="261" t="n"/>
      <c r="H40" s="263" t="n">
        <v>1</v>
      </c>
      <c r="I40" s="263" t="inlineStr">
        <is>
          <t>TXGU583994</t>
        </is>
      </c>
      <c r="J40" s="263" t="inlineStr">
        <is>
          <t>40FT</t>
        </is>
      </c>
      <c r="K40" s="264" t="inlineStr">
        <is>
          <t>94042120 HE:0 - 1.0000 PIECE (PCE) - INDONESIA (ID) 59.1 - 8IN GREEN TEA MF MATTRESS SQ</t>
        </is>
      </c>
      <c r="L40" s="265" t="inlineStr">
        <is>
          <t>ZU- - 18.2300 Kg - KAB. TANGERANG (3603) MFMA1ZZI-08S</t>
        </is>
      </c>
      <c r="M40" s="263" t="inlineStr">
        <is>
          <t>2OD43VAH</t>
        </is>
      </c>
      <c r="N40" s="264" t="inlineStr">
        <is>
          <t>-</t>
        </is>
      </c>
      <c r="O40" s="266" t="n"/>
      <c r="P40" s="266" t="n"/>
      <c r="Q40" s="267">
        <f>IFERROR(R40/H40, 0)</f>
        <v/>
      </c>
      <c r="R40" s="268" t="n">
        <v>36097.6</v>
      </c>
      <c r="S40" s="269" t="n">
        <v>18056</v>
      </c>
      <c r="T40" s="269">
        <f>IFERROR(S40*R40, 0)</f>
        <v/>
      </c>
      <c r="U40" s="270" t="n"/>
      <c r="V40" s="271" t="n"/>
      <c r="W40" s="272" t="n"/>
      <c r="X40" s="263" t="n"/>
      <c r="Y40" s="271" t="n"/>
      <c r="Z40" s="261" t="n"/>
    </row>
    <row r="41">
      <c r="A41" s="258" t="n"/>
      <c r="B41" s="259" t="n"/>
      <c r="C41" s="260" t="n"/>
      <c r="D41" s="260" t="n"/>
      <c r="E41" s="261" t="n"/>
      <c r="F41" s="262" t="n"/>
      <c r="G41" s="261" t="n"/>
      <c r="H41" s="263" t="n">
        <v>368</v>
      </c>
      <c r="I41" s="263" t="inlineStr">
        <is>
          <t>TXGU583994</t>
        </is>
      </c>
      <c r="J41" s="263" t="inlineStr">
        <is>
          <t>40FT</t>
        </is>
      </c>
      <c r="K41" s="264" t="inlineStr">
        <is>
          <t>94042120 HE:0 - 368.0000 PIECE (PCE) - INDONESIA (ID) 14,326.24 - 8IN OPP HD FL</t>
        </is>
      </c>
      <c r="L41" s="265" t="inlineStr">
        <is>
          <t>ZU-MFMA1OZI-08F</t>
        </is>
      </c>
      <c r="M41" s="263" t="inlineStr">
        <is>
          <t>2XLW4FKE</t>
        </is>
      </c>
      <c r="N41" s="264" t="inlineStr">
        <is>
          <t>F.MFM.08F.013.AD</t>
        </is>
      </c>
      <c r="O41" s="266" t="n"/>
      <c r="P41" s="266" t="n"/>
      <c r="Q41" s="267">
        <f>IFERROR(R41/H41, 0)</f>
        <v/>
      </c>
      <c r="R41" s="268" t="n">
        <v>36097.6</v>
      </c>
      <c r="S41" s="269" t="n">
        <v>18056</v>
      </c>
      <c r="T41" s="269">
        <f>IFERROR(S41*R41, 0)</f>
        <v/>
      </c>
      <c r="U41" s="270" t="n"/>
      <c r="V41" s="271" t="n"/>
      <c r="W41" s="272" t="n"/>
      <c r="X41" s="263" t="n"/>
      <c r="Y41" s="271" t="n"/>
      <c r="Z41" s="261" t="n"/>
    </row>
    <row r="42">
      <c r="A42" s="258" t="n"/>
      <c r="B42" s="259" t="n"/>
      <c r="C42" s="260" t="n"/>
      <c r="D42" s="260" t="n"/>
      <c r="E42" s="261" t="n"/>
      <c r="F42" s="262" t="n"/>
      <c r="G42" s="261" t="n"/>
      <c r="H42" s="263" t="n">
        <v>198</v>
      </c>
      <c r="I42" s="263" t="inlineStr">
        <is>
          <t>TXGU583994</t>
        </is>
      </c>
      <c r="J42" s="263" t="inlineStr">
        <is>
          <t>40FT</t>
        </is>
      </c>
      <c r="K42" s="264" t="inlineStr">
        <is>
          <t>94042120 HE:0 - 198.0000 PIECE (PCE) - INDONESIA (ID) 13,378.86 - 12IN OPP HD QN</t>
        </is>
      </c>
      <c r="L42" s="265" t="inlineStr">
        <is>
          <t>ZU-MFMA1OZI-12Q</t>
        </is>
      </c>
      <c r="M42" s="263" t="inlineStr">
        <is>
          <t>2XLW4FKE</t>
        </is>
      </c>
      <c r="N42" s="264" t="inlineStr">
        <is>
          <t>F.MFM.12Q.010.AD</t>
        </is>
      </c>
      <c r="O42" s="266" t="n"/>
      <c r="P42" s="266" t="n"/>
      <c r="Q42" s="267">
        <f>IFERROR(R42/H42, 0)</f>
        <v/>
      </c>
      <c r="R42" s="268" t="n">
        <v>36097.6</v>
      </c>
      <c r="S42" s="269" t="n">
        <v>18056</v>
      </c>
      <c r="T42" s="269">
        <f>IFERROR(S42*R42, 0)</f>
        <v/>
      </c>
      <c r="U42" s="270" t="n"/>
      <c r="V42" s="271" t="n"/>
      <c r="W42" s="272" t="n"/>
      <c r="X42" s="263" t="n"/>
      <c r="Y42" s="271" t="n"/>
      <c r="Z42" s="261" t="n"/>
    </row>
    <row r="43">
      <c r="A43" s="258" t="n"/>
      <c r="B43" s="259" t="n"/>
      <c r="C43" s="260" t="n"/>
      <c r="D43" s="260" t="n"/>
      <c r="E43" s="261" t="n"/>
      <c r="F43" s="262" t="n"/>
      <c r="G43" s="261" t="n"/>
      <c r="H43" s="263" t="n">
        <v>56</v>
      </c>
      <c r="I43" s="263" t="inlineStr">
        <is>
          <t>TXGU583994</t>
        </is>
      </c>
      <c r="J43" s="263" t="inlineStr">
        <is>
          <t>40FT</t>
        </is>
      </c>
      <c r="K43" s="264" t="inlineStr">
        <is>
          <t>94042120 HE:0 - 56.0000 PIECE (PCE) - INDONESIA (ID) 3,264.8 - 12IN GREEN TEA MF MATTRESS TX</t>
        </is>
      </c>
      <c r="L43" s="265" t="inlineStr">
        <is>
          <t>ZU- - 1,058.9600 Kg - KAB. TANGERANG (3603) MFMA1ZZI-12X</t>
        </is>
      </c>
      <c r="M43" s="263" t="inlineStr">
        <is>
          <t>2XLW4FKE</t>
        </is>
      </c>
      <c r="N43" s="264" t="inlineStr">
        <is>
          <t>-</t>
        </is>
      </c>
      <c r="O43" s="266" t="n"/>
      <c r="P43" s="266" t="n"/>
      <c r="Q43" s="267">
        <f>IFERROR(R43/H43, 0)</f>
        <v/>
      </c>
      <c r="R43" s="268" t="n">
        <v>36097.6</v>
      </c>
      <c r="S43" s="269" t="n">
        <v>18056</v>
      </c>
      <c r="T43" s="269">
        <f>IFERROR(S43*R43, 0)</f>
        <v/>
      </c>
      <c r="U43" s="270" t="n"/>
      <c r="V43" s="271" t="n"/>
      <c r="W43" s="272" t="n"/>
      <c r="X43" s="263" t="n"/>
      <c r="Y43" s="271" t="n"/>
      <c r="Z43" s="261" t="n"/>
    </row>
    <row r="44">
      <c r="A44" s="258" t="n"/>
      <c r="B44" s="259" t="n"/>
      <c r="C44" s="260" t="n"/>
      <c r="D44" s="260" t="n"/>
      <c r="E44" s="261" t="n"/>
      <c r="F44" s="262" t="n"/>
      <c r="G44" s="261" t="n"/>
      <c r="H44" s="263" t="n">
        <v>1</v>
      </c>
      <c r="I44" s="263" t="inlineStr">
        <is>
          <t>TXGU583994</t>
        </is>
      </c>
      <c r="J44" s="263" t="inlineStr">
        <is>
          <t>40FT</t>
        </is>
      </c>
      <c r="K44" s="264" t="inlineStr">
        <is>
          <t>94042120 HE:0 - 1.0000 PIECE (PCE) - INDONESIA (ID) 23.95 - 5IN OPP HD TW</t>
        </is>
      </c>
      <c r="L44" s="265" t="inlineStr">
        <is>
          <t>ZU-MFMA1OZI-05T</t>
        </is>
      </c>
      <c r="M44" s="263" t="inlineStr">
        <is>
          <t>4JWS37TM</t>
        </is>
      </c>
      <c r="N44" s="264" t="inlineStr">
        <is>
          <t>F.MFM.05T.008.AD</t>
        </is>
      </c>
      <c r="O44" s="266" t="n"/>
      <c r="P44" s="266" t="n"/>
      <c r="Q44" s="267">
        <f>IFERROR(R44/H44, 0)</f>
        <v/>
      </c>
      <c r="R44" s="268" t="n">
        <v>36097.6</v>
      </c>
      <c r="S44" s="269" t="n">
        <v>18056</v>
      </c>
      <c r="T44" s="269">
        <f>IFERROR(S44*R44, 0)</f>
        <v/>
      </c>
      <c r="U44" s="270" t="n"/>
      <c r="V44" s="271" t="n"/>
      <c r="W44" s="272" t="n"/>
      <c r="X44" s="263" t="n"/>
      <c r="Y44" s="271" t="n"/>
      <c r="Z44" s="261" t="n"/>
    </row>
    <row r="45">
      <c r="A45" s="258" t="n"/>
      <c r="B45" s="259" t="n"/>
      <c r="C45" s="260" t="n"/>
      <c r="D45" s="260" t="n"/>
      <c r="E45" s="261" t="n"/>
      <c r="F45" s="262" t="n"/>
      <c r="G45" s="261" t="n"/>
      <c r="H45" s="263" t="n">
        <v>1138</v>
      </c>
      <c r="I45" s="263" t="inlineStr">
        <is>
          <t>TXGU583994</t>
        </is>
      </c>
      <c r="J45" s="263" t="inlineStr">
        <is>
          <t>40FT</t>
        </is>
      </c>
      <c r="K45" s="264" t="inlineStr">
        <is>
          <t>94042120 HE:0 - 1,138.0000 PIECE (PCE) - INDONESIA (ID) 26,925.08 - 5IN GREEN TEA MF MATTRESS TW</t>
        </is>
      </c>
      <c r="L45" s="265" t="inlineStr">
        <is>
          <t>ZU- - 10,583.4000 Kg - KAB. TANGERANG (3603) MFMA1ZZI-05T</t>
        </is>
      </c>
      <c r="M45" s="263" t="inlineStr">
        <is>
          <t>4JWS37TM</t>
        </is>
      </c>
      <c r="N45" s="264" t="inlineStr">
        <is>
          <t>-</t>
        </is>
      </c>
      <c r="O45" s="266" t="n"/>
      <c r="P45" s="266" t="n"/>
      <c r="Q45" s="267">
        <f>IFERROR(R45/H45, 0)</f>
        <v/>
      </c>
      <c r="R45" s="268" t="n">
        <v>36097.6</v>
      </c>
      <c r="S45" s="269" t="n">
        <v>18056</v>
      </c>
      <c r="T45" s="269">
        <f>IFERROR(S45*R45, 0)</f>
        <v/>
      </c>
      <c r="U45" s="270" t="n"/>
      <c r="V45" s="271" t="n"/>
      <c r="W45" s="272" t="n"/>
      <c r="X45" s="263" t="n"/>
      <c r="Y45" s="271" t="n"/>
      <c r="Z45" s="261" t="n"/>
    </row>
    <row r="46">
      <c r="A46" s="273" t="n"/>
      <c r="B46" s="274" t="n"/>
      <c r="C46" s="275" t="n"/>
      <c r="D46" s="275" t="n"/>
      <c r="E46" s="276" t="n"/>
      <c r="F46" s="276" t="n"/>
      <c r="G46" s="276" t="n"/>
      <c r="H46" s="277">
        <f>SUM(H19:H45)</f>
        <v/>
      </c>
      <c r="I46" s="278">
        <f>COUNTA(I19:I45)</f>
        <v/>
      </c>
      <c r="J46" s="277" t="n"/>
      <c r="K46" s="277" t="n"/>
      <c r="L46" s="279" t="n"/>
      <c r="M46" s="277" t="n"/>
      <c r="N46" s="277" t="n"/>
      <c r="O46" s="280">
        <f>SUM(O19:O45)</f>
        <v/>
      </c>
      <c r="P46" s="280">
        <f>SUM(P19:P45)</f>
        <v/>
      </c>
      <c r="Q46" s="281" t="n"/>
      <c r="R46" s="282">
        <f>SUM(R19:R45)</f>
        <v/>
      </c>
      <c r="S46" s="283" t="n"/>
      <c r="T46" s="283">
        <f>SUM(T19:T45)</f>
        <v/>
      </c>
      <c r="U46" s="277" t="n"/>
      <c r="V46" s="284" t="n"/>
      <c r="W46" s="285" t="n"/>
      <c r="X46" s="284" t="n"/>
      <c r="Y46" s="284" t="n"/>
      <c r="Z46" s="284" t="n"/>
    </row>
    <row r="47">
      <c r="A47" s="258" t="n">
        <v>5</v>
      </c>
      <c r="B47" s="259" t="inlineStr">
        <is>
          <t>000030ZIK4802026072100498</t>
        </is>
      </c>
      <c r="C47" s="260" t="n">
        <v>450575</v>
      </c>
      <c r="D47" s="260" t="n">
        <v>450525</v>
      </c>
      <c r="E47" s="261" t="n">
        <v>46225</v>
      </c>
      <c r="F47" s="262" t="inlineStr">
        <is>
          <t>ID2607-7886</t>
        </is>
      </c>
      <c r="G47" s="261" t="n">
        <v>46223</v>
      </c>
      <c r="H47" s="263" t="n">
        <v>966</v>
      </c>
      <c r="I47" s="263" t="inlineStr">
        <is>
          <t>TXGU584005</t>
        </is>
      </c>
      <c r="J47" s="263" t="inlineStr">
        <is>
          <t>40FT</t>
        </is>
      </c>
      <c r="K47" s="264" t="inlineStr">
        <is>
          <t>94042120 HE:0 - 966.0000 PIECE (PCE) - INDONESIA (ID) 28,922.04 - 8IN OPP HD TW</t>
        </is>
      </c>
      <c r="L47" s="265" t="inlineStr">
        <is>
          <t>ZU-MFMA1OZI-08T</t>
        </is>
      </c>
      <c r="M47" s="263" t="inlineStr">
        <is>
          <t>3NDHMI4R</t>
        </is>
      </c>
      <c r="N47" s="264" t="inlineStr">
        <is>
          <t>F.MFM.08T.013.AD</t>
        </is>
      </c>
      <c r="O47" s="266" t="n">
        <v>59508.26</v>
      </c>
      <c r="P47" s="266" t="n">
        <v>53820.16</v>
      </c>
      <c r="Q47" s="267">
        <f>IFERROR(R47/H47, 0)</f>
        <v/>
      </c>
      <c r="R47" s="268" t="n">
        <v>40018</v>
      </c>
      <c r="S47" s="269" t="n">
        <v>18056</v>
      </c>
      <c r="T47" s="269">
        <f>IFERROR(S47*R47, 0)</f>
        <v/>
      </c>
      <c r="U47" s="270" t="inlineStr">
        <is>
          <t>PEMUATAN</t>
        </is>
      </c>
      <c r="V47" s="271" t="inlineStr">
        <is>
          <t>TANJUNG PRIOK</t>
        </is>
      </c>
      <c r="W47" s="272" t="inlineStr">
        <is>
          <t>Ekspor</t>
        </is>
      </c>
      <c r="X47" s="263" t="inlineStr"/>
      <c r="Y47" s="271" t="inlineStr">
        <is>
          <t>EGLV080600441905</t>
        </is>
      </c>
      <c r="Z47" s="261" t="n">
        <v>46225</v>
      </c>
    </row>
    <row r="48">
      <c r="A48" s="258" t="n"/>
      <c r="B48" s="259" t="n"/>
      <c r="C48" s="260" t="n"/>
      <c r="D48" s="260" t="n"/>
      <c r="E48" s="261" t="n"/>
      <c r="F48" s="262" t="n"/>
      <c r="G48" s="261" t="n"/>
      <c r="H48" s="263" t="n">
        <v>1145</v>
      </c>
      <c r="I48" s="263" t="inlineStr">
        <is>
          <t>TXGU584005</t>
        </is>
      </c>
      <c r="J48" s="263" t="inlineStr">
        <is>
          <t>40FT</t>
        </is>
      </c>
      <c r="K48" s="264" t="inlineStr">
        <is>
          <t>94042120 HE:0 - 1,145.0000 PIECE (PCE) - INDONESIA (ID) 27,090.7 - 5IN GREEN TEA MF MATTRESS TW</t>
        </is>
      </c>
      <c r="L48" s="265" t="inlineStr">
        <is>
          <t>ZU- - 10,648.5000 Kg - KAB. TANGERANG (3603) MFMA1ZZI-05T</t>
        </is>
      </c>
      <c r="M48" s="263" t="inlineStr">
        <is>
          <t>4I3CD5IH</t>
        </is>
      </c>
      <c r="N48" s="264" t="inlineStr">
        <is>
          <t>-</t>
        </is>
      </c>
      <c r="O48" s="266" t="n"/>
      <c r="P48" s="266" t="n"/>
      <c r="Q48" s="267">
        <f>IFERROR(R48/H48, 0)</f>
        <v/>
      </c>
      <c r="R48" s="268" t="n">
        <v>40018</v>
      </c>
      <c r="S48" s="269" t="n">
        <v>18056</v>
      </c>
      <c r="T48" s="269">
        <f>IFERROR(S48*R48, 0)</f>
        <v/>
      </c>
      <c r="U48" s="270" t="n"/>
      <c r="V48" s="271" t="n"/>
      <c r="W48" s="272" t="inlineStr">
        <is>
          <t>ETD : 27-07-2026</t>
        </is>
      </c>
      <c r="X48" s="263" t="n"/>
      <c r="Y48" s="271" t="n"/>
      <c r="Z48" s="261" t="n"/>
    </row>
    <row r="49">
      <c r="A49" s="258" t="n"/>
      <c r="B49" s="259" t="n"/>
      <c r="C49" s="260" t="n"/>
      <c r="D49" s="260" t="n"/>
      <c r="E49" s="261" t="n"/>
      <c r="F49" s="262" t="n"/>
      <c r="G49" s="261" t="n"/>
      <c r="H49" s="263" t="n">
        <v>1144</v>
      </c>
      <c r="I49" s="263" t="inlineStr">
        <is>
          <t>TXGU584005</t>
        </is>
      </c>
      <c r="J49" s="263" t="inlineStr">
        <is>
          <t>40FT</t>
        </is>
      </c>
      <c r="K49" s="264" t="inlineStr">
        <is>
          <t>94042120 HE:0 - 1,144.0000 PIECE (PCE) - INDONESIA (ID) 27,067.04 - 5IN GREEN TEA MF MATTRESS TW</t>
        </is>
      </c>
      <c r="L49" s="265" t="inlineStr">
        <is>
          <t>ZU- - 10,639.2000 Kg - KAB. TANGERANG (3603) MFMA1ZZI-05T</t>
        </is>
      </c>
      <c r="M49" s="263" t="inlineStr">
        <is>
          <t>88Y96MHS</t>
        </is>
      </c>
      <c r="N49" s="264" t="inlineStr">
        <is>
          <t>-</t>
        </is>
      </c>
      <c r="O49" s="266" t="n"/>
      <c r="P49" s="266" t="n"/>
      <c r="Q49" s="267">
        <f>IFERROR(R49/H49, 0)</f>
        <v/>
      </c>
      <c r="R49" s="268" t="n">
        <v>40018</v>
      </c>
      <c r="S49" s="269" t="n">
        <v>18056</v>
      </c>
      <c r="T49" s="269">
        <f>IFERROR(S49*R49, 0)</f>
        <v/>
      </c>
      <c r="U49" s="270" t="n"/>
      <c r="V49" s="271" t="n"/>
      <c r="W49" s="272" t="n"/>
      <c r="X49" s="263" t="n"/>
      <c r="Y49" s="271" t="n"/>
      <c r="Z49" s="261" t="n"/>
    </row>
    <row r="50">
      <c r="A50" s="258" t="n"/>
      <c r="B50" s="259" t="n"/>
      <c r="C50" s="260" t="n"/>
      <c r="D50" s="260" t="n"/>
      <c r="E50" s="261" t="n"/>
      <c r="F50" s="262" t="n"/>
      <c r="G50" s="261" t="n"/>
      <c r="H50" s="263" t="n">
        <v>502</v>
      </c>
      <c r="I50" s="263" t="inlineStr">
        <is>
          <t>TXGU584005</t>
        </is>
      </c>
      <c r="J50" s="263" t="inlineStr">
        <is>
          <t>40FT</t>
        </is>
      </c>
      <c r="K50" s="264" t="inlineStr">
        <is>
          <t>94042120 HE:0 - 502.0000 PIECE (PCE) - INDONESIA (ID) 42,062.58 - 12IN GREEN TEA MF MATTRESS QN</t>
        </is>
      </c>
      <c r="L50" s="265" t="inlineStr">
        <is>
          <t>ZU- - 14,196.5600 Kg - KAB. TANGERANG (3603) MFMA1ZZI-12Q</t>
        </is>
      </c>
      <c r="M50" s="263" t="inlineStr">
        <is>
          <t>8B4RWISK</t>
        </is>
      </c>
      <c r="N50" s="264" t="inlineStr">
        <is>
          <t>-</t>
        </is>
      </c>
      <c r="O50" s="266" t="n"/>
      <c r="P50" s="266" t="n"/>
      <c r="Q50" s="267">
        <f>IFERROR(R50/H50, 0)</f>
        <v/>
      </c>
      <c r="R50" s="268" t="n">
        <v>40018</v>
      </c>
      <c r="S50" s="269" t="n">
        <v>18056</v>
      </c>
      <c r="T50" s="269">
        <f>IFERROR(S50*R50, 0)</f>
        <v/>
      </c>
      <c r="U50" s="270" t="n"/>
      <c r="V50" s="271" t="n"/>
      <c r="W50" s="272" t="n"/>
      <c r="X50" s="263" t="n"/>
      <c r="Y50" s="271" t="n"/>
      <c r="Z50" s="261" t="n"/>
    </row>
    <row r="51">
      <c r="A51" s="258" t="n"/>
      <c r="B51" s="259" t="n"/>
      <c r="C51" s="260" t="n"/>
      <c r="D51" s="260" t="n"/>
      <c r="E51" s="261" t="n"/>
      <c r="F51" s="262" t="n"/>
      <c r="G51" s="261" t="n"/>
      <c r="H51" s="263" t="n">
        <v>3</v>
      </c>
      <c r="I51" s="263" t="inlineStr">
        <is>
          <t>TXGU584005</t>
        </is>
      </c>
      <c r="J51" s="263" t="inlineStr">
        <is>
          <t>40FT</t>
        </is>
      </c>
      <c r="K51" s="264" t="inlineStr">
        <is>
          <t>94042120 HE:0 - 3.0000 PIECE (PCE) - INDONESIA (ID) 116.79 - 8IN OPP HD FL</t>
        </is>
      </c>
      <c r="L51" s="265" t="inlineStr">
        <is>
          <t>ZU-MFMA1OZI-08F</t>
        </is>
      </c>
      <c r="M51" s="263" t="inlineStr">
        <is>
          <t>8GO2PUDD</t>
        </is>
      </c>
      <c r="N51" s="264" t="inlineStr">
        <is>
          <t>F.MFM.08F.013.AD</t>
        </is>
      </c>
      <c r="O51" s="266" t="n"/>
      <c r="P51" s="266" t="n"/>
      <c r="Q51" s="267">
        <f>IFERROR(R51/H51, 0)</f>
        <v/>
      </c>
      <c r="R51" s="268" t="n">
        <v>40018</v>
      </c>
      <c r="S51" s="269" t="n">
        <v>18056</v>
      </c>
      <c r="T51" s="269">
        <f>IFERROR(S51*R51, 0)</f>
        <v/>
      </c>
      <c r="U51" s="270" t="n"/>
      <c r="V51" s="271" t="n"/>
      <c r="W51" s="272" t="n"/>
      <c r="X51" s="263" t="n"/>
      <c r="Y51" s="271" t="n"/>
      <c r="Z51" s="261" t="n"/>
    </row>
    <row r="52">
      <c r="A52" s="258" t="n"/>
      <c r="B52" s="259" t="n"/>
      <c r="C52" s="260" t="n"/>
      <c r="D52" s="260" t="n"/>
      <c r="E52" s="261" t="n"/>
      <c r="F52" s="262" t="n"/>
      <c r="G52" s="261" t="n"/>
      <c r="H52" s="263" t="n">
        <v>400</v>
      </c>
      <c r="I52" s="263" t="inlineStr">
        <is>
          <t>TXGU584005</t>
        </is>
      </c>
      <c r="J52" s="263" t="inlineStr">
        <is>
          <t>40FT</t>
        </is>
      </c>
      <c r="K52" s="264" t="inlineStr">
        <is>
          <t>94042120 HE:0 - 400.0000 PIECE (PCE) - INDONESIA (ID) 14,372 - 8IN GREEN TEA MF MATTRESS TW</t>
        </is>
      </c>
      <c r="L52" s="265" t="inlineStr">
        <is>
          <t>ZU- - 4,844.0000 Kg - KAB. TANGERANG (3603) MFMA1ZZI-08T</t>
        </is>
      </c>
      <c r="M52" s="263" t="inlineStr">
        <is>
          <t>8GO2PUDD</t>
        </is>
      </c>
      <c r="N52" s="264" t="inlineStr">
        <is>
          <t>-</t>
        </is>
      </c>
      <c r="O52" s="266" t="n"/>
      <c r="P52" s="266" t="n"/>
      <c r="Q52" s="267">
        <f>IFERROR(R52/H52, 0)</f>
        <v/>
      </c>
      <c r="R52" s="268" t="n">
        <v>40018</v>
      </c>
      <c r="S52" s="269" t="n">
        <v>18056</v>
      </c>
      <c r="T52" s="269">
        <f>IFERROR(S52*R52, 0)</f>
        <v/>
      </c>
      <c r="U52" s="270" t="n"/>
      <c r="V52" s="271" t="n"/>
      <c r="W52" s="272" t="n"/>
      <c r="X52" s="263" t="n"/>
      <c r="Y52" s="271" t="n"/>
      <c r="Z52" s="261" t="n"/>
    </row>
    <row r="53">
      <c r="A53" s="258" t="n"/>
      <c r="B53" s="259" t="n"/>
      <c r="C53" s="260" t="n"/>
      <c r="D53" s="260" t="n"/>
      <c r="E53" s="261" t="n"/>
      <c r="F53" s="262" t="n"/>
      <c r="G53" s="261" t="n"/>
      <c r="H53" s="263" t="n">
        <v>206</v>
      </c>
      <c r="I53" s="263" t="inlineStr">
        <is>
          <t>TXGU584005</t>
        </is>
      </c>
      <c r="J53" s="263" t="inlineStr">
        <is>
          <t>40FT</t>
        </is>
      </c>
      <c r="K53" s="264" t="inlineStr">
        <is>
          <t>94042120 HE:0 - 206.0000 PIECE (PCE) - INDONESIA (ID) 17,260.74 - 12IN GREEN TEA MF MATTRESS QN</t>
        </is>
      </c>
      <c r="L53" s="265" t="inlineStr">
        <is>
          <t>ZU- - 5,825.6800 Kg - KAB. TANGERANG (3603) MFMA1ZZI-12Q</t>
        </is>
      </c>
      <c r="M53" s="263" t="inlineStr">
        <is>
          <t>8GO2PUDD</t>
        </is>
      </c>
      <c r="N53" s="264" t="inlineStr">
        <is>
          <t>-</t>
        </is>
      </c>
      <c r="O53" s="266" t="n"/>
      <c r="P53" s="266" t="n"/>
      <c r="Q53" s="267">
        <f>IFERROR(R53/H53, 0)</f>
        <v/>
      </c>
      <c r="R53" s="268" t="n">
        <v>40018</v>
      </c>
      <c r="S53" s="269" t="n">
        <v>18056</v>
      </c>
      <c r="T53" s="269">
        <f>IFERROR(S53*R53, 0)</f>
        <v/>
      </c>
      <c r="U53" s="270" t="n"/>
      <c r="V53" s="271" t="n"/>
      <c r="W53" s="272" t="n"/>
      <c r="X53" s="263" t="n"/>
      <c r="Y53" s="271" t="n"/>
      <c r="Z53" s="261" t="n"/>
    </row>
    <row r="54">
      <c r="A54" s="258" t="n"/>
      <c r="B54" s="259" t="n"/>
      <c r="C54" s="260" t="n"/>
      <c r="D54" s="260" t="n"/>
      <c r="E54" s="261" t="n"/>
      <c r="F54" s="262" t="n"/>
      <c r="G54" s="261" t="n"/>
      <c r="H54" s="263" t="n">
        <v>605</v>
      </c>
      <c r="I54" s="263" t="inlineStr">
        <is>
          <t>TXGU584005</t>
        </is>
      </c>
      <c r="J54" s="263" t="inlineStr">
        <is>
          <t>40FT</t>
        </is>
      </c>
      <c r="K54" s="264" t="inlineStr">
        <is>
          <t>94042120 HE:0 - 605.0000 PIECE (PCE) - INDONESIA (ID) 18,113.7 - 8IN OPP HD TW</t>
        </is>
      </c>
      <c r="L54" s="265" t="inlineStr">
        <is>
          <t>ZU-MFMA1OZI-08T</t>
        </is>
      </c>
      <c r="M54" s="263" t="inlineStr">
        <is>
          <t>8VH5JQ8T</t>
        </is>
      </c>
      <c r="N54" s="264" t="inlineStr">
        <is>
          <t>F.MFM.08T.013.AD</t>
        </is>
      </c>
      <c r="O54" s="266" t="n"/>
      <c r="P54" s="266" t="n"/>
      <c r="Q54" s="267">
        <f>IFERROR(R54/H54, 0)</f>
        <v/>
      </c>
      <c r="R54" s="268" t="n">
        <v>40018</v>
      </c>
      <c r="S54" s="269" t="n">
        <v>18056</v>
      </c>
      <c r="T54" s="269">
        <f>IFERROR(S54*R54, 0)</f>
        <v/>
      </c>
      <c r="U54" s="270" t="n"/>
      <c r="V54" s="271" t="n"/>
      <c r="W54" s="272" t="n"/>
      <c r="X54" s="263" t="n"/>
      <c r="Y54" s="271" t="n"/>
      <c r="Z54" s="261" t="n"/>
    </row>
    <row r="55">
      <c r="A55" s="258" t="n"/>
      <c r="B55" s="259" t="n"/>
      <c r="C55" s="260" t="n"/>
      <c r="D55" s="260" t="n"/>
      <c r="E55" s="261" t="n"/>
      <c r="F55" s="262" t="n"/>
      <c r="G55" s="261" t="n"/>
      <c r="H55" s="263" t="n">
        <v>427</v>
      </c>
      <c r="I55" s="263" t="inlineStr">
        <is>
          <t>TXGU584005</t>
        </is>
      </c>
      <c r="J55" s="263" t="inlineStr">
        <is>
          <t>40FT</t>
        </is>
      </c>
      <c r="K55" s="264" t="inlineStr">
        <is>
          <t>94042120 HE:0 - 427.0000 PIECE (PCE) - INDONESIA (ID) 10,102.82 - 5IN GREEN TEA MF MATTRESS TW</t>
        </is>
      </c>
      <c r="L55" s="265" t="inlineStr">
        <is>
          <t>ZU- - 3,971.1000 Kg - KAB. TANGERANG (3603) MFMA1ZZI-05T</t>
        </is>
      </c>
      <c r="M55" s="263" t="inlineStr">
        <is>
          <t>8VH5JQ8T</t>
        </is>
      </c>
      <c r="N55" s="264" t="inlineStr">
        <is>
          <t>-</t>
        </is>
      </c>
      <c r="O55" s="266" t="n"/>
      <c r="P55" s="266" t="n"/>
      <c r="Q55" s="267">
        <f>IFERROR(R55/H55, 0)</f>
        <v/>
      </c>
      <c r="R55" s="268" t="n">
        <v>40018</v>
      </c>
      <c r="S55" s="269" t="n">
        <v>18056</v>
      </c>
      <c r="T55" s="269">
        <f>IFERROR(S55*R55, 0)</f>
        <v/>
      </c>
      <c r="U55" s="270" t="n"/>
      <c r="V55" s="271" t="n"/>
      <c r="W55" s="272" t="n"/>
      <c r="X55" s="263" t="n"/>
      <c r="Y55" s="271" t="n"/>
      <c r="Z55" s="261" t="n"/>
    </row>
    <row r="56">
      <c r="A56" s="258" t="n"/>
      <c r="B56" s="259" t="n"/>
      <c r="C56" s="260" t="n"/>
      <c r="D56" s="260" t="n"/>
      <c r="E56" s="261" t="n"/>
      <c r="F56" s="262" t="n"/>
      <c r="G56" s="261" t="n"/>
      <c r="H56" s="263" t="n">
        <v>1</v>
      </c>
      <c r="I56" s="263" t="inlineStr">
        <is>
          <t>TXGU584005</t>
        </is>
      </c>
      <c r="J56" s="263" t="inlineStr">
        <is>
          <t>40FT</t>
        </is>
      </c>
      <c r="K56" s="264" t="inlineStr">
        <is>
          <t>94042120 HE:0 - 1.0000 PIECE (PCE) - INDONESIA (ID) 83.79 - 12IN GREEN TEA MF MATTRESS QN</t>
        </is>
      </c>
      <c r="L56" s="265" t="inlineStr">
        <is>
          <t>ZU- - 28.2800 Kg - KAB. TANGERANG (3603) MFMA1ZZI-12Q</t>
        </is>
      </c>
      <c r="M56" s="263" t="inlineStr">
        <is>
          <t>8VH5JQ8T</t>
        </is>
      </c>
      <c r="N56" s="264" t="inlineStr">
        <is>
          <t>-</t>
        </is>
      </c>
      <c r="O56" s="266" t="n"/>
      <c r="P56" s="266" t="n"/>
      <c r="Q56" s="267">
        <f>IFERROR(R56/H56, 0)</f>
        <v/>
      </c>
      <c r="R56" s="268" t="n">
        <v>40018</v>
      </c>
      <c r="S56" s="269" t="n">
        <v>18056</v>
      </c>
      <c r="T56" s="269">
        <f>IFERROR(S56*R56, 0)</f>
        <v/>
      </c>
      <c r="U56" s="270" t="n"/>
      <c r="V56" s="271" t="n"/>
      <c r="W56" s="272" t="n"/>
      <c r="X56" s="263" t="n"/>
      <c r="Y56" s="271" t="n"/>
      <c r="Z56" s="261" t="n"/>
    </row>
    <row r="57">
      <c r="A57" s="273" t="n"/>
      <c r="B57" s="274" t="n"/>
      <c r="C57" s="275" t="n"/>
      <c r="D57" s="275" t="n"/>
      <c r="E57" s="276" t="n"/>
      <c r="F57" s="276" t="n"/>
      <c r="G57" s="276" t="n"/>
      <c r="H57" s="277">
        <f>SUM(H47:H56)</f>
        <v/>
      </c>
      <c r="I57" s="278">
        <f>COUNTA(I47:I56)</f>
        <v/>
      </c>
      <c r="J57" s="277" t="n"/>
      <c r="K57" s="277" t="n"/>
      <c r="L57" s="279" t="n"/>
      <c r="M57" s="277" t="n"/>
      <c r="N57" s="277" t="n"/>
      <c r="O57" s="280">
        <f>SUM(O47:O56)</f>
        <v/>
      </c>
      <c r="P57" s="280">
        <f>SUM(P47:P56)</f>
        <v/>
      </c>
      <c r="Q57" s="281" t="n"/>
      <c r="R57" s="282">
        <f>SUM(R47:R56)</f>
        <v/>
      </c>
      <c r="S57" s="283" t="n"/>
      <c r="T57" s="283">
        <f>SUM(T47:T56)</f>
        <v/>
      </c>
      <c r="U57" s="277" t="n"/>
      <c r="V57" s="284" t="n"/>
      <c r="W57" s="285" t="n"/>
      <c r="X57" s="284" t="n"/>
      <c r="Y57" s="284" t="n"/>
      <c r="Z57" s="284" t="n"/>
    </row>
    <row r="58">
      <c r="A58" s="258" t="n">
        <v>6</v>
      </c>
      <c r="B58" s="259" t="inlineStr">
        <is>
          <t>000030ZIK4802026072100499</t>
        </is>
      </c>
      <c r="C58" s="260" t="n">
        <v>450590</v>
      </c>
      <c r="D58" s="260" t="n">
        <v>450540</v>
      </c>
      <c r="E58" s="261" t="n">
        <v>46225</v>
      </c>
      <c r="F58" s="262" t="inlineStr">
        <is>
          <t>ID2607-7885</t>
        </is>
      </c>
      <c r="G58" s="261" t="n">
        <v>46223</v>
      </c>
      <c r="H58" s="263" t="n">
        <v>182</v>
      </c>
      <c r="I58" s="263" t="inlineStr">
        <is>
          <t>TXGU584016</t>
        </is>
      </c>
      <c r="J58" s="263" t="inlineStr">
        <is>
          <t>40FT</t>
        </is>
      </c>
      <c r="K58" s="264" t="inlineStr">
        <is>
          <t>94042120 HE:0 - 182.0000 PIECE (PCE) - INDONESIA (ID) 10,437.7 - 10IN GREEN TEA MF MATTRESS TX</t>
        </is>
      </c>
      <c r="L58" s="265" t="inlineStr">
        <is>
          <t>OLC-FMS- - 3,747.3800 Kg - KAB. TANGERANG (3603) 1000TXL-IN</t>
        </is>
      </c>
      <c r="M58" s="263" t="inlineStr">
        <is>
          <t>5FFUUH8B</t>
        </is>
      </c>
      <c r="N58" s="264" t="inlineStr">
        <is>
          <t>-</t>
        </is>
      </c>
      <c r="O58" s="266" t="n">
        <v>71144.70000000001</v>
      </c>
      <c r="P58" s="266" t="n">
        <v>64342.7</v>
      </c>
      <c r="Q58" s="267">
        <f>IFERROR(R58/H58, 0)</f>
        <v/>
      </c>
      <c r="R58" s="268" t="n">
        <v>36097.6</v>
      </c>
      <c r="S58" s="269" t="n">
        <v>18056</v>
      </c>
      <c r="T58" s="269">
        <f>IFERROR(S58*R58, 0)</f>
        <v/>
      </c>
      <c r="U58" s="270" t="inlineStr">
        <is>
          <t>PEMUATAN</t>
        </is>
      </c>
      <c r="V58" s="271" t="inlineStr">
        <is>
          <t>TANJUNG PRIOK</t>
        </is>
      </c>
      <c r="W58" s="272" t="inlineStr">
        <is>
          <t>Ekspor</t>
        </is>
      </c>
      <c r="X58" s="263" t="inlineStr"/>
      <c r="Y58" s="271" t="inlineStr">
        <is>
          <t>EGLV080600441906</t>
        </is>
      </c>
      <c r="Z58" s="261" t="n">
        <v>46225</v>
      </c>
    </row>
    <row r="59">
      <c r="A59" s="258" t="n"/>
      <c r="B59" s="259" t="n"/>
      <c r="C59" s="260" t="n"/>
      <c r="D59" s="260" t="n"/>
      <c r="E59" s="261" t="n"/>
      <c r="F59" s="262" t="n"/>
      <c r="G59" s="261" t="n"/>
      <c r="H59" s="263" t="n">
        <v>101</v>
      </c>
      <c r="I59" s="263" t="inlineStr">
        <is>
          <t>TXGU584016</t>
        </is>
      </c>
      <c r="J59" s="263" t="inlineStr">
        <is>
          <t>40FT</t>
        </is>
      </c>
      <c r="K59" s="264" t="inlineStr">
        <is>
          <t>94042120 HE:0 - 101.0000 PIECE (PCE) - INDONESIA (ID) 5,225.74 - 12IN GEL FOAM MATTRESS TW</t>
        </is>
      </c>
      <c r="L59" s="265" t="inlineStr">
        <is>
          <t>GFM-12T</t>
        </is>
      </c>
      <c r="M59" s="263" t="inlineStr">
        <is>
          <t>77K91MJU</t>
        </is>
      </c>
      <c r="N59" s="264" t="inlineStr">
        <is>
          <t>F.MFG.12T.000.BD</t>
        </is>
      </c>
      <c r="O59" s="266" t="n"/>
      <c r="P59" s="266" t="n"/>
      <c r="Q59" s="267">
        <f>IFERROR(R59/H59, 0)</f>
        <v/>
      </c>
      <c r="R59" s="268" t="n">
        <v>36097.6</v>
      </c>
      <c r="S59" s="269" t="n">
        <v>18056</v>
      </c>
      <c r="T59" s="269">
        <f>IFERROR(S59*R59, 0)</f>
        <v/>
      </c>
      <c r="U59" s="270" t="n"/>
      <c r="V59" s="271" t="n"/>
      <c r="W59" s="272" t="inlineStr">
        <is>
          <t>ETD : 27-07-2026</t>
        </is>
      </c>
      <c r="X59" s="263" t="n"/>
      <c r="Y59" s="271" t="n"/>
      <c r="Z59" s="261" t="n"/>
    </row>
    <row r="60">
      <c r="A60" s="258" t="n"/>
      <c r="B60" s="259" t="n"/>
      <c r="C60" s="260" t="n"/>
      <c r="D60" s="260" t="n"/>
      <c r="E60" s="261" t="n"/>
      <c r="F60" s="262" t="n"/>
      <c r="G60" s="261" t="n"/>
      <c r="H60" s="263" t="n">
        <v>174</v>
      </c>
      <c r="I60" s="263" t="inlineStr">
        <is>
          <t>TXGU584016</t>
        </is>
      </c>
      <c r="J60" s="263" t="inlineStr">
        <is>
          <t>40FT</t>
        </is>
      </c>
      <c r="K60" s="264" t="inlineStr">
        <is>
          <t>94042120 HE:0 - 174.0000 PIECE (PCE) - INDONESIA (ID) 9,978.9 - 10IN GREEN TEA MF MATTRESS TX</t>
        </is>
      </c>
      <c r="L60" s="265" t="inlineStr">
        <is>
          <t>OLC-FMS- - 3,582.6600 Kg - KAB. TANGERANG (3603) 1000TXL-IN</t>
        </is>
      </c>
      <c r="M60" s="263" t="inlineStr">
        <is>
          <t>77K91MJU</t>
        </is>
      </c>
      <c r="N60" s="264" t="inlineStr">
        <is>
          <t>-</t>
        </is>
      </c>
      <c r="O60" s="266" t="n"/>
      <c r="P60" s="266" t="n"/>
      <c r="Q60" s="267">
        <f>IFERROR(R60/H60, 0)</f>
        <v/>
      </c>
      <c r="R60" s="268" t="n">
        <v>36097.6</v>
      </c>
      <c r="S60" s="269" t="n">
        <v>18056</v>
      </c>
      <c r="T60" s="269">
        <f>IFERROR(S60*R60, 0)</f>
        <v/>
      </c>
      <c r="U60" s="270" t="n"/>
      <c r="V60" s="271" t="n"/>
      <c r="W60" s="272" t="n"/>
      <c r="X60" s="263" t="n"/>
      <c r="Y60" s="271" t="n"/>
      <c r="Z60" s="261" t="n"/>
    </row>
    <row r="61">
      <c r="A61" s="258" t="n"/>
      <c r="B61" s="259" t="n"/>
      <c r="C61" s="260" t="n"/>
      <c r="D61" s="260" t="n"/>
      <c r="E61" s="261" t="n"/>
      <c r="F61" s="262" t="n"/>
      <c r="G61" s="261" t="n"/>
      <c r="H61" s="263" t="n">
        <v>64</v>
      </c>
      <c r="I61" s="263" t="inlineStr">
        <is>
          <t>TXGU584016</t>
        </is>
      </c>
      <c r="J61" s="263" t="inlineStr">
        <is>
          <t>40FT</t>
        </is>
      </c>
      <c r="K61" s="264" t="inlineStr">
        <is>
          <t>94042120 HE:0 - 64.0000 PIECE (PCE) - INDONESIA (ID) 3,311.36 - 12IN GEL FOAM MATTRESS TW</t>
        </is>
      </c>
      <c r="L61" s="265" t="inlineStr">
        <is>
          <t>GFM-12T</t>
        </is>
      </c>
      <c r="M61" s="263" t="inlineStr">
        <is>
          <t>7D4ITY4N</t>
        </is>
      </c>
      <c r="N61" s="264" t="inlineStr">
        <is>
          <t>F.MFG.12T.000.BD</t>
        </is>
      </c>
      <c r="O61" s="266" t="n"/>
      <c r="P61" s="266" t="n"/>
      <c r="Q61" s="267">
        <f>IFERROR(R61/H61, 0)</f>
        <v/>
      </c>
      <c r="R61" s="268" t="n">
        <v>36097.6</v>
      </c>
      <c r="S61" s="269" t="n">
        <v>18056</v>
      </c>
      <c r="T61" s="269">
        <f>IFERROR(S61*R61, 0)</f>
        <v/>
      </c>
      <c r="U61" s="270" t="n"/>
      <c r="V61" s="271" t="n"/>
      <c r="W61" s="272" t="n"/>
      <c r="X61" s="263" t="n"/>
      <c r="Y61" s="271" t="n"/>
      <c r="Z61" s="261" t="n"/>
    </row>
    <row r="62">
      <c r="A62" s="258" t="n"/>
      <c r="B62" s="259" t="n"/>
      <c r="C62" s="260" t="n"/>
      <c r="D62" s="260" t="n"/>
      <c r="E62" s="261" t="n"/>
      <c r="F62" s="262" t="n"/>
      <c r="G62" s="261" t="n"/>
      <c r="H62" s="263" t="n">
        <v>99</v>
      </c>
      <c r="I62" s="263" t="inlineStr">
        <is>
          <t>TXGU584016</t>
        </is>
      </c>
      <c r="J62" s="263" t="inlineStr">
        <is>
          <t>40FT</t>
        </is>
      </c>
      <c r="K62" s="264" t="inlineStr">
        <is>
          <t>94042120 HE:0 - 99.0000 PIECE (PCE) - INDONESIA (ID) 5,677.65 - 10IN GREEN TEA MF MATTRESS TX</t>
        </is>
      </c>
      <c r="L62" s="265" t="inlineStr">
        <is>
          <t>OLC-FMS- - 2,038.4100 Kg - KAB. TANGERANG (3603) 1000TXL-IN</t>
        </is>
      </c>
      <c r="M62" s="263" t="inlineStr">
        <is>
          <t>7D4ITY4N</t>
        </is>
      </c>
      <c r="N62" s="264" t="inlineStr">
        <is>
          <t>-</t>
        </is>
      </c>
      <c r="O62" s="266" t="n"/>
      <c r="P62" s="266" t="n"/>
      <c r="Q62" s="267">
        <f>IFERROR(R62/H62, 0)</f>
        <v/>
      </c>
      <c r="R62" s="268" t="n">
        <v>36097.6</v>
      </c>
      <c r="S62" s="269" t="n">
        <v>18056</v>
      </c>
      <c r="T62" s="269">
        <f>IFERROR(S62*R62, 0)</f>
        <v/>
      </c>
      <c r="U62" s="270" t="n"/>
      <c r="V62" s="271" t="n"/>
      <c r="W62" s="272" t="n"/>
      <c r="X62" s="263" t="n"/>
      <c r="Y62" s="271" t="n"/>
      <c r="Z62" s="261" t="n"/>
    </row>
    <row r="63">
      <c r="A63" s="258" t="n"/>
      <c r="B63" s="259" t="n"/>
      <c r="C63" s="260" t="n"/>
      <c r="D63" s="260" t="n"/>
      <c r="E63" s="261" t="n"/>
      <c r="F63" s="262" t="n"/>
      <c r="G63" s="261" t="n"/>
      <c r="H63" s="263" t="n">
        <v>1</v>
      </c>
      <c r="I63" s="263" t="inlineStr">
        <is>
          <t>TXGU584016</t>
        </is>
      </c>
      <c r="J63" s="263" t="inlineStr">
        <is>
          <t>40FT</t>
        </is>
      </c>
      <c r="K63" s="264" t="inlineStr">
        <is>
          <t>94042120 HE:0 - 1.0000 PIECE (PCE) - INDONESIA (ID) 57.35 - 10IN GREEN TEA MF MATTRESS TX</t>
        </is>
      </c>
      <c r="L63" s="265" t="inlineStr">
        <is>
          <t>OLC-FMS- - 20.5900 Kg - KAB. TANGERANG (3603) 1000TXL-IN</t>
        </is>
      </c>
      <c r="M63" s="263" t="inlineStr">
        <is>
          <t>7MO3ZAUN</t>
        </is>
      </c>
      <c r="N63" s="264" t="inlineStr">
        <is>
          <t>-</t>
        </is>
      </c>
      <c r="O63" s="266" t="n"/>
      <c r="P63" s="266" t="n"/>
      <c r="Q63" s="267">
        <f>IFERROR(R63/H63, 0)</f>
        <v/>
      </c>
      <c r="R63" s="268" t="n">
        <v>36097.6</v>
      </c>
      <c r="S63" s="269" t="n">
        <v>18056</v>
      </c>
      <c r="T63" s="269">
        <f>IFERROR(S63*R63, 0)</f>
        <v/>
      </c>
      <c r="U63" s="270" t="n"/>
      <c r="V63" s="271" t="n"/>
      <c r="W63" s="272" t="n"/>
      <c r="X63" s="263" t="n"/>
      <c r="Y63" s="271" t="n"/>
      <c r="Z63" s="261" t="n"/>
    </row>
    <row r="64">
      <c r="A64" s="258" t="n"/>
      <c r="B64" s="259" t="n"/>
      <c r="C64" s="260" t="n"/>
      <c r="D64" s="260" t="n"/>
      <c r="E64" s="261" t="n"/>
      <c r="F64" s="262" t="n"/>
      <c r="G64" s="261" t="n"/>
      <c r="H64" s="263" t="n">
        <v>152</v>
      </c>
      <c r="I64" s="263" t="inlineStr">
        <is>
          <t>TXGU584016</t>
        </is>
      </c>
      <c r="J64" s="263" t="inlineStr">
        <is>
          <t>40FT</t>
        </is>
      </c>
      <c r="K64" s="264" t="inlineStr">
        <is>
          <t>94042120 HE:0 - 152.0000 PIECE (PCE) - INDONESIA (ID) 7,864.48 - 12IN GEL FOAM MATTRESS TW</t>
        </is>
      </c>
      <c r="L64" s="265" t="inlineStr">
        <is>
          <t>GFM-12T</t>
        </is>
      </c>
      <c r="M64" s="263" t="inlineStr">
        <is>
          <t>8Y39N9EN</t>
        </is>
      </c>
      <c r="N64" s="264" t="inlineStr">
        <is>
          <t>F.MFG.12T.000.BD</t>
        </is>
      </c>
      <c r="O64" s="266" t="n"/>
      <c r="P64" s="266" t="n"/>
      <c r="Q64" s="267">
        <f>IFERROR(R64/H64, 0)</f>
        <v/>
      </c>
      <c r="R64" s="268" t="n">
        <v>36097.6</v>
      </c>
      <c r="S64" s="269" t="n">
        <v>18056</v>
      </c>
      <c r="T64" s="269">
        <f>IFERROR(S64*R64, 0)</f>
        <v/>
      </c>
      <c r="U64" s="270" t="n"/>
      <c r="V64" s="271" t="n"/>
      <c r="W64" s="272" t="n"/>
      <c r="X64" s="263" t="n"/>
      <c r="Y64" s="271" t="n"/>
      <c r="Z64" s="261" t="n"/>
    </row>
    <row r="65">
      <c r="A65" s="258" t="n"/>
      <c r="B65" s="259" t="n"/>
      <c r="C65" s="260" t="n"/>
      <c r="D65" s="260" t="n"/>
      <c r="E65" s="261" t="n"/>
      <c r="F65" s="262" t="n"/>
      <c r="G65" s="261" t="n"/>
      <c r="H65" s="263" t="n">
        <v>390</v>
      </c>
      <c r="I65" s="263" t="inlineStr">
        <is>
          <t>TXGU584016</t>
        </is>
      </c>
      <c r="J65" s="263" t="inlineStr">
        <is>
          <t>40FT</t>
        </is>
      </c>
      <c r="K65" s="264" t="inlineStr">
        <is>
          <t>94049000 HE:0 - 390.0000 PIECE (PCE) - INDONESIA (ID) 5,697.9 - 3IN CV LAVENDER MF TOPPER FL</t>
        </is>
      </c>
      <c r="L65" s="265" t="inlineStr">
        <is>
          <t>ECMF-03FL- - 1,692.6000 Kg - KAB. TANGERANG (3603) IN</t>
        </is>
      </c>
      <c r="M65" s="263" t="inlineStr">
        <is>
          <t>5FFUUH8B</t>
        </is>
      </c>
      <c r="N65" s="264" t="inlineStr">
        <is>
          <t>F.TMT.03F.010.BD</t>
        </is>
      </c>
      <c r="O65" s="266" t="n"/>
      <c r="P65" s="266" t="n"/>
      <c r="Q65" s="267">
        <f>IFERROR(R65/H65, 0)</f>
        <v/>
      </c>
      <c r="R65" s="268" t="n">
        <v>36097.6</v>
      </c>
      <c r="S65" s="269" t="n">
        <v>18056</v>
      </c>
      <c r="T65" s="269">
        <f>IFERROR(S65*R65, 0)</f>
        <v/>
      </c>
      <c r="U65" s="270" t="n"/>
      <c r="V65" s="271" t="n"/>
      <c r="W65" s="272" t="n"/>
      <c r="X65" s="263" t="n"/>
      <c r="Y65" s="271" t="n"/>
      <c r="Z65" s="261" t="n"/>
    </row>
    <row r="66">
      <c r="A66" s="258" t="n"/>
      <c r="B66" s="259" t="n"/>
      <c r="C66" s="260" t="n"/>
      <c r="D66" s="260" t="n"/>
      <c r="E66" s="261" t="n"/>
      <c r="F66" s="262" t="n"/>
      <c r="G66" s="261" t="n"/>
      <c r="H66" s="263" t="n">
        <v>874</v>
      </c>
      <c r="I66" s="263" t="inlineStr">
        <is>
          <t>TXGU584016</t>
        </is>
      </c>
      <c r="J66" s="263" t="inlineStr">
        <is>
          <t>40FT</t>
        </is>
      </c>
      <c r="K66" s="264" t="inlineStr">
        <is>
          <t>94049000 HE:0 - 874.0000 PIECE (PCE) - INDONESIA (ID) 9,657.7 - 3IN CV LAVENDER MF TOPPER TW</t>
        </is>
      </c>
      <c r="L66" s="265" t="inlineStr">
        <is>
          <t>ECMF- - 2,718.1400 Kg - KAB. TANGERANG (3603) 03TL-IN</t>
        </is>
      </c>
      <c r="M66" s="263" t="inlineStr">
        <is>
          <t>5FFUUH8B</t>
        </is>
      </c>
      <c r="N66" s="264" t="inlineStr">
        <is>
          <t>F.TMT.03T.010.BD</t>
        </is>
      </c>
      <c r="O66" s="266" t="n"/>
      <c r="P66" s="266" t="n"/>
      <c r="Q66" s="267">
        <f>IFERROR(R66/H66, 0)</f>
        <v/>
      </c>
      <c r="R66" s="268" t="n">
        <v>36097.6</v>
      </c>
      <c r="S66" s="269" t="n">
        <v>18056</v>
      </c>
      <c r="T66" s="269">
        <f>IFERROR(S66*R66, 0)</f>
        <v/>
      </c>
      <c r="U66" s="270" t="n"/>
      <c r="V66" s="271" t="n"/>
      <c r="W66" s="272" t="n"/>
      <c r="X66" s="263" t="n"/>
      <c r="Y66" s="271" t="n"/>
      <c r="Z66" s="261" t="n"/>
    </row>
    <row r="67">
      <c r="A67" s="258" t="n"/>
      <c r="B67" s="259" t="n"/>
      <c r="C67" s="260" t="n"/>
      <c r="D67" s="260" t="n"/>
      <c r="E67" s="261" t="n"/>
      <c r="F67" s="262" t="n"/>
      <c r="G67" s="261" t="n"/>
      <c r="H67" s="263" t="n">
        <v>455</v>
      </c>
      <c r="I67" s="263" t="inlineStr">
        <is>
          <t>TXGU584016</t>
        </is>
      </c>
      <c r="J67" s="263" t="inlineStr">
        <is>
          <t>40FT</t>
        </is>
      </c>
      <c r="K67" s="264" t="inlineStr">
        <is>
          <t>94049000 HE:0 - 455.0000 PIECE (PCE) - INDONESIA (ID) 6,647.55 - 3IN CV LAVENDER MF TOPPER FL</t>
        </is>
      </c>
      <c r="L67" s="265" t="inlineStr">
        <is>
          <t>ECMF-03FL- - 1,974.7000 Kg - KAB. TANGERANG (3603) IN</t>
        </is>
      </c>
      <c r="M67" s="263" t="inlineStr">
        <is>
          <t>77K91MJU</t>
        </is>
      </c>
      <c r="N67" s="264" t="inlineStr">
        <is>
          <t>F.TMT.03F.010.BD</t>
        </is>
      </c>
      <c r="O67" s="266" t="n"/>
      <c r="P67" s="266" t="n"/>
      <c r="Q67" s="267">
        <f>IFERROR(R67/H67, 0)</f>
        <v/>
      </c>
      <c r="R67" s="268" t="n">
        <v>36097.6</v>
      </c>
      <c r="S67" s="269" t="n">
        <v>18056</v>
      </c>
      <c r="T67" s="269">
        <f>IFERROR(S67*R67, 0)</f>
        <v/>
      </c>
      <c r="U67" s="270" t="n"/>
      <c r="V67" s="271" t="n"/>
      <c r="W67" s="272" t="n"/>
      <c r="X67" s="263" t="n"/>
      <c r="Y67" s="271" t="n"/>
      <c r="Z67" s="261" t="n"/>
    </row>
    <row r="68">
      <c r="A68" s="258" t="n"/>
      <c r="B68" s="259" t="n"/>
      <c r="C68" s="260" t="n"/>
      <c r="D68" s="260" t="n"/>
      <c r="E68" s="261" t="n"/>
      <c r="F68" s="262" t="n"/>
      <c r="G68" s="261" t="n"/>
      <c r="H68" s="263" t="n">
        <v>196</v>
      </c>
      <c r="I68" s="263" t="inlineStr">
        <is>
          <t>TXGU584016</t>
        </is>
      </c>
      <c r="J68" s="263" t="inlineStr">
        <is>
          <t>40FT</t>
        </is>
      </c>
      <c r="K68" s="264" t="inlineStr">
        <is>
          <t>94049000 HE:0 - 196.0000 PIECE (PCE) - INDONESIA (ID) 3,661.28 - 3IN CV LAVENDER MF TOPPER QN</t>
        </is>
      </c>
      <c r="L68" s="265" t="inlineStr">
        <is>
          <t>ECMF- - 1,011.3600 Kg - KAB. TANGERANG (3603) 03QL-IN</t>
        </is>
      </c>
      <c r="M68" s="263" t="inlineStr">
        <is>
          <t>77K91MJU</t>
        </is>
      </c>
      <c r="N68" s="264" t="inlineStr">
        <is>
          <t>F.TMT.03Q.010.BD</t>
        </is>
      </c>
      <c r="O68" s="266" t="n"/>
      <c r="P68" s="266" t="n"/>
      <c r="Q68" s="267">
        <f>IFERROR(R68/H68, 0)</f>
        <v/>
      </c>
      <c r="R68" s="268" t="n">
        <v>36097.6</v>
      </c>
      <c r="S68" s="269" t="n">
        <v>18056</v>
      </c>
      <c r="T68" s="269">
        <f>IFERROR(S68*R68, 0)</f>
        <v/>
      </c>
      <c r="U68" s="270" t="n"/>
      <c r="V68" s="271" t="n"/>
      <c r="W68" s="272" t="n"/>
      <c r="X68" s="263" t="n"/>
      <c r="Y68" s="271" t="n"/>
      <c r="Z68" s="261" t="n"/>
    </row>
    <row r="69">
      <c r="A69" s="258" t="n"/>
      <c r="B69" s="259" t="n"/>
      <c r="C69" s="260" t="n"/>
      <c r="D69" s="260" t="n"/>
      <c r="E69" s="261" t="n"/>
      <c r="F69" s="262" t="n"/>
      <c r="G69" s="261" t="n"/>
      <c r="H69" s="263" t="n">
        <v>500</v>
      </c>
      <c r="I69" s="263" t="inlineStr">
        <is>
          <t>TXGU584016</t>
        </is>
      </c>
      <c r="J69" s="263" t="inlineStr">
        <is>
          <t>40FT</t>
        </is>
      </c>
      <c r="K69" s="264" t="inlineStr">
        <is>
          <t>94049000 HE:0 - 500.0000 PIECE (PCE) - INDONESIA (ID) 5,525 - 3IN CV LAVENDER MF TOPPER TW</t>
        </is>
      </c>
      <c r="L69" s="265" t="inlineStr">
        <is>
          <t>ECMF-03TL- - 1,555.0000 Kg - KAB. TANGERANG (3603) IN</t>
        </is>
      </c>
      <c r="M69" s="263" t="inlineStr">
        <is>
          <t>77K91MJU</t>
        </is>
      </c>
      <c r="N69" s="264" t="inlineStr">
        <is>
          <t>F.TMT.03T.010.BD</t>
        </is>
      </c>
      <c r="O69" s="266" t="n"/>
      <c r="P69" s="266" t="n"/>
      <c r="Q69" s="267">
        <f>IFERROR(R69/H69, 0)</f>
        <v/>
      </c>
      <c r="R69" s="268" t="n">
        <v>36097.6</v>
      </c>
      <c r="S69" s="269" t="n">
        <v>18056</v>
      </c>
      <c r="T69" s="269">
        <f>IFERROR(S69*R69, 0)</f>
        <v/>
      </c>
      <c r="U69" s="270" t="n"/>
      <c r="V69" s="271" t="n"/>
      <c r="W69" s="272" t="n"/>
      <c r="X69" s="263" t="n"/>
      <c r="Y69" s="271" t="n"/>
      <c r="Z69" s="261" t="n"/>
    </row>
    <row r="70">
      <c r="A70" s="258" t="n"/>
      <c r="B70" s="259" t="n"/>
      <c r="C70" s="260" t="n"/>
      <c r="D70" s="260" t="n"/>
      <c r="E70" s="261" t="n"/>
      <c r="F70" s="262" t="n"/>
      <c r="G70" s="261" t="n"/>
      <c r="H70" s="263" t="n">
        <v>8</v>
      </c>
      <c r="I70" s="263" t="inlineStr">
        <is>
          <t>TXGU584016</t>
        </is>
      </c>
      <c r="J70" s="263" t="inlineStr">
        <is>
          <t>40FT</t>
        </is>
      </c>
      <c r="K70" s="264" t="inlineStr">
        <is>
          <t>94049000 HE:0 - 8.0000 PIECE (PCE) - INDONESIA (ID) 96.16 - 3IN CV LAVENDER MF TOPPER TX</t>
        </is>
      </c>
      <c r="L70" s="265" t="inlineStr">
        <is>
          <t>ECMF- - 26.5600 Kg - KAB. TANGERANG (3603) 03TXLL-IN</t>
        </is>
      </c>
      <c r="M70" s="263" t="inlineStr">
        <is>
          <t>77K91MJU</t>
        </is>
      </c>
      <c r="N70" s="264" t="inlineStr">
        <is>
          <t>F.TMT.03X.010.BD</t>
        </is>
      </c>
      <c r="O70" s="266" t="n"/>
      <c r="P70" s="266" t="n"/>
      <c r="Q70" s="267">
        <f>IFERROR(R70/H70, 0)</f>
        <v/>
      </c>
      <c r="R70" s="268" t="n">
        <v>36097.6</v>
      </c>
      <c r="S70" s="269" t="n">
        <v>18056</v>
      </c>
      <c r="T70" s="269">
        <f>IFERROR(S70*R70, 0)</f>
        <v/>
      </c>
      <c r="U70" s="270" t="n"/>
      <c r="V70" s="271" t="n"/>
      <c r="W70" s="272" t="n"/>
      <c r="X70" s="263" t="n"/>
      <c r="Y70" s="271" t="n"/>
      <c r="Z70" s="261" t="n"/>
    </row>
    <row r="71">
      <c r="A71" s="258" t="n"/>
      <c r="B71" s="259" t="n"/>
      <c r="C71" s="260" t="n"/>
      <c r="D71" s="260" t="n"/>
      <c r="E71" s="261" t="n"/>
      <c r="F71" s="262" t="n"/>
      <c r="G71" s="261" t="n"/>
      <c r="H71" s="263" t="n">
        <v>31</v>
      </c>
      <c r="I71" s="263" t="inlineStr">
        <is>
          <t>TXGU584016</t>
        </is>
      </c>
      <c r="J71" s="263" t="inlineStr">
        <is>
          <t>40FT</t>
        </is>
      </c>
      <c r="K71" s="264" t="inlineStr">
        <is>
          <t>94049000 HE:0 - 31.0000 PIECE (PCE) - INDONESIA (ID) 438.34 - 4IN CV LAVENDER MF TOPPER TW</t>
        </is>
      </c>
      <c r="L71" s="265" t="inlineStr">
        <is>
          <t>ECMF- - 134.8500 Kg - KAB. TANGERANG (3603) LV4T-IN</t>
        </is>
      </c>
      <c r="M71" s="263" t="inlineStr">
        <is>
          <t>77K91MJU</t>
        </is>
      </c>
      <c r="N71" s="264" t="inlineStr">
        <is>
          <t>F.TMT.04T.012.BD</t>
        </is>
      </c>
      <c r="O71" s="266" t="n"/>
      <c r="P71" s="266" t="n"/>
      <c r="Q71" s="267">
        <f>IFERROR(R71/H71, 0)</f>
        <v/>
      </c>
      <c r="R71" s="268" t="n">
        <v>36097.6</v>
      </c>
      <c r="S71" s="269" t="n">
        <v>18056</v>
      </c>
      <c r="T71" s="269">
        <f>IFERROR(S71*R71, 0)</f>
        <v/>
      </c>
      <c r="U71" s="270" t="n"/>
      <c r="V71" s="271" t="n"/>
      <c r="W71" s="272" t="n"/>
      <c r="X71" s="263" t="n"/>
      <c r="Y71" s="271" t="n"/>
      <c r="Z71" s="261" t="n"/>
    </row>
    <row r="72">
      <c r="A72" s="258" t="n"/>
      <c r="B72" s="259" t="n"/>
      <c r="C72" s="260" t="n"/>
      <c r="D72" s="260" t="n"/>
      <c r="E72" s="261" t="n"/>
      <c r="F72" s="262" t="n"/>
      <c r="G72" s="261" t="n"/>
      <c r="H72" s="263" t="n">
        <v>284</v>
      </c>
      <c r="I72" s="263" t="inlineStr">
        <is>
          <t>TXGU584016</t>
        </is>
      </c>
      <c r="J72" s="263" t="inlineStr">
        <is>
          <t>40FT</t>
        </is>
      </c>
      <c r="K72" s="264" t="inlineStr">
        <is>
          <t>94049000 HE:0 - 284.0000 PIECE (PCE) - INDONESIA (ID) 4,149.24 - 3IN CV LAVENDER MF TOPPER FL</t>
        </is>
      </c>
      <c r="L72" s="265" t="inlineStr">
        <is>
          <t>ECMF-03FL- - 1,232.5600 Kg - KAB. TANGERANG (3603) IN</t>
        </is>
      </c>
      <c r="M72" s="263" t="inlineStr">
        <is>
          <t>7D4ITY4N</t>
        </is>
      </c>
      <c r="N72" s="264" t="inlineStr">
        <is>
          <t>F.TMT.03F.010.BD</t>
        </is>
      </c>
      <c r="O72" s="266" t="n"/>
      <c r="P72" s="266" t="n"/>
      <c r="Q72" s="267">
        <f>IFERROR(R72/H72, 0)</f>
        <v/>
      </c>
      <c r="R72" s="268" t="n">
        <v>36097.6</v>
      </c>
      <c r="S72" s="269" t="n">
        <v>18056</v>
      </c>
      <c r="T72" s="269">
        <f>IFERROR(S72*R72, 0)</f>
        <v/>
      </c>
      <c r="U72" s="270" t="n"/>
      <c r="V72" s="271" t="n"/>
      <c r="W72" s="272" t="n"/>
      <c r="X72" s="263" t="n"/>
      <c r="Y72" s="271" t="n"/>
      <c r="Z72" s="261" t="n"/>
    </row>
    <row r="73">
      <c r="A73" s="258" t="n"/>
      <c r="B73" s="259" t="n"/>
      <c r="C73" s="260" t="n"/>
      <c r="D73" s="260" t="n"/>
      <c r="E73" s="261" t="n"/>
      <c r="F73" s="262" t="n"/>
      <c r="G73" s="261" t="n"/>
      <c r="H73" s="263" t="n">
        <v>337</v>
      </c>
      <c r="I73" s="263" t="inlineStr">
        <is>
          <t>TXGU584016</t>
        </is>
      </c>
      <c r="J73" s="263" t="inlineStr">
        <is>
          <t>40FT</t>
        </is>
      </c>
      <c r="K73" s="264" t="inlineStr">
        <is>
          <t>94049000 HE:0 - 337.0000 PIECE (PCE) - INDONESIA (ID) 6,295.16 - 3IN CV LAVENDER MF TOPPER QN</t>
        </is>
      </c>
      <c r="L73" s="265" t="inlineStr">
        <is>
          <t>ECMF-03QL- - 1,738.9200 Kg - KAB. TANGERANG (3603) IN</t>
        </is>
      </c>
      <c r="M73" s="263" t="inlineStr">
        <is>
          <t>7D4ITY4N</t>
        </is>
      </c>
      <c r="N73" s="264" t="inlineStr">
        <is>
          <t>F.TMT.03Q.010.BD</t>
        </is>
      </c>
      <c r="O73" s="266" t="n"/>
      <c r="P73" s="266" t="n"/>
      <c r="Q73" s="267">
        <f>IFERROR(R73/H73, 0)</f>
        <v/>
      </c>
      <c r="R73" s="268" t="n">
        <v>36097.6</v>
      </c>
      <c r="S73" s="269" t="n">
        <v>18056</v>
      </c>
      <c r="T73" s="269">
        <f>IFERROR(S73*R73, 0)</f>
        <v/>
      </c>
      <c r="U73" s="270" t="n"/>
      <c r="V73" s="271" t="n"/>
      <c r="W73" s="272" t="n"/>
      <c r="X73" s="263" t="n"/>
      <c r="Y73" s="271" t="n"/>
      <c r="Z73" s="261" t="n"/>
    </row>
    <row r="74">
      <c r="A74" s="258" t="n"/>
      <c r="B74" s="259" t="n"/>
      <c r="C74" s="260" t="n"/>
      <c r="D74" s="260" t="n"/>
      <c r="E74" s="261" t="n"/>
      <c r="F74" s="262" t="n"/>
      <c r="G74" s="261" t="n"/>
      <c r="H74" s="263" t="n">
        <v>715</v>
      </c>
      <c r="I74" s="263" t="inlineStr">
        <is>
          <t>TXGU584016</t>
        </is>
      </c>
      <c r="J74" s="263" t="inlineStr">
        <is>
          <t>40FT</t>
        </is>
      </c>
      <c r="K74" s="264" t="inlineStr">
        <is>
          <t>94049000 HE:0 - 715.0000 PIECE (PCE) - INDONESIA (ID) 7,900.75 - 3IN CV LAVENDER MF TOPPER TW</t>
        </is>
      </c>
      <c r="L74" s="265" t="inlineStr">
        <is>
          <t>ECMF-03TL- - 2,223.6500 Kg - KAB. TANGERANG (3603) IN</t>
        </is>
      </c>
      <c r="M74" s="263" t="inlineStr">
        <is>
          <t>7D4ITY4N</t>
        </is>
      </c>
      <c r="N74" s="264" t="inlineStr">
        <is>
          <t>F.TMT.03T.010.BD</t>
        </is>
      </c>
      <c r="O74" s="266" t="n"/>
      <c r="P74" s="266" t="n"/>
      <c r="Q74" s="267">
        <f>IFERROR(R74/H74, 0)</f>
        <v/>
      </c>
      <c r="R74" s="268" t="n">
        <v>36097.6</v>
      </c>
      <c r="S74" s="269" t="n">
        <v>18056</v>
      </c>
      <c r="T74" s="269">
        <f>IFERROR(S74*R74, 0)</f>
        <v/>
      </c>
      <c r="U74" s="270" t="n"/>
      <c r="V74" s="271" t="n"/>
      <c r="W74" s="272" t="n"/>
      <c r="X74" s="263" t="n"/>
      <c r="Y74" s="271" t="n"/>
      <c r="Z74" s="261" t="n"/>
    </row>
    <row r="75">
      <c r="A75" s="258" t="n"/>
      <c r="B75" s="259" t="n"/>
      <c r="C75" s="260" t="n"/>
      <c r="D75" s="260" t="n"/>
      <c r="E75" s="261" t="n"/>
      <c r="F75" s="262" t="n"/>
      <c r="G75" s="261" t="n"/>
      <c r="H75" s="263" t="n">
        <v>37</v>
      </c>
      <c r="I75" s="263" t="inlineStr">
        <is>
          <t>TXGU584016</t>
        </is>
      </c>
      <c r="J75" s="263" t="inlineStr">
        <is>
          <t>40FT</t>
        </is>
      </c>
      <c r="K75" s="264" t="inlineStr">
        <is>
          <t>94049000 HE:0 - 37.0000 PIECE (PCE) - INDONESIA (ID) 444.74 - 3IN CV LAVENDER MF TOPPER TX</t>
        </is>
      </c>
      <c r="L75" s="265" t="inlineStr">
        <is>
          <t>ECMF- - 122.8400 Kg - KAB. TANGERANG (3603) 03TXLL-IN</t>
        </is>
      </c>
      <c r="M75" s="263" t="inlineStr">
        <is>
          <t>7D4ITY4N</t>
        </is>
      </c>
      <c r="N75" s="264" t="inlineStr">
        <is>
          <t>F.TMT.03X.010.BD</t>
        </is>
      </c>
      <c r="O75" s="266" t="n"/>
      <c r="P75" s="266" t="n"/>
      <c r="Q75" s="267">
        <f>IFERROR(R75/H75, 0)</f>
        <v/>
      </c>
      <c r="R75" s="268" t="n">
        <v>36097.6</v>
      </c>
      <c r="S75" s="269" t="n">
        <v>18056</v>
      </c>
      <c r="T75" s="269">
        <f>IFERROR(S75*R75, 0)</f>
        <v/>
      </c>
      <c r="U75" s="270" t="n"/>
      <c r="V75" s="271" t="n"/>
      <c r="W75" s="272" t="n"/>
      <c r="X75" s="263" t="n"/>
      <c r="Y75" s="271" t="n"/>
      <c r="Z75" s="261" t="n"/>
    </row>
    <row r="76">
      <c r="A76" s="258" t="n"/>
      <c r="B76" s="259" t="n"/>
      <c r="C76" s="260" t="n"/>
      <c r="D76" s="260" t="n"/>
      <c r="E76" s="261" t="n"/>
      <c r="F76" s="262" t="n"/>
      <c r="G76" s="261" t="n"/>
      <c r="H76" s="263" t="n">
        <v>3</v>
      </c>
      <c r="I76" s="263" t="inlineStr">
        <is>
          <t>TXGU584016</t>
        </is>
      </c>
      <c r="J76" s="263" t="inlineStr">
        <is>
          <t>40FT</t>
        </is>
      </c>
      <c r="K76" s="264" t="inlineStr">
        <is>
          <t>94049000 HE:0 - 3.0000 PIECE (PCE) - INDONESIA (ID) 36.39 - 2IN CV LAVENDER MF TOPPER QN</t>
        </is>
      </c>
      <c r="L76" s="265" t="inlineStr">
        <is>
          <t>ECMF-LV2Q- - 9.2700 Kg - KAB. TANGERANG (3603) IN</t>
        </is>
      </c>
      <c r="M76" s="263" t="inlineStr">
        <is>
          <t>7D4ITY4N</t>
        </is>
      </c>
      <c r="N76" s="264" t="inlineStr">
        <is>
          <t>F.TMT.02Q.008.BD</t>
        </is>
      </c>
      <c r="O76" s="266" t="n"/>
      <c r="P76" s="266" t="n"/>
      <c r="Q76" s="267">
        <f>IFERROR(R76/H76, 0)</f>
        <v/>
      </c>
      <c r="R76" s="268" t="n">
        <v>36097.6</v>
      </c>
      <c r="S76" s="269" t="n">
        <v>18056</v>
      </c>
      <c r="T76" s="269">
        <f>IFERROR(S76*R76, 0)</f>
        <v/>
      </c>
      <c r="U76" s="270" t="n"/>
      <c r="V76" s="271" t="n"/>
      <c r="W76" s="272" t="n"/>
      <c r="X76" s="263" t="n"/>
      <c r="Y76" s="271" t="n"/>
      <c r="Z76" s="261" t="n"/>
    </row>
    <row r="77">
      <c r="A77" s="258" t="n"/>
      <c r="B77" s="259" t="n"/>
      <c r="C77" s="260" t="n"/>
      <c r="D77" s="260" t="n"/>
      <c r="E77" s="261" t="n"/>
      <c r="F77" s="262" t="n"/>
      <c r="G77" s="261" t="n"/>
      <c r="H77" s="263" t="n">
        <v>86</v>
      </c>
      <c r="I77" s="263" t="inlineStr">
        <is>
          <t>TXGU584016</t>
        </is>
      </c>
      <c r="J77" s="263" t="inlineStr">
        <is>
          <t>40FT</t>
        </is>
      </c>
      <c r="K77" s="264" t="inlineStr">
        <is>
          <t>94049000 HE:0 - 86.0000 PIECE (PCE) - INDONESIA (ID) 1,216.04 - 4IN CV LAVENDER MF TOPPER TW</t>
        </is>
      </c>
      <c r="L77" s="265" t="inlineStr">
        <is>
          <t>ECMF-LV4T- - 374.1000 Kg - KAB. TANGERANG (3603) IN</t>
        </is>
      </c>
      <c r="M77" s="263" t="inlineStr">
        <is>
          <t>7D4ITY4N</t>
        </is>
      </c>
      <c r="N77" s="264" t="inlineStr">
        <is>
          <t>F.TMT.04T.012.BD</t>
        </is>
      </c>
      <c r="O77" s="266" t="n"/>
      <c r="P77" s="266" t="n"/>
      <c r="Q77" s="267">
        <f>IFERROR(R77/H77, 0)</f>
        <v/>
      </c>
      <c r="R77" s="268" t="n">
        <v>36097.6</v>
      </c>
      <c r="S77" s="269" t="n">
        <v>18056</v>
      </c>
      <c r="T77" s="269">
        <f>IFERROR(S77*R77, 0)</f>
        <v/>
      </c>
      <c r="U77" s="270" t="n"/>
      <c r="V77" s="271" t="n"/>
      <c r="W77" s="272" t="n"/>
      <c r="X77" s="263" t="n"/>
      <c r="Y77" s="271" t="n"/>
      <c r="Z77" s="261" t="n"/>
    </row>
    <row r="78">
      <c r="A78" s="258" t="n"/>
      <c r="B78" s="259" t="n"/>
      <c r="C78" s="260" t="n"/>
      <c r="D78" s="260" t="n"/>
      <c r="E78" s="261" t="n"/>
      <c r="F78" s="262" t="n"/>
      <c r="G78" s="261" t="n"/>
      <c r="H78" s="263" t="n">
        <v>455</v>
      </c>
      <c r="I78" s="263" t="inlineStr">
        <is>
          <t>TXGU584016</t>
        </is>
      </c>
      <c r="J78" s="263" t="inlineStr">
        <is>
          <t>40FT</t>
        </is>
      </c>
      <c r="K78" s="264" t="inlineStr">
        <is>
          <t>94049000 HE:0 - 455.0000 PIECE (PCE) - INDONESIA (ID) 8,499.4 - 3IN CV LAVENDER MF TOPPER QN</t>
        </is>
      </c>
      <c r="L78" s="265" t="inlineStr">
        <is>
          <t>ECMF- - 2,347.8000 Kg - KAB. TANGERANG (3603) 03QL-IN</t>
        </is>
      </c>
      <c r="M78" s="263" t="inlineStr">
        <is>
          <t>7MO3ZAUN</t>
        </is>
      </c>
      <c r="N78" s="264" t="inlineStr">
        <is>
          <t>F.TMT.03Q.010.BD</t>
        </is>
      </c>
      <c r="O78" s="266" t="n"/>
      <c r="P78" s="266" t="n"/>
      <c r="Q78" s="267">
        <f>IFERROR(R78/H78, 0)</f>
        <v/>
      </c>
      <c r="R78" s="268" t="n">
        <v>36097.6</v>
      </c>
      <c r="S78" s="269" t="n">
        <v>18056</v>
      </c>
      <c r="T78" s="269">
        <f>IFERROR(S78*R78, 0)</f>
        <v/>
      </c>
      <c r="U78" s="270" t="n"/>
      <c r="V78" s="271" t="n"/>
      <c r="W78" s="272" t="n"/>
      <c r="X78" s="263" t="n"/>
      <c r="Y78" s="271" t="n"/>
      <c r="Z78" s="261" t="n"/>
    </row>
    <row r="79">
      <c r="A79" s="258" t="n"/>
      <c r="B79" s="259" t="n"/>
      <c r="C79" s="260" t="n"/>
      <c r="D79" s="260" t="n"/>
      <c r="E79" s="261" t="n"/>
      <c r="F79" s="262" t="n"/>
      <c r="G79" s="261" t="n"/>
      <c r="H79" s="263" t="n">
        <v>1490</v>
      </c>
      <c r="I79" s="263" t="inlineStr">
        <is>
          <t>TXGU584016</t>
        </is>
      </c>
      <c r="J79" s="263" t="inlineStr">
        <is>
          <t>40FT</t>
        </is>
      </c>
      <c r="K79" s="264" t="inlineStr">
        <is>
          <t>94049000 HE:0 - 1,490.0000 PIECE (PCE) - INDONESIA (ID) 16,464.5 - 3IN CV LAVENDER MF TOPPER TW</t>
        </is>
      </c>
      <c r="L79" s="265" t="inlineStr">
        <is>
          <t>ECMF- - 4,633.9000 Kg - KAB. TANGERANG (3603) 03TL-IN</t>
        </is>
      </c>
      <c r="M79" s="263" t="inlineStr">
        <is>
          <t>7MO3ZAUN</t>
        </is>
      </c>
      <c r="N79" s="264" t="inlineStr">
        <is>
          <t>F.TMT.03T.010.BD</t>
        </is>
      </c>
      <c r="O79" s="266" t="n"/>
      <c r="P79" s="266" t="n"/>
      <c r="Q79" s="267">
        <f>IFERROR(R79/H79, 0)</f>
        <v/>
      </c>
      <c r="R79" s="268" t="n">
        <v>36097.6</v>
      </c>
      <c r="S79" s="269" t="n">
        <v>18056</v>
      </c>
      <c r="T79" s="269">
        <f>IFERROR(S79*R79, 0)</f>
        <v/>
      </c>
      <c r="U79" s="270" t="n"/>
      <c r="V79" s="271" t="n"/>
      <c r="W79" s="272" t="n"/>
      <c r="X79" s="263" t="n"/>
      <c r="Y79" s="271" t="n"/>
      <c r="Z79" s="261" t="n"/>
    </row>
    <row r="80">
      <c r="A80" s="258" t="n"/>
      <c r="B80" s="259" t="n"/>
      <c r="C80" s="260" t="n"/>
      <c r="D80" s="260" t="n"/>
      <c r="E80" s="261" t="n"/>
      <c r="F80" s="262" t="n"/>
      <c r="G80" s="261" t="n"/>
      <c r="H80" s="263" t="n">
        <v>35</v>
      </c>
      <c r="I80" s="263" t="inlineStr">
        <is>
          <t>TXGU584016</t>
        </is>
      </c>
      <c r="J80" s="263" t="inlineStr">
        <is>
          <t>40FT</t>
        </is>
      </c>
      <c r="K80" s="264" t="inlineStr">
        <is>
          <t>94049000 HE:0 - 35.0000 PIECE (PCE) - INDONESIA (ID) 420.7 - 3IN CV LAVENDER MF TOPPER TX</t>
        </is>
      </c>
      <c r="L80" s="265" t="inlineStr">
        <is>
          <t>ECMF- - 116.2000 Kg - KAB. TANGERANG (3603) 03TXLL-IN</t>
        </is>
      </c>
      <c r="M80" s="263" t="inlineStr">
        <is>
          <t>7MO3ZAUN</t>
        </is>
      </c>
      <c r="N80" s="264" t="inlineStr">
        <is>
          <t>F.TMT.03X.010.BD</t>
        </is>
      </c>
      <c r="O80" s="266" t="n"/>
      <c r="P80" s="266" t="n"/>
      <c r="Q80" s="267">
        <f>IFERROR(R80/H80, 0)</f>
        <v/>
      </c>
      <c r="R80" s="268" t="n">
        <v>36097.6</v>
      </c>
      <c r="S80" s="269" t="n">
        <v>18056</v>
      </c>
      <c r="T80" s="269">
        <f>IFERROR(S80*R80, 0)</f>
        <v/>
      </c>
      <c r="U80" s="270" t="n"/>
      <c r="V80" s="271" t="n"/>
      <c r="W80" s="272" t="n"/>
      <c r="X80" s="263" t="n"/>
      <c r="Y80" s="271" t="n"/>
      <c r="Z80" s="261" t="n"/>
    </row>
    <row r="81">
      <c r="A81" s="258" t="n"/>
      <c r="B81" s="259" t="n"/>
      <c r="C81" s="260" t="n"/>
      <c r="D81" s="260" t="n"/>
      <c r="E81" s="261" t="n"/>
      <c r="F81" s="262" t="n"/>
      <c r="G81" s="261" t="n"/>
      <c r="H81" s="263" t="n">
        <v>119</v>
      </c>
      <c r="I81" s="263" t="inlineStr">
        <is>
          <t>TXGU584016</t>
        </is>
      </c>
      <c r="J81" s="263" t="inlineStr">
        <is>
          <t>40FT</t>
        </is>
      </c>
      <c r="K81" s="264" t="inlineStr">
        <is>
          <t>94049000 HE:0 - 119.0000 PIECE (PCE) - INDONESIA (ID) 1,682.66 - 4IN CV LAVENDER MF TOPPER TW</t>
        </is>
      </c>
      <c r="L81" s="265" t="inlineStr">
        <is>
          <t>ECMF- - 517.6500 Kg - KAB. TANGERANG (3603) LV4T-IN</t>
        </is>
      </c>
      <c r="M81" s="263" t="inlineStr">
        <is>
          <t>7MO3ZAUN</t>
        </is>
      </c>
      <c r="N81" s="264" t="inlineStr">
        <is>
          <t>F.TMT.04T.012.BD</t>
        </is>
      </c>
      <c r="O81" s="266" t="n"/>
      <c r="P81" s="266" t="n"/>
      <c r="Q81" s="267">
        <f>IFERROR(R81/H81, 0)</f>
        <v/>
      </c>
      <c r="R81" s="268" t="n">
        <v>36097.6</v>
      </c>
      <c r="S81" s="269" t="n">
        <v>18056</v>
      </c>
      <c r="T81" s="269">
        <f>IFERROR(S81*R81, 0)</f>
        <v/>
      </c>
      <c r="U81" s="270" t="n"/>
      <c r="V81" s="271" t="n"/>
      <c r="W81" s="272" t="n"/>
      <c r="X81" s="263" t="n"/>
      <c r="Y81" s="271" t="n"/>
      <c r="Z81" s="261" t="n"/>
    </row>
    <row r="82">
      <c r="A82" s="258" t="n"/>
      <c r="B82" s="259" t="n"/>
      <c r="C82" s="260" t="n"/>
      <c r="D82" s="260" t="n"/>
      <c r="E82" s="261" t="n"/>
      <c r="F82" s="262" t="n"/>
      <c r="G82" s="261" t="n"/>
      <c r="H82" s="263" t="n">
        <v>470</v>
      </c>
      <c r="I82" s="263" t="inlineStr">
        <is>
          <t>TXGU584016</t>
        </is>
      </c>
      <c r="J82" s="263" t="inlineStr">
        <is>
          <t>40FT</t>
        </is>
      </c>
      <c r="K82" s="264" t="inlineStr">
        <is>
          <t>94049000 HE:0 - 470.0000 PIECE (PCE) - INDONESIA (ID) 8,779.6 - 3IN CV LAVENDER MF TOPPER QN</t>
        </is>
      </c>
      <c r="L82" s="265" t="inlineStr">
        <is>
          <t>ECMF- - 2,425.2000 Kg - KAB. TANGERANG (3603) 03QL-IN</t>
        </is>
      </c>
      <c r="M82" s="263" t="inlineStr">
        <is>
          <t>8Y39N9EN</t>
        </is>
      </c>
      <c r="N82" s="264" t="inlineStr">
        <is>
          <t>F.TMT.03Q.010.BD</t>
        </is>
      </c>
      <c r="O82" s="266" t="n"/>
      <c r="P82" s="266" t="n"/>
      <c r="Q82" s="267">
        <f>IFERROR(R82/H82, 0)</f>
        <v/>
      </c>
      <c r="R82" s="268" t="n">
        <v>36097.6</v>
      </c>
      <c r="S82" s="269" t="n">
        <v>18056</v>
      </c>
      <c r="T82" s="269">
        <f>IFERROR(S82*R82, 0)</f>
        <v/>
      </c>
      <c r="U82" s="270" t="n"/>
      <c r="V82" s="271" t="n"/>
      <c r="W82" s="272" t="n"/>
      <c r="X82" s="263" t="n"/>
      <c r="Y82" s="271" t="n"/>
      <c r="Z82" s="261" t="n"/>
    </row>
    <row r="83">
      <c r="A83" s="258" t="n"/>
      <c r="B83" s="259" t="n"/>
      <c r="C83" s="260" t="n"/>
      <c r="D83" s="260" t="n"/>
      <c r="E83" s="261" t="n"/>
      <c r="F83" s="262" t="n"/>
      <c r="G83" s="261" t="n"/>
      <c r="H83" s="263" t="n">
        <v>323</v>
      </c>
      <c r="I83" s="263" t="inlineStr">
        <is>
          <t>TXGU584016</t>
        </is>
      </c>
      <c r="J83" s="263" t="inlineStr">
        <is>
          <t>40FT</t>
        </is>
      </c>
      <c r="K83" s="264" t="inlineStr">
        <is>
          <t>94049000 HE:0 - 323.0000 PIECE (PCE) - INDONESIA (ID) 3,882.46 - 3IN CV LAVENDER MF TOPPER TX</t>
        </is>
      </c>
      <c r="L83" s="265" t="inlineStr">
        <is>
          <t>ECMF- - 1,072.3600 Kg - KAB. TANGERANG (3603) 03TXLL-IN</t>
        </is>
      </c>
      <c r="M83" s="263" t="inlineStr">
        <is>
          <t>8Y39N9EN</t>
        </is>
      </c>
      <c r="N83" s="264" t="inlineStr">
        <is>
          <t>F.TMT.03X.010.BD</t>
        </is>
      </c>
      <c r="O83" s="266" t="n"/>
      <c r="P83" s="266" t="n"/>
      <c r="Q83" s="267">
        <f>IFERROR(R83/H83, 0)</f>
        <v/>
      </c>
      <c r="R83" s="268" t="n">
        <v>36097.6</v>
      </c>
      <c r="S83" s="269" t="n">
        <v>18056</v>
      </c>
      <c r="T83" s="269">
        <f>IFERROR(S83*R83, 0)</f>
        <v/>
      </c>
      <c r="U83" s="270" t="n"/>
      <c r="V83" s="271" t="n"/>
      <c r="W83" s="272" t="n"/>
      <c r="X83" s="263" t="n"/>
      <c r="Y83" s="271" t="n"/>
      <c r="Z83" s="261" t="n"/>
    </row>
    <row r="84">
      <c r="A84" s="258" t="n"/>
      <c r="B84" s="259" t="n"/>
      <c r="C84" s="260" t="n"/>
      <c r="D84" s="260" t="n"/>
      <c r="E84" s="261" t="n"/>
      <c r="F84" s="262" t="n"/>
      <c r="G84" s="261" t="n"/>
      <c r="H84" s="263" t="n">
        <v>19</v>
      </c>
      <c r="I84" s="263" t="inlineStr">
        <is>
          <t>TXGU584016</t>
        </is>
      </c>
      <c r="J84" s="263" t="inlineStr">
        <is>
          <t>40FT</t>
        </is>
      </c>
      <c r="K84" s="264" t="inlineStr">
        <is>
          <t>94049000 HE:0 - 19.0000 PIECE (PCE) - INDONESIA (ID) 230.47 - 2IN CV LAVENDER MF TOPPER QN</t>
        </is>
      </c>
      <c r="L84" s="265" t="inlineStr">
        <is>
          <t>ECMF- - 58.7100 Kg - KAB. TANGERANG (3603) LV2Q-IN</t>
        </is>
      </c>
      <c r="M84" s="263" t="inlineStr">
        <is>
          <t>8Y39N9EN</t>
        </is>
      </c>
      <c r="N84" s="264" t="inlineStr">
        <is>
          <t>F.TMT.02Q.008.BD</t>
        </is>
      </c>
      <c r="O84" s="266" t="n"/>
      <c r="P84" s="266" t="n"/>
      <c r="Q84" s="267">
        <f>IFERROR(R84/H84, 0)</f>
        <v/>
      </c>
      <c r="R84" s="268" t="n">
        <v>36097.6</v>
      </c>
      <c r="S84" s="269" t="n">
        <v>18056</v>
      </c>
      <c r="T84" s="269">
        <f>IFERROR(S84*R84, 0)</f>
        <v/>
      </c>
      <c r="U84" s="270" t="n"/>
      <c r="V84" s="271" t="n"/>
      <c r="W84" s="272" t="n"/>
      <c r="X84" s="263" t="n"/>
      <c r="Y84" s="271" t="n"/>
      <c r="Z84" s="261" t="n"/>
    </row>
    <row r="85">
      <c r="A85" s="258" t="n"/>
      <c r="B85" s="259" t="n"/>
      <c r="C85" s="260" t="n"/>
      <c r="D85" s="260" t="n"/>
      <c r="E85" s="261" t="n"/>
      <c r="F85" s="262" t="n"/>
      <c r="G85" s="261" t="n"/>
      <c r="H85" s="263" t="n">
        <v>127</v>
      </c>
      <c r="I85" s="263" t="inlineStr">
        <is>
          <t>TXGU584016</t>
        </is>
      </c>
      <c r="J85" s="263" t="inlineStr">
        <is>
          <t>40FT</t>
        </is>
      </c>
      <c r="K85" s="264" t="inlineStr">
        <is>
          <t>94049000 HE:0 - 127.0000 PIECE (PCE) - INDONESIA (ID) 1,795.78 - 4IN CV LAVENDER MF TOPPER TW</t>
        </is>
      </c>
      <c r="L85" s="265" t="inlineStr">
        <is>
          <t>ECMF- - 552.4500 Kg - KAB. TANGERANG (3603) LV4T-IN</t>
        </is>
      </c>
      <c r="M85" s="263" t="inlineStr">
        <is>
          <t>8Y39N9EN</t>
        </is>
      </c>
      <c r="N85" s="264" t="inlineStr">
        <is>
          <t>F.TMT.04T.012.BD</t>
        </is>
      </c>
      <c r="O85" s="266" t="n"/>
      <c r="P85" s="266" t="n"/>
      <c r="Q85" s="267">
        <f>IFERROR(R85/H85, 0)</f>
        <v/>
      </c>
      <c r="R85" s="268" t="n">
        <v>36097.6</v>
      </c>
      <c r="S85" s="269" t="n">
        <v>18056</v>
      </c>
      <c r="T85" s="269">
        <f>IFERROR(S85*R85, 0)</f>
        <v/>
      </c>
      <c r="U85" s="270" t="n"/>
      <c r="V85" s="271" t="n"/>
      <c r="W85" s="272" t="n"/>
      <c r="X85" s="263" t="n"/>
      <c r="Y85" s="271" t="n"/>
      <c r="Z85" s="261" t="n"/>
    </row>
    <row r="86">
      <c r="A86" s="273" t="n"/>
      <c r="B86" s="274" t="n"/>
      <c r="C86" s="275" t="n"/>
      <c r="D86" s="275" t="n"/>
      <c r="E86" s="276" t="n"/>
      <c r="F86" s="276" t="n"/>
      <c r="G86" s="276" t="n"/>
      <c r="H86" s="277">
        <f>SUM(H58:H85)</f>
        <v/>
      </c>
      <c r="I86" s="278">
        <f>COUNTA(I58:I85)</f>
        <v/>
      </c>
      <c r="J86" s="277" t="n"/>
      <c r="K86" s="277" t="n"/>
      <c r="L86" s="279" t="n"/>
      <c r="M86" s="277" t="n"/>
      <c r="N86" s="277" t="n"/>
      <c r="O86" s="280">
        <f>SUM(O58:O85)</f>
        <v/>
      </c>
      <c r="P86" s="280">
        <f>SUM(P58:P85)</f>
        <v/>
      </c>
      <c r="Q86" s="281" t="n"/>
      <c r="R86" s="282">
        <f>SUM(R58:R85)</f>
        <v/>
      </c>
      <c r="S86" s="283" t="n"/>
      <c r="T86" s="283">
        <f>SUM(T58:T85)</f>
        <v/>
      </c>
      <c r="U86" s="277" t="n"/>
      <c r="V86" s="284" t="n"/>
      <c r="W86" s="285" t="n"/>
      <c r="X86" s="284" t="n"/>
      <c r="Y86" s="284" t="n"/>
      <c r="Z86" s="284" t="n"/>
    </row>
    <row r="87">
      <c r="A87" s="128">
        <f>COUNT(A12:A86)</f>
        <v/>
      </c>
      <c r="B87" s="129" t="n"/>
      <c r="C87" s="287" t="n"/>
      <c r="D87" s="288" t="n"/>
      <c r="E87" s="288" t="n"/>
      <c r="F87" s="288" t="n"/>
      <c r="G87" s="288" t="n"/>
      <c r="H87" s="132">
        <f>H14+H16+H18+H46+H57+H86</f>
        <v/>
      </c>
      <c r="I87" s="132">
        <f>I14+I16+I18+I46+I57+I86</f>
        <v/>
      </c>
      <c r="J87" s="133" t="n"/>
      <c r="K87" s="289" t="n"/>
      <c r="L87" s="290" t="n"/>
      <c r="M87" s="291" t="n"/>
      <c r="N87" s="292" t="n"/>
      <c r="O87" s="138">
        <f>O14+O16+O18+O46+O57+O86</f>
        <v/>
      </c>
      <c r="P87" s="138">
        <f>P14+P16+P18+P46+P57+P86</f>
        <v/>
      </c>
      <c r="Q87" s="293" t="n"/>
      <c r="R87" s="294">
        <f>R14+R16+R18+R46+R57+R86</f>
        <v/>
      </c>
      <c r="S87" s="295" t="n"/>
      <c r="T87" s="296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297" t="n"/>
      <c r="I88" s="297" t="n"/>
      <c r="J88" s="298" t="n"/>
      <c r="K88" s="221" t="n"/>
      <c r="L88" s="221" t="n"/>
      <c r="M88" s="221" t="n"/>
      <c r="N88" s="299" t="n"/>
      <c r="Q88" s="300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298" t="n"/>
      <c r="I89" s="298" t="n"/>
      <c r="J89" s="298" t="n"/>
      <c r="K89" s="221" t="n"/>
      <c r="L89" s="221" t="n"/>
      <c r="M89" s="221" t="n"/>
      <c r="N89" s="299" t="n"/>
      <c r="Q89" s="300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01" t="n"/>
      <c r="I90" s="301" t="n"/>
      <c r="J90" s="298" t="n"/>
      <c r="T90" s="302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298" t="n"/>
      <c r="I91" s="298" t="n"/>
      <c r="J91" s="298" t="n"/>
      <c r="K91" s="221" t="n"/>
      <c r="L91" s="221" t="n"/>
      <c r="M91" s="221" t="n"/>
      <c r="R91" s="303" t="n"/>
      <c r="S91" s="302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299" t="n"/>
      <c r="P92" s="304" t="n"/>
      <c r="Q92" s="305" t="n"/>
      <c r="R92" s="303" t="n"/>
      <c r="S92" s="302" t="n"/>
      <c r="T92" s="302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06">
        <f>A87</f>
        <v/>
      </c>
      <c r="D93" s="307" t="n"/>
      <c r="G93" s="169" t="n"/>
      <c r="H93" s="178" t="n"/>
      <c r="I93" s="178" t="n"/>
      <c r="K93" s="221" t="n"/>
      <c r="L93" s="221" t="n"/>
      <c r="M93" s="221" t="n"/>
      <c r="N93" s="299" t="n"/>
      <c r="P93" s="304" t="n"/>
      <c r="Q93" s="305" t="n"/>
      <c r="R93" s="303" t="n"/>
      <c r="S93" s="302" t="n"/>
      <c r="T93" s="302" t="n"/>
      <c r="U93" s="173">
        <f>+[1]REKAP!X34</f>
        <v/>
      </c>
    </row>
    <row r="94">
      <c r="A94" s="174" t="inlineStr">
        <is>
          <t>Gross Weight</t>
        </is>
      </c>
      <c r="B94" s="179" t="n"/>
      <c r="C94" s="308">
        <f>O87</f>
        <v/>
      </c>
      <c r="D94" s="307" t="n"/>
      <c r="H94" s="182" t="n"/>
      <c r="I94" s="183" t="n"/>
      <c r="K94" s="221" t="n"/>
      <c r="L94" s="221" t="n"/>
      <c r="M94" s="221" t="n"/>
      <c r="N94" s="299" t="n"/>
      <c r="P94" s="309" t="n"/>
      <c r="Q94" s="310" t="n"/>
      <c r="R94" s="311" t="n"/>
      <c r="S94" s="312" t="n"/>
      <c r="T94" s="312" t="n"/>
      <c r="U94" s="4" t="n"/>
    </row>
    <row r="95">
      <c r="A95" s="174" t="inlineStr">
        <is>
          <t>Nett Weight</t>
        </is>
      </c>
      <c r="B95" s="179" t="n"/>
      <c r="C95" s="308">
        <f>P87</f>
        <v/>
      </c>
      <c r="D95" s="307" t="n"/>
      <c r="K95" s="221" t="n"/>
      <c r="L95" s="221" t="n"/>
      <c r="M95" s="221" t="n"/>
      <c r="N95" s="299" t="n"/>
      <c r="P95" s="309" t="n"/>
      <c r="Q95" s="310" t="n"/>
      <c r="R95" s="311" t="n"/>
      <c r="S95" s="312" t="n"/>
      <c r="T95" s="312" t="n"/>
      <c r="U95" s="4" t="n"/>
    </row>
    <row r="96">
      <c r="A96" s="174" t="inlineStr">
        <is>
          <t>Amount</t>
        </is>
      </c>
      <c r="B96" s="179" t="n"/>
      <c r="C96" s="313">
        <f>R87</f>
        <v/>
      </c>
      <c r="D96" s="307" t="n"/>
      <c r="K96" s="221" t="n"/>
      <c r="L96" s="221" t="n"/>
      <c r="M96" s="221" t="n"/>
      <c r="N96" s="299" t="n"/>
      <c r="P96" s="309" t="n"/>
      <c r="Q96" s="310" t="n"/>
      <c r="R96" s="311" t="n"/>
      <c r="S96" s="312" t="n"/>
      <c r="T96" s="312" t="n"/>
      <c r="U96" s="190" t="n"/>
    </row>
    <row r="97">
      <c r="A97" s="174" t="inlineStr">
        <is>
          <t>Jumlah Container</t>
        </is>
      </c>
      <c r="B97" s="179" t="n"/>
      <c r="C97" s="314">
        <f>I87</f>
        <v/>
      </c>
      <c r="D97" s="307" t="n"/>
      <c r="K97" s="221" t="n"/>
      <c r="L97" s="221" t="n"/>
      <c r="M97" s="221" t="n"/>
      <c r="N97" s="299" t="n"/>
      <c r="P97" s="309" t="n"/>
      <c r="Q97" s="310" t="n"/>
      <c r="R97" s="311" t="n"/>
      <c r="S97" s="312" t="n"/>
      <c r="T97" s="312" t="n"/>
      <c r="U97" s="173" t="n"/>
    </row>
    <row r="98">
      <c r="A98" s="174" t="n"/>
      <c r="B98" s="179" t="n"/>
      <c r="C98" s="315">
        <f>I28</f>
        <v/>
      </c>
      <c r="D98" s="307" t="n"/>
      <c r="K98" s="221" t="n"/>
      <c r="L98" s="221" t="n"/>
      <c r="M98" s="221" t="n"/>
      <c r="N98" s="299" t="n"/>
      <c r="P98" s="309" t="n"/>
      <c r="Q98" s="310" t="n"/>
      <c r="R98" s="311" t="n"/>
      <c r="S98" s="312" t="n"/>
      <c r="T98" s="312" t="n"/>
      <c r="U98" s="173" t="n"/>
    </row>
    <row r="99">
      <c r="A99" s="195" t="n"/>
      <c r="B99" s="179" t="n"/>
      <c r="C99" s="316">
        <f>C36*2+C37</f>
        <v/>
      </c>
      <c r="D99" s="307" t="n"/>
      <c r="K99" s="221" t="n"/>
      <c r="L99" s="221" t="n"/>
      <c r="M99" s="221" t="n"/>
      <c r="N99" s="299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18" t="n"/>
      <c r="L394" s="318" t="n"/>
      <c r="M394" s="318" t="n"/>
      <c r="N394" s="319" t="n"/>
      <c r="O394" s="320" t="n"/>
      <c r="P394" s="320" t="n"/>
      <c r="Q394" s="321" t="n"/>
      <c r="R394" s="322" t="n"/>
      <c r="S394" s="323" t="n"/>
      <c r="T394" s="323" t="n"/>
      <c r="U394" s="324" t="n"/>
      <c r="V394" s="324" t="n"/>
      <c r="W394" s="324" t="n"/>
      <c r="X394" s="324" t="n"/>
      <c r="Y394" s="324" t="n"/>
      <c r="Z39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2026-07-25T17:22:20Z</dcterms:modified>
  <cp:lastModifiedBy>Chiswa Dian Hermansyah(ZINUS ZDI)</cp:lastModifiedBy>
</cp:coreProperties>
</file>