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  <numFmt numFmtId="180" formatCode="dd-mm-yyyy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80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000030ZIK48020260803000561</t>
        </is>
      </c>
      <c r="C12" s="245" t="n">
        <v>485165</v>
      </c>
      <c r="D12" s="245" t="n">
        <v>485105</v>
      </c>
      <c r="E12" s="246" t="n">
        <v>46238</v>
      </c>
      <c r="F12" s="245" t="inlineStr">
        <is>
          <t>SAMPLE-ZIID26-0062-NCV</t>
        </is>
      </c>
      <c r="G12" s="246" t="n">
        <v>46225</v>
      </c>
      <c r="H12" s="247" t="n">
        <v>1</v>
      </c>
      <c r="I12" s="245" t="inlineStr">
        <is>
          <t>FTAU1019757</t>
        </is>
      </c>
      <c r="J12" s="245" t="inlineStr">
        <is>
          <t>20FT</t>
        </is>
      </c>
      <c r="K12" s="245" t="inlineStr">
        <is>
          <t>8IN MYGEL FOAM MATTRESS QN</t>
        </is>
      </c>
      <c r="L12" s="245" t="inlineStr">
        <is>
          <t>ZU-MFGN1YZI-08Q</t>
        </is>
      </c>
      <c r="M12" s="248" t="inlineStr"/>
      <c r="N12" s="245" t="inlineStr">
        <is>
          <t>F.MFG.08Q.003.AD</t>
        </is>
      </c>
      <c r="O12" s="249" t="n">
        <v>2652.95</v>
      </c>
      <c r="P12" s="249" t="n">
        <v>2344.34</v>
      </c>
      <c r="Q12" s="250">
        <f>R12/H12</f>
        <v/>
      </c>
      <c r="R12" s="251" t="n">
        <v>70.15000000000001</v>
      </c>
      <c r="S12" s="249" t="n">
        <v>17937</v>
      </c>
      <c r="T12" s="252">
        <f>S12*R12</f>
        <v/>
      </c>
      <c r="U12" s="245" t="inlineStr">
        <is>
          <t>040300/KPPBC</t>
        </is>
      </c>
      <c r="V12" s="245" t="inlineStr">
        <is>
          <t>TG. PRIOK</t>
        </is>
      </c>
      <c r="W12" s="245" t="inlineStr">
        <is>
          <t>NANSHA, US</t>
        </is>
      </c>
      <c r="X12" s="245" t="inlineStr">
        <is>
          <t>SGS-CSTC STANDARDS TECHNICAL SERVICES</t>
        </is>
      </c>
      <c r="Y12" s="245" t="inlineStr">
        <is>
          <t>JKNSA2608014</t>
        </is>
      </c>
      <c r="Z12" s="246" t="n">
        <v>46238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7" t="n">
        <v>1</v>
      </c>
      <c r="I13" s="245" t="inlineStr"/>
      <c r="J13" s="245" t="inlineStr"/>
      <c r="K13" s="245" t="inlineStr">
        <is>
          <t>12IN AIRFLOW GEL FOAM MATT FL</t>
        </is>
      </c>
      <c r="L13" s="245" t="inlineStr">
        <is>
          <t>ZU-MFMA1RZI-12F</t>
        </is>
      </c>
      <c r="M13" s="248" t="inlineStr"/>
      <c r="N13" s="245" t="inlineStr">
        <is>
          <t>F.MFM.12F.011.AD</t>
        </is>
      </c>
      <c r="O13" s="245" t="n"/>
      <c r="P13" s="245" t="n"/>
      <c r="Q13" s="250">
        <f>R13/H13</f>
        <v/>
      </c>
      <c r="R13" s="251" t="n">
        <v>75.56</v>
      </c>
      <c r="S13" s="249" t="n">
        <v>17937</v>
      </c>
      <c r="T13" s="252">
        <f>S13*R13</f>
        <v/>
      </c>
      <c r="U13" s="245" t="n"/>
      <c r="V13" s="245" t="n"/>
      <c r="W13" s="245" t="inlineStr">
        <is>
          <t>ETD : 11-08-2026</t>
        </is>
      </c>
      <c r="X13" s="245" t="n"/>
      <c r="Y13" s="245" t="n"/>
      <c r="Z13" s="245" t="n"/>
    </row>
    <row r="14" ht="16.5" customFormat="1" customHeight="1" s="244">
      <c r="A14" s="245" t="n"/>
      <c r="B14" s="245" t="n"/>
      <c r="C14" s="245" t="n"/>
      <c r="D14" s="245" t="n"/>
      <c r="E14" s="245" t="n"/>
      <c r="F14" s="245" t="n"/>
      <c r="G14" s="245" t="n"/>
      <c r="H14" s="247" t="n">
        <v>1</v>
      </c>
      <c r="I14" s="245" t="inlineStr"/>
      <c r="J14" s="245" t="inlineStr"/>
      <c r="K14" s="245" t="inlineStr">
        <is>
          <t>5IN OPP HD TW</t>
        </is>
      </c>
      <c r="L14" s="245" t="inlineStr">
        <is>
          <t>ZU-MFMA1OZI-05T</t>
        </is>
      </c>
      <c r="M14" s="248" t="inlineStr"/>
      <c r="N14" s="245" t="inlineStr">
        <is>
          <t>F.MFM.05T.008.AD</t>
        </is>
      </c>
      <c r="O14" s="245" t="n"/>
      <c r="P14" s="245" t="n"/>
      <c r="Q14" s="250">
        <f>R14/H14</f>
        <v/>
      </c>
      <c r="R14" s="251" t="n">
        <v>31.07</v>
      </c>
      <c r="S14" s="249" t="n">
        <v>17937</v>
      </c>
      <c r="T14" s="252">
        <f>S14*R14</f>
        <v/>
      </c>
      <c r="U14" s="245" t="n"/>
      <c r="V14" s="245" t="n"/>
      <c r="W14" s="245" t="n"/>
      <c r="X14" s="245" t="n"/>
      <c r="Y14" s="245" t="n"/>
      <c r="Z14" s="245" t="n"/>
    </row>
    <row r="15" ht="16.5" customFormat="1" customHeight="1" s="244">
      <c r="A15" s="245" t="n"/>
      <c r="B15" s="245" t="n"/>
      <c r="C15" s="245" t="n"/>
      <c r="D15" s="245" t="n"/>
      <c r="E15" s="245" t="n"/>
      <c r="F15" s="245" t="n"/>
      <c r="G15" s="245" t="n"/>
      <c r="H15" s="247" t="n">
        <v>1</v>
      </c>
      <c r="I15" s="245" t="inlineStr"/>
      <c r="J15" s="245" t="inlineStr"/>
      <c r="K15" s="245" t="inlineStr">
        <is>
          <t>12IN OPP HD FL</t>
        </is>
      </c>
      <c r="L15" s="245" t="inlineStr">
        <is>
          <t>ZU-MFMA1OZI-12F</t>
        </is>
      </c>
      <c r="M15" s="248" t="inlineStr"/>
      <c r="N15" s="245" t="inlineStr">
        <is>
          <t>F.MFM.12F.010.AD</t>
        </is>
      </c>
      <c r="O15" s="245" t="n"/>
      <c r="P15" s="245" t="n"/>
      <c r="Q15" s="250">
        <f>R15/H15</f>
        <v/>
      </c>
      <c r="R15" s="251" t="n">
        <v>75.45</v>
      </c>
      <c r="S15" s="249" t="n">
        <v>17937</v>
      </c>
      <c r="T15" s="252">
        <f>S15*R15</f>
        <v/>
      </c>
      <c r="U15" s="245" t="n"/>
      <c r="V15" s="245" t="n"/>
      <c r="W15" s="245" t="n"/>
      <c r="X15" s="245" t="n"/>
      <c r="Y15" s="245" t="n"/>
      <c r="Z15" s="245" t="n"/>
    </row>
    <row r="16" ht="16.5" customFormat="1" customHeight="1" s="244">
      <c r="A16" s="245" t="n"/>
      <c r="B16" s="245" t="n"/>
      <c r="C16" s="245" t="n"/>
      <c r="D16" s="245" t="n"/>
      <c r="E16" s="245" t="n"/>
      <c r="F16" s="245" t="n"/>
      <c r="G16" s="245" t="n"/>
      <c r="H16" s="247" t="n">
        <v>1</v>
      </c>
      <c r="I16" s="245" t="inlineStr"/>
      <c r="J16" s="245" t="inlineStr"/>
      <c r="K16" s="245" t="inlineStr">
        <is>
          <t>6IN TIGHT TOP BONNEL NT</t>
        </is>
      </c>
      <c r="L16" s="245" t="inlineStr">
        <is>
          <t>ZU-MSSA2BZI-06N</t>
        </is>
      </c>
      <c r="M16" s="248" t="inlineStr"/>
      <c r="N16" s="245" t="inlineStr">
        <is>
          <t>F.MSS.06N.007.AD</t>
        </is>
      </c>
      <c r="O16" s="245" t="n"/>
      <c r="P16" s="245" t="n"/>
      <c r="Q16" s="250">
        <f>R16/H16</f>
        <v/>
      </c>
      <c r="R16" s="251" t="n">
        <v>26.1</v>
      </c>
      <c r="S16" s="249" t="n">
        <v>17937</v>
      </c>
      <c r="T16" s="252">
        <f>S16*R16</f>
        <v/>
      </c>
      <c r="U16" s="245" t="n"/>
      <c r="V16" s="245" t="n"/>
      <c r="W16" s="245" t="n"/>
      <c r="X16" s="245" t="n"/>
      <c r="Y16" s="245" t="n"/>
      <c r="Z16" s="245" t="n"/>
    </row>
    <row r="17" ht="16.5" customFormat="1" customHeight="1" s="253">
      <c r="A17" s="245" t="n"/>
      <c r="B17" s="245" t="n"/>
      <c r="C17" s="245" t="n"/>
      <c r="D17" s="245" t="n"/>
      <c r="E17" s="245" t="n"/>
      <c r="F17" s="245" t="n"/>
      <c r="G17" s="245" t="n"/>
      <c r="H17" s="247" t="n">
        <v>1</v>
      </c>
      <c r="I17" s="245" t="inlineStr"/>
      <c r="J17" s="245" t="inlineStr"/>
      <c r="K17" s="245" t="inlineStr">
        <is>
          <t>8IN AIRFLOW GEL FOAM MATT QN</t>
        </is>
      </c>
      <c r="L17" s="245" t="inlineStr">
        <is>
          <t>ZU-MFMA1RZI-08Q</t>
        </is>
      </c>
      <c r="M17" s="248" t="inlineStr"/>
      <c r="N17" s="245" t="inlineStr">
        <is>
          <t>F.MFM.08Q.014.AD</t>
        </is>
      </c>
      <c r="O17" s="245" t="n"/>
      <c r="P17" s="245" t="n"/>
      <c r="Q17" s="250">
        <f>R17/H17</f>
        <v/>
      </c>
      <c r="R17" s="251" t="n">
        <v>65.27</v>
      </c>
      <c r="S17" s="249" t="n">
        <v>17937</v>
      </c>
      <c r="T17" s="252">
        <f>S17*R17</f>
        <v/>
      </c>
      <c r="U17" s="245" t="n"/>
      <c r="V17" s="245" t="n"/>
      <c r="W17" s="245" t="n"/>
      <c r="X17" s="245" t="n"/>
      <c r="Y17" s="245" t="n"/>
      <c r="Z17" s="245" t="n"/>
    </row>
    <row r="18" ht="16.5" customHeight="1" s="202" thickBot="1">
      <c r="A18" s="245" t="n"/>
      <c r="B18" s="245" t="n"/>
      <c r="C18" s="245" t="n"/>
      <c r="D18" s="245" t="n"/>
      <c r="E18" s="245" t="n"/>
      <c r="F18" s="245" t="n"/>
      <c r="G18" s="245" t="n"/>
      <c r="H18" s="247" t="n">
        <v>1</v>
      </c>
      <c r="I18" s="245" t="inlineStr"/>
      <c r="J18" s="245" t="inlineStr"/>
      <c r="K18" s="245" t="inlineStr">
        <is>
          <t>6IN OPP HD FL</t>
        </is>
      </c>
      <c r="L18" s="245" t="inlineStr">
        <is>
          <t>ZU-MFMA1OZI-06F</t>
        </is>
      </c>
      <c r="M18" s="248" t="inlineStr"/>
      <c r="N18" s="245" t="inlineStr">
        <is>
          <t>F.MFM.06F.008.AD</t>
        </is>
      </c>
      <c r="O18" s="245" t="n"/>
      <c r="P18" s="245" t="n"/>
      <c r="Q18" s="250">
        <f>R18/H18</f>
        <v/>
      </c>
      <c r="R18" s="251" t="n">
        <v>44.32</v>
      </c>
      <c r="S18" s="249" t="n">
        <v>17937</v>
      </c>
      <c r="T18" s="252">
        <f>S18*R18</f>
        <v/>
      </c>
      <c r="U18" s="245" t="n"/>
      <c r="V18" s="245" t="n"/>
      <c r="W18" s="245" t="n"/>
      <c r="X18" s="245" t="n"/>
      <c r="Y18" s="245" t="n"/>
      <c r="Z18" s="245" t="n"/>
    </row>
    <row r="19" ht="16.5" customFormat="1" customHeight="1" s="218" thickBot="1">
      <c r="A19" s="245" t="n"/>
      <c r="B19" s="245" t="n"/>
      <c r="C19" s="245" t="n"/>
      <c r="D19" s="245" t="n"/>
      <c r="E19" s="245" t="n"/>
      <c r="F19" s="245" t="n"/>
      <c r="G19" s="245" t="n"/>
      <c r="H19" s="247" t="n">
        <v>1</v>
      </c>
      <c r="I19" s="245" t="inlineStr"/>
      <c r="J19" s="245" t="inlineStr"/>
      <c r="K19" s="245" t="inlineStr">
        <is>
          <t>10IN OPP HD EK</t>
        </is>
      </c>
      <c r="L19" s="245" t="inlineStr">
        <is>
          <t>ZU-MFMA1OZI-10K</t>
        </is>
      </c>
      <c r="M19" s="248" t="inlineStr"/>
      <c r="N19" s="245" t="inlineStr">
        <is>
          <t>F.MFM.10K.013.AD</t>
        </is>
      </c>
      <c r="O19" s="245" t="n"/>
      <c r="P19" s="245" t="n"/>
      <c r="Q19" s="250">
        <f>R19/H19</f>
        <v/>
      </c>
      <c r="R19" s="251" t="n">
        <v>94.83</v>
      </c>
      <c r="S19" s="249" t="n">
        <v>17937</v>
      </c>
      <c r="T19" s="252">
        <f>S19*R19</f>
        <v/>
      </c>
      <c r="U19" s="245" t="n"/>
      <c r="V19" s="245" t="n"/>
      <c r="W19" s="245" t="n"/>
      <c r="X19" s="245" t="n"/>
      <c r="Y19" s="245" t="n"/>
      <c r="Z19" s="245" t="n"/>
    </row>
    <row r="20" ht="16.5" customHeight="1" s="202">
      <c r="A20" s="245" t="n"/>
      <c r="B20" s="245" t="n"/>
      <c r="C20" s="245" t="n"/>
      <c r="D20" s="245" t="n"/>
      <c r="E20" s="245" t="n"/>
      <c r="F20" s="245" t="n"/>
      <c r="G20" s="245" t="n"/>
      <c r="H20" s="247" t="n">
        <v>1</v>
      </c>
      <c r="I20" s="245" t="inlineStr"/>
      <c r="J20" s="245" t="inlineStr"/>
      <c r="K20" s="245" t="inlineStr">
        <is>
          <t>10IN MYGEL FOAM MATTRESS QN</t>
        </is>
      </c>
      <c r="L20" s="245" t="inlineStr">
        <is>
          <t>ZU-MFGN1YZI-10Q</t>
        </is>
      </c>
      <c r="M20" s="248" t="inlineStr"/>
      <c r="N20" s="245" t="inlineStr">
        <is>
          <t>F.MFG.10Q.002.AD</t>
        </is>
      </c>
      <c r="O20" s="245" t="n"/>
      <c r="P20" s="245" t="n"/>
      <c r="Q20" s="250">
        <f>R20/H20</f>
        <v/>
      </c>
      <c r="R20" s="251" t="n">
        <v>81.15000000000001</v>
      </c>
      <c r="S20" s="249" t="n">
        <v>17937</v>
      </c>
      <c r="T20" s="252">
        <f>S20*R20</f>
        <v/>
      </c>
      <c r="U20" s="245" t="n"/>
      <c r="V20" s="245" t="n"/>
      <c r="W20" s="245" t="n"/>
      <c r="X20" s="245" t="n"/>
      <c r="Y20" s="245" t="n"/>
      <c r="Z20" s="245" t="n"/>
    </row>
    <row r="21" ht="16.5" customHeight="1" s="202">
      <c r="A21" s="245" t="n"/>
      <c r="B21" s="245" t="n"/>
      <c r="C21" s="245" t="n"/>
      <c r="D21" s="245" t="n"/>
      <c r="E21" s="245" t="n"/>
      <c r="F21" s="245" t="n"/>
      <c r="G21" s="245" t="n"/>
      <c r="H21" s="247" t="n">
        <v>1</v>
      </c>
      <c r="I21" s="245" t="inlineStr"/>
      <c r="J21" s="245" t="inlineStr"/>
      <c r="K21" s="245" t="inlineStr">
        <is>
          <t>8IN AIRFLOW GEL FOAM MATT FL</t>
        </is>
      </c>
      <c r="L21" s="245" t="inlineStr">
        <is>
          <t>ZU-MFMA1RZI-08F</t>
        </is>
      </c>
      <c r="M21" s="248" t="inlineStr"/>
      <c r="N21" s="245" t="inlineStr">
        <is>
          <t>F.MFM.08F.014.AD</t>
        </is>
      </c>
      <c r="O21" s="245" t="n"/>
      <c r="P21" s="245" t="n"/>
      <c r="Q21" s="250">
        <f>R21/H21</f>
        <v/>
      </c>
      <c r="R21" s="251" t="n">
        <v>55.4</v>
      </c>
      <c r="S21" s="249" t="n">
        <v>17937</v>
      </c>
      <c r="T21" s="252">
        <f>S21*R21</f>
        <v/>
      </c>
      <c r="U21" s="245" t="n"/>
      <c r="V21" s="245" t="n"/>
      <c r="W21" s="245" t="n"/>
      <c r="X21" s="245" t="n"/>
      <c r="Y21" s="245" t="n"/>
      <c r="Z21" s="245" t="n"/>
    </row>
    <row r="22" ht="16.5" customHeight="1" s="202">
      <c r="A22" s="245" t="n"/>
      <c r="B22" s="245" t="n"/>
      <c r="C22" s="245" t="n"/>
      <c r="D22" s="245" t="n"/>
      <c r="E22" s="245" t="n"/>
      <c r="F22" s="245" t="n"/>
      <c r="G22" s="245" t="n"/>
      <c r="H22" s="247" t="n">
        <v>1</v>
      </c>
      <c r="I22" s="245" t="inlineStr"/>
      <c r="J22" s="245" t="inlineStr"/>
      <c r="K22" s="245" t="inlineStr">
        <is>
          <t>10IN AIRFLOW GEL FOAM MATT QN</t>
        </is>
      </c>
      <c r="L22" s="245" t="inlineStr">
        <is>
          <t>ZU-MFMA1RZI-10Q</t>
        </is>
      </c>
      <c r="M22" s="248" t="inlineStr"/>
      <c r="N22" s="245" t="inlineStr">
        <is>
          <t>F.MFM.10Q.014.AD</t>
        </is>
      </c>
      <c r="O22" s="245" t="n"/>
      <c r="P22" s="245" t="n"/>
      <c r="Q22" s="250">
        <f>R22/H22</f>
        <v/>
      </c>
      <c r="R22" s="251" t="n">
        <v>77.58</v>
      </c>
      <c r="S22" s="249" t="n">
        <v>17937</v>
      </c>
      <c r="T22" s="252">
        <f>S22*R22</f>
        <v/>
      </c>
      <c r="U22" s="245" t="n"/>
      <c r="V22" s="245" t="n"/>
      <c r="W22" s="245" t="n"/>
      <c r="X22" s="245" t="n"/>
      <c r="Y22" s="245" t="n"/>
      <c r="Z22" s="245" t="n"/>
    </row>
    <row r="23" ht="16.5" customHeight="1" s="202" thickBot="1">
      <c r="A23" s="245" t="n"/>
      <c r="B23" s="245" t="n"/>
      <c r="C23" s="245" t="n"/>
      <c r="D23" s="245" t="n"/>
      <c r="E23" s="245" t="n"/>
      <c r="F23" s="245" t="n"/>
      <c r="G23" s="245" t="n"/>
      <c r="H23" s="247" t="n">
        <v>1</v>
      </c>
      <c r="I23" s="245" t="inlineStr"/>
      <c r="J23" s="245" t="inlineStr"/>
      <c r="K23" s="245" t="inlineStr">
        <is>
          <t>8IN TIGHT TOP BONNEL SQ</t>
        </is>
      </c>
      <c r="L23" s="245" t="inlineStr">
        <is>
          <t>ZU-MSSA2BZI-08S</t>
        </is>
      </c>
      <c r="M23" s="248" t="inlineStr"/>
      <c r="N23" s="245" t="inlineStr">
        <is>
          <t>F.MSS.08S.009.AD</t>
        </is>
      </c>
      <c r="O23" s="245" t="n"/>
      <c r="P23" s="245" t="n"/>
      <c r="Q23" s="250">
        <f>R23/H23</f>
        <v/>
      </c>
      <c r="R23" s="251" t="n">
        <v>51.21</v>
      </c>
      <c r="S23" s="249" t="n">
        <v>17937</v>
      </c>
      <c r="T23" s="252">
        <f>S23*R23</f>
        <v/>
      </c>
      <c r="U23" s="245" t="n"/>
      <c r="V23" s="245" t="n"/>
      <c r="W23" s="245" t="n"/>
      <c r="X23" s="245" t="n"/>
      <c r="Y23" s="245" t="n"/>
      <c r="Z23" s="245" t="n"/>
    </row>
    <row r="24" ht="16.5" customHeight="1" s="202" thickTop="1">
      <c r="A24" s="245" t="n"/>
      <c r="B24" s="245" t="n"/>
      <c r="C24" s="245" t="n"/>
      <c r="D24" s="245" t="n"/>
      <c r="E24" s="245" t="n"/>
      <c r="F24" s="245" t="n"/>
      <c r="G24" s="245" t="n"/>
      <c r="H24" s="247" t="n">
        <v>1</v>
      </c>
      <c r="I24" s="245" t="inlineStr"/>
      <c r="J24" s="245" t="inlineStr"/>
      <c r="K24" s="245" t="inlineStr">
        <is>
          <t>12IN OPP HD EK</t>
        </is>
      </c>
      <c r="L24" s="245" t="inlineStr">
        <is>
          <t>ZU-MFMA1OZI-12K</t>
        </is>
      </c>
      <c r="M24" s="248" t="inlineStr"/>
      <c r="N24" s="245" t="inlineStr">
        <is>
          <t>F.MFM.12K.010.AD</t>
        </is>
      </c>
      <c r="O24" s="245" t="n"/>
      <c r="P24" s="245" t="n"/>
      <c r="Q24" s="250">
        <f>R24/H24</f>
        <v/>
      </c>
      <c r="R24" s="251" t="n">
        <v>107.8</v>
      </c>
      <c r="S24" s="249" t="n">
        <v>17937</v>
      </c>
      <c r="T24" s="252">
        <f>S24*R24</f>
        <v/>
      </c>
      <c r="U24" s="245" t="n"/>
      <c r="V24" s="245" t="n"/>
      <c r="W24" s="245" t="n"/>
      <c r="X24" s="245" t="n"/>
      <c r="Y24" s="245" t="n"/>
      <c r="Z24" s="245" t="n"/>
    </row>
    <row r="25" ht="16.5" customHeight="1" s="202">
      <c r="A25" s="245" t="n"/>
      <c r="B25" s="245" t="n"/>
      <c r="C25" s="245" t="n"/>
      <c r="D25" s="245" t="n"/>
      <c r="E25" s="245" t="n"/>
      <c r="F25" s="245" t="n"/>
      <c r="G25" s="245" t="n"/>
      <c r="H25" s="247" t="n">
        <v>1</v>
      </c>
      <c r="I25" s="245" t="inlineStr"/>
      <c r="J25" s="245" t="inlineStr"/>
      <c r="K25" s="245" t="inlineStr">
        <is>
          <t>6IN OPP HD QN</t>
        </is>
      </c>
      <c r="L25" s="245" t="inlineStr">
        <is>
          <t>ZU-MFMA1OZI-06Q</t>
        </is>
      </c>
      <c r="M25" s="248" t="inlineStr"/>
      <c r="N25" s="245" t="inlineStr">
        <is>
          <t>F.MFM.06Q.008.AD</t>
        </is>
      </c>
      <c r="O25" s="245" t="n"/>
      <c r="P25" s="245" t="n"/>
      <c r="Q25" s="250">
        <f>R25/H25</f>
        <v/>
      </c>
      <c r="R25" s="251" t="n">
        <v>52.49</v>
      </c>
      <c r="S25" s="249" t="n">
        <v>17937</v>
      </c>
      <c r="T25" s="252">
        <f>S25*R25</f>
        <v/>
      </c>
      <c r="U25" s="245" t="n"/>
      <c r="V25" s="245" t="n"/>
      <c r="W25" s="245" t="n"/>
      <c r="X25" s="245" t="n"/>
      <c r="Y25" s="245" t="n"/>
      <c r="Z25" s="245" t="n"/>
    </row>
    <row r="26" ht="16.5" customHeight="1" s="202">
      <c r="A26" s="245" t="n"/>
      <c r="B26" s="245" t="n"/>
      <c r="C26" s="245" t="n"/>
      <c r="D26" s="245" t="n"/>
      <c r="E26" s="245" t="n"/>
      <c r="F26" s="245" t="n"/>
      <c r="G26" s="245" t="n"/>
      <c r="H26" s="247" t="n">
        <v>1</v>
      </c>
      <c r="I26" s="245" t="inlineStr"/>
      <c r="J26" s="245" t="inlineStr"/>
      <c r="K26" s="245" t="inlineStr">
        <is>
          <t>10IN TIGHT TOP BONNEL TW</t>
        </is>
      </c>
      <c r="L26" s="245" t="inlineStr">
        <is>
          <t>ZU-MSSA2BZI-10T</t>
        </is>
      </c>
      <c r="M26" s="248" t="inlineStr"/>
      <c r="N26" s="245" t="inlineStr">
        <is>
          <t>F.MSS.10T.009.AD</t>
        </is>
      </c>
      <c r="O26" s="245" t="n"/>
      <c r="P26" s="245" t="n"/>
      <c r="Q26" s="250">
        <f>R26/H26</f>
        <v/>
      </c>
      <c r="R26" s="251" t="n">
        <v>42</v>
      </c>
      <c r="S26" s="249" t="n">
        <v>17937</v>
      </c>
      <c r="T26" s="252">
        <f>S26*R26</f>
        <v/>
      </c>
      <c r="U26" s="245" t="n"/>
      <c r="V26" s="245" t="n"/>
      <c r="W26" s="245" t="n"/>
      <c r="X26" s="245" t="n"/>
      <c r="Y26" s="245" t="n"/>
      <c r="Z26" s="245" t="n"/>
    </row>
    <row r="27" ht="16.5" customHeight="1" s="202">
      <c r="A27" s="245" t="n"/>
      <c r="B27" s="245" t="n"/>
      <c r="C27" s="245" t="n"/>
      <c r="D27" s="245" t="n"/>
      <c r="E27" s="245" t="n"/>
      <c r="F27" s="245" t="n"/>
      <c r="G27" s="245" t="n"/>
      <c r="H27" s="247" t="n">
        <v>1</v>
      </c>
      <c r="I27" s="245" t="inlineStr"/>
      <c r="J27" s="245" t="inlineStr"/>
      <c r="K27" s="245" t="inlineStr">
        <is>
          <t>12IN OPP HD TW</t>
        </is>
      </c>
      <c r="L27" s="245" t="inlineStr">
        <is>
          <t>ZU-MFMA1OZI-12T</t>
        </is>
      </c>
      <c r="M27" s="248" t="inlineStr"/>
      <c r="N27" s="245" t="inlineStr">
        <is>
          <t>F.MFM.12T.010.AD</t>
        </is>
      </c>
      <c r="O27" s="245" t="n"/>
      <c r="P27" s="245" t="n"/>
      <c r="Q27" s="250">
        <f>R27/H27</f>
        <v/>
      </c>
      <c r="R27" s="251" t="n">
        <v>56.61</v>
      </c>
      <c r="S27" s="249" t="n">
        <v>17937</v>
      </c>
      <c r="T27" s="252">
        <f>S27*R27</f>
        <v/>
      </c>
      <c r="U27" s="245" t="n"/>
      <c r="V27" s="245" t="n"/>
      <c r="W27" s="245" t="n"/>
      <c r="X27" s="245" t="n"/>
      <c r="Y27" s="245" t="n"/>
      <c r="Z27" s="245" t="n"/>
    </row>
    <row r="28" ht="16.5" customHeight="1" s="202">
      <c r="A28" s="245" t="n"/>
      <c r="B28" s="245" t="n"/>
      <c r="C28" s="245" t="n"/>
      <c r="D28" s="245" t="n"/>
      <c r="E28" s="245" t="n"/>
      <c r="F28" s="245" t="n"/>
      <c r="G28" s="245" t="n"/>
      <c r="H28" s="247" t="n">
        <v>1</v>
      </c>
      <c r="I28" s="245" t="inlineStr"/>
      <c r="J28" s="245" t="inlineStr"/>
      <c r="K28" s="245" t="inlineStr">
        <is>
          <t>6IN TIGHT TOP BONNEL TW</t>
        </is>
      </c>
      <c r="L28" s="245" t="inlineStr">
        <is>
          <t>ZU-MSSA2BZI-06T</t>
        </is>
      </c>
      <c r="M28" s="248" t="inlineStr"/>
      <c r="N28" s="245" t="inlineStr">
        <is>
          <t>F.MSS.06T.007.AD</t>
        </is>
      </c>
      <c r="O28" s="245" t="n"/>
      <c r="P28" s="245" t="n"/>
      <c r="Q28" s="250">
        <f>R28/H28</f>
        <v/>
      </c>
      <c r="R28" s="251" t="n">
        <v>31.49</v>
      </c>
      <c r="S28" s="249" t="n">
        <v>17937</v>
      </c>
      <c r="T28" s="252">
        <f>S28*R28</f>
        <v/>
      </c>
      <c r="U28" s="245" t="n"/>
      <c r="V28" s="245" t="n"/>
      <c r="W28" s="245" t="n"/>
      <c r="X28" s="245" t="n"/>
      <c r="Y28" s="245" t="n"/>
      <c r="Z28" s="245" t="n"/>
    </row>
    <row r="29" ht="16.5" customHeight="1" s="202">
      <c r="A29" s="245" t="n"/>
      <c r="B29" s="245" t="n"/>
      <c r="C29" s="245" t="n"/>
      <c r="D29" s="245" t="n"/>
      <c r="E29" s="245" t="n"/>
      <c r="F29" s="245" t="n"/>
      <c r="G29" s="245" t="n"/>
      <c r="H29" s="247" t="n">
        <v>1</v>
      </c>
      <c r="I29" s="245" t="inlineStr"/>
      <c r="J29" s="245" t="inlineStr"/>
      <c r="K29" s="245" t="inlineStr">
        <is>
          <t>12IN MYGEL FOAM MATTRESS FL</t>
        </is>
      </c>
      <c r="L29" s="245" t="inlineStr">
        <is>
          <t>ZU-MFGN1YZI-12F</t>
        </is>
      </c>
      <c r="M29" s="248" t="inlineStr"/>
      <c r="N29" s="245" t="inlineStr">
        <is>
          <t>F.MFG.12F.002.AD</t>
        </is>
      </c>
      <c r="O29" s="245" t="n"/>
      <c r="P29" s="245" t="n"/>
      <c r="Q29" s="250">
        <f>R29/H29</f>
        <v/>
      </c>
      <c r="R29" s="251" t="n">
        <v>78.40000000000001</v>
      </c>
      <c r="S29" s="249" t="n">
        <v>17937</v>
      </c>
      <c r="T29" s="252">
        <f>S29*R29</f>
        <v/>
      </c>
      <c r="U29" s="245" t="n"/>
      <c r="V29" s="245" t="n"/>
      <c r="W29" s="245" t="n"/>
      <c r="X29" s="245" t="n"/>
      <c r="Y29" s="245" t="n"/>
      <c r="Z29" s="245" t="n"/>
    </row>
    <row r="30" ht="16.5" customHeight="1" s="202">
      <c r="A30" s="245" t="n"/>
      <c r="B30" s="245" t="n"/>
      <c r="C30" s="245" t="n"/>
      <c r="D30" s="245" t="n"/>
      <c r="E30" s="245" t="n"/>
      <c r="F30" s="245" t="n"/>
      <c r="G30" s="245" t="n"/>
      <c r="H30" s="247" t="n">
        <v>1</v>
      </c>
      <c r="I30" s="245" t="inlineStr"/>
      <c r="J30" s="245" t="inlineStr"/>
      <c r="K30" s="245" t="inlineStr">
        <is>
          <t>6IN MYGEL FOAM MATTRESS TW</t>
        </is>
      </c>
      <c r="L30" s="245" t="inlineStr">
        <is>
          <t>ZU-MFGN1YZI-06T</t>
        </is>
      </c>
      <c r="M30" s="248" t="inlineStr"/>
      <c r="N30" s="245" t="inlineStr">
        <is>
          <t>F.MFG.06T.002.AD</t>
        </is>
      </c>
      <c r="O30" s="245" t="n"/>
      <c r="P30" s="245" t="n"/>
      <c r="Q30" s="250">
        <f>R30/H30</f>
        <v/>
      </c>
      <c r="R30" s="251" t="n">
        <v>35.39</v>
      </c>
      <c r="S30" s="249" t="n">
        <v>17937</v>
      </c>
      <c r="T30" s="252">
        <f>S30*R30</f>
        <v/>
      </c>
      <c r="U30" s="245" t="n"/>
      <c r="V30" s="245" t="n"/>
      <c r="W30" s="245" t="n"/>
      <c r="X30" s="245" t="n"/>
      <c r="Y30" s="245" t="n"/>
      <c r="Z30" s="245" t="n"/>
    </row>
    <row r="31" ht="16.5" customHeight="1" s="202">
      <c r="A31" s="245" t="n"/>
      <c r="B31" s="245" t="n"/>
      <c r="C31" s="245" t="n"/>
      <c r="D31" s="245" t="n"/>
      <c r="E31" s="245" t="n"/>
      <c r="F31" s="245" t="n"/>
      <c r="G31" s="245" t="n"/>
      <c r="H31" s="247" t="n">
        <v>1</v>
      </c>
      <c r="I31" s="245" t="inlineStr"/>
      <c r="J31" s="245" t="inlineStr"/>
      <c r="K31" s="245" t="inlineStr">
        <is>
          <t>8IN TIGHT TOP BONNEL CK</t>
        </is>
      </c>
      <c r="L31" s="245" t="inlineStr">
        <is>
          <t>ZU-MSSA2BZI-08C</t>
        </is>
      </c>
      <c r="M31" s="248" t="inlineStr"/>
      <c r="N31" s="245" t="inlineStr">
        <is>
          <t>F.MSS.08C.009.AD</t>
        </is>
      </c>
      <c r="O31" s="245" t="n"/>
      <c r="P31" s="245" t="n"/>
      <c r="Q31" s="250">
        <f>R31/H31</f>
        <v/>
      </c>
      <c r="R31" s="251" t="n">
        <v>71.61</v>
      </c>
      <c r="S31" s="249" t="n">
        <v>17937</v>
      </c>
      <c r="T31" s="252">
        <f>S31*R31</f>
        <v/>
      </c>
      <c r="U31" s="245" t="n"/>
      <c r="V31" s="245" t="n"/>
      <c r="W31" s="245" t="n"/>
      <c r="X31" s="245" t="n"/>
      <c r="Y31" s="245" t="n"/>
      <c r="Z31" s="245" t="n"/>
    </row>
    <row r="32" ht="16.5" customHeight="1" s="202" thickBot="1">
      <c r="A32" s="245" t="n"/>
      <c r="B32" s="245" t="n"/>
      <c r="C32" s="245" t="n"/>
      <c r="D32" s="245" t="n"/>
      <c r="E32" s="245" t="n"/>
      <c r="F32" s="245" t="n"/>
      <c r="G32" s="245" t="n"/>
      <c r="H32" s="247" t="n">
        <v>1</v>
      </c>
      <c r="I32" s="245" t="inlineStr"/>
      <c r="J32" s="245" t="inlineStr"/>
      <c r="K32" s="245" t="inlineStr">
        <is>
          <t>10IN MYGEL FOAM MATTRESS FL</t>
        </is>
      </c>
      <c r="L32" s="245" t="inlineStr">
        <is>
          <t>ZU-MFGN1YZI-10F</t>
        </is>
      </c>
      <c r="M32" s="248" t="inlineStr"/>
      <c r="N32" s="245" t="inlineStr">
        <is>
          <t>F.MFG.10F.002.AD</t>
        </is>
      </c>
      <c r="O32" s="245" t="n"/>
      <c r="P32" s="245" t="n"/>
      <c r="Q32" s="250">
        <f>R32/H32</f>
        <v/>
      </c>
      <c r="R32" s="251" t="n">
        <v>68.51000000000001</v>
      </c>
      <c r="S32" s="249" t="n">
        <v>17937</v>
      </c>
      <c r="T32" s="252">
        <f>S32*R32</f>
        <v/>
      </c>
      <c r="U32" s="245" t="n"/>
      <c r="V32" s="245" t="n"/>
      <c r="W32" s="245" t="n"/>
      <c r="X32" s="245" t="n"/>
      <c r="Y32" s="245" t="n"/>
      <c r="Z32" s="245" t="n"/>
    </row>
    <row r="33" ht="16.5" customFormat="1" customHeight="1" s="17" thickTop="1">
      <c r="A33" s="245" t="n"/>
      <c r="B33" s="245" t="n"/>
      <c r="C33" s="245" t="n"/>
      <c r="D33" s="245" t="n"/>
      <c r="E33" s="245" t="n"/>
      <c r="F33" s="245" t="n"/>
      <c r="G33" s="245" t="n"/>
      <c r="H33" s="247" t="n">
        <v>1</v>
      </c>
      <c r="I33" s="245" t="inlineStr"/>
      <c r="J33" s="245" t="inlineStr"/>
      <c r="K33" s="245" t="inlineStr">
        <is>
          <t>8IN TIGHT TOP BONNEL TW</t>
        </is>
      </c>
      <c r="L33" s="245" t="inlineStr">
        <is>
          <t>ZU-MSSA2BZI-08T</t>
        </is>
      </c>
      <c r="M33" s="248" t="inlineStr"/>
      <c r="N33" s="245" t="inlineStr">
        <is>
          <t>F.MSS.08T.009.AD</t>
        </is>
      </c>
      <c r="O33" s="245" t="n"/>
      <c r="P33" s="245" t="n"/>
      <c r="Q33" s="250">
        <f>R33/H33</f>
        <v/>
      </c>
      <c r="R33" s="251" t="n">
        <v>36.3</v>
      </c>
      <c r="S33" s="249" t="n">
        <v>17937</v>
      </c>
      <c r="T33" s="252">
        <f>S33*R33</f>
        <v/>
      </c>
      <c r="U33" s="245" t="n"/>
      <c r="V33" s="245" t="n"/>
      <c r="W33" s="245" t="n"/>
      <c r="X33" s="245" t="n"/>
      <c r="Y33" s="245" t="n"/>
      <c r="Z33" s="245" t="n"/>
    </row>
    <row r="34" ht="16.5" customHeight="1" s="202">
      <c r="A34" s="245" t="n"/>
      <c r="B34" s="245" t="n"/>
      <c r="C34" s="245" t="n"/>
      <c r="D34" s="245" t="n"/>
      <c r="E34" s="245" t="n"/>
      <c r="F34" s="245" t="n"/>
      <c r="G34" s="245" t="n"/>
      <c r="H34" s="247" t="n">
        <v>1</v>
      </c>
      <c r="I34" s="245" t="inlineStr"/>
      <c r="J34" s="245" t="inlineStr"/>
      <c r="K34" s="245" t="inlineStr">
        <is>
          <t>12IN F-EURO TOP BONNEL EK</t>
        </is>
      </c>
      <c r="L34" s="245" t="inlineStr">
        <is>
          <t>ZU-MSSA2BZI-12K</t>
        </is>
      </c>
      <c r="M34" s="248" t="inlineStr"/>
      <c r="N34" s="245" t="inlineStr">
        <is>
          <t>F.MSS.12K.007.AD</t>
        </is>
      </c>
      <c r="O34" s="245" t="n"/>
      <c r="P34" s="245" t="n"/>
      <c r="Q34" s="250">
        <f>R34/H34</f>
        <v/>
      </c>
      <c r="R34" s="251" t="n">
        <v>95.33</v>
      </c>
      <c r="S34" s="249" t="n">
        <v>17937</v>
      </c>
      <c r="T34" s="252">
        <f>S34*R34</f>
        <v/>
      </c>
      <c r="U34" s="245" t="n"/>
      <c r="V34" s="245" t="n"/>
      <c r="W34" s="245" t="n"/>
      <c r="X34" s="245" t="n"/>
      <c r="Y34" s="245" t="n"/>
      <c r="Z34" s="245" t="n"/>
    </row>
    <row r="35" ht="16.5" customHeight="1" s="202">
      <c r="A35" s="245" t="n"/>
      <c r="B35" s="245" t="n"/>
      <c r="C35" s="245" t="n"/>
      <c r="D35" s="245" t="n"/>
      <c r="E35" s="245" t="n"/>
      <c r="F35" s="245" t="n"/>
      <c r="G35" s="245" t="n"/>
      <c r="H35" s="247" t="n">
        <v>1</v>
      </c>
      <c r="I35" s="245" t="inlineStr"/>
      <c r="J35" s="245" t="inlineStr"/>
      <c r="K35" s="245" t="inlineStr">
        <is>
          <t>8IN TIGHT TOP BONNEL FL</t>
        </is>
      </c>
      <c r="L35" s="245" t="inlineStr">
        <is>
          <t>ZU-MSSA2BZI-08F</t>
        </is>
      </c>
      <c r="M35" s="248" t="inlineStr"/>
      <c r="N35" s="245" t="inlineStr">
        <is>
          <t>F.MSS.08F.009.AD</t>
        </is>
      </c>
      <c r="O35" s="245" t="n"/>
      <c r="P35" s="245" t="n"/>
      <c r="Q35" s="250">
        <f>R35/H35</f>
        <v/>
      </c>
      <c r="R35" s="251" t="n">
        <v>48.56</v>
      </c>
      <c r="S35" s="249" t="n">
        <v>17937</v>
      </c>
      <c r="T35" s="252">
        <f>S35*R35</f>
        <v/>
      </c>
      <c r="U35" s="245" t="n"/>
      <c r="V35" s="245" t="n"/>
      <c r="W35" s="245" t="n"/>
      <c r="X35" s="245" t="n"/>
      <c r="Y35" s="245" t="n"/>
      <c r="Z35" s="245" t="n"/>
    </row>
    <row r="36" ht="16.5" customHeight="1" s="202">
      <c r="A36" s="245" t="n"/>
      <c r="B36" s="245" t="n"/>
      <c r="C36" s="245" t="n"/>
      <c r="D36" s="245" t="n"/>
      <c r="E36" s="245" t="n"/>
      <c r="F36" s="245" t="n"/>
      <c r="G36" s="245" t="n"/>
      <c r="H36" s="247" t="n">
        <v>1</v>
      </c>
      <c r="I36" s="245" t="inlineStr"/>
      <c r="J36" s="245" t="inlineStr"/>
      <c r="K36" s="245" t="inlineStr">
        <is>
          <t>10IN AIRFLOW GEL FOAM MATT TW</t>
        </is>
      </c>
      <c r="L36" s="245" t="inlineStr">
        <is>
          <t>ZU-MFMA1RZI-10T</t>
        </is>
      </c>
      <c r="M36" s="248" t="inlineStr"/>
      <c r="N36" s="245" t="inlineStr">
        <is>
          <t>F.MFM.10T.014.AD</t>
        </is>
      </c>
      <c r="O36" s="245" t="n"/>
      <c r="P36" s="245" t="n"/>
      <c r="Q36" s="250">
        <f>R36/H36</f>
        <v/>
      </c>
      <c r="R36" s="251" t="n">
        <v>49.88</v>
      </c>
      <c r="S36" s="249" t="n">
        <v>17937</v>
      </c>
      <c r="T36" s="252">
        <f>S36*R36</f>
        <v/>
      </c>
      <c r="U36" s="245" t="n"/>
      <c r="V36" s="245" t="n"/>
      <c r="W36" s="245" t="n"/>
      <c r="X36" s="245" t="n"/>
      <c r="Y36" s="245" t="n"/>
      <c r="Z36" s="245" t="n"/>
    </row>
    <row r="37" ht="16.5" customHeight="1" s="202">
      <c r="A37" s="245" t="n"/>
      <c r="B37" s="245" t="n"/>
      <c r="C37" s="245" t="n"/>
      <c r="D37" s="245" t="n"/>
      <c r="E37" s="245" t="n"/>
      <c r="F37" s="245" t="n"/>
      <c r="G37" s="245" t="n"/>
      <c r="H37" s="247" t="n">
        <v>1</v>
      </c>
      <c r="I37" s="245" t="inlineStr"/>
      <c r="J37" s="245" t="inlineStr"/>
      <c r="K37" s="245" t="inlineStr">
        <is>
          <t>10IN AIRFLOW GEL FOAM MATT FL</t>
        </is>
      </c>
      <c r="L37" s="245" t="inlineStr">
        <is>
          <t>ZU-MFMA1RZI-10F</t>
        </is>
      </c>
      <c r="M37" s="248" t="inlineStr"/>
      <c r="N37" s="245" t="inlineStr">
        <is>
          <t>F.MFM.10F.014.AD</t>
        </is>
      </c>
      <c r="O37" s="245" t="n"/>
      <c r="P37" s="245" t="n"/>
      <c r="Q37" s="250">
        <f>R37/H37</f>
        <v/>
      </c>
      <c r="R37" s="251" t="n">
        <v>65.62</v>
      </c>
      <c r="S37" s="249" t="n">
        <v>17937</v>
      </c>
      <c r="T37" s="252">
        <f>S37*R37</f>
        <v/>
      </c>
      <c r="U37" s="245" t="n"/>
      <c r="V37" s="245" t="n"/>
      <c r="W37" s="245" t="n"/>
      <c r="X37" s="245" t="n"/>
      <c r="Y37" s="245" t="n"/>
      <c r="Z37" s="245" t="n"/>
    </row>
    <row r="38" ht="16.5" customHeight="1" s="202">
      <c r="A38" s="245" t="n"/>
      <c r="B38" s="245" t="n"/>
      <c r="C38" s="245" t="n"/>
      <c r="D38" s="245" t="n"/>
      <c r="E38" s="245" t="n"/>
      <c r="F38" s="245" t="n"/>
      <c r="G38" s="245" t="n"/>
      <c r="H38" s="247" t="n">
        <v>1</v>
      </c>
      <c r="I38" s="245" t="inlineStr"/>
      <c r="J38" s="245" t="inlineStr"/>
      <c r="K38" s="245" t="inlineStr">
        <is>
          <t>12IN AIRFLOW GEL FOAM MATT TW</t>
        </is>
      </c>
      <c r="L38" s="245" t="inlineStr">
        <is>
          <t>ZU-MFMA1RZI-12T</t>
        </is>
      </c>
      <c r="M38" s="248" t="inlineStr"/>
      <c r="N38" s="245" t="inlineStr">
        <is>
          <t>F.MFM.12T.011.AD</t>
        </is>
      </c>
      <c r="O38" s="245" t="n"/>
      <c r="P38" s="245" t="n"/>
      <c r="Q38" s="250">
        <f>R38/H38</f>
        <v/>
      </c>
      <c r="R38" s="251" t="n">
        <v>56.69</v>
      </c>
      <c r="S38" s="249" t="n">
        <v>17937</v>
      </c>
      <c r="T38" s="252">
        <f>S38*R38</f>
        <v/>
      </c>
      <c r="U38" s="245" t="n"/>
      <c r="V38" s="245" t="n"/>
      <c r="W38" s="245" t="n"/>
      <c r="X38" s="245" t="n"/>
      <c r="Y38" s="245" t="n"/>
      <c r="Z38" s="245" t="n"/>
    </row>
    <row r="39" ht="16.5" customHeight="1" s="202">
      <c r="A39" s="245" t="n"/>
      <c r="B39" s="245" t="n"/>
      <c r="C39" s="245" t="n"/>
      <c r="D39" s="245" t="n"/>
      <c r="E39" s="245" t="n"/>
      <c r="F39" s="245" t="n"/>
      <c r="G39" s="245" t="n"/>
      <c r="H39" s="247" t="n">
        <v>1</v>
      </c>
      <c r="I39" s="245" t="inlineStr"/>
      <c r="J39" s="245" t="inlineStr"/>
      <c r="K39" s="245" t="inlineStr">
        <is>
          <t>8IN OPP HD QN</t>
        </is>
      </c>
      <c r="L39" s="245" t="inlineStr">
        <is>
          <t>ZU-MFMA1OZI-08Q</t>
        </is>
      </c>
      <c r="M39" s="248" t="inlineStr"/>
      <c r="N39" s="245" t="inlineStr">
        <is>
          <t>F.MFM.08Q.013.AD</t>
        </is>
      </c>
      <c r="O39" s="245" t="n"/>
      <c r="P39" s="245" t="n"/>
      <c r="Q39" s="250">
        <f>R39/H39</f>
        <v/>
      </c>
      <c r="R39" s="251" t="n">
        <v>66.44</v>
      </c>
      <c r="S39" s="249" t="n">
        <v>17937</v>
      </c>
      <c r="T39" s="252">
        <f>S39*R39</f>
        <v/>
      </c>
      <c r="U39" s="245" t="n"/>
      <c r="V39" s="245" t="n"/>
      <c r="W39" s="245" t="n"/>
      <c r="X39" s="245" t="n"/>
      <c r="Y39" s="245" t="n"/>
      <c r="Z39" s="245" t="n"/>
    </row>
    <row r="40" ht="16.5" customHeight="1" s="202">
      <c r="A40" s="245" t="n"/>
      <c r="B40" s="245" t="n"/>
      <c r="C40" s="245" t="n"/>
      <c r="D40" s="245" t="n"/>
      <c r="E40" s="245" t="n"/>
      <c r="F40" s="245" t="n"/>
      <c r="G40" s="245" t="n"/>
      <c r="H40" s="247" t="n">
        <v>1</v>
      </c>
      <c r="I40" s="245" t="inlineStr"/>
      <c r="J40" s="245" t="inlineStr"/>
      <c r="K40" s="245" t="inlineStr">
        <is>
          <t>8IN AIRFLOW GEL FOAM MATT TW</t>
        </is>
      </c>
      <c r="L40" s="245" t="inlineStr">
        <is>
          <t>ZU-MFMA1RZI-08T</t>
        </is>
      </c>
      <c r="M40" s="248" t="inlineStr"/>
      <c r="N40" s="245" t="inlineStr">
        <is>
          <t>F.MFM.08T.014.AD</t>
        </is>
      </c>
      <c r="O40" s="245" t="n"/>
      <c r="P40" s="245" t="n"/>
      <c r="Q40" s="250">
        <f>R40/H40</f>
        <v/>
      </c>
      <c r="R40" s="251" t="n">
        <v>41.42</v>
      </c>
      <c r="S40" s="249" t="n">
        <v>17937</v>
      </c>
      <c r="T40" s="252">
        <f>S40*R40</f>
        <v/>
      </c>
      <c r="U40" s="245" t="n"/>
      <c r="V40" s="245" t="n"/>
      <c r="W40" s="245" t="n"/>
      <c r="X40" s="245" t="n"/>
      <c r="Y40" s="245" t="n"/>
      <c r="Z40" s="245" t="n"/>
    </row>
    <row r="41" ht="16.5" customHeight="1" s="202">
      <c r="A41" s="245" t="n"/>
      <c r="B41" s="245" t="n"/>
      <c r="C41" s="245" t="n"/>
      <c r="D41" s="245" t="n"/>
      <c r="E41" s="245" t="n"/>
      <c r="F41" s="245" t="n"/>
      <c r="G41" s="245" t="n"/>
      <c r="H41" s="247" t="n">
        <v>1</v>
      </c>
      <c r="I41" s="245" t="inlineStr"/>
      <c r="J41" s="245" t="inlineStr"/>
      <c r="K41" s="245" t="inlineStr">
        <is>
          <t>10IN AIRFLOW GEL FOAM MATT EK</t>
        </is>
      </c>
      <c r="L41" s="245" t="inlineStr">
        <is>
          <t>ZU-MFMA1RZI-10K</t>
        </is>
      </c>
      <c r="M41" s="248" t="inlineStr"/>
      <c r="N41" s="245" t="inlineStr">
        <is>
          <t>F.MFM.10K.014.AD</t>
        </is>
      </c>
      <c r="O41" s="245" t="n"/>
      <c r="P41" s="245" t="n"/>
      <c r="Q41" s="250">
        <f>R41/H41</f>
        <v/>
      </c>
      <c r="R41" s="251" t="n">
        <v>95</v>
      </c>
      <c r="S41" s="249" t="n">
        <v>17937</v>
      </c>
      <c r="T41" s="252">
        <f>S41*R41</f>
        <v/>
      </c>
      <c r="U41" s="245" t="n"/>
      <c r="V41" s="245" t="n"/>
      <c r="W41" s="245" t="n"/>
      <c r="X41" s="245" t="n"/>
      <c r="Y41" s="245" t="n"/>
      <c r="Z41" s="245" t="n"/>
    </row>
    <row r="42" ht="16.5" customHeight="1" s="202">
      <c r="A42" s="245" t="n"/>
      <c r="B42" s="245" t="n"/>
      <c r="C42" s="245" t="n"/>
      <c r="D42" s="245" t="n"/>
      <c r="E42" s="245" t="n"/>
      <c r="F42" s="245" t="n"/>
      <c r="G42" s="245" t="n"/>
      <c r="H42" s="247" t="n">
        <v>1</v>
      </c>
      <c r="I42" s="245" t="inlineStr"/>
      <c r="J42" s="245" t="inlineStr"/>
      <c r="K42" s="245" t="inlineStr">
        <is>
          <t>10IN OPP HD FL</t>
        </is>
      </c>
      <c r="L42" s="245" t="inlineStr">
        <is>
          <t>ZU-MFMA1OZI-10F</t>
        </is>
      </c>
      <c r="M42" s="248" t="inlineStr"/>
      <c r="N42" s="245" t="inlineStr">
        <is>
          <t>F.MFM.10F.013.AD</t>
        </is>
      </c>
      <c r="O42" s="245" t="n"/>
      <c r="P42" s="245" t="n"/>
      <c r="Q42" s="250">
        <f>R42/H42</f>
        <v/>
      </c>
      <c r="R42" s="251" t="n">
        <v>65.51000000000001</v>
      </c>
      <c r="S42" s="249" t="n">
        <v>17937</v>
      </c>
      <c r="T42" s="252">
        <f>S42*R42</f>
        <v/>
      </c>
      <c r="U42" s="245" t="n"/>
      <c r="V42" s="245" t="n"/>
      <c r="W42" s="245" t="n"/>
      <c r="X42" s="245" t="n"/>
      <c r="Y42" s="245" t="n"/>
      <c r="Z42" s="245" t="n"/>
    </row>
    <row r="43" ht="16.5" customHeight="1" s="202">
      <c r="A43" s="245" t="n"/>
      <c r="B43" s="245" t="n"/>
      <c r="C43" s="245" t="n"/>
      <c r="D43" s="245" t="n"/>
      <c r="E43" s="245" t="n"/>
      <c r="F43" s="245" t="n"/>
      <c r="G43" s="245" t="n"/>
      <c r="H43" s="247" t="n">
        <v>1</v>
      </c>
      <c r="I43" s="245" t="inlineStr"/>
      <c r="J43" s="245" t="inlineStr"/>
      <c r="K43" s="245" t="inlineStr">
        <is>
          <t>10IN MYGEL FOAM MATTRESS TW</t>
        </is>
      </c>
      <c r="L43" s="245" t="inlineStr">
        <is>
          <t>ZU-MFGN1YZI-10T</t>
        </is>
      </c>
      <c r="M43" s="248" t="inlineStr"/>
      <c r="N43" s="245" t="inlineStr">
        <is>
          <t>F.MFG.10T.002.AD</t>
        </is>
      </c>
      <c r="O43" s="245" t="n"/>
      <c r="P43" s="245" t="n"/>
      <c r="Q43" s="250">
        <f>R43/H43</f>
        <v/>
      </c>
      <c r="R43" s="251" t="n">
        <v>51.8</v>
      </c>
      <c r="S43" s="249" t="n">
        <v>17937</v>
      </c>
      <c r="T43" s="252">
        <f>S43*R43</f>
        <v/>
      </c>
      <c r="U43" s="245" t="n"/>
      <c r="V43" s="245" t="n"/>
      <c r="W43" s="245" t="n"/>
      <c r="X43" s="245" t="n"/>
      <c r="Y43" s="245" t="n"/>
      <c r="Z43" s="245" t="n"/>
    </row>
    <row r="44" ht="16.5" customHeight="1" s="202">
      <c r="A44" s="245" t="n"/>
      <c r="B44" s="245" t="n"/>
      <c r="C44" s="245" t="n"/>
      <c r="D44" s="245" t="n"/>
      <c r="E44" s="245" t="n"/>
      <c r="F44" s="245" t="n"/>
      <c r="G44" s="245" t="n"/>
      <c r="H44" s="247" t="n">
        <v>1</v>
      </c>
      <c r="I44" s="245" t="inlineStr"/>
      <c r="J44" s="245" t="inlineStr"/>
      <c r="K44" s="245" t="inlineStr">
        <is>
          <t>8IN MYGEL FOAM MATTRESS TW</t>
        </is>
      </c>
      <c r="L44" s="245" t="inlineStr">
        <is>
          <t>ZU-MFGN1YZI-08T</t>
        </is>
      </c>
      <c r="M44" s="248" t="inlineStr"/>
      <c r="N44" s="245" t="inlineStr">
        <is>
          <t>F.MFG.08T.003.AD</t>
        </is>
      </c>
      <c r="O44" s="245" t="n"/>
      <c r="P44" s="245" t="n"/>
      <c r="Q44" s="250">
        <f>R44/H44</f>
        <v/>
      </c>
      <c r="R44" s="251" t="n">
        <v>44.18</v>
      </c>
      <c r="S44" s="249" t="n">
        <v>17937</v>
      </c>
      <c r="T44" s="252">
        <f>S44*R44</f>
        <v/>
      </c>
      <c r="U44" s="245" t="n"/>
      <c r="V44" s="245" t="n"/>
      <c r="W44" s="245" t="n"/>
      <c r="X44" s="245" t="n"/>
      <c r="Y44" s="245" t="n"/>
      <c r="Z44" s="245" t="n"/>
    </row>
    <row r="45" ht="16.5" customHeight="1" s="202">
      <c r="A45" s="245" t="n"/>
      <c r="B45" s="245" t="n"/>
      <c r="C45" s="245" t="n"/>
      <c r="D45" s="245" t="n"/>
      <c r="E45" s="245" t="n"/>
      <c r="F45" s="245" t="n"/>
      <c r="G45" s="245" t="n"/>
      <c r="H45" s="247" t="n">
        <v>1</v>
      </c>
      <c r="I45" s="245" t="inlineStr"/>
      <c r="J45" s="245" t="inlineStr"/>
      <c r="K45" s="245" t="inlineStr">
        <is>
          <t>10IN OPP HD QN</t>
        </is>
      </c>
      <c r="L45" s="245" t="inlineStr">
        <is>
          <t>ZU-MFMA1OZI-10Q</t>
        </is>
      </c>
      <c r="M45" s="248" t="inlineStr"/>
      <c r="N45" s="245" t="inlineStr">
        <is>
          <t>F.MFM.10Q.013.AD</t>
        </is>
      </c>
      <c r="O45" s="245" t="n"/>
      <c r="P45" s="245" t="n"/>
      <c r="Q45" s="250">
        <f>R45/H45</f>
        <v/>
      </c>
      <c r="R45" s="251" t="n">
        <v>77.45</v>
      </c>
      <c r="S45" s="249" t="n">
        <v>17937</v>
      </c>
      <c r="T45" s="252">
        <f>S45*R45</f>
        <v/>
      </c>
      <c r="U45" s="245" t="n"/>
      <c r="V45" s="245" t="n"/>
      <c r="W45" s="245" t="n"/>
      <c r="X45" s="245" t="n"/>
      <c r="Y45" s="245" t="n"/>
      <c r="Z45" s="245" t="n"/>
    </row>
    <row r="46" ht="16.5" customHeight="1" s="202">
      <c r="A46" s="245" t="n"/>
      <c r="B46" s="245" t="n"/>
      <c r="C46" s="245" t="n"/>
      <c r="D46" s="245" t="n"/>
      <c r="E46" s="245" t="n"/>
      <c r="F46" s="245" t="n"/>
      <c r="G46" s="245" t="n"/>
      <c r="H46" s="247" t="n">
        <v>1</v>
      </c>
      <c r="I46" s="245" t="inlineStr"/>
      <c r="J46" s="245" t="inlineStr"/>
      <c r="K46" s="245" t="inlineStr">
        <is>
          <t>8IN OPP HD FL</t>
        </is>
      </c>
      <c r="L46" s="245" t="inlineStr">
        <is>
          <t>ZU-MFMA1OZI-08F</t>
        </is>
      </c>
      <c r="M46" s="248" t="inlineStr"/>
      <c r="N46" s="245" t="inlineStr">
        <is>
          <t>F.MFM.08F.013.AD</t>
        </is>
      </c>
      <c r="O46" s="245" t="n"/>
      <c r="P46" s="245" t="n"/>
      <c r="Q46" s="250">
        <f>R46/H46</f>
        <v/>
      </c>
      <c r="R46" s="251" t="n">
        <v>56.39</v>
      </c>
      <c r="S46" s="249" t="n">
        <v>17937</v>
      </c>
      <c r="T46" s="252">
        <f>S46*R46</f>
        <v/>
      </c>
      <c r="U46" s="245" t="n"/>
      <c r="V46" s="245" t="n"/>
      <c r="W46" s="245" t="n"/>
      <c r="X46" s="245" t="n"/>
      <c r="Y46" s="245" t="n"/>
      <c r="Z46" s="245" t="n"/>
    </row>
    <row r="47" ht="16.5" customHeight="1" s="202">
      <c r="A47" s="245" t="n"/>
      <c r="B47" s="245" t="n"/>
      <c r="C47" s="245" t="n"/>
      <c r="D47" s="245" t="n"/>
      <c r="E47" s="245" t="n"/>
      <c r="F47" s="245" t="n"/>
      <c r="G47" s="245" t="n"/>
      <c r="H47" s="247" t="n">
        <v>1</v>
      </c>
      <c r="I47" s="245" t="inlineStr"/>
      <c r="J47" s="245" t="inlineStr"/>
      <c r="K47" s="245" t="inlineStr">
        <is>
          <t>12IN MYGEL FOAM MATTRESS EK</t>
        </is>
      </c>
      <c r="L47" s="245" t="inlineStr">
        <is>
          <t>ZU-MFGN1YZI-12K</t>
        </is>
      </c>
      <c r="M47" s="248" t="inlineStr"/>
      <c r="N47" s="245" t="inlineStr">
        <is>
          <t>F.MFG.12K.002.AD</t>
        </is>
      </c>
      <c r="O47" s="245" t="n"/>
      <c r="P47" s="245" t="n"/>
      <c r="Q47" s="250">
        <f>R47/H47</f>
        <v/>
      </c>
      <c r="R47" s="251" t="n">
        <v>113.33</v>
      </c>
      <c r="S47" s="249" t="n">
        <v>17937</v>
      </c>
      <c r="T47" s="252">
        <f>S47*R47</f>
        <v/>
      </c>
      <c r="U47" s="245" t="n"/>
      <c r="V47" s="245" t="n"/>
      <c r="W47" s="245" t="n"/>
      <c r="X47" s="245" t="n"/>
      <c r="Y47" s="245" t="n"/>
      <c r="Z47" s="245" t="n"/>
    </row>
    <row r="48" ht="16.5" customHeight="1" s="202">
      <c r="A48" s="245" t="n"/>
      <c r="B48" s="245" t="n"/>
      <c r="C48" s="245" t="n"/>
      <c r="D48" s="245" t="n"/>
      <c r="E48" s="245" t="n"/>
      <c r="F48" s="245" t="n"/>
      <c r="G48" s="245" t="n"/>
      <c r="H48" s="247" t="n">
        <v>1</v>
      </c>
      <c r="I48" s="245" t="inlineStr"/>
      <c r="J48" s="245" t="inlineStr"/>
      <c r="K48" s="245" t="inlineStr">
        <is>
          <t>12IN OPP HD QN</t>
        </is>
      </c>
      <c r="L48" s="245" t="inlineStr">
        <is>
          <t>ZU-MFMA1OZI-12Q</t>
        </is>
      </c>
      <c r="M48" s="248" t="inlineStr"/>
      <c r="N48" s="245" t="inlineStr">
        <is>
          <t>F.MFM.12Q.010.AD</t>
        </is>
      </c>
      <c r="O48" s="245" t="n"/>
      <c r="P48" s="245" t="n"/>
      <c r="Q48" s="250">
        <f>R48/H48</f>
        <v/>
      </c>
      <c r="R48" s="251" t="n">
        <v>88.09999999999999</v>
      </c>
      <c r="S48" s="249" t="n">
        <v>17937</v>
      </c>
      <c r="T48" s="252">
        <f>S48*R48</f>
        <v/>
      </c>
      <c r="U48" s="245" t="n"/>
      <c r="V48" s="245" t="n"/>
      <c r="W48" s="245" t="n"/>
      <c r="X48" s="245" t="n"/>
      <c r="Y48" s="245" t="n"/>
      <c r="Z48" s="245" t="n"/>
    </row>
    <row r="49" ht="16.5" customHeight="1" s="202">
      <c r="A49" s="245" t="n"/>
      <c r="B49" s="245" t="n"/>
      <c r="C49" s="245" t="n"/>
      <c r="D49" s="245" t="n"/>
      <c r="E49" s="245" t="n"/>
      <c r="F49" s="245" t="n"/>
      <c r="G49" s="245" t="n"/>
      <c r="H49" s="247" t="n">
        <v>1</v>
      </c>
      <c r="I49" s="245" t="inlineStr"/>
      <c r="J49" s="245" t="inlineStr"/>
      <c r="K49" s="245" t="inlineStr">
        <is>
          <t>10IN MYGEL FOAM MATTRESS EK</t>
        </is>
      </c>
      <c r="L49" s="245" t="inlineStr">
        <is>
          <t>ZU-MFGN1YZI-10K</t>
        </is>
      </c>
      <c r="M49" s="248" t="inlineStr"/>
      <c r="N49" s="245" t="inlineStr">
        <is>
          <t>F.MFG.10K.002.AD</t>
        </is>
      </c>
      <c r="O49" s="245" t="n"/>
      <c r="P49" s="245" t="n"/>
      <c r="Q49" s="250">
        <f>R49/H49</f>
        <v/>
      </c>
      <c r="R49" s="251" t="n">
        <v>100.22</v>
      </c>
      <c r="S49" s="249" t="n">
        <v>17937</v>
      </c>
      <c r="T49" s="252">
        <f>S49*R49</f>
        <v/>
      </c>
      <c r="U49" s="245" t="n"/>
      <c r="V49" s="245" t="n"/>
      <c r="W49" s="245" t="n"/>
      <c r="X49" s="245" t="n"/>
      <c r="Y49" s="245" t="n"/>
      <c r="Z49" s="245" t="n"/>
    </row>
    <row r="50" ht="16.5" customHeight="1" s="202">
      <c r="A50" s="245" t="n"/>
      <c r="B50" s="245" t="n"/>
      <c r="C50" s="245" t="n"/>
      <c r="D50" s="245" t="n"/>
      <c r="E50" s="245" t="n"/>
      <c r="F50" s="245" t="n"/>
      <c r="G50" s="245" t="n"/>
      <c r="H50" s="247" t="n">
        <v>1</v>
      </c>
      <c r="I50" s="245" t="inlineStr"/>
      <c r="J50" s="245" t="inlineStr"/>
      <c r="K50" s="245" t="inlineStr">
        <is>
          <t>6IN MYGEL FOAM MATTRESS QN</t>
        </is>
      </c>
      <c r="L50" s="245" t="inlineStr">
        <is>
          <t>ZU-MFGN1YZI-06Q</t>
        </is>
      </c>
      <c r="M50" s="248" t="inlineStr"/>
      <c r="N50" s="245" t="inlineStr">
        <is>
          <t>F.MFG.06Q.002.AD</t>
        </is>
      </c>
      <c r="O50" s="245" t="n"/>
      <c r="P50" s="245" t="n"/>
      <c r="Q50" s="250">
        <f>R50/H50</f>
        <v/>
      </c>
      <c r="R50" s="251" t="n">
        <v>55.58</v>
      </c>
      <c r="S50" s="249" t="n">
        <v>17937</v>
      </c>
      <c r="T50" s="252">
        <f>S50*R50</f>
        <v/>
      </c>
      <c r="U50" s="245" t="n"/>
      <c r="V50" s="245" t="n"/>
      <c r="W50" s="245" t="n"/>
      <c r="X50" s="245" t="n"/>
      <c r="Y50" s="245" t="n"/>
      <c r="Z50" s="245" t="n"/>
    </row>
    <row r="51" ht="16.5" customHeight="1" s="202">
      <c r="A51" s="245" t="n"/>
      <c r="B51" s="245" t="n"/>
      <c r="C51" s="245" t="n"/>
      <c r="D51" s="245" t="n"/>
      <c r="E51" s="245" t="n"/>
      <c r="F51" s="245" t="n"/>
      <c r="G51" s="245" t="n"/>
      <c r="H51" s="247" t="n">
        <v>1</v>
      </c>
      <c r="I51" s="245" t="inlineStr"/>
      <c r="J51" s="245" t="inlineStr"/>
      <c r="K51" s="245" t="inlineStr">
        <is>
          <t>8IN MYGEL FOAM MATTRESS FL</t>
        </is>
      </c>
      <c r="L51" s="245" t="inlineStr">
        <is>
          <t>ZU-MFGN1YZI-08F</t>
        </is>
      </c>
      <c r="M51" s="248" t="inlineStr"/>
      <c r="N51" s="245" t="inlineStr">
        <is>
          <t>F.MFG.08F.003.AD</t>
        </is>
      </c>
      <c r="O51" s="245" t="n"/>
      <c r="P51" s="245" t="n"/>
      <c r="Q51" s="250">
        <f>R51/H51</f>
        <v/>
      </c>
      <c r="R51" s="251" t="n">
        <v>59.46</v>
      </c>
      <c r="S51" s="249" t="n">
        <v>17937</v>
      </c>
      <c r="T51" s="252">
        <f>S51*R51</f>
        <v/>
      </c>
      <c r="U51" s="245" t="n"/>
      <c r="V51" s="245" t="n"/>
      <c r="W51" s="245" t="n"/>
      <c r="X51" s="245" t="n"/>
      <c r="Y51" s="245" t="n"/>
      <c r="Z51" s="245" t="n"/>
    </row>
    <row r="52" ht="16.5" customHeight="1" s="202">
      <c r="A52" s="245" t="n"/>
      <c r="B52" s="245" t="n"/>
      <c r="C52" s="245" t="n"/>
      <c r="D52" s="245" t="n"/>
      <c r="E52" s="245" t="n"/>
      <c r="F52" s="245" t="n"/>
      <c r="G52" s="245" t="n"/>
      <c r="H52" s="247" t="n">
        <v>1</v>
      </c>
      <c r="I52" s="245" t="inlineStr"/>
      <c r="J52" s="245" t="inlineStr"/>
      <c r="K52" s="245" t="inlineStr">
        <is>
          <t>12IN AIRFLOW GEL FOAM MATT QN</t>
        </is>
      </c>
      <c r="L52" s="245" t="inlineStr">
        <is>
          <t>ZU-MFMA1RZI-12Q</t>
        </is>
      </c>
      <c r="M52" s="248" t="inlineStr"/>
      <c r="N52" s="245" t="inlineStr">
        <is>
          <t>F.MFM.12Q.011.AD</t>
        </is>
      </c>
      <c r="O52" s="245" t="n"/>
      <c r="P52" s="245" t="n"/>
      <c r="Q52" s="250">
        <f>R52/H52</f>
        <v/>
      </c>
      <c r="R52" s="251" t="n">
        <v>88.22</v>
      </c>
      <c r="S52" s="249" t="n">
        <v>17937</v>
      </c>
      <c r="T52" s="252">
        <f>S52*R52</f>
        <v/>
      </c>
      <c r="U52" s="245" t="n"/>
      <c r="V52" s="245" t="n"/>
      <c r="W52" s="245" t="n"/>
      <c r="X52" s="245" t="n"/>
      <c r="Y52" s="245" t="n"/>
      <c r="Z52" s="245" t="n"/>
    </row>
    <row r="53" ht="16.5" customHeight="1" s="202">
      <c r="A53" s="245" t="n"/>
      <c r="B53" s="245" t="n"/>
      <c r="C53" s="245" t="n"/>
      <c r="D53" s="245" t="n"/>
      <c r="E53" s="245" t="n"/>
      <c r="F53" s="245" t="n"/>
      <c r="G53" s="245" t="n"/>
      <c r="H53" s="247" t="n">
        <v>1</v>
      </c>
      <c r="I53" s="245" t="inlineStr"/>
      <c r="J53" s="245" t="inlineStr"/>
      <c r="K53" s="245" t="inlineStr">
        <is>
          <t>10IN OPP HD TW</t>
        </is>
      </c>
      <c r="L53" s="245" t="inlineStr">
        <is>
          <t>ZU-MFMA1OZI-10T</t>
        </is>
      </c>
      <c r="M53" s="248" t="inlineStr"/>
      <c r="N53" s="245" t="inlineStr">
        <is>
          <t>F.MFM.10T.013.AD</t>
        </is>
      </c>
      <c r="O53" s="245" t="n"/>
      <c r="P53" s="245" t="n"/>
      <c r="Q53" s="250">
        <f>R53/H53</f>
        <v/>
      </c>
      <c r="R53" s="251" t="n">
        <v>49.8</v>
      </c>
      <c r="S53" s="249" t="n">
        <v>17937</v>
      </c>
      <c r="T53" s="252">
        <f>S53*R53</f>
        <v/>
      </c>
      <c r="U53" s="245" t="n"/>
      <c r="V53" s="245" t="n"/>
      <c r="W53" s="245" t="n"/>
      <c r="X53" s="245" t="n"/>
      <c r="Y53" s="245" t="n"/>
      <c r="Z53" s="245" t="n"/>
    </row>
    <row r="54" ht="16.5" customHeight="1" s="202">
      <c r="A54" s="245" t="n"/>
      <c r="B54" s="245" t="n"/>
      <c r="C54" s="245" t="n"/>
      <c r="D54" s="245" t="n"/>
      <c r="E54" s="245" t="n"/>
      <c r="F54" s="245" t="n"/>
      <c r="G54" s="245" t="n"/>
      <c r="H54" s="247" t="n">
        <v>1</v>
      </c>
      <c r="I54" s="245" t="inlineStr"/>
      <c r="J54" s="245" t="inlineStr"/>
      <c r="K54" s="245" t="inlineStr">
        <is>
          <t>12IN MYGEL FOAM MATTRESS QN</t>
        </is>
      </c>
      <c r="L54" s="245" t="inlineStr">
        <is>
          <t>ZU-MFGN1YZI-12Q</t>
        </is>
      </c>
      <c r="M54" s="248" t="inlineStr"/>
      <c r="N54" s="245" t="inlineStr">
        <is>
          <t>F.MFG.12Q.002.AD</t>
        </is>
      </c>
      <c r="O54" s="245" t="n"/>
      <c r="P54" s="245" t="n"/>
      <c r="Q54" s="250">
        <f>R54/H54</f>
        <v/>
      </c>
      <c r="R54" s="251" t="n">
        <v>91.48</v>
      </c>
      <c r="S54" s="249" t="n">
        <v>17937</v>
      </c>
      <c r="T54" s="252">
        <f>S54*R54</f>
        <v/>
      </c>
      <c r="U54" s="245" t="n"/>
      <c r="V54" s="245" t="n"/>
      <c r="W54" s="245" t="n"/>
      <c r="X54" s="245" t="n"/>
      <c r="Y54" s="245" t="n"/>
      <c r="Z54" s="245" t="n"/>
    </row>
    <row r="55" ht="16.5" customHeight="1" s="202">
      <c r="A55" s="245" t="n"/>
      <c r="B55" s="245" t="n"/>
      <c r="C55" s="245" t="n"/>
      <c r="D55" s="245" t="n"/>
      <c r="E55" s="245" t="n"/>
      <c r="F55" s="245" t="n"/>
      <c r="G55" s="245" t="n"/>
      <c r="H55" s="247" t="n">
        <v>1</v>
      </c>
      <c r="I55" s="245" t="inlineStr"/>
      <c r="J55" s="245" t="inlineStr"/>
      <c r="K55" s="245" t="inlineStr">
        <is>
          <t>12IN AIRFLOW GEL FOAM MATT EK</t>
        </is>
      </c>
      <c r="L55" s="245" t="inlineStr">
        <is>
          <t>ZU-MFMA1RZI-12K</t>
        </is>
      </c>
      <c r="M55" s="248" t="inlineStr"/>
      <c r="N55" s="245" t="inlineStr">
        <is>
          <t>F.MFM.12K.011.AD</t>
        </is>
      </c>
      <c r="O55" s="245" t="n"/>
      <c r="P55" s="245" t="n"/>
      <c r="Q55" s="250">
        <f>R55/H55</f>
        <v/>
      </c>
      <c r="R55" s="251" t="n">
        <v>107.96</v>
      </c>
      <c r="S55" s="249" t="n">
        <v>17937</v>
      </c>
      <c r="T55" s="252">
        <f>S55*R55</f>
        <v/>
      </c>
      <c r="U55" s="245" t="n"/>
      <c r="V55" s="245" t="n"/>
      <c r="W55" s="245" t="n"/>
      <c r="X55" s="245" t="n"/>
      <c r="Y55" s="245" t="n"/>
      <c r="Z55" s="245" t="n"/>
    </row>
    <row r="56" ht="16.5" customHeight="1" s="202">
      <c r="A56" s="245" t="n"/>
      <c r="B56" s="245" t="n"/>
      <c r="C56" s="245" t="n"/>
      <c r="D56" s="245" t="n"/>
      <c r="E56" s="245" t="n"/>
      <c r="F56" s="245" t="n"/>
      <c r="G56" s="245" t="n"/>
      <c r="H56" s="247" t="n">
        <v>1</v>
      </c>
      <c r="I56" s="245" t="inlineStr"/>
      <c r="J56" s="245" t="inlineStr"/>
      <c r="K56" s="245" t="inlineStr">
        <is>
          <t>6IN TIGHT TOP BONNEL TX</t>
        </is>
      </c>
      <c r="L56" s="245" t="inlineStr">
        <is>
          <t>ZU-MSSA2BZI-06X</t>
        </is>
      </c>
      <c r="M56" s="248" t="inlineStr"/>
      <c r="N56" s="245" t="inlineStr">
        <is>
          <t>F.MSS.06X.007.AD</t>
        </is>
      </c>
      <c r="O56" s="245" t="n"/>
      <c r="P56" s="245" t="n"/>
      <c r="Q56" s="250">
        <f>R56/H56</f>
        <v/>
      </c>
      <c r="R56" s="251" t="n">
        <v>32.67</v>
      </c>
      <c r="S56" s="249" t="n">
        <v>17937</v>
      </c>
      <c r="T56" s="252">
        <f>S56*R56</f>
        <v/>
      </c>
      <c r="U56" s="245" t="n"/>
      <c r="V56" s="245" t="n"/>
      <c r="W56" s="245" t="n"/>
      <c r="X56" s="245" t="n"/>
      <c r="Y56" s="245" t="n"/>
      <c r="Z56" s="245" t="n"/>
    </row>
    <row r="57" ht="16.5" customHeight="1" s="202">
      <c r="A57" s="245" t="n"/>
      <c r="B57" s="245" t="n"/>
      <c r="C57" s="245" t="n"/>
      <c r="D57" s="245" t="n"/>
      <c r="E57" s="245" t="n"/>
      <c r="F57" s="245" t="n"/>
      <c r="G57" s="245" t="n"/>
      <c r="H57" s="247" t="n">
        <v>1</v>
      </c>
      <c r="I57" s="245" t="inlineStr"/>
      <c r="J57" s="245" t="inlineStr"/>
      <c r="K57" s="245" t="inlineStr">
        <is>
          <t>6IN MYGEL FOAM MATTRESS FL</t>
        </is>
      </c>
      <c r="L57" s="245" t="inlineStr">
        <is>
          <t>ZU-MFGN1YZI-06F</t>
        </is>
      </c>
      <c r="M57" s="248" t="inlineStr"/>
      <c r="N57" s="245" t="inlineStr">
        <is>
          <t>F.MFG.06F.002.AD</t>
        </is>
      </c>
      <c r="O57" s="245" t="n"/>
      <c r="P57" s="245" t="n"/>
      <c r="Q57" s="250">
        <f>R57/H57</f>
        <v/>
      </c>
      <c r="R57" s="251" t="n">
        <v>47.15</v>
      </c>
      <c r="S57" s="249" t="n">
        <v>17937</v>
      </c>
      <c r="T57" s="252">
        <f>S57*R57</f>
        <v/>
      </c>
      <c r="U57" s="245" t="n"/>
      <c r="V57" s="245" t="n"/>
      <c r="W57" s="245" t="n"/>
      <c r="X57" s="245" t="n"/>
      <c r="Y57" s="245" t="n"/>
      <c r="Z57" s="245" t="n"/>
    </row>
    <row r="58" ht="16.5" customHeight="1" s="202">
      <c r="A58" s="245" t="n"/>
      <c r="B58" s="245" t="n"/>
      <c r="C58" s="245" t="n"/>
      <c r="D58" s="245" t="n"/>
      <c r="E58" s="245" t="n"/>
      <c r="F58" s="245" t="n"/>
      <c r="G58" s="245" t="n"/>
      <c r="H58" s="247" t="n">
        <v>1</v>
      </c>
      <c r="I58" s="245" t="inlineStr"/>
      <c r="J58" s="245" t="inlineStr"/>
      <c r="K58" s="245" t="inlineStr">
        <is>
          <t>10IN TIGHT TOP BONNEL FL</t>
        </is>
      </c>
      <c r="L58" s="245" t="inlineStr">
        <is>
          <t>ZU-MSSA2BZI-10F</t>
        </is>
      </c>
      <c r="M58" s="248" t="inlineStr"/>
      <c r="N58" s="245" t="inlineStr">
        <is>
          <t>F.MSS.10F.009.AD</t>
        </is>
      </c>
      <c r="O58" s="245" t="n"/>
      <c r="P58" s="245" t="n"/>
      <c r="Q58" s="250">
        <f>R58/H58</f>
        <v/>
      </c>
      <c r="R58" s="251" t="n">
        <v>56.29</v>
      </c>
      <c r="S58" s="249" t="n">
        <v>17937</v>
      </c>
      <c r="T58" s="252">
        <f>S58*R58</f>
        <v/>
      </c>
      <c r="U58" s="245" t="n"/>
      <c r="V58" s="245" t="n"/>
      <c r="W58" s="245" t="n"/>
      <c r="X58" s="245" t="n"/>
      <c r="Y58" s="245" t="n"/>
      <c r="Z58" s="245" t="n"/>
    </row>
    <row r="59" ht="16.5" customHeight="1" s="202">
      <c r="A59" s="245" t="n"/>
      <c r="B59" s="245" t="n"/>
      <c r="C59" s="245" t="n"/>
      <c r="D59" s="245" t="n"/>
      <c r="E59" s="245" t="n"/>
      <c r="F59" s="245" t="n"/>
      <c r="G59" s="245" t="n"/>
      <c r="H59" s="247" t="n">
        <v>1</v>
      </c>
      <c r="I59" s="245" t="inlineStr"/>
      <c r="J59" s="245" t="inlineStr"/>
      <c r="K59" s="245" t="inlineStr">
        <is>
          <t>12IN F-EURO TOP BONNEL FL</t>
        </is>
      </c>
      <c r="L59" s="245" t="inlineStr">
        <is>
          <t>ZU-MSSA2BZI-12F</t>
        </is>
      </c>
      <c r="M59" s="248" t="inlineStr"/>
      <c r="N59" s="245" t="inlineStr">
        <is>
          <t>F.MSS.12F.007.AD</t>
        </is>
      </c>
      <c r="O59" s="245" t="n"/>
      <c r="P59" s="245" t="n"/>
      <c r="Q59" s="250">
        <f>R59/H59</f>
        <v/>
      </c>
      <c r="R59" s="251" t="n">
        <v>66.28</v>
      </c>
      <c r="S59" s="249" t="n">
        <v>17937</v>
      </c>
      <c r="T59" s="252">
        <f>S59*R59</f>
        <v/>
      </c>
      <c r="U59" s="245" t="n"/>
      <c r="V59" s="245" t="n"/>
      <c r="W59" s="245" t="n"/>
      <c r="X59" s="245" t="n"/>
      <c r="Y59" s="245" t="n"/>
      <c r="Z59" s="245" t="n"/>
    </row>
    <row r="60" ht="16.5" customHeight="1" s="202">
      <c r="A60" s="245" t="n"/>
      <c r="B60" s="245" t="n"/>
      <c r="C60" s="245" t="n"/>
      <c r="D60" s="245" t="n"/>
      <c r="E60" s="245" t="n"/>
      <c r="F60" s="245" t="n"/>
      <c r="G60" s="245" t="n"/>
      <c r="H60" s="247" t="n">
        <v>1</v>
      </c>
      <c r="I60" s="245" t="inlineStr"/>
      <c r="J60" s="245" t="inlineStr"/>
      <c r="K60" s="245" t="inlineStr">
        <is>
          <t>8IN OPP HD TW</t>
        </is>
      </c>
      <c r="L60" s="245" t="inlineStr">
        <is>
          <t>ZU-MFMA1OZI-08T</t>
        </is>
      </c>
      <c r="M60" s="248" t="inlineStr"/>
      <c r="N60" s="245" t="inlineStr">
        <is>
          <t>F.MFM.08T.013.AD</t>
        </is>
      </c>
      <c r="O60" s="245" t="n"/>
      <c r="P60" s="245" t="n"/>
      <c r="Q60" s="250">
        <f>R60/H60</f>
        <v/>
      </c>
      <c r="R60" s="251" t="n">
        <v>42.13</v>
      </c>
      <c r="S60" s="249" t="n">
        <v>17937</v>
      </c>
      <c r="T60" s="252">
        <f>S60*R60</f>
        <v/>
      </c>
      <c r="U60" s="245" t="n"/>
      <c r="V60" s="245" t="n"/>
      <c r="W60" s="245" t="n"/>
      <c r="X60" s="245" t="n"/>
      <c r="Y60" s="245" t="n"/>
      <c r="Z60" s="245" t="n"/>
    </row>
    <row r="61" ht="16.5" customHeight="1" s="202">
      <c r="A61" s="245" t="n"/>
      <c r="B61" s="245" t="n"/>
      <c r="C61" s="245" t="n"/>
      <c r="D61" s="245" t="n"/>
      <c r="E61" s="245" t="n"/>
      <c r="F61" s="245" t="n"/>
      <c r="G61" s="245" t="n"/>
      <c r="H61" s="247" t="n">
        <v>1</v>
      </c>
      <c r="I61" s="245" t="inlineStr"/>
      <c r="J61" s="245" t="inlineStr"/>
      <c r="K61" s="245" t="inlineStr">
        <is>
          <t>10IN TIGHT TOP BONNEL QN</t>
        </is>
      </c>
      <c r="L61" s="245" t="inlineStr">
        <is>
          <t>ZU-MSSA2BZI-10Q</t>
        </is>
      </c>
      <c r="M61" s="248" t="inlineStr"/>
      <c r="N61" s="245" t="inlineStr">
        <is>
          <t>F.MSS.10Q.009.AD</t>
        </is>
      </c>
      <c r="O61" s="245" t="n"/>
      <c r="P61" s="245" t="n"/>
      <c r="Q61" s="250">
        <f>R61/H61</f>
        <v/>
      </c>
      <c r="R61" s="251" t="n">
        <v>65.52</v>
      </c>
      <c r="S61" s="249" t="n">
        <v>17937</v>
      </c>
      <c r="T61" s="252">
        <f>S61*R61</f>
        <v/>
      </c>
      <c r="U61" s="245" t="n"/>
      <c r="V61" s="245" t="n"/>
      <c r="W61" s="245" t="n"/>
      <c r="X61" s="245" t="n"/>
      <c r="Y61" s="245" t="n"/>
      <c r="Z61" s="245" t="n"/>
    </row>
    <row r="62" ht="16.5" customHeight="1" s="202">
      <c r="A62" s="245" t="n"/>
      <c r="B62" s="245" t="n"/>
      <c r="C62" s="245" t="n"/>
      <c r="D62" s="245" t="n"/>
      <c r="E62" s="245" t="n"/>
      <c r="F62" s="245" t="n"/>
      <c r="G62" s="245" t="n"/>
      <c r="H62" s="247" t="n">
        <v>1</v>
      </c>
      <c r="I62" s="245" t="inlineStr"/>
      <c r="J62" s="245" t="inlineStr"/>
      <c r="K62" s="245" t="inlineStr">
        <is>
          <t>12IN MYGEL FOAM MATTRESS TW</t>
        </is>
      </c>
      <c r="L62" s="245" t="inlineStr">
        <is>
          <t>ZU-MFGN1YZI-12T</t>
        </is>
      </c>
      <c r="M62" s="248" t="inlineStr"/>
      <c r="N62" s="245" t="inlineStr">
        <is>
          <t>F.MFG.12T.002.AD</t>
        </is>
      </c>
      <c r="O62" s="245" t="n"/>
      <c r="P62" s="245" t="n"/>
      <c r="Q62" s="250">
        <f>R62/H62</f>
        <v/>
      </c>
      <c r="R62" s="251" t="n">
        <v>58.57</v>
      </c>
      <c r="S62" s="249" t="n">
        <v>17937</v>
      </c>
      <c r="T62" s="252">
        <f>S62*R62</f>
        <v/>
      </c>
      <c r="U62" s="245" t="n"/>
      <c r="V62" s="245" t="n"/>
      <c r="W62" s="245" t="n"/>
      <c r="X62" s="245" t="n"/>
      <c r="Y62" s="245" t="n"/>
      <c r="Z62" s="245" t="n"/>
    </row>
    <row r="63" ht="16.5" customHeight="1" s="202">
      <c r="A63" s="245" t="n"/>
      <c r="B63" s="245" t="n"/>
      <c r="C63" s="245" t="n"/>
      <c r="D63" s="245" t="n"/>
      <c r="E63" s="245" t="n"/>
      <c r="F63" s="245" t="n"/>
      <c r="G63" s="245" t="n"/>
      <c r="H63" s="247" t="n">
        <v>1</v>
      </c>
      <c r="I63" s="245" t="inlineStr"/>
      <c r="J63" s="245" t="inlineStr"/>
      <c r="K63" s="245" t="inlineStr">
        <is>
          <t>6IN OPP HD TW</t>
        </is>
      </c>
      <c r="L63" s="245" t="inlineStr">
        <is>
          <t>ZU-MFMA1OZI-06T</t>
        </is>
      </c>
      <c r="M63" s="248" t="inlineStr"/>
      <c r="N63" s="245" t="inlineStr">
        <is>
          <t>F.MFM.06T.008.AD</t>
        </is>
      </c>
      <c r="O63" s="245" t="n"/>
      <c r="P63" s="245" t="n"/>
      <c r="Q63" s="250">
        <f>R63/H63</f>
        <v/>
      </c>
      <c r="R63" s="251" t="n">
        <v>34.36</v>
      </c>
      <c r="S63" s="249" t="n">
        <v>17937</v>
      </c>
      <c r="T63" s="252">
        <f>S63*R63</f>
        <v/>
      </c>
      <c r="U63" s="245" t="n"/>
      <c r="V63" s="245" t="n"/>
      <c r="W63" s="245" t="n"/>
      <c r="X63" s="245" t="n"/>
      <c r="Y63" s="245" t="n"/>
      <c r="Z63" s="245" t="n"/>
    </row>
    <row r="64" ht="16.5" customHeight="1" s="202">
      <c r="A64" s="245" t="n"/>
      <c r="B64" s="245" t="n"/>
      <c r="C64" s="245" t="n"/>
      <c r="D64" s="245" t="n"/>
      <c r="E64" s="245" t="n"/>
      <c r="F64" s="245" t="n"/>
      <c r="G64" s="245" t="n"/>
      <c r="H64" s="247" t="n">
        <v>1</v>
      </c>
      <c r="I64" s="245" t="inlineStr"/>
      <c r="J64" s="245" t="inlineStr"/>
      <c r="K64" s="245" t="inlineStr">
        <is>
          <t>12IN F-EURO TOP BONNEL QN</t>
        </is>
      </c>
      <c r="L64" s="245" t="inlineStr">
        <is>
          <t>ZU-MSSA2BZI-12Q</t>
        </is>
      </c>
      <c r="M64" s="248" t="inlineStr"/>
      <c r="N64" s="245" t="inlineStr">
        <is>
          <t>F.MSS.12Q.007.AD</t>
        </is>
      </c>
      <c r="O64" s="245" t="n"/>
      <c r="P64" s="245" t="n"/>
      <c r="Q64" s="250">
        <f>R64/H64</f>
        <v/>
      </c>
      <c r="R64" s="251" t="n">
        <v>77.20999999999999</v>
      </c>
      <c r="S64" s="249" t="n">
        <v>17937</v>
      </c>
      <c r="T64" s="252">
        <f>S64*R64</f>
        <v/>
      </c>
      <c r="U64" s="245" t="n"/>
      <c r="V64" s="245" t="n"/>
      <c r="W64" s="245" t="n"/>
      <c r="X64" s="245" t="n"/>
      <c r="Y64" s="245" t="n"/>
      <c r="Z64" s="245" t="n"/>
    </row>
    <row r="65" ht="16.5" customHeight="1" s="202">
      <c r="A65" s="245" t="n"/>
      <c r="B65" s="245" t="n"/>
      <c r="C65" s="245" t="n"/>
      <c r="D65" s="245" t="n"/>
      <c r="E65" s="245" t="n"/>
      <c r="F65" s="245" t="n"/>
      <c r="G65" s="245" t="n"/>
      <c r="H65" s="247" t="n">
        <v>1</v>
      </c>
      <c r="I65" s="245" t="inlineStr"/>
      <c r="J65" s="245" t="inlineStr"/>
      <c r="K65" s="245" t="inlineStr">
        <is>
          <t>10IN GREEN TEA MF MATTRESS FL</t>
        </is>
      </c>
      <c r="L65" s="245" t="inlineStr">
        <is>
          <t>OLC-FMS-1000F-IN</t>
        </is>
      </c>
      <c r="M65" s="248" t="inlineStr"/>
      <c r="N65" s="245" t="inlineStr">
        <is>
          <t>F.MFM.10F.002.BD</t>
        </is>
      </c>
      <c r="O65" s="245" t="n"/>
      <c r="P65" s="245" t="n"/>
      <c r="Q65" s="250">
        <f>R65/H65</f>
        <v/>
      </c>
      <c r="R65" s="251" t="n">
        <v>65.84</v>
      </c>
      <c r="S65" s="249" t="n">
        <v>17937</v>
      </c>
      <c r="T65" s="252">
        <f>S65*R65</f>
        <v/>
      </c>
      <c r="U65" s="245" t="n"/>
      <c r="V65" s="245" t="n"/>
      <c r="W65" s="245" t="n"/>
      <c r="X65" s="245" t="n"/>
      <c r="Y65" s="245" t="n"/>
      <c r="Z65" s="245" t="n"/>
    </row>
    <row r="66" ht="16.5" customHeight="1" s="202">
      <c r="A66" s="245" t="n"/>
      <c r="B66" s="245" t="n"/>
      <c r="C66" s="245" t="n"/>
      <c r="D66" s="245" t="n"/>
      <c r="E66" s="245" t="n"/>
      <c r="F66" s="245" t="n"/>
      <c r="G66" s="245" t="n"/>
      <c r="H66" s="247" t="n">
        <v>1</v>
      </c>
      <c r="I66" s="245" t="inlineStr"/>
      <c r="J66" s="245" t="inlineStr"/>
      <c r="K66" s="245" t="inlineStr">
        <is>
          <t>14IN GREEN TEA MF MATTRESS EK</t>
        </is>
      </c>
      <c r="L66" s="245" t="inlineStr">
        <is>
          <t>OLC-FMS-1400K-IN</t>
        </is>
      </c>
      <c r="M66" s="248" t="inlineStr"/>
      <c r="N66" s="245" t="inlineStr">
        <is>
          <t>F.MFM.14K.000.BD</t>
        </is>
      </c>
      <c r="O66" s="245" t="n"/>
      <c r="P66" s="245" t="n"/>
      <c r="Q66" s="250">
        <f>R66/H66</f>
        <v/>
      </c>
      <c r="R66" s="251" t="n">
        <v>121.39</v>
      </c>
      <c r="S66" s="249" t="n">
        <v>17937</v>
      </c>
      <c r="T66" s="252">
        <f>S66*R66</f>
        <v/>
      </c>
      <c r="U66" s="245" t="n"/>
      <c r="V66" s="245" t="n"/>
      <c r="W66" s="245" t="n"/>
      <c r="X66" s="245" t="n"/>
      <c r="Y66" s="245" t="n"/>
      <c r="Z66" s="245" t="n"/>
    </row>
    <row r="67" ht="16.5" customHeight="1" s="202">
      <c r="A67" s="245" t="n"/>
      <c r="B67" s="245" t="n"/>
      <c r="C67" s="245" t="n"/>
      <c r="D67" s="245" t="n"/>
      <c r="E67" s="245" t="n"/>
      <c r="F67" s="245" t="n"/>
      <c r="G67" s="245" t="n"/>
      <c r="H67" s="247" t="n">
        <v>1</v>
      </c>
      <c r="I67" s="245" t="inlineStr"/>
      <c r="J67" s="245" t="inlineStr"/>
      <c r="K67" s="245" t="inlineStr">
        <is>
          <t>12IN GREEN TEA MF MATTRESS QN</t>
        </is>
      </c>
      <c r="L67" s="245" t="inlineStr">
        <is>
          <t>OLC-FMS-1200Q-IN</t>
        </is>
      </c>
      <c r="M67" s="248" t="inlineStr"/>
      <c r="N67" s="245" t="inlineStr">
        <is>
          <t>F.MFM.12Q.002.BD</t>
        </is>
      </c>
      <c r="O67" s="245" t="n"/>
      <c r="P67" s="245" t="n"/>
      <c r="Q67" s="250">
        <f>R67/H67</f>
        <v/>
      </c>
      <c r="R67" s="251" t="n">
        <v>88.48999999999999</v>
      </c>
      <c r="S67" s="249" t="n">
        <v>17937</v>
      </c>
      <c r="T67" s="252">
        <f>S67*R67</f>
        <v/>
      </c>
      <c r="U67" s="245" t="n"/>
      <c r="V67" s="245" t="n"/>
      <c r="W67" s="245" t="n"/>
      <c r="X67" s="245" t="n"/>
      <c r="Y67" s="245" t="n"/>
      <c r="Z67" s="245" t="n"/>
    </row>
    <row r="68" ht="16.5" customHeight="1" s="202">
      <c r="A68" s="245" t="n"/>
      <c r="B68" s="245" t="n"/>
      <c r="C68" s="245" t="n"/>
      <c r="D68" s="245" t="n"/>
      <c r="E68" s="245" t="n"/>
      <c r="F68" s="245" t="n"/>
      <c r="G68" s="245" t="n"/>
      <c r="H68" s="247" t="n">
        <v>1</v>
      </c>
      <c r="I68" s="245" t="inlineStr"/>
      <c r="J68" s="245" t="inlineStr"/>
      <c r="K68" s="245" t="inlineStr">
        <is>
          <t>12IN GREEN TEA MF MATTRESS TW</t>
        </is>
      </c>
      <c r="L68" s="245" t="inlineStr">
        <is>
          <t>OLC-FMS-1200T-IN</t>
        </is>
      </c>
      <c r="M68" s="248" t="inlineStr"/>
      <c r="N68" s="245" t="inlineStr">
        <is>
          <t>F.MFM.12T.002.BD</t>
        </is>
      </c>
      <c r="O68" s="245" t="n"/>
      <c r="P68" s="245" t="n"/>
      <c r="Q68" s="250">
        <f>R68/H68</f>
        <v/>
      </c>
      <c r="R68" s="251" t="n">
        <v>56.66</v>
      </c>
      <c r="S68" s="249" t="n">
        <v>17937</v>
      </c>
      <c r="T68" s="252">
        <f>S68*R68</f>
        <v/>
      </c>
      <c r="U68" s="245" t="n"/>
      <c r="V68" s="245" t="n"/>
      <c r="W68" s="245" t="n"/>
      <c r="X68" s="245" t="n"/>
      <c r="Y68" s="245" t="n"/>
      <c r="Z68" s="245" t="n"/>
    </row>
    <row r="69" ht="16.5" customHeight="1" s="202">
      <c r="A69" s="245" t="n"/>
      <c r="B69" s="245" t="n"/>
      <c r="C69" s="245" t="n"/>
      <c r="D69" s="245" t="n"/>
      <c r="E69" s="245" t="n"/>
      <c r="F69" s="245" t="n"/>
      <c r="G69" s="245" t="n"/>
      <c r="H69" s="247" t="n">
        <v>1</v>
      </c>
      <c r="I69" s="245" t="inlineStr"/>
      <c r="J69" s="245" t="inlineStr"/>
      <c r="K69" s="245" t="inlineStr">
        <is>
          <t>10IN GREEN TEA MF MATTRESS QN</t>
        </is>
      </c>
      <c r="L69" s="245" t="inlineStr">
        <is>
          <t>OLC-FMS-1000Q-IN</t>
        </is>
      </c>
      <c r="M69" s="248" t="inlineStr"/>
      <c r="N69" s="245" t="inlineStr">
        <is>
          <t>F.MFM.10Q.002.BD</t>
        </is>
      </c>
      <c r="O69" s="245" t="n"/>
      <c r="P69" s="245" t="n"/>
      <c r="Q69" s="250">
        <f>R69/H69</f>
        <v/>
      </c>
      <c r="R69" s="251" t="n">
        <v>77.88</v>
      </c>
      <c r="S69" s="249" t="n">
        <v>17937</v>
      </c>
      <c r="T69" s="252">
        <f>S69*R69</f>
        <v/>
      </c>
      <c r="U69" s="245" t="n"/>
      <c r="V69" s="245" t="n"/>
      <c r="W69" s="245" t="n"/>
      <c r="X69" s="245" t="n"/>
      <c r="Y69" s="245" t="n"/>
      <c r="Z69" s="245" t="n"/>
    </row>
    <row r="70" ht="16.5" customHeight="1" s="202">
      <c r="A70" s="245" t="n"/>
      <c r="B70" s="245" t="n"/>
      <c r="C70" s="245" t="n"/>
      <c r="D70" s="245" t="n"/>
      <c r="E70" s="245" t="n"/>
      <c r="F70" s="245" t="n"/>
      <c r="G70" s="245" t="n"/>
      <c r="H70" s="247" t="n">
        <v>1</v>
      </c>
      <c r="I70" s="245" t="inlineStr"/>
      <c r="J70" s="245" t="inlineStr"/>
      <c r="K70" s="245" t="inlineStr">
        <is>
          <t>8IN GREEN TEA MF MATTRESS TX</t>
        </is>
      </c>
      <c r="L70" s="245" t="inlineStr">
        <is>
          <t>BPM-FMS-8TXL-IN</t>
        </is>
      </c>
      <c r="M70" s="248" t="inlineStr"/>
      <c r="N70" s="245" t="inlineStr">
        <is>
          <t>F.MFM.08X.002.BD</t>
        </is>
      </c>
      <c r="O70" s="245" t="n"/>
      <c r="P70" s="245" t="n"/>
      <c r="Q70" s="250">
        <f>R70/H70</f>
        <v/>
      </c>
      <c r="R70" s="251" t="n">
        <v>42.81</v>
      </c>
      <c r="S70" s="249" t="n">
        <v>17937</v>
      </c>
      <c r="T70" s="252">
        <f>S70*R70</f>
        <v/>
      </c>
      <c r="U70" s="245" t="n"/>
      <c r="V70" s="245" t="n"/>
      <c r="W70" s="245" t="n"/>
      <c r="X70" s="245" t="n"/>
      <c r="Y70" s="245" t="n"/>
      <c r="Z70" s="245" t="n"/>
    </row>
    <row r="71" ht="16.5" customHeight="1" s="202">
      <c r="A71" s="245" t="n"/>
      <c r="B71" s="245" t="n"/>
      <c r="C71" s="245" t="n"/>
      <c r="D71" s="245" t="n"/>
      <c r="E71" s="245" t="n"/>
      <c r="F71" s="245" t="n"/>
      <c r="G71" s="245" t="n"/>
      <c r="H71" s="247" t="n">
        <v>1</v>
      </c>
      <c r="I71" s="245" t="inlineStr"/>
      <c r="J71" s="245" t="inlineStr"/>
      <c r="K71" s="245" t="inlineStr">
        <is>
          <t>8IN GREEN TEA MF MATTRESS QN</t>
        </is>
      </c>
      <c r="L71" s="245" t="inlineStr">
        <is>
          <t>BPM-FMS-8Q-IN</t>
        </is>
      </c>
      <c r="M71" s="248" t="inlineStr"/>
      <c r="N71" s="245" t="inlineStr">
        <is>
          <t>F.MFM.08Q.002.BD</t>
        </is>
      </c>
      <c r="O71" s="245" t="n"/>
      <c r="P71" s="245" t="n"/>
      <c r="Q71" s="250">
        <f>R71/H71</f>
        <v/>
      </c>
      <c r="R71" s="251" t="n">
        <v>64.72</v>
      </c>
      <c r="S71" s="249" t="n">
        <v>17937</v>
      </c>
      <c r="T71" s="252">
        <f>S71*R71</f>
        <v/>
      </c>
      <c r="U71" s="245" t="n"/>
      <c r="V71" s="245" t="n"/>
      <c r="W71" s="245" t="n"/>
      <c r="X71" s="245" t="n"/>
      <c r="Y71" s="245" t="n"/>
      <c r="Z71" s="245" t="n"/>
    </row>
    <row r="72" ht="16.5" customHeight="1" s="202">
      <c r="A72" s="245" t="n"/>
      <c r="B72" s="245" t="n"/>
      <c r="C72" s="245" t="n"/>
      <c r="D72" s="245" t="n"/>
      <c r="E72" s="245" t="n"/>
      <c r="F72" s="245" t="n"/>
      <c r="G72" s="245" t="n"/>
      <c r="H72" s="247" t="n">
        <v>1</v>
      </c>
      <c r="I72" s="245" t="inlineStr"/>
      <c r="J72" s="245" t="inlineStr"/>
      <c r="K72" s="245" t="inlineStr">
        <is>
          <t>6IN GREEN TEA MF MATTRESS QN</t>
        </is>
      </c>
      <c r="L72" s="245" t="inlineStr">
        <is>
          <t>EB-FMS-0600Q-IN</t>
        </is>
      </c>
      <c r="M72" s="248" t="inlineStr"/>
      <c r="N72" s="245" t="inlineStr">
        <is>
          <t>F.MFM.06Q.002.BD</t>
        </is>
      </c>
      <c r="O72" s="245" t="n"/>
      <c r="P72" s="245" t="n"/>
      <c r="Q72" s="250">
        <f>R72/H72</f>
        <v/>
      </c>
      <c r="R72" s="251" t="n">
        <v>52.46</v>
      </c>
      <c r="S72" s="249" t="n">
        <v>17937</v>
      </c>
      <c r="T72" s="252">
        <f>S72*R72</f>
        <v/>
      </c>
      <c r="U72" s="245" t="n"/>
      <c r="V72" s="245" t="n"/>
      <c r="W72" s="245" t="n"/>
      <c r="X72" s="245" t="n"/>
      <c r="Y72" s="245" t="n"/>
      <c r="Z72" s="245" t="n"/>
    </row>
    <row r="73" ht="16.5" customHeight="1" s="202">
      <c r="A73" s="245" t="n"/>
      <c r="B73" s="245" t="n"/>
      <c r="C73" s="245" t="n"/>
      <c r="D73" s="245" t="n"/>
      <c r="E73" s="245" t="n"/>
      <c r="F73" s="245" t="n"/>
      <c r="G73" s="245" t="n"/>
      <c r="H73" s="247" t="n">
        <v>1</v>
      </c>
      <c r="I73" s="245" t="inlineStr"/>
      <c r="J73" s="245" t="inlineStr"/>
      <c r="K73" s="245" t="inlineStr">
        <is>
          <t>6IN GREEN TEA MF MATTRESS SQ</t>
        </is>
      </c>
      <c r="L73" s="245" t="inlineStr">
        <is>
          <t>EB-FMS-0600SQ-IN</t>
        </is>
      </c>
      <c r="M73" s="248" t="inlineStr"/>
      <c r="N73" s="245" t="inlineStr">
        <is>
          <t>F.MFM.06S.002.BD</t>
        </is>
      </c>
      <c r="O73" s="245" t="n"/>
      <c r="P73" s="245" t="n"/>
      <c r="Q73" s="250">
        <f>R73/H73</f>
        <v/>
      </c>
      <c r="R73" s="251" t="n">
        <v>49.59</v>
      </c>
      <c r="S73" s="249" t="n">
        <v>17937</v>
      </c>
      <c r="T73" s="252">
        <f>S73*R73</f>
        <v/>
      </c>
      <c r="U73" s="245" t="n"/>
      <c r="V73" s="245" t="n"/>
      <c r="W73" s="245" t="n"/>
      <c r="X73" s="245" t="n"/>
      <c r="Y73" s="245" t="n"/>
      <c r="Z73" s="245" t="n"/>
    </row>
    <row r="74" ht="16.5" customHeight="1" s="202">
      <c r="A74" s="245" t="n"/>
      <c r="B74" s="245" t="n"/>
      <c r="C74" s="245" t="n"/>
      <c r="D74" s="245" t="n"/>
      <c r="E74" s="245" t="n"/>
      <c r="F74" s="245" t="n"/>
      <c r="G74" s="245" t="n"/>
      <c r="H74" s="247" t="n">
        <v>1</v>
      </c>
      <c r="I74" s="245" t="inlineStr"/>
      <c r="J74" s="245" t="inlineStr"/>
      <c r="K74" s="245" t="inlineStr">
        <is>
          <t>10IN GREEN TEA MF MATTRESS TX</t>
        </is>
      </c>
      <c r="L74" s="245" t="inlineStr">
        <is>
          <t>OLC-FMS-1000TXL-IN</t>
        </is>
      </c>
      <c r="M74" s="248" t="inlineStr"/>
      <c r="N74" s="245" t="inlineStr">
        <is>
          <t>F.MFM.10X.003.BD</t>
        </is>
      </c>
      <c r="O74" s="245" t="n"/>
      <c r="P74" s="245" t="n"/>
      <c r="Q74" s="250">
        <f>R74/H74</f>
        <v/>
      </c>
      <c r="R74" s="251" t="n">
        <v>52.46</v>
      </c>
      <c r="S74" s="249" t="n">
        <v>17937</v>
      </c>
      <c r="T74" s="252">
        <f>S74*R74</f>
        <v/>
      </c>
      <c r="U74" s="245" t="n"/>
      <c r="V74" s="245" t="n"/>
      <c r="W74" s="245" t="n"/>
      <c r="X74" s="245" t="n"/>
      <c r="Y74" s="245" t="n"/>
      <c r="Z74" s="245" t="n"/>
    </row>
    <row r="75" ht="16.5" customHeight="1" s="202">
      <c r="A75" s="245" t="n"/>
      <c r="B75" s="245" t="n"/>
      <c r="C75" s="245" t="n"/>
      <c r="D75" s="245" t="n"/>
      <c r="E75" s="245" t="n"/>
      <c r="F75" s="245" t="n"/>
      <c r="G75" s="245" t="n"/>
      <c r="H75" s="247" t="n">
        <v>1</v>
      </c>
      <c r="I75" s="245" t="inlineStr"/>
      <c r="J75" s="245" t="inlineStr"/>
      <c r="K75" s="245" t="inlineStr">
        <is>
          <t>6IN GREEN TEA MF MATTRESS TW</t>
        </is>
      </c>
      <c r="L75" s="245" t="inlineStr">
        <is>
          <t>EB-FMS-0600T-IN</t>
        </is>
      </c>
      <c r="M75" s="248" t="inlineStr"/>
      <c r="N75" s="245" t="inlineStr">
        <is>
          <t>F.MFM.06T.002.BD</t>
        </is>
      </c>
      <c r="O75" s="245" t="n"/>
      <c r="P75" s="245" t="n"/>
      <c r="Q75" s="250">
        <f>R75/H75</f>
        <v/>
      </c>
      <c r="R75" s="251" t="n">
        <v>33.38</v>
      </c>
      <c r="S75" s="249" t="n">
        <v>17937</v>
      </c>
      <c r="T75" s="252">
        <f>S75*R75</f>
        <v/>
      </c>
      <c r="U75" s="245" t="n"/>
      <c r="V75" s="245" t="n"/>
      <c r="W75" s="245" t="n"/>
      <c r="X75" s="245" t="n"/>
      <c r="Y75" s="245" t="n"/>
      <c r="Z75" s="245" t="n"/>
    </row>
    <row r="76" ht="16.5" customHeight="1" s="202">
      <c r="A76" s="245" t="n"/>
      <c r="B76" s="245" t="n"/>
      <c r="C76" s="245" t="n"/>
      <c r="D76" s="245" t="n"/>
      <c r="E76" s="245" t="n"/>
      <c r="F76" s="245" t="n"/>
      <c r="G76" s="245" t="n"/>
      <c r="H76" s="247" t="n">
        <v>1</v>
      </c>
      <c r="I76" s="245" t="inlineStr"/>
      <c r="J76" s="245" t="inlineStr"/>
      <c r="K76" s="245" t="inlineStr">
        <is>
          <t>10IN GREEN TEA MF MATTRESS TW</t>
        </is>
      </c>
      <c r="L76" s="245" t="inlineStr">
        <is>
          <t>OLC-FMS-1000T-IN</t>
        </is>
      </c>
      <c r="M76" s="248" t="inlineStr"/>
      <c r="N76" s="245" t="inlineStr">
        <is>
          <t>F.MFM.10T.002.BD</t>
        </is>
      </c>
      <c r="O76" s="245" t="n"/>
      <c r="P76" s="245" t="n"/>
      <c r="Q76" s="250">
        <f>R76/H76</f>
        <v/>
      </c>
      <c r="R76" s="251" t="n">
        <v>49.62</v>
      </c>
      <c r="S76" s="249" t="n">
        <v>17937</v>
      </c>
      <c r="T76" s="252">
        <f>S76*R76</f>
        <v/>
      </c>
      <c r="U76" s="245" t="n"/>
      <c r="V76" s="245" t="n"/>
      <c r="W76" s="245" t="n"/>
      <c r="X76" s="245" t="n"/>
      <c r="Y76" s="245" t="n"/>
      <c r="Z76" s="245" t="n"/>
    </row>
    <row r="77" ht="16.5" customHeight="1" s="202">
      <c r="A77" s="245" t="n"/>
      <c r="B77" s="245" t="n"/>
      <c r="C77" s="245" t="n"/>
      <c r="D77" s="245" t="n"/>
      <c r="E77" s="245" t="n"/>
      <c r="F77" s="245" t="n"/>
      <c r="G77" s="245" t="n"/>
      <c r="H77" s="247" t="n">
        <v>1</v>
      </c>
      <c r="I77" s="245" t="inlineStr"/>
      <c r="J77" s="245" t="inlineStr"/>
      <c r="K77" s="245" t="inlineStr">
        <is>
          <t>8IN GREEN TEA MF MATTRESS TW</t>
        </is>
      </c>
      <c r="L77" s="245" t="inlineStr">
        <is>
          <t>BPM-FMS-8T-IN</t>
        </is>
      </c>
      <c r="M77" s="248" t="inlineStr"/>
      <c r="N77" s="245" t="inlineStr">
        <is>
          <t>F.MFM.08T.002.BD</t>
        </is>
      </c>
      <c r="O77" s="245" t="n"/>
      <c r="P77" s="245" t="n"/>
      <c r="Q77" s="250">
        <f>R77/H77</f>
        <v/>
      </c>
      <c r="R77" s="251" t="n">
        <v>40.81</v>
      </c>
      <c r="S77" s="249" t="n">
        <v>17937</v>
      </c>
      <c r="T77" s="252">
        <f>S77*R77</f>
        <v/>
      </c>
      <c r="U77" s="245" t="n"/>
      <c r="V77" s="245" t="n"/>
      <c r="W77" s="245" t="n"/>
      <c r="X77" s="245" t="n"/>
      <c r="Y77" s="245" t="n"/>
      <c r="Z77" s="245" t="n"/>
    </row>
    <row r="78" ht="16.5" customHeight="1" s="202">
      <c r="A78" s="245" t="n"/>
      <c r="B78" s="245" t="n"/>
      <c r="C78" s="245" t="n"/>
      <c r="D78" s="245" t="n"/>
      <c r="E78" s="245" t="n"/>
      <c r="F78" s="245" t="n"/>
      <c r="G78" s="245" t="n"/>
      <c r="H78" s="247" t="n">
        <v>1</v>
      </c>
      <c r="I78" s="245" t="inlineStr"/>
      <c r="J78" s="245" t="inlineStr"/>
      <c r="K78" s="245" t="inlineStr">
        <is>
          <t>12IN GREEN TEA MF MATTRESS EK</t>
        </is>
      </c>
      <c r="L78" s="245" t="inlineStr">
        <is>
          <t>OLC-FMS-1200K-IN</t>
        </is>
      </c>
      <c r="M78" s="248" t="inlineStr"/>
      <c r="N78" s="245" t="inlineStr">
        <is>
          <t>F.MFM.12K.002.BD</t>
        </is>
      </c>
      <c r="O78" s="245" t="n"/>
      <c r="P78" s="245" t="n"/>
      <c r="Q78" s="250">
        <f>R78/H78</f>
        <v/>
      </c>
      <c r="R78" s="251" t="n">
        <v>109.28</v>
      </c>
      <c r="S78" s="249" t="n">
        <v>17937</v>
      </c>
      <c r="T78" s="252">
        <f>S78*R78</f>
        <v/>
      </c>
      <c r="U78" s="245" t="n"/>
      <c r="V78" s="245" t="n"/>
      <c r="W78" s="245" t="n"/>
      <c r="X78" s="245" t="n"/>
      <c r="Y78" s="245" t="n"/>
      <c r="Z78" s="245" t="n"/>
    </row>
    <row r="79" ht="16.5" customHeight="1" s="202">
      <c r="A79" s="245" t="n"/>
      <c r="B79" s="245" t="n"/>
      <c r="C79" s="245" t="n"/>
      <c r="D79" s="245" t="n"/>
      <c r="E79" s="245" t="n"/>
      <c r="F79" s="245" t="n"/>
      <c r="G79" s="245" t="n"/>
      <c r="H79" s="247" t="n">
        <v>1</v>
      </c>
      <c r="I79" s="245" t="inlineStr"/>
      <c r="J79" s="245" t="inlineStr"/>
      <c r="K79" s="245" t="inlineStr">
        <is>
          <t>8IN GREEN TEA MF MATTRESS FL</t>
        </is>
      </c>
      <c r="L79" s="245" t="inlineStr">
        <is>
          <t>BPM-FMS-8F-IN</t>
        </is>
      </c>
      <c r="M79" s="248" t="inlineStr"/>
      <c r="N79" s="245" t="inlineStr">
        <is>
          <t>F.MFM.08F.002.BD</t>
        </is>
      </c>
      <c r="O79" s="245" t="n"/>
      <c r="P79" s="245" t="n"/>
      <c r="Q79" s="250">
        <f>R79/H79</f>
        <v/>
      </c>
      <c r="R79" s="251" t="n">
        <v>54.86</v>
      </c>
      <c r="S79" s="249" t="n">
        <v>17937</v>
      </c>
      <c r="T79" s="252">
        <f>S79*R79</f>
        <v/>
      </c>
      <c r="U79" s="245" t="n"/>
      <c r="V79" s="245" t="n"/>
      <c r="W79" s="245" t="n"/>
      <c r="X79" s="245" t="n"/>
      <c r="Y79" s="245" t="n"/>
      <c r="Z79" s="245" t="n"/>
    </row>
    <row r="80" ht="16.5" customHeight="1" s="202">
      <c r="A80" s="245" t="n"/>
      <c r="B80" s="245" t="n"/>
      <c r="C80" s="245" t="n"/>
      <c r="D80" s="245" t="n"/>
      <c r="E80" s="245" t="n"/>
      <c r="F80" s="245" t="n"/>
      <c r="G80" s="245" t="n"/>
      <c r="H80" s="247" t="n">
        <v>1</v>
      </c>
      <c r="I80" s="245" t="inlineStr"/>
      <c r="J80" s="245" t="inlineStr"/>
      <c r="K80" s="245" t="inlineStr">
        <is>
          <t>6IN GREEN TEA MF MATTRESS FL</t>
        </is>
      </c>
      <c r="L80" s="245" t="inlineStr">
        <is>
          <t>EB-FMS-0600F-IN</t>
        </is>
      </c>
      <c r="M80" s="248" t="inlineStr"/>
      <c r="N80" s="245" t="inlineStr">
        <is>
          <t>F.MFM.06F.002.BD</t>
        </is>
      </c>
      <c r="O80" s="245" t="n"/>
      <c r="P80" s="245" t="n"/>
      <c r="Q80" s="250">
        <f>R80/H80</f>
        <v/>
      </c>
      <c r="R80" s="251" t="n">
        <v>44.44</v>
      </c>
      <c r="S80" s="249" t="n">
        <v>17937</v>
      </c>
      <c r="T80" s="252">
        <f>S80*R80</f>
        <v/>
      </c>
      <c r="U80" s="245" t="n"/>
      <c r="V80" s="245" t="n"/>
      <c r="W80" s="245" t="n"/>
      <c r="X80" s="245" t="n"/>
      <c r="Y80" s="245" t="n"/>
      <c r="Z80" s="245" t="n"/>
    </row>
    <row r="81" ht="16.5" customHeight="1" s="202">
      <c r="A81" s="245" t="n"/>
      <c r="B81" s="245" t="n"/>
      <c r="C81" s="245" t="n"/>
      <c r="D81" s="245" t="n"/>
      <c r="E81" s="245" t="n"/>
      <c r="F81" s="245" t="n"/>
      <c r="G81" s="245" t="n"/>
      <c r="H81" s="247" t="n">
        <v>1</v>
      </c>
      <c r="I81" s="245" t="inlineStr"/>
      <c r="J81" s="245" t="inlineStr"/>
      <c r="K81" s="245" t="inlineStr">
        <is>
          <t>14IN GREEN TEA MF MATTRESS QN</t>
        </is>
      </c>
      <c r="L81" s="245" t="inlineStr">
        <is>
          <t>OLC-FMS-1400Q-IN</t>
        </is>
      </c>
      <c r="M81" s="248" t="inlineStr"/>
      <c r="N81" s="245" t="inlineStr">
        <is>
          <t>F.MFM.14Q.000.BD</t>
        </is>
      </c>
      <c r="O81" s="245" t="n"/>
      <c r="P81" s="245" t="n"/>
      <c r="Q81" s="250">
        <f>R81/H81</f>
        <v/>
      </c>
      <c r="R81" s="251" t="n">
        <v>98.5</v>
      </c>
      <c r="S81" s="249" t="n">
        <v>17937</v>
      </c>
      <c r="T81" s="252">
        <f>S81*R81</f>
        <v/>
      </c>
      <c r="U81" s="245" t="n"/>
      <c r="V81" s="245" t="n"/>
      <c r="W81" s="245" t="n"/>
      <c r="X81" s="245" t="n"/>
      <c r="Y81" s="245" t="n"/>
      <c r="Z81" s="245" t="n"/>
    </row>
    <row r="82" ht="16.5" customHeight="1" s="202">
      <c r="A82" s="245" t="n"/>
      <c r="B82" s="245" t="n"/>
      <c r="C82" s="245" t="n"/>
      <c r="D82" s="245" t="n"/>
      <c r="E82" s="245" t="n"/>
      <c r="F82" s="245" t="n"/>
      <c r="G82" s="245" t="n"/>
      <c r="H82" s="247" t="n">
        <v>1</v>
      </c>
      <c r="I82" s="245" t="inlineStr"/>
      <c r="J82" s="245" t="inlineStr"/>
      <c r="K82" s="245" t="inlineStr">
        <is>
          <t>12IN GREEN TEA MF MATTRESS FL</t>
        </is>
      </c>
      <c r="L82" s="245" t="inlineStr">
        <is>
          <t>OLC-FMS-1200F-IN</t>
        </is>
      </c>
      <c r="M82" s="248" t="inlineStr"/>
      <c r="N82" s="245" t="inlineStr">
        <is>
          <t>F.MFM.12F.002.BD</t>
        </is>
      </c>
      <c r="O82" s="245" t="n"/>
      <c r="P82" s="245" t="n"/>
      <c r="Q82" s="250">
        <f>R82/H82</f>
        <v/>
      </c>
      <c r="R82" s="251" t="n">
        <v>75.86</v>
      </c>
      <c r="S82" s="249" t="n">
        <v>17937</v>
      </c>
      <c r="T82" s="252">
        <f>S82*R82</f>
        <v/>
      </c>
      <c r="U82" s="245" t="n"/>
      <c r="V82" s="245" t="n"/>
      <c r="W82" s="245" t="n"/>
      <c r="X82" s="245" t="n"/>
      <c r="Y82" s="245" t="n"/>
      <c r="Z82" s="245" t="n"/>
    </row>
    <row r="83" ht="16.5" customHeight="1" s="202">
      <c r="A83" s="245" t="n"/>
      <c r="B83" s="245" t="n"/>
      <c r="C83" s="245" t="n"/>
      <c r="D83" s="245" t="n"/>
      <c r="E83" s="245" t="n"/>
      <c r="F83" s="245" t="n"/>
      <c r="G83" s="245" t="n"/>
      <c r="H83" s="247" t="n">
        <v>1</v>
      </c>
      <c r="I83" s="245" t="inlineStr"/>
      <c r="J83" s="245" t="inlineStr"/>
      <c r="K83" s="245" t="inlineStr">
        <is>
          <t>6IN GREEN TEA MF MATTRESS TX</t>
        </is>
      </c>
      <c r="L83" s="245" t="inlineStr">
        <is>
          <t>EB-FMS-0600TXL-IN</t>
        </is>
      </c>
      <c r="M83" s="248" t="inlineStr"/>
      <c r="N83" s="245" t="inlineStr">
        <is>
          <t>F.MFM.06X.002.BD</t>
        </is>
      </c>
      <c r="O83" s="245" t="n"/>
      <c r="P83" s="245" t="n"/>
      <c r="Q83" s="250">
        <f>R83/H83</f>
        <v/>
      </c>
      <c r="R83" s="251" t="n">
        <v>35.3</v>
      </c>
      <c r="S83" s="249" t="n">
        <v>17937</v>
      </c>
      <c r="T83" s="252">
        <f>S83*R83</f>
        <v/>
      </c>
      <c r="U83" s="245" t="n"/>
      <c r="V83" s="245" t="n"/>
      <c r="W83" s="245" t="n"/>
      <c r="X83" s="245" t="n"/>
      <c r="Y83" s="245" t="n"/>
      <c r="Z83" s="245" t="n"/>
    </row>
    <row r="84" ht="16.5" customHeight="1" s="202">
      <c r="A84" s="245" t="n"/>
      <c r="B84" s="245" t="n"/>
      <c r="C84" s="245" t="n"/>
      <c r="D84" s="245" t="n"/>
      <c r="E84" s="245" t="n"/>
      <c r="F84" s="245" t="n"/>
      <c r="G84" s="245" t="n"/>
      <c r="H84" s="247" t="n">
        <v>1</v>
      </c>
      <c r="I84" s="245" t="inlineStr"/>
      <c r="J84" s="245" t="inlineStr"/>
      <c r="K84" s="245" t="inlineStr">
        <is>
          <t>6IN GREEN TEA MF MATTRESS EK</t>
        </is>
      </c>
      <c r="L84" s="245" t="inlineStr">
        <is>
          <t>EB-FMS-0600K-IN</t>
        </is>
      </c>
      <c r="M84" s="248" t="inlineStr"/>
      <c r="N84" s="245" t="inlineStr">
        <is>
          <t>F.MFM.06K.002.BD</t>
        </is>
      </c>
      <c r="O84" s="245" t="n"/>
      <c r="P84" s="245" t="n"/>
      <c r="Q84" s="250">
        <f>R84/H84</f>
        <v/>
      </c>
      <c r="R84" s="251" t="n">
        <v>64.97</v>
      </c>
      <c r="S84" s="249" t="n">
        <v>17937</v>
      </c>
      <c r="T84" s="252">
        <f>S84*R84</f>
        <v/>
      </c>
      <c r="U84" s="245" t="n"/>
      <c r="V84" s="245" t="n"/>
      <c r="W84" s="245" t="n"/>
      <c r="X84" s="245" t="n"/>
      <c r="Y84" s="245" t="n"/>
      <c r="Z84" s="245" t="n"/>
    </row>
    <row r="85" ht="16.5" customHeight="1" s="202">
      <c r="A85" s="245" t="n"/>
      <c r="B85" s="245" t="n"/>
      <c r="C85" s="245" t="n"/>
      <c r="D85" s="245" t="n"/>
      <c r="E85" s="245" t="n"/>
      <c r="F85" s="245" t="n"/>
      <c r="G85" s="245" t="n"/>
      <c r="H85" s="247" t="n">
        <v>1</v>
      </c>
      <c r="I85" s="245" t="inlineStr"/>
      <c r="J85" s="245" t="inlineStr"/>
      <c r="K85" s="245" t="inlineStr">
        <is>
          <t>10IN GREEN TEA MF MATTRESS EK</t>
        </is>
      </c>
      <c r="L85" s="245" t="inlineStr">
        <is>
          <t>OLC-FMS-1000K-IN</t>
        </is>
      </c>
      <c r="M85" s="248" t="inlineStr"/>
      <c r="N85" s="245" t="inlineStr">
        <is>
          <t>F.MFM.10K.002.BD</t>
        </is>
      </c>
      <c r="O85" s="245" t="n"/>
      <c r="P85" s="245" t="n"/>
      <c r="Q85" s="250">
        <f>R85/H85</f>
        <v/>
      </c>
      <c r="R85" s="251" t="n">
        <v>95.89</v>
      </c>
      <c r="S85" s="249" t="n">
        <v>17937</v>
      </c>
      <c r="T85" s="252">
        <f>S85*R85</f>
        <v/>
      </c>
      <c r="U85" s="245" t="n"/>
      <c r="V85" s="245" t="n"/>
      <c r="W85" s="245" t="n"/>
      <c r="X85" s="245" t="n"/>
      <c r="Y85" s="245" t="n"/>
      <c r="Z85" s="245" t="n"/>
    </row>
    <row r="86" ht="16.5" customHeight="1" s="202">
      <c r="A86" s="245" t="n"/>
      <c r="B86" s="245" t="n"/>
      <c r="C86" s="245" t="n"/>
      <c r="D86" s="245" t="n"/>
      <c r="E86" s="245" t="n"/>
      <c r="F86" s="245" t="n"/>
      <c r="G86" s="245" t="n"/>
      <c r="H86" s="247" t="n">
        <v>1</v>
      </c>
      <c r="I86" s="245" t="inlineStr"/>
      <c r="J86" s="245" t="inlineStr"/>
      <c r="K86" s="245" t="inlineStr">
        <is>
          <t>12IN GT FMS CK</t>
        </is>
      </c>
      <c r="L86" s="245" t="inlineStr">
        <is>
          <t>OLC-FMS-1200CK-IN</t>
        </is>
      </c>
      <c r="M86" s="248" t="inlineStr"/>
      <c r="N86" s="245" t="inlineStr">
        <is>
          <t>F.MFM.12C.002.BD</t>
        </is>
      </c>
      <c r="O86" s="245" t="n"/>
      <c r="P86" s="245" t="n"/>
      <c r="Q86" s="250">
        <f>R86/H86</f>
        <v/>
      </c>
      <c r="R86" s="251" t="n">
        <v>108.69</v>
      </c>
      <c r="S86" s="249" t="n">
        <v>17937</v>
      </c>
      <c r="T86" s="252">
        <f>S86*R86</f>
        <v/>
      </c>
      <c r="U86" s="245" t="n"/>
      <c r="V86" s="245" t="n"/>
      <c r="W86" s="245" t="n"/>
      <c r="X86" s="245" t="n"/>
      <c r="Y86" s="245" t="n"/>
      <c r="Z86" s="245" t="n"/>
    </row>
    <row r="87" ht="16.5" customHeight="1" s="202">
      <c r="A87" s="245" t="n"/>
      <c r="B87" s="245" t="n"/>
      <c r="C87" s="245" t="n"/>
      <c r="D87" s="245" t="n"/>
      <c r="E87" s="245" t="n"/>
      <c r="F87" s="245" t="n"/>
      <c r="G87" s="245" t="n"/>
      <c r="H87" s="247" t="n">
        <v>1</v>
      </c>
      <c r="I87" s="245" t="inlineStr"/>
      <c r="J87" s="245" t="inlineStr"/>
      <c r="K87" s="245" t="inlineStr">
        <is>
          <t>14IN GREEN TEA MF MATTRESS TW</t>
        </is>
      </c>
      <c r="L87" s="245" t="inlineStr">
        <is>
          <t>OLC-FMS-1400T-IN</t>
        </is>
      </c>
      <c r="M87" s="248" t="inlineStr"/>
      <c r="N87" s="245" t="inlineStr">
        <is>
          <t>F.MFM.14T.000.BD</t>
        </is>
      </c>
      <c r="O87" s="245" t="n"/>
      <c r="P87" s="245" t="n"/>
      <c r="Q87" s="250">
        <f>R87/H87</f>
        <v/>
      </c>
      <c r="R87" s="251" t="n">
        <v>62.93</v>
      </c>
      <c r="S87" s="249" t="n">
        <v>17937</v>
      </c>
      <c r="T87" s="252">
        <f>S87*R87</f>
        <v/>
      </c>
      <c r="U87" s="245" t="n"/>
      <c r="V87" s="245" t="n"/>
      <c r="W87" s="245" t="n"/>
      <c r="X87" s="245" t="n"/>
      <c r="Y87" s="245" t="n"/>
      <c r="Z87" s="245" t="n"/>
    </row>
    <row r="88" ht="16.5" customHeight="1" s="202">
      <c r="A88" s="245" t="n"/>
      <c r="B88" s="245" t="n"/>
      <c r="C88" s="245" t="n"/>
      <c r="D88" s="245" t="n"/>
      <c r="E88" s="245" t="n"/>
      <c r="F88" s="245" t="n"/>
      <c r="G88" s="245" t="n"/>
      <c r="H88" s="247" t="n">
        <v>1</v>
      </c>
      <c r="I88" s="245" t="inlineStr"/>
      <c r="J88" s="245" t="inlineStr"/>
      <c r="K88" s="245" t="inlineStr">
        <is>
          <t>14IN GREEN TEA MF MATTRESS FL</t>
        </is>
      </c>
      <c r="L88" s="245" t="inlineStr">
        <is>
          <t>OLC-FMS-1400F-IN</t>
        </is>
      </c>
      <c r="M88" s="248" t="inlineStr"/>
      <c r="N88" s="245" t="inlineStr">
        <is>
          <t>F.MFM.14F.000.BD</t>
        </is>
      </c>
      <c r="O88" s="245" t="n"/>
      <c r="P88" s="245" t="n"/>
      <c r="Q88" s="250">
        <f>R88/H88</f>
        <v/>
      </c>
      <c r="R88" s="251" t="n">
        <v>84.55</v>
      </c>
      <c r="S88" s="249" t="n">
        <v>17937</v>
      </c>
      <c r="T88" s="252">
        <f>S88*R88</f>
        <v/>
      </c>
      <c r="U88" s="245" t="n"/>
      <c r="V88" s="245" t="n"/>
      <c r="W88" s="245" t="n"/>
      <c r="X88" s="245" t="n"/>
      <c r="Y88" s="245" t="n"/>
      <c r="Z88" s="245" t="n"/>
    </row>
    <row r="89" ht="16.5" customHeight="1" s="202">
      <c r="A89" s="245" t="n"/>
      <c r="B89" s="245" t="n"/>
      <c r="C89" s="245" t="n"/>
      <c r="D89" s="245" t="n"/>
      <c r="E89" s="245" t="n"/>
      <c r="F89" s="245" t="n"/>
      <c r="G89" s="245" t="n"/>
      <c r="H89" s="247" t="n">
        <v>1</v>
      </c>
      <c r="I89" s="245" t="inlineStr"/>
      <c r="J89" s="245" t="inlineStr"/>
      <c r="K89" s="245" t="inlineStr">
        <is>
          <t>14IN GREEN TEA MF MATTRESS CK</t>
        </is>
      </c>
      <c r="L89" s="245" t="inlineStr">
        <is>
          <t>OLC-FMS-1400CK-IN</t>
        </is>
      </c>
      <c r="M89" s="248" t="inlineStr"/>
      <c r="N89" s="245" t="inlineStr">
        <is>
          <t>F.MFM.14C.000.BD</t>
        </is>
      </c>
      <c r="O89" s="245" t="n"/>
      <c r="P89" s="245" t="n"/>
      <c r="Q89" s="250">
        <f>R89/H89</f>
        <v/>
      </c>
      <c r="R89" s="251" t="n">
        <v>120.54</v>
      </c>
      <c r="S89" s="249" t="n">
        <v>17937</v>
      </c>
      <c r="T89" s="252">
        <f>S89*R89</f>
        <v/>
      </c>
      <c r="U89" s="245" t="n"/>
      <c r="V89" s="245" t="n"/>
      <c r="W89" s="245" t="n"/>
      <c r="X89" s="245" t="n"/>
      <c r="Y89" s="245" t="n"/>
      <c r="Z89" s="245" t="n"/>
    </row>
    <row r="90" ht="16.5" customHeight="1" s="202">
      <c r="A90" s="245" t="n"/>
      <c r="B90" s="245" t="n"/>
      <c r="C90" s="245" t="n"/>
      <c r="D90" s="245" t="n"/>
      <c r="E90" s="245" t="n"/>
      <c r="F90" s="245" t="n"/>
      <c r="G90" s="245" t="n"/>
      <c r="H90" s="247" t="n">
        <v>1</v>
      </c>
      <c r="I90" s="245" t="inlineStr"/>
      <c r="J90" s="245" t="inlineStr"/>
      <c r="K90" s="245" t="inlineStr">
        <is>
          <t>8IN GREEN TEA MF MATTRESS EK</t>
        </is>
      </c>
      <c r="L90" s="245" t="inlineStr">
        <is>
          <t>BPM-FMS-8K-IN</t>
        </is>
      </c>
      <c r="M90" s="248" t="inlineStr"/>
      <c r="N90" s="245" t="inlineStr">
        <is>
          <t>F.MFM.08K.002.BD</t>
        </is>
      </c>
      <c r="O90" s="245" t="n"/>
      <c r="P90" s="245" t="n"/>
      <c r="Q90" s="250">
        <f>R90/H90</f>
        <v/>
      </c>
      <c r="R90" s="251" t="n">
        <v>79.39</v>
      </c>
      <c r="S90" s="249" t="n">
        <v>17937</v>
      </c>
      <c r="T90" s="252">
        <f>S90*R90</f>
        <v/>
      </c>
      <c r="U90" s="245" t="n"/>
      <c r="V90" s="245" t="n"/>
      <c r="W90" s="245" t="n"/>
      <c r="X90" s="245" t="n"/>
      <c r="Y90" s="245" t="n"/>
      <c r="Z90" s="245" t="n"/>
    </row>
    <row r="91" ht="16.5" customHeight="1" s="202">
      <c r="A91" s="245" t="n"/>
      <c r="B91" s="245" t="n"/>
      <c r="C91" s="245" t="n"/>
      <c r="D91" s="245" t="n"/>
      <c r="E91" s="245" t="n"/>
      <c r="F91" s="245" t="n"/>
      <c r="G91" s="245" t="n"/>
      <c r="H91" s="247" t="n">
        <v>1</v>
      </c>
      <c r="I91" s="245" t="inlineStr"/>
      <c r="J91" s="245" t="inlineStr"/>
      <c r="K91" s="245" t="inlineStr">
        <is>
          <t>10IN GREEN TEA MF MATTRESS CK</t>
        </is>
      </c>
      <c r="L91" s="245" t="inlineStr">
        <is>
          <t>OLC-FMS-1000CK-IN</t>
        </is>
      </c>
      <c r="M91" s="248" t="inlineStr"/>
      <c r="N91" s="245" t="inlineStr">
        <is>
          <t>F.MFM.10C.002.BD</t>
        </is>
      </c>
      <c r="O91" s="245" t="n"/>
      <c r="P91" s="245" t="n"/>
      <c r="Q91" s="250">
        <f>R91/H91</f>
        <v/>
      </c>
      <c r="R91" s="251" t="n">
        <v>94.97</v>
      </c>
      <c r="S91" s="249" t="n">
        <v>17937</v>
      </c>
      <c r="T91" s="252">
        <f>S91*R91</f>
        <v/>
      </c>
      <c r="U91" s="245" t="n"/>
      <c r="V91" s="245" t="n"/>
      <c r="W91" s="245" t="n"/>
      <c r="X91" s="245" t="n"/>
      <c r="Y91" s="245" t="n"/>
      <c r="Z91" s="245" t="n"/>
    </row>
    <row r="92" ht="16.5" customHeight="1" s="202">
      <c r="A92" s="245" t="n"/>
      <c r="B92" s="245" t="n"/>
      <c r="C92" s="245" t="n"/>
      <c r="D92" s="245" t="n"/>
      <c r="E92" s="245" t="n"/>
      <c r="F92" s="245" t="n"/>
      <c r="G92" s="245" t="n"/>
      <c r="H92" s="247" t="n">
        <v>1</v>
      </c>
      <c r="I92" s="245" t="inlineStr"/>
      <c r="J92" s="245" t="inlineStr"/>
      <c r="K92" s="245" t="inlineStr">
        <is>
          <t>12IN QUADCOOL MF MATTRESS EK</t>
        </is>
      </c>
      <c r="L92" s="245" t="inlineStr">
        <is>
          <t>ZU-MFGNU2ZU-12K</t>
        </is>
      </c>
      <c r="M92" s="248" t="inlineStr"/>
      <c r="N92" s="245" t="inlineStr">
        <is>
          <t>F.MFG.12K.000.AD</t>
        </is>
      </c>
      <c r="O92" s="245" t="n"/>
      <c r="P92" s="245" t="n"/>
      <c r="Q92" s="250">
        <f>R92/H92</f>
        <v/>
      </c>
      <c r="R92" s="251" t="n">
        <v>140.58</v>
      </c>
      <c r="S92" s="249" t="n">
        <v>17937</v>
      </c>
      <c r="T92" s="252">
        <f>S92*R92</f>
        <v/>
      </c>
      <c r="U92" s="245" t="n"/>
      <c r="V92" s="245" t="n"/>
      <c r="W92" s="245" t="n"/>
      <c r="X92" s="245" t="n"/>
      <c r="Y92" s="245" t="n"/>
      <c r="Z92" s="245" t="n"/>
    </row>
    <row r="93" ht="16.5" customHeight="1" s="202">
      <c r="A93" s="245" t="n"/>
      <c r="B93" s="245" t="n"/>
      <c r="C93" s="245" t="n"/>
      <c r="D93" s="245" t="n"/>
      <c r="E93" s="245" t="n"/>
      <c r="F93" s="245" t="n"/>
      <c r="G93" s="245" t="n"/>
      <c r="H93" s="247" t="n">
        <v>1</v>
      </c>
      <c r="I93" s="245" t="inlineStr"/>
      <c r="J93" s="245" t="inlineStr"/>
      <c r="K93" s="245" t="inlineStr">
        <is>
          <t>12IN QUADCOOL MF MATTRESS QN</t>
        </is>
      </c>
      <c r="L93" s="245" t="inlineStr">
        <is>
          <t>ZU-MFGNU2ZU-12Q</t>
        </is>
      </c>
      <c r="M93" s="248" t="inlineStr"/>
      <c r="N93" s="245" t="inlineStr">
        <is>
          <t>F.MFG.12Q.000.AD</t>
        </is>
      </c>
      <c r="O93" s="245" t="n"/>
      <c r="P93" s="245" t="n"/>
      <c r="Q93" s="250">
        <f>R93/H93</f>
        <v/>
      </c>
      <c r="R93" s="251" t="n">
        <v>113.39</v>
      </c>
      <c r="S93" s="249" t="n">
        <v>17937</v>
      </c>
      <c r="T93" s="252">
        <f>S93*R93</f>
        <v/>
      </c>
      <c r="U93" s="245" t="n"/>
      <c r="V93" s="245" t="n"/>
      <c r="W93" s="245" t="n"/>
      <c r="X93" s="245" t="n"/>
      <c r="Y93" s="245" t="n"/>
      <c r="Z93" s="245" t="n"/>
    </row>
    <row r="94" ht="16.5" customHeight="1" s="202">
      <c r="A94" s="245" t="n"/>
      <c r="B94" s="245" t="n"/>
      <c r="C94" s="245" t="n"/>
      <c r="D94" s="245" t="n"/>
      <c r="E94" s="245" t="n"/>
      <c r="F94" s="245" t="n"/>
      <c r="G94" s="245" t="n"/>
      <c r="H94" s="247" t="n">
        <v>1</v>
      </c>
      <c r="I94" s="245" t="inlineStr"/>
      <c r="J94" s="245" t="inlineStr"/>
      <c r="K94" s="245" t="inlineStr">
        <is>
          <t>12IN QUADCOOL MF MATTRESS TW</t>
        </is>
      </c>
      <c r="L94" s="245" t="inlineStr">
        <is>
          <t>ZU-MFGNU2ZU-12T</t>
        </is>
      </c>
      <c r="M94" s="248" t="inlineStr"/>
      <c r="N94" s="245" t="inlineStr">
        <is>
          <t>F.MFG.12T.000.AD</t>
        </is>
      </c>
      <c r="O94" s="245" t="n"/>
      <c r="P94" s="245" t="n"/>
      <c r="Q94" s="250">
        <f>R94/H94</f>
        <v/>
      </c>
      <c r="R94" s="251" t="n">
        <v>76.23999999999999</v>
      </c>
      <c r="S94" s="249" t="n">
        <v>17937</v>
      </c>
      <c r="T94" s="252">
        <f>S94*R94</f>
        <v/>
      </c>
      <c r="U94" s="245" t="n"/>
      <c r="V94" s="245" t="n"/>
      <c r="W94" s="245" t="n"/>
      <c r="X94" s="245" t="n"/>
      <c r="Y94" s="245" t="n"/>
      <c r="Z94" s="245" t="n"/>
    </row>
    <row r="95" ht="16.5" customHeight="1" s="202">
      <c r="A95" s="245" t="n"/>
      <c r="B95" s="245" t="n"/>
      <c r="C95" s="245" t="n"/>
      <c r="D95" s="245" t="n"/>
      <c r="E95" s="245" t="n"/>
      <c r="F95" s="245" t="n"/>
      <c r="G95" s="245" t="n"/>
      <c r="H95" s="247" t="n">
        <v>1</v>
      </c>
      <c r="I95" s="245" t="inlineStr"/>
      <c r="J95" s="245" t="inlineStr"/>
      <c r="K95" s="245" t="inlineStr">
        <is>
          <t>14IN MYGEL GREENTEA MF MATT QN</t>
        </is>
      </c>
      <c r="L95" s="245" t="inlineStr">
        <is>
          <t>ZU-MFGN5MZI-14Q</t>
        </is>
      </c>
      <c r="M95" s="248" t="inlineStr"/>
      <c r="N95" s="245" t="inlineStr">
        <is>
          <t>F.MFG.14Q.000.AD</t>
        </is>
      </c>
      <c r="O95" s="245" t="n"/>
      <c r="P95" s="245" t="n"/>
      <c r="Q95" s="250">
        <f>R95/H95</f>
        <v/>
      </c>
      <c r="R95" s="251" t="n">
        <v>141.94</v>
      </c>
      <c r="S95" s="249" t="n">
        <v>17937</v>
      </c>
      <c r="T95" s="252">
        <f>S95*R95</f>
        <v/>
      </c>
      <c r="U95" s="245" t="n"/>
      <c r="V95" s="245" t="n"/>
      <c r="W95" s="245" t="n"/>
      <c r="X95" s="245" t="n"/>
      <c r="Y95" s="245" t="n"/>
      <c r="Z95" s="245" t="n"/>
    </row>
    <row r="96" ht="16.5" customHeight="1" s="202">
      <c r="A96" s="245" t="n"/>
      <c r="B96" s="245" t="n"/>
      <c r="C96" s="245" t="n"/>
      <c r="D96" s="245" t="n"/>
      <c r="E96" s="245" t="n"/>
      <c r="F96" s="245" t="n"/>
      <c r="G96" s="245" t="n"/>
      <c r="H96" s="247" t="n">
        <v>1</v>
      </c>
      <c r="I96" s="245" t="inlineStr"/>
      <c r="J96" s="245" t="inlineStr"/>
      <c r="K96" s="245" t="inlineStr">
        <is>
          <t>12IN QUADCOOL MF MATTRESS FL</t>
        </is>
      </c>
      <c r="L96" s="245" t="inlineStr">
        <is>
          <t>ZU-MFGNU2ZU-12F</t>
        </is>
      </c>
      <c r="M96" s="248" t="inlineStr"/>
      <c r="N96" s="245" t="inlineStr">
        <is>
          <t>F.MFG.12F.000.AD</t>
        </is>
      </c>
      <c r="O96" s="245" t="n"/>
      <c r="P96" s="245" t="n"/>
      <c r="Q96" s="250">
        <f>R96/H96</f>
        <v/>
      </c>
      <c r="R96" s="251" t="n">
        <v>99.93000000000001</v>
      </c>
      <c r="S96" s="249" t="n">
        <v>17937</v>
      </c>
      <c r="T96" s="252">
        <f>S96*R96</f>
        <v/>
      </c>
      <c r="U96" s="245" t="n"/>
      <c r="V96" s="245" t="n"/>
      <c r="W96" s="245" t="n"/>
      <c r="X96" s="245" t="n"/>
      <c r="Y96" s="245" t="n"/>
      <c r="Z96" s="245" t="n"/>
    </row>
    <row r="97" ht="16.5" customHeight="1" s="202">
      <c r="A97" s="245" t="n"/>
      <c r="B97" s="245" t="n"/>
      <c r="C97" s="245" t="n"/>
      <c r="D97" s="245" t="n"/>
      <c r="E97" s="245" t="n"/>
      <c r="F97" s="245" t="n"/>
      <c r="G97" s="245" t="n"/>
      <c r="H97" s="247" t="n">
        <v>1</v>
      </c>
      <c r="I97" s="245" t="inlineStr"/>
      <c r="J97" s="245" t="inlineStr"/>
      <c r="K97" s="245" t="inlineStr">
        <is>
          <t>14IN MYGEL GREENTEA MF MATT EK</t>
        </is>
      </c>
      <c r="L97" s="245" t="inlineStr">
        <is>
          <t>ZU-MFGN5MZI-14K</t>
        </is>
      </c>
      <c r="M97" s="248" t="inlineStr"/>
      <c r="N97" s="245" t="inlineStr">
        <is>
          <t>F.MFG.14K.000.AD</t>
        </is>
      </c>
      <c r="O97" s="245" t="n"/>
      <c r="P97" s="245" t="n"/>
      <c r="Q97" s="250">
        <f>R97/H97</f>
        <v/>
      </c>
      <c r="R97" s="251" t="n">
        <v>170.83</v>
      </c>
      <c r="S97" s="249" t="n">
        <v>17937</v>
      </c>
      <c r="T97" s="252">
        <f>S97*R97</f>
        <v/>
      </c>
      <c r="U97" s="245" t="n"/>
      <c r="V97" s="245" t="n"/>
      <c r="W97" s="245" t="n"/>
      <c r="X97" s="245" t="n"/>
      <c r="Y97" s="245" t="n"/>
      <c r="Z97" s="245" t="n"/>
    </row>
    <row r="98" ht="16.5" customHeight="1" s="202">
      <c r="A98" s="245" t="n"/>
      <c r="B98" s="245" t="n"/>
      <c r="C98" s="245" t="n"/>
      <c r="D98" s="245" t="n"/>
      <c r="E98" s="245" t="n"/>
      <c r="F98" s="245" t="n"/>
      <c r="G98" s="245" t="n"/>
      <c r="H98" s="247" t="n">
        <v>1</v>
      </c>
      <c r="I98" s="245" t="inlineStr"/>
      <c r="J98" s="245" t="inlineStr"/>
      <c r="K98" s="245" t="inlineStr">
        <is>
          <t>BONNEL MATTRESS</t>
        </is>
      </c>
      <c r="L98" s="245" t="inlineStr">
        <is>
          <t>SAMPLE</t>
        </is>
      </c>
      <c r="M98" s="248" t="inlineStr"/>
      <c r="N98" s="245" t="inlineStr">
        <is>
          <t>F.MSS.SAMP</t>
        </is>
      </c>
      <c r="O98" s="245" t="n"/>
      <c r="P98" s="245" t="n"/>
      <c r="Q98" s="250">
        <f>R98/H98</f>
        <v/>
      </c>
      <c r="R98" s="251" t="n">
        <v>69.06</v>
      </c>
      <c r="S98" s="249" t="n">
        <v>17937</v>
      </c>
      <c r="T98" s="252">
        <f>S98*R98</f>
        <v/>
      </c>
      <c r="U98" s="245" t="n"/>
      <c r="V98" s="245" t="n"/>
      <c r="W98" s="245" t="n"/>
      <c r="X98" s="245" t="n"/>
      <c r="Y98" s="245" t="n"/>
      <c r="Z98" s="245" t="n"/>
    </row>
    <row r="99" ht="16.5" customHeight="1" s="202">
      <c r="A99" s="245" t="n"/>
      <c r="B99" s="245" t="n"/>
      <c r="C99" s="245" t="n"/>
      <c r="D99" s="245" t="n"/>
      <c r="E99" s="245" t="n"/>
      <c r="F99" s="245" t="n"/>
      <c r="G99" s="245" t="n"/>
      <c r="H99" s="247" t="n">
        <v>1</v>
      </c>
      <c r="I99" s="245" t="inlineStr"/>
      <c r="J99" s="245" t="inlineStr"/>
      <c r="K99" s="245" t="inlineStr">
        <is>
          <t>HYBRID MATTRESS</t>
        </is>
      </c>
      <c r="L99" s="245" t="inlineStr">
        <is>
          <t>SAMPLE</t>
        </is>
      </c>
      <c r="M99" s="248" t="inlineStr"/>
      <c r="N99" s="245" t="inlineStr">
        <is>
          <t>F.MSH.SAMP</t>
        </is>
      </c>
      <c r="O99" s="245" t="n"/>
      <c r="P99" s="245" t="n"/>
      <c r="Q99" s="250">
        <f>R99/H99</f>
        <v/>
      </c>
      <c r="R99" s="251" t="n">
        <v>78.91</v>
      </c>
      <c r="S99" s="249" t="n">
        <v>17937</v>
      </c>
      <c r="T99" s="252">
        <f>S99*R99</f>
        <v/>
      </c>
      <c r="U99" s="245" t="n"/>
      <c r="V99" s="245" t="n"/>
      <c r="W99" s="245" t="n"/>
      <c r="X99" s="245" t="n"/>
      <c r="Y99" s="245" t="n"/>
      <c r="Z99" s="245" t="n"/>
    </row>
    <row r="100" ht="16.5" customHeight="1" s="202">
      <c r="A100" s="245" t="n"/>
      <c r="B100" s="245" t="n"/>
      <c r="C100" s="245" t="n"/>
      <c r="D100" s="245" t="n"/>
      <c r="E100" s="245" t="n"/>
      <c r="F100" s="245" t="n"/>
      <c r="G100" s="245" t="n"/>
      <c r="H100" s="247" t="n">
        <v>1</v>
      </c>
      <c r="I100" s="245" t="inlineStr"/>
      <c r="J100" s="245" t="inlineStr"/>
      <c r="K100" s="245" t="inlineStr">
        <is>
          <t>HYBRID MATTRESS</t>
        </is>
      </c>
      <c r="L100" s="245" t="inlineStr">
        <is>
          <t>SAMPLE</t>
        </is>
      </c>
      <c r="M100" s="248" t="inlineStr"/>
      <c r="N100" s="245" t="inlineStr">
        <is>
          <t>F.MSH.SAMP</t>
        </is>
      </c>
      <c r="O100" s="245" t="n"/>
      <c r="P100" s="245" t="n"/>
      <c r="Q100" s="250">
        <f>R100/H100</f>
        <v/>
      </c>
      <c r="R100" s="251" t="n">
        <v>45.62</v>
      </c>
      <c r="S100" s="249" t="n">
        <v>17937</v>
      </c>
      <c r="T100" s="252">
        <f>S100*R100</f>
        <v/>
      </c>
      <c r="U100" s="245" t="n"/>
      <c r="V100" s="245" t="n"/>
      <c r="W100" s="245" t="n"/>
      <c r="X100" s="245" t="n"/>
      <c r="Y100" s="245" t="n"/>
      <c r="Z100" s="245" t="n"/>
    </row>
    <row r="101" ht="16.5" customHeight="1" s="202">
      <c r="A101" s="245" t="n"/>
      <c r="B101" s="245" t="n"/>
      <c r="C101" s="245" t="n"/>
      <c r="D101" s="245" t="n"/>
      <c r="E101" s="245" t="n"/>
      <c r="F101" s="245" t="n"/>
      <c r="G101" s="245" t="n"/>
      <c r="H101" s="247" t="n">
        <v>1</v>
      </c>
      <c r="I101" s="245" t="inlineStr"/>
      <c r="J101" s="245" t="inlineStr"/>
      <c r="K101" s="245" t="inlineStr">
        <is>
          <t>HYBRID MATTRESS</t>
        </is>
      </c>
      <c r="L101" s="245" t="inlineStr">
        <is>
          <t>SAMPLE</t>
        </is>
      </c>
      <c r="M101" s="248" t="inlineStr"/>
      <c r="N101" s="245" t="inlineStr">
        <is>
          <t>F.MSH.SAMP</t>
        </is>
      </c>
      <c r="O101" s="245" t="n"/>
      <c r="P101" s="245" t="n"/>
      <c r="Q101" s="250">
        <f>R101/H101</f>
        <v/>
      </c>
      <c r="R101" s="251" t="n">
        <v>68.40000000000001</v>
      </c>
      <c r="S101" s="249" t="n">
        <v>17937</v>
      </c>
      <c r="T101" s="252">
        <f>S101*R101</f>
        <v/>
      </c>
      <c r="U101" s="245" t="n"/>
      <c r="V101" s="245" t="n"/>
      <c r="W101" s="245" t="n"/>
      <c r="X101" s="245" t="n"/>
      <c r="Y101" s="245" t="n"/>
      <c r="Z101" s="245" t="n"/>
    </row>
    <row r="102" ht="16.5" customHeight="1" s="202">
      <c r="A102" s="245" t="n"/>
      <c r="B102" s="245" t="n"/>
      <c r="C102" s="245" t="n"/>
      <c r="D102" s="245" t="n"/>
      <c r="E102" s="245" t="n"/>
      <c r="F102" s="245" t="n"/>
      <c r="G102" s="245" t="n"/>
      <c r="H102" s="247" t="n">
        <v>1</v>
      </c>
      <c r="I102" s="245" t="inlineStr"/>
      <c r="J102" s="245" t="inlineStr"/>
      <c r="K102" s="245" t="inlineStr">
        <is>
          <t>HYBRID MATTRESS</t>
        </is>
      </c>
      <c r="L102" s="245" t="inlineStr">
        <is>
          <t>SAMPLE</t>
        </is>
      </c>
      <c r="M102" s="248" t="inlineStr"/>
      <c r="N102" s="245" t="inlineStr">
        <is>
          <t>F.MSH.SAMP</t>
        </is>
      </c>
      <c r="O102" s="245" t="n"/>
      <c r="P102" s="245" t="n"/>
      <c r="Q102" s="250">
        <f>R102/H102</f>
        <v/>
      </c>
      <c r="R102" s="251" t="n">
        <v>67.31999999999999</v>
      </c>
      <c r="S102" s="249" t="n">
        <v>17937</v>
      </c>
      <c r="T102" s="252">
        <f>S102*R102</f>
        <v/>
      </c>
      <c r="U102" s="245" t="n"/>
      <c r="V102" s="245" t="n"/>
      <c r="W102" s="245" t="n"/>
      <c r="X102" s="245" t="n"/>
      <c r="Y102" s="245" t="n"/>
      <c r="Z102" s="245" t="n"/>
    </row>
    <row r="103" ht="16.5" customHeight="1" s="202">
      <c r="A103" s="245" t="n"/>
      <c r="B103" s="245" t="n"/>
      <c r="C103" s="245" t="n"/>
      <c r="D103" s="245" t="n"/>
      <c r="E103" s="245" t="n"/>
      <c r="F103" s="245" t="n"/>
      <c r="G103" s="245" t="n"/>
      <c r="H103" s="247" t="n">
        <v>1</v>
      </c>
      <c r="I103" s="245" t="inlineStr"/>
      <c r="J103" s="245" t="inlineStr"/>
      <c r="K103" s="245" t="inlineStr">
        <is>
          <t>HYBRID MATTRESS</t>
        </is>
      </c>
      <c r="L103" s="245" t="inlineStr">
        <is>
          <t>SAMPLE</t>
        </is>
      </c>
      <c r="M103" s="248" t="inlineStr"/>
      <c r="N103" s="245" t="inlineStr">
        <is>
          <t>F.MSH.SAMP</t>
        </is>
      </c>
      <c r="O103" s="245" t="n"/>
      <c r="P103" s="245" t="n"/>
      <c r="Q103" s="250">
        <f>R103/H103</f>
        <v/>
      </c>
      <c r="R103" s="251" t="n">
        <v>60.35</v>
      </c>
      <c r="S103" s="249" t="n">
        <v>17937</v>
      </c>
      <c r="T103" s="252">
        <f>S103*R103</f>
        <v/>
      </c>
      <c r="U103" s="245" t="n"/>
      <c r="V103" s="245" t="n"/>
      <c r="W103" s="245" t="n"/>
      <c r="X103" s="245" t="n"/>
      <c r="Y103" s="245" t="n"/>
      <c r="Z103" s="245" t="n"/>
    </row>
    <row r="104" ht="16.5" customHeight="1" s="202">
      <c r="A104" s="245" t="n"/>
      <c r="B104" s="245" t="n"/>
      <c r="C104" s="245" t="n"/>
      <c r="D104" s="245" t="n"/>
      <c r="E104" s="245" t="n"/>
      <c r="F104" s="245" t="n"/>
      <c r="G104" s="245" t="n"/>
      <c r="H104" s="247" t="n">
        <v>1</v>
      </c>
      <c r="I104" s="245" t="inlineStr"/>
      <c r="J104" s="245" t="inlineStr"/>
      <c r="K104" s="245" t="inlineStr">
        <is>
          <t>BONNEL MATTRESS</t>
        </is>
      </c>
      <c r="L104" s="245" t="inlineStr">
        <is>
          <t>SAMPLE</t>
        </is>
      </c>
      <c r="M104" s="248" t="inlineStr"/>
      <c r="N104" s="245" t="inlineStr">
        <is>
          <t>F.MSS.SAMP</t>
        </is>
      </c>
      <c r="O104" s="245" t="n"/>
      <c r="P104" s="245" t="n"/>
      <c r="Q104" s="250">
        <f>R104/H104</f>
        <v/>
      </c>
      <c r="R104" s="251" t="n">
        <v>56.09</v>
      </c>
      <c r="S104" s="249" t="n">
        <v>17937</v>
      </c>
      <c r="T104" s="252">
        <f>S104*R104</f>
        <v/>
      </c>
      <c r="U104" s="245" t="n"/>
      <c r="V104" s="245" t="n"/>
      <c r="W104" s="245" t="n"/>
      <c r="X104" s="245" t="n"/>
      <c r="Y104" s="245" t="n"/>
      <c r="Z104" s="245" t="n"/>
    </row>
    <row r="105" ht="16.5" customHeight="1" s="202">
      <c r="A105" s="245" t="n"/>
      <c r="B105" s="245" t="n"/>
      <c r="C105" s="245" t="n"/>
      <c r="D105" s="245" t="n"/>
      <c r="E105" s="245" t="n"/>
      <c r="F105" s="245" t="n"/>
      <c r="G105" s="245" t="n"/>
      <c r="H105" s="247" t="n">
        <v>1</v>
      </c>
      <c r="I105" s="245" t="inlineStr"/>
      <c r="J105" s="245" t="inlineStr"/>
      <c r="K105" s="245" t="inlineStr">
        <is>
          <t>BONNEL MATTRESS</t>
        </is>
      </c>
      <c r="L105" s="245" t="inlineStr">
        <is>
          <t>SAMPLE</t>
        </is>
      </c>
      <c r="M105" s="248" t="inlineStr"/>
      <c r="N105" s="245" t="inlineStr">
        <is>
          <t>F.MSS.SAMP</t>
        </is>
      </c>
      <c r="O105" s="245" t="n"/>
      <c r="P105" s="245" t="n"/>
      <c r="Q105" s="250">
        <f>R105/H105</f>
        <v/>
      </c>
      <c r="R105" s="251" t="n">
        <v>46.14</v>
      </c>
      <c r="S105" s="249" t="n">
        <v>17937</v>
      </c>
      <c r="T105" s="252">
        <f>S105*R105</f>
        <v/>
      </c>
      <c r="U105" s="245" t="n"/>
      <c r="V105" s="245" t="n"/>
      <c r="W105" s="245" t="n"/>
      <c r="X105" s="245" t="n"/>
      <c r="Y105" s="245" t="n"/>
      <c r="Z105" s="245" t="n"/>
    </row>
    <row r="106" ht="16.5" customHeight="1" s="202">
      <c r="A106" s="245" t="n"/>
      <c r="B106" s="245" t="n"/>
      <c r="C106" s="245" t="n"/>
      <c r="D106" s="245" t="n"/>
      <c r="E106" s="245" t="n"/>
      <c r="F106" s="245" t="n"/>
      <c r="G106" s="245" t="n"/>
      <c r="H106" s="247" t="n">
        <v>1</v>
      </c>
      <c r="I106" s="245" t="inlineStr"/>
      <c r="J106" s="245" t="inlineStr"/>
      <c r="K106" s="245" t="inlineStr">
        <is>
          <t>HYBRID MATTRESS</t>
        </is>
      </c>
      <c r="L106" s="245" t="inlineStr">
        <is>
          <t>SAMPLE</t>
        </is>
      </c>
      <c r="M106" s="248" t="inlineStr"/>
      <c r="N106" s="245" t="inlineStr">
        <is>
          <t>F.MSH.SAMP</t>
        </is>
      </c>
      <c r="O106" s="245" t="n"/>
      <c r="P106" s="245" t="n"/>
      <c r="Q106" s="250">
        <f>R106/H106</f>
        <v/>
      </c>
      <c r="R106" s="251" t="n">
        <v>82.69</v>
      </c>
      <c r="S106" s="249" t="n">
        <v>17937</v>
      </c>
      <c r="T106" s="252">
        <f>S106*R106</f>
        <v/>
      </c>
      <c r="U106" s="245" t="n"/>
      <c r="V106" s="245" t="n"/>
      <c r="W106" s="245" t="n"/>
      <c r="X106" s="245" t="n"/>
      <c r="Y106" s="245" t="n"/>
      <c r="Z106" s="245" t="n"/>
    </row>
    <row r="107" ht="16.5" customHeight="1" s="202">
      <c r="A107" s="245" t="n"/>
      <c r="B107" s="245" t="n"/>
      <c r="C107" s="245" t="n"/>
      <c r="D107" s="245" t="n"/>
      <c r="E107" s="245" t="n"/>
      <c r="F107" s="245" t="n"/>
      <c r="G107" s="245" t="n"/>
      <c r="H107" s="247" t="n">
        <v>1</v>
      </c>
      <c r="I107" s="245" t="inlineStr"/>
      <c r="J107" s="245" t="inlineStr"/>
      <c r="K107" s="245" t="inlineStr">
        <is>
          <t>HYBRID MATTRESS</t>
        </is>
      </c>
      <c r="L107" s="245" t="inlineStr">
        <is>
          <t>SAMPLE</t>
        </is>
      </c>
      <c r="M107" s="248" t="inlineStr"/>
      <c r="N107" s="245" t="inlineStr">
        <is>
          <t>F.MSH.SAMP</t>
        </is>
      </c>
      <c r="O107" s="245" t="n"/>
      <c r="P107" s="245" t="n"/>
      <c r="Q107" s="250">
        <f>R107/H107</f>
        <v/>
      </c>
      <c r="R107" s="251" t="n">
        <v>97.59999999999999</v>
      </c>
      <c r="S107" s="249" t="n">
        <v>17937</v>
      </c>
      <c r="T107" s="252">
        <f>S107*R107</f>
        <v/>
      </c>
      <c r="U107" s="245" t="n"/>
      <c r="V107" s="245" t="n"/>
      <c r="W107" s="245" t="n"/>
      <c r="X107" s="245" t="n"/>
      <c r="Y107" s="245" t="n"/>
      <c r="Z107" s="245" t="n"/>
    </row>
    <row r="108" ht="16.5" customHeight="1" s="202">
      <c r="A108" s="245" t="n"/>
      <c r="B108" s="245" t="n"/>
      <c r="C108" s="245" t="n"/>
      <c r="D108" s="245" t="n"/>
      <c r="E108" s="245" t="n"/>
      <c r="F108" s="245" t="n"/>
      <c r="G108" s="245" t="n"/>
      <c r="H108" s="247" t="n">
        <v>1</v>
      </c>
      <c r="I108" s="245" t="inlineStr"/>
      <c r="J108" s="245" t="inlineStr"/>
      <c r="K108" s="245" t="inlineStr">
        <is>
          <t>BONNEL MATTRESS</t>
        </is>
      </c>
      <c r="L108" s="245" t="inlineStr">
        <is>
          <t>SAMPLE</t>
        </is>
      </c>
      <c r="M108" s="248" t="inlineStr"/>
      <c r="N108" s="245" t="inlineStr">
        <is>
          <t>F.MSS.SAMP</t>
        </is>
      </c>
      <c r="O108" s="245" t="n"/>
      <c r="P108" s="245" t="n"/>
      <c r="Q108" s="250">
        <f>R108/H108</f>
        <v/>
      </c>
      <c r="R108" s="251" t="n">
        <v>49.38</v>
      </c>
      <c r="S108" s="249" t="n">
        <v>17937</v>
      </c>
      <c r="T108" s="252">
        <f>S108*R108</f>
        <v/>
      </c>
      <c r="U108" s="245" t="n"/>
      <c r="V108" s="245" t="n"/>
      <c r="W108" s="245" t="n"/>
      <c r="X108" s="245" t="n"/>
      <c r="Y108" s="245" t="n"/>
      <c r="Z108" s="245" t="n"/>
    </row>
    <row r="109" ht="16.5" customHeight="1" s="202">
      <c r="A109" s="245" t="n"/>
      <c r="B109" s="245" t="n"/>
      <c r="C109" s="245" t="n"/>
      <c r="D109" s="245" t="n"/>
      <c r="E109" s="245" t="n"/>
      <c r="F109" s="245" t="n"/>
      <c r="G109" s="245" t="n"/>
      <c r="H109" s="247" t="n">
        <v>1</v>
      </c>
      <c r="I109" s="245" t="inlineStr"/>
      <c r="J109" s="245" t="inlineStr"/>
      <c r="K109" s="245" t="inlineStr">
        <is>
          <t>BONNEL MATTRESS</t>
        </is>
      </c>
      <c r="L109" s="245" t="inlineStr">
        <is>
          <t>SAMPLE</t>
        </is>
      </c>
      <c r="M109" s="248" t="inlineStr"/>
      <c r="N109" s="245" t="inlineStr">
        <is>
          <t>F.MSS.SAMP</t>
        </is>
      </c>
      <c r="O109" s="245" t="n"/>
      <c r="P109" s="245" t="n"/>
      <c r="Q109" s="250">
        <f>R109/H109</f>
        <v/>
      </c>
      <c r="R109" s="251" t="n">
        <v>42.26</v>
      </c>
      <c r="S109" s="249" t="n">
        <v>17937</v>
      </c>
      <c r="T109" s="252">
        <f>S109*R109</f>
        <v/>
      </c>
      <c r="U109" s="245" t="n"/>
      <c r="V109" s="245" t="n"/>
      <c r="W109" s="245" t="n"/>
      <c r="X109" s="245" t="n"/>
      <c r="Y109" s="245" t="n"/>
      <c r="Z109" s="245" t="n"/>
    </row>
    <row r="110" ht="16.5" customHeight="1" s="202">
      <c r="A110" s="245" t="n"/>
      <c r="B110" s="245" t="n"/>
      <c r="C110" s="245" t="n"/>
      <c r="D110" s="245" t="n"/>
      <c r="E110" s="245" t="n"/>
      <c r="F110" s="245" t="n"/>
      <c r="G110" s="245" t="n"/>
      <c r="H110" s="247" t="n">
        <v>1</v>
      </c>
      <c r="I110" s="245" t="inlineStr"/>
      <c r="J110" s="245" t="inlineStr"/>
      <c r="K110" s="245" t="inlineStr">
        <is>
          <t>FOAM MATTRESS</t>
        </is>
      </c>
      <c r="L110" s="245" t="inlineStr">
        <is>
          <t>SAMPLE</t>
        </is>
      </c>
      <c r="M110" s="248" t="inlineStr"/>
      <c r="N110" s="245" t="inlineStr">
        <is>
          <t>F.MFM.SAMP</t>
        </is>
      </c>
      <c r="O110" s="245" t="n"/>
      <c r="P110" s="245" t="n"/>
      <c r="Q110" s="250">
        <f>R110/H110</f>
        <v/>
      </c>
      <c r="R110" s="251" t="n">
        <v>39.25</v>
      </c>
      <c r="S110" s="249" t="n">
        <v>17937</v>
      </c>
      <c r="T110" s="252">
        <f>S110*R110</f>
        <v/>
      </c>
      <c r="U110" s="245" t="n"/>
      <c r="V110" s="245" t="n"/>
      <c r="W110" s="245" t="n"/>
      <c r="X110" s="245" t="n"/>
      <c r="Y110" s="245" t="n"/>
      <c r="Z110" s="245" t="n"/>
    </row>
    <row r="111" ht="16.5" customHeight="1" s="202">
      <c r="A111" s="245" t="n"/>
      <c r="B111" s="245" t="n"/>
      <c r="C111" s="245" t="n"/>
      <c r="D111" s="245" t="n"/>
      <c r="E111" s="245" t="n"/>
      <c r="F111" s="245" t="n"/>
      <c r="G111" s="245" t="n"/>
      <c r="H111" s="247" t="n">
        <v>1</v>
      </c>
      <c r="I111" s="245" t="inlineStr"/>
      <c r="J111" s="245" t="inlineStr"/>
      <c r="K111" s="245" t="inlineStr">
        <is>
          <t>FOAM MATTRESS</t>
        </is>
      </c>
      <c r="L111" s="245" t="inlineStr">
        <is>
          <t>SAMPLE</t>
        </is>
      </c>
      <c r="M111" s="248" t="inlineStr"/>
      <c r="N111" s="245" t="inlineStr">
        <is>
          <t>F.MFM.SAMP</t>
        </is>
      </c>
      <c r="O111" s="245" t="n"/>
      <c r="P111" s="245" t="n"/>
      <c r="Q111" s="250">
        <f>R111/H111</f>
        <v/>
      </c>
      <c r="R111" s="251" t="n">
        <v>46.46</v>
      </c>
      <c r="S111" s="249" t="n">
        <v>17937</v>
      </c>
      <c r="T111" s="252">
        <f>S111*R111</f>
        <v/>
      </c>
      <c r="U111" s="245" t="n"/>
      <c r="V111" s="245" t="n"/>
      <c r="W111" s="245" t="n"/>
      <c r="X111" s="245" t="n"/>
      <c r="Y111" s="245" t="n"/>
      <c r="Z111" s="245" t="n"/>
    </row>
    <row r="112" ht="16.5" customHeight="1" s="202">
      <c r="A112" s="245" t="n"/>
      <c r="B112" s="245" t="n"/>
      <c r="C112" s="245" t="n"/>
      <c r="D112" s="245" t="n"/>
      <c r="E112" s="245" t="n"/>
      <c r="F112" s="245" t="n"/>
      <c r="G112" s="245" t="n"/>
      <c r="H112" s="247" t="n">
        <v>1</v>
      </c>
      <c r="I112" s="245" t="inlineStr"/>
      <c r="J112" s="245" t="inlineStr"/>
      <c r="K112" s="245" t="inlineStr">
        <is>
          <t>FOAM MATTRESS</t>
        </is>
      </c>
      <c r="L112" s="245" t="inlineStr">
        <is>
          <t>SAMPLE</t>
        </is>
      </c>
      <c r="M112" s="248" t="inlineStr"/>
      <c r="N112" s="245" t="inlineStr">
        <is>
          <t>F.MFM.SAMP</t>
        </is>
      </c>
      <c r="O112" s="245" t="n"/>
      <c r="P112" s="245" t="n"/>
      <c r="Q112" s="250">
        <f>R112/H112</f>
        <v/>
      </c>
      <c r="R112" s="251" t="n">
        <v>29.17</v>
      </c>
      <c r="S112" s="249" t="n">
        <v>17937</v>
      </c>
      <c r="T112" s="252">
        <f>S112*R112</f>
        <v/>
      </c>
      <c r="U112" s="245" t="n"/>
      <c r="V112" s="245" t="n"/>
      <c r="W112" s="245" t="n"/>
      <c r="X112" s="245" t="n"/>
      <c r="Y112" s="245" t="n"/>
      <c r="Z112" s="245" t="n"/>
    </row>
    <row r="113" ht="17.1" customHeight="1" s="202">
      <c r="A113" s="254" t="n"/>
      <c r="B113" s="254" t="n"/>
      <c r="C113" s="254" t="n"/>
      <c r="D113" s="254" t="n"/>
      <c r="E113" s="254" t="n"/>
      <c r="F113" s="254" t="n"/>
      <c r="G113" s="254" t="n"/>
      <c r="H113" s="255">
        <f>SUM(H12:H112)</f>
        <v/>
      </c>
      <c r="I113" s="254">
        <f>COUNTA(I12:I112)</f>
        <v/>
      </c>
      <c r="J113" s="254" t="n"/>
      <c r="K113" s="254" t="n"/>
      <c r="L113" s="254" t="n"/>
      <c r="M113" s="254" t="n"/>
      <c r="N113" s="254" t="n"/>
      <c r="O113" s="256">
        <f>SUM(O12:O112)</f>
        <v/>
      </c>
      <c r="P113" s="256">
        <f>SUM(P12:P112)</f>
        <v/>
      </c>
      <c r="Q113" s="254" t="n"/>
      <c r="R113" s="257">
        <f>SUM(R12:R112)</f>
        <v/>
      </c>
      <c r="S113" s="254" t="n"/>
      <c r="T113" s="258">
        <f>SUM(T12:T112)</f>
        <v/>
      </c>
      <c r="U113" s="254" t="n"/>
      <c r="V113" s="254" t="n"/>
      <c r="W113" s="254" t="n"/>
      <c r="X113" s="254" t="n"/>
      <c r="Y113" s="254" t="n"/>
      <c r="Z113" s="254" t="n"/>
    </row>
    <row r="114" ht="16.5" customHeight="1" s="202">
      <c r="A114" s="245" t="n">
        <v>2</v>
      </c>
      <c r="B114" s="245" t="inlineStr">
        <is>
          <t>000030ZIK48020260804000562</t>
        </is>
      </c>
      <c r="C114" s="245" t="n">
        <v>486503</v>
      </c>
      <c r="D114" s="245" t="n">
        <v>486451</v>
      </c>
      <c r="E114" s="246" t="n">
        <v>46239</v>
      </c>
      <c r="F114" s="245" t="inlineStr">
        <is>
          <t>ID2608-8028</t>
        </is>
      </c>
      <c r="G114" s="246" t="n">
        <v>46238</v>
      </c>
      <c r="H114" s="247" t="n">
        <v>200</v>
      </c>
      <c r="I114" s="245" t="inlineStr">
        <is>
          <t>UACU5921772</t>
        </is>
      </c>
      <c r="J114" s="245" t="inlineStr">
        <is>
          <t>40FT</t>
        </is>
      </c>
      <c r="K114" s="245" t="inlineStr">
        <is>
          <t>8IN FIRM GEL MF MATTRESS TW</t>
        </is>
      </c>
      <c r="L114" s="245" t="inlineStr">
        <is>
          <t>WA-MFGN5CZI-08T</t>
        </is>
      </c>
      <c r="M114" s="248" t="inlineStr">
        <is>
          <t>WFIN00524</t>
        </is>
      </c>
      <c r="N114" s="245" t="inlineStr">
        <is>
          <t>F.MFG.08T.009.WA</t>
        </is>
      </c>
      <c r="O114" s="249" t="n">
        <v>12266.55</v>
      </c>
      <c r="P114" s="249" t="n">
        <v>10630.97</v>
      </c>
      <c r="Q114" s="250">
        <f>R114/H114</f>
        <v/>
      </c>
      <c r="R114" s="251" t="n">
        <v>7784</v>
      </c>
      <c r="S114" s="249" t="n">
        <v>18062</v>
      </c>
      <c r="T114" s="252">
        <f>S114*R114</f>
        <v/>
      </c>
      <c r="U114" s="245" t="inlineStr">
        <is>
          <t>040300/KPPBC</t>
        </is>
      </c>
      <c r="V114" s="245" t="inlineStr">
        <is>
          <t>TG. PRIOK</t>
        </is>
      </c>
      <c r="W114" s="245" t="inlineStr">
        <is>
          <t>LOS ANGELES, US</t>
        </is>
      </c>
      <c r="X114" s="245" t="inlineStr">
        <is>
          <t>ZINUS, INC.</t>
        </is>
      </c>
      <c r="Y114" s="245" t="inlineStr">
        <is>
          <t>HLCUJK1260741210</t>
        </is>
      </c>
      <c r="Z114" s="246" t="n">
        <v>46239</v>
      </c>
    </row>
    <row r="115" ht="16.5" customHeight="1" s="202">
      <c r="A115" s="245" t="n"/>
      <c r="B115" s="245" t="n"/>
      <c r="C115" s="245" t="n"/>
      <c r="D115" s="245" t="n"/>
      <c r="E115" s="245" t="n"/>
      <c r="F115" s="245" t="n"/>
      <c r="G115" s="245" t="n"/>
      <c r="H115" s="247" t="n">
        <v>105</v>
      </c>
      <c r="I115" s="245" t="inlineStr"/>
      <c r="J115" s="245" t="inlineStr"/>
      <c r="K115" s="245" t="inlineStr">
        <is>
          <t>10IN FIRM GEL MF MATTRESS TW</t>
        </is>
      </c>
      <c r="L115" s="245" t="inlineStr">
        <is>
          <t>WA-MFGN5CZI-10T</t>
        </is>
      </c>
      <c r="M115" s="248" t="inlineStr">
        <is>
          <t>WFIN00524</t>
        </is>
      </c>
      <c r="N115" s="245" t="inlineStr">
        <is>
          <t>F.MFG.10T.009.WA</t>
        </is>
      </c>
      <c r="O115" s="245" t="n"/>
      <c r="P115" s="245" t="n"/>
      <c r="Q115" s="250">
        <f>R115/H115</f>
        <v/>
      </c>
      <c r="R115" s="251" t="n">
        <v>4830</v>
      </c>
      <c r="S115" s="249" t="n">
        <v>18062</v>
      </c>
      <c r="T115" s="252">
        <f>S115*R115</f>
        <v/>
      </c>
      <c r="U115" s="245" t="n"/>
      <c r="V115" s="245" t="n"/>
      <c r="W115" s="245" t="inlineStr">
        <is>
          <t>ETD : 11-08-2026</t>
        </is>
      </c>
      <c r="X115" s="245" t="n"/>
      <c r="Y115" s="245" t="n"/>
      <c r="Z115" s="245" t="n"/>
    </row>
    <row r="116" ht="16.5" customHeight="1" s="202">
      <c r="A116" s="245" t="n"/>
      <c r="B116" s="245" t="n"/>
      <c r="C116" s="245" t="n"/>
      <c r="D116" s="245" t="n"/>
      <c r="E116" s="245" t="n"/>
      <c r="F116" s="245" t="n"/>
      <c r="G116" s="245" t="n"/>
      <c r="H116" s="247" t="n">
        <v>186</v>
      </c>
      <c r="I116" s="245" t="inlineStr"/>
      <c r="J116" s="245" t="inlineStr"/>
      <c r="K116" s="245" t="inlineStr">
        <is>
          <t>8IN GEL FOAM MATTRESS TW</t>
        </is>
      </c>
      <c r="L116" s="245" t="inlineStr">
        <is>
          <t>WF-GIFGM-08T</t>
        </is>
      </c>
      <c r="M116" s="248" t="inlineStr">
        <is>
          <t>WFIN00524</t>
        </is>
      </c>
      <c r="N116" s="245" t="inlineStr">
        <is>
          <t>F.MFG.08T.006.WA</t>
        </is>
      </c>
      <c r="O116" s="245" t="n"/>
      <c r="P116" s="245" t="n"/>
      <c r="Q116" s="250">
        <f>R116/H116</f>
        <v/>
      </c>
      <c r="R116" s="251" t="n">
        <v>6915.48</v>
      </c>
      <c r="S116" s="249" t="n">
        <v>18062</v>
      </c>
      <c r="T116" s="252">
        <f>S116*R116</f>
        <v/>
      </c>
      <c r="U116" s="245" t="n"/>
      <c r="V116" s="245" t="n"/>
      <c r="W116" s="245" t="n"/>
      <c r="X116" s="245" t="n"/>
      <c r="Y116" s="245" t="n"/>
      <c r="Z116" s="245" t="n"/>
    </row>
    <row r="117" ht="16.5" customHeight="1" s="202">
      <c r="A117" s="245" t="n"/>
      <c r="B117" s="245" t="n"/>
      <c r="C117" s="245" t="n"/>
      <c r="D117" s="245" t="n"/>
      <c r="E117" s="245" t="n"/>
      <c r="F117" s="245" t="n"/>
      <c r="G117" s="245" t="n"/>
      <c r="H117" s="247" t="n">
        <v>105</v>
      </c>
      <c r="I117" s="245" t="inlineStr"/>
      <c r="J117" s="245" t="inlineStr"/>
      <c r="K117" s="245" t="inlineStr">
        <is>
          <t>12IN PLUSH GEL MF MATTRESS FL</t>
        </is>
      </c>
      <c r="L117" s="245" t="inlineStr">
        <is>
          <t>WF-MFGPGM-12F</t>
        </is>
      </c>
      <c r="M117" s="248" t="inlineStr">
        <is>
          <t>WFIN00524</t>
        </is>
      </c>
      <c r="N117" s="245" t="inlineStr">
        <is>
          <t>F.MFG.12F.008.WA</t>
        </is>
      </c>
      <c r="O117" s="245" t="n"/>
      <c r="P117" s="245" t="n"/>
      <c r="Q117" s="250">
        <f>R117/H117</f>
        <v/>
      </c>
      <c r="R117" s="251" t="n">
        <v>7826.7</v>
      </c>
      <c r="S117" s="249" t="n">
        <v>18062</v>
      </c>
      <c r="T117" s="252">
        <f>S117*R117</f>
        <v/>
      </c>
      <c r="U117" s="245" t="n"/>
      <c r="V117" s="245" t="n"/>
      <c r="W117" s="245" t="n"/>
      <c r="X117" s="245" t="n"/>
      <c r="Y117" s="245" t="n"/>
      <c r="Z117" s="245" t="n"/>
    </row>
    <row r="118" ht="16.5" customHeight="1" s="202">
      <c r="A118" s="245" t="n"/>
      <c r="B118" s="245" t="n"/>
      <c r="C118" s="245" t="n"/>
      <c r="D118" s="245" t="n"/>
      <c r="E118" s="245" t="n"/>
      <c r="F118" s="245" t="n"/>
      <c r="G118" s="245" t="n"/>
      <c r="H118" s="247" t="n">
        <v>60</v>
      </c>
      <c r="I118" s="245" t="inlineStr"/>
      <c r="J118" s="245" t="inlineStr"/>
      <c r="K118" s="245" t="inlineStr">
        <is>
          <t>12IN PLUSH GEL MF MATTRESS EK</t>
        </is>
      </c>
      <c r="L118" s="245" t="inlineStr">
        <is>
          <t>WF-MFGPGM-12K</t>
        </is>
      </c>
      <c r="M118" s="248" t="inlineStr">
        <is>
          <t>WFIN00524</t>
        </is>
      </c>
      <c r="N118" s="245" t="inlineStr">
        <is>
          <t>F.MFG.12K.008.WA</t>
        </is>
      </c>
      <c r="O118" s="245" t="n"/>
      <c r="P118" s="245" t="n"/>
      <c r="Q118" s="250">
        <f>R118/H118</f>
        <v/>
      </c>
      <c r="R118" s="251" t="n">
        <v>6332.4</v>
      </c>
      <c r="S118" s="249" t="n">
        <v>18062</v>
      </c>
      <c r="T118" s="252">
        <f>S118*R118</f>
        <v/>
      </c>
      <c r="U118" s="245" t="n"/>
      <c r="V118" s="245" t="n"/>
      <c r="W118" s="245" t="n"/>
      <c r="X118" s="245" t="n"/>
      <c r="Y118" s="245" t="n"/>
      <c r="Z118" s="245" t="n"/>
    </row>
    <row r="119" ht="17.1" customHeight="1" s="202">
      <c r="A119" s="254" t="n"/>
      <c r="B119" s="254" t="n"/>
      <c r="C119" s="254" t="n"/>
      <c r="D119" s="254" t="n"/>
      <c r="E119" s="254" t="n"/>
      <c r="F119" s="254" t="n"/>
      <c r="G119" s="254" t="n"/>
      <c r="H119" s="255">
        <f>SUM(H114:H118)</f>
        <v/>
      </c>
      <c r="I119" s="254">
        <f>COUNTA(I114:I118)</f>
        <v/>
      </c>
      <c r="J119" s="254" t="n"/>
      <c r="K119" s="254" t="n"/>
      <c r="L119" s="254" t="n"/>
      <c r="M119" s="254" t="n"/>
      <c r="N119" s="254" t="n"/>
      <c r="O119" s="256">
        <f>SUM(O114:O118)</f>
        <v/>
      </c>
      <c r="P119" s="256">
        <f>SUM(P114:P118)</f>
        <v/>
      </c>
      <c r="Q119" s="254" t="n"/>
      <c r="R119" s="257">
        <f>SUM(R114:R118)</f>
        <v/>
      </c>
      <c r="S119" s="254" t="n"/>
      <c r="T119" s="258">
        <f>SUM(T114:T118)</f>
        <v/>
      </c>
      <c r="U119" s="254" t="n"/>
      <c r="V119" s="254" t="n"/>
      <c r="W119" s="254" t="n"/>
      <c r="X119" s="254" t="n"/>
      <c r="Y119" s="254" t="n"/>
      <c r="Z119" s="254" t="n"/>
    </row>
    <row r="120" ht="8.1" customHeight="1" s="202"/>
    <row r="121" ht="20.1" customHeight="1" s="202">
      <c r="A121" s="259">
        <f>COUNT(A12:A120)</f>
        <v/>
      </c>
      <c r="B121" s="260" t="n"/>
      <c r="C121" s="260" t="n"/>
      <c r="D121" s="260" t="n"/>
      <c r="E121" s="260" t="n"/>
      <c r="F121" s="260" t="n"/>
      <c r="G121" s="260" t="n"/>
      <c r="H121" s="261">
        <f>SUM(H113,H119)</f>
        <v/>
      </c>
      <c r="I121" s="261">
        <f>SUM(I113,I119)</f>
        <v/>
      </c>
      <c r="J121" s="260" t="n"/>
      <c r="K121" s="260" t="n"/>
      <c r="L121" s="260" t="n"/>
      <c r="M121" s="260" t="n"/>
      <c r="N121" s="260" t="n"/>
      <c r="O121" s="262">
        <f>SUM(O113,O119)</f>
        <v/>
      </c>
      <c r="P121" s="262">
        <f>SUM(P113,P119)</f>
        <v/>
      </c>
      <c r="Q121" s="260" t="n"/>
      <c r="R121" s="263">
        <f>SUM(R113,R119)</f>
        <v/>
      </c>
      <c r="S121" s="260" t="n"/>
      <c r="T121" s="264">
        <f>SUM(T113,T119)</f>
        <v/>
      </c>
      <c r="U121" s="260" t="n"/>
      <c r="V121" s="260" t="n"/>
      <c r="W121" s="260" t="n"/>
      <c r="X121" s="260" t="n"/>
      <c r="Y121" s="260" t="n"/>
      <c r="Z121" s="260" t="n"/>
    </row>
    <row r="122" ht="17.1" customHeight="1" s="202"/>
    <row r="123" ht="17.1" customHeight="1" s="202">
      <c r="B123" s="265" t="inlineStr">
        <is>
          <t>Total Qty Export :</t>
        </is>
      </c>
      <c r="C123" s="266">
        <f>H121-C124</f>
        <v/>
      </c>
    </row>
    <row r="124" ht="17.1" customHeight="1" s="202">
      <c r="B124" s="267" t="inlineStr">
        <is>
          <t>Total Qty Export Sample :</t>
        </is>
      </c>
      <c r="C124" s="268" t="inlineStr"/>
    </row>
    <row r="126" ht="17.1" customHeight="1" s="202">
      <c r="A126" s="269" t="n"/>
      <c r="B126" s="270" t="n"/>
      <c r="C126" s="270" t="n"/>
      <c r="D126" s="271" t="n"/>
      <c r="U126" s="272" t="inlineStr">
        <is>
          <t>Tangerang, 19 August 2026</t>
        </is>
      </c>
    </row>
    <row r="127" ht="17.1" customHeight="1" s="202">
      <c r="A127" s="273" t="inlineStr">
        <is>
          <t>Total Document</t>
        </is>
      </c>
      <c r="C127" s="274">
        <f>A121</f>
        <v/>
      </c>
      <c r="D127" s="275" t="n"/>
      <c r="U127" s="272" t="inlineStr">
        <is>
          <t>Kasubsi Hanggar Pabean dan Cukai</t>
        </is>
      </c>
    </row>
    <row r="128" ht="17.1" customHeight="1" s="202">
      <c r="A128" s="273" t="inlineStr">
        <is>
          <t>Gross Weight</t>
        </is>
      </c>
      <c r="C128" s="276">
        <f>O121</f>
        <v/>
      </c>
      <c r="D128" s="275" t="n"/>
    </row>
    <row r="129" ht="17.1" customHeight="1" s="202">
      <c r="A129" s="273" t="inlineStr">
        <is>
          <t>Nett Weight</t>
        </is>
      </c>
      <c r="C129" s="276">
        <f>P121</f>
        <v/>
      </c>
      <c r="D129" s="275" t="n"/>
    </row>
    <row r="130" ht="17.1" customHeight="1" s="202">
      <c r="A130" s="273" t="inlineStr">
        <is>
          <t>Amount</t>
        </is>
      </c>
      <c r="C130" s="277">
        <f>R121</f>
        <v/>
      </c>
      <c r="D130" s="275" t="n"/>
    </row>
    <row r="131" ht="17.1" customHeight="1" s="202">
      <c r="A131" s="273" t="inlineStr">
        <is>
          <t>Jumlah Container</t>
        </is>
      </c>
      <c r="C131" s="278">
        <f>I121-C132</f>
        <v/>
      </c>
      <c r="D131" s="275" t="n"/>
    </row>
    <row r="132" ht="17.1" customHeight="1" s="202">
      <c r="A132" s="279" t="n"/>
      <c r="C132" s="280" t="inlineStr"/>
      <c r="D132" s="275" t="n"/>
    </row>
    <row r="133" ht="17.1" customHeight="1" s="202">
      <c r="A133" s="279" t="n"/>
      <c r="C133" s="281">
        <f>C131*2+C132</f>
        <v/>
      </c>
      <c r="D133" s="275" t="n"/>
    </row>
    <row r="134" ht="16.2" customHeight="1" s="202">
      <c r="A134" s="282" t="n"/>
      <c r="B134" s="283" t="n"/>
      <c r="C134" s="283" t="n"/>
      <c r="D134" s="284" t="n"/>
    </row>
  </sheetData>
  <autoFilter ref="A10:Z11">
    <filterColumn colId="2" hiddenButton="0" showButton="0"/>
    <filterColumn colId="8" hiddenButton="0" showButton="0"/>
  </autoFilter>
  <mergeCells count="26">
    <mergeCell ref="E10:E11"/>
    <mergeCell ref="C128:D128"/>
    <mergeCell ref="G10:G11"/>
    <mergeCell ref="M10:M11"/>
    <mergeCell ref="Y10:Y11"/>
    <mergeCell ref="Q10:Q11"/>
    <mergeCell ref="C10:D10"/>
    <mergeCell ref="I10:J11"/>
    <mergeCell ref="A6:Z6"/>
    <mergeCell ref="C133:D133"/>
    <mergeCell ref="C127:D127"/>
    <mergeCell ref="B10:B11"/>
    <mergeCell ref="A7:Z7"/>
    <mergeCell ref="C129:D129"/>
    <mergeCell ref="L10:L11"/>
    <mergeCell ref="X10:X11"/>
    <mergeCell ref="N10:N11"/>
    <mergeCell ref="Z10:Z11"/>
    <mergeCell ref="C130:D130"/>
    <mergeCell ref="C132:D132"/>
    <mergeCell ref="A10:A11"/>
    <mergeCell ref="K10:K11"/>
    <mergeCell ref="A8:Z8"/>
    <mergeCell ref="C131:D131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2026-08-19T03:42:46Z</dcterms:modified>
  <cp:lastModifiedBy>Chiswa Dian Hermansyah(ZINUS ZDI)</cp:lastModifiedBy>
</cp:coreProperties>
</file>