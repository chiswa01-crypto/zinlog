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SEPTEMBER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000030ZIK48020260929000868</t>
        </is>
      </c>
      <c r="C12" s="245" t="n">
        <v>619576</v>
      </c>
      <c r="D12" s="245" t="n">
        <v>619512</v>
      </c>
      <c r="E12" s="246" t="n">
        <v>46295</v>
      </c>
      <c r="F12" s="245" t="inlineStr">
        <is>
          <t>ID2609-8620</t>
        </is>
      </c>
      <c r="G12" s="246" t="n">
        <v>46293</v>
      </c>
      <c r="H12" s="247" t="n">
        <v>90</v>
      </c>
      <c r="I12" s="245" t="inlineStr">
        <is>
          <t>MSMU8801764</t>
        </is>
      </c>
      <c r="J12" s="245" t="inlineStr">
        <is>
          <t>40FT</t>
        </is>
      </c>
      <c r="K12" s="245" t="inlineStr">
        <is>
          <t>12IN GREEN TEA MF MATTRESS EK</t>
        </is>
      </c>
      <c r="L12" s="245" t="inlineStr">
        <is>
          <t>ZU-MFMA1ZZI-12K</t>
        </is>
      </c>
      <c r="M12" s="248" t="inlineStr">
        <is>
          <t>1CP4XEBI</t>
        </is>
      </c>
      <c r="N12" s="245" t="inlineStr">
        <is>
          <t>F.MFM.12K.006.AD</t>
        </is>
      </c>
      <c r="O12" s="249" t="n">
        <v>64223.67</v>
      </c>
      <c r="P12" s="249" t="n">
        <v>57762.29</v>
      </c>
      <c r="Q12" s="250">
        <f>R12/H12</f>
        <v/>
      </c>
      <c r="R12" s="251" t="n">
        <v>9177.299999999999</v>
      </c>
      <c r="S12" s="249" t="n">
        <v>17863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LONG BEACH, US</t>
        </is>
      </c>
      <c r="X12" s="245" t="inlineStr">
        <is>
          <t>AMAZON.COM SERVICES LLC</t>
        </is>
      </c>
      <c r="Y12" s="245" t="inlineStr">
        <is>
          <t>MEDUKU759073</t>
        </is>
      </c>
      <c r="Z12" s="246" t="n">
        <v>46295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7" t="n">
        <v>90</v>
      </c>
      <c r="I13" s="245" t="inlineStr">
        <is>
          <t>TCNU1383764</t>
        </is>
      </c>
      <c r="J13" s="245" t="inlineStr">
        <is>
          <t>40FT</t>
        </is>
      </c>
      <c r="K13" s="245" t="inlineStr">
        <is>
          <t>10IN GREEN TEA MF MATTRESS FL</t>
        </is>
      </c>
      <c r="L13" s="245" t="inlineStr">
        <is>
          <t>ZU-MFMA1ZZI-10F</t>
        </is>
      </c>
      <c r="M13" s="248" t="inlineStr">
        <is>
          <t>1IK6VICE</t>
        </is>
      </c>
      <c r="N13" s="245" t="inlineStr">
        <is>
          <t>F.MFM.10F.007.AD</t>
        </is>
      </c>
      <c r="O13" s="245" t="n"/>
      <c r="P13" s="245" t="n"/>
      <c r="Q13" s="250">
        <f>R13/H13</f>
        <v/>
      </c>
      <c r="R13" s="251" t="n">
        <v>5585.4</v>
      </c>
      <c r="S13" s="249" t="n">
        <v>17863</v>
      </c>
      <c r="T13" s="252">
        <f>S13*R13</f>
        <v/>
      </c>
      <c r="U13" s="245" t="n"/>
      <c r="V13" s="245" t="n"/>
      <c r="W13" s="245" t="inlineStr">
        <is>
          <t>ETD : 04-10-2026</t>
        </is>
      </c>
      <c r="X13" s="245" t="n"/>
      <c r="Y13" s="245" t="n"/>
      <c r="Z13" s="245" t="n"/>
    </row>
    <row r="14" ht="16.5" customFormat="1" customHeight="1" s="244">
      <c r="A14" s="245" t="n"/>
      <c r="B14" s="245" t="n"/>
      <c r="C14" s="245" t="n"/>
      <c r="D14" s="245" t="n"/>
      <c r="E14" s="245" t="n"/>
      <c r="F14" s="245" t="n"/>
      <c r="G14" s="245" t="n"/>
      <c r="H14" s="247" t="n">
        <v>384</v>
      </c>
      <c r="I14" s="245" t="inlineStr">
        <is>
          <t>TLLU8575477</t>
        </is>
      </c>
      <c r="J14" s="245" t="inlineStr">
        <is>
          <t>40FT</t>
        </is>
      </c>
      <c r="K14" s="245" t="inlineStr">
        <is>
          <t>10IN GREEN TEA MF MATTRESS QN</t>
        </is>
      </c>
      <c r="L14" s="245" t="inlineStr">
        <is>
          <t>ZU-MFMA1ZZI-10Q</t>
        </is>
      </c>
      <c r="M14" s="248" t="inlineStr">
        <is>
          <t>1IK6VICE</t>
        </is>
      </c>
      <c r="N14" s="245" t="inlineStr">
        <is>
          <t>F.MFM.10Q.007.AD</t>
        </is>
      </c>
      <c r="O14" s="245" t="n"/>
      <c r="P14" s="245" t="n"/>
      <c r="Q14" s="250">
        <f>R14/H14</f>
        <v/>
      </c>
      <c r="R14" s="251" t="n">
        <v>25297.92</v>
      </c>
      <c r="S14" s="249" t="n">
        <v>17863</v>
      </c>
      <c r="T14" s="252">
        <f>S14*R14</f>
        <v/>
      </c>
      <c r="U14" s="245" t="n"/>
      <c r="V14" s="245" t="n"/>
      <c r="W14" s="245" t="n"/>
      <c r="X14" s="245" t="n"/>
      <c r="Y14" s="245" t="n"/>
      <c r="Z14" s="245" t="n"/>
    </row>
    <row r="15" ht="16.5" customFormat="1" customHeight="1" s="244">
      <c r="A15" s="245" t="n"/>
      <c r="B15" s="245" t="n"/>
      <c r="C15" s="245" t="n"/>
      <c r="D15" s="245" t="n"/>
      <c r="E15" s="245" t="n"/>
      <c r="F15" s="245" t="n"/>
      <c r="G15" s="245" t="n"/>
      <c r="H15" s="247" t="n">
        <v>1</v>
      </c>
      <c r="I15" s="245" t="inlineStr">
        <is>
          <t>MSMU8788600</t>
        </is>
      </c>
      <c r="J15" s="245" t="inlineStr">
        <is>
          <t>40FT</t>
        </is>
      </c>
      <c r="K15" s="245" t="inlineStr">
        <is>
          <t>12IN GREEN TEA MF MATTRESS TW</t>
        </is>
      </c>
      <c r="L15" s="245" t="inlineStr">
        <is>
          <t>ZU-MFMA1ZZI-12T</t>
        </is>
      </c>
      <c r="M15" s="248" t="inlineStr">
        <is>
          <t>1IK6VICE</t>
        </is>
      </c>
      <c r="N15" s="245" t="inlineStr">
        <is>
          <t>F.MFM.12T.006.AD</t>
        </is>
      </c>
      <c r="O15" s="245" t="n"/>
      <c r="P15" s="245" t="n"/>
      <c r="Q15" s="250">
        <f>R15/H15</f>
        <v/>
      </c>
      <c r="R15" s="251" t="n">
        <v>63.2</v>
      </c>
      <c r="S15" s="249" t="n">
        <v>17863</v>
      </c>
      <c r="T15" s="252">
        <f>S15*R15</f>
        <v/>
      </c>
      <c r="U15" s="245" t="n"/>
      <c r="V15" s="245" t="n"/>
      <c r="W15" s="245" t="n"/>
      <c r="X15" s="245" t="n"/>
      <c r="Y15" s="245" t="n"/>
      <c r="Z15" s="245" t="n"/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7" t="n">
        <v>72</v>
      </c>
      <c r="I16" s="245" t="inlineStr">
        <is>
          <t>CAIU4401322</t>
        </is>
      </c>
      <c r="J16" s="245" t="inlineStr">
        <is>
          <t>40FT</t>
        </is>
      </c>
      <c r="K16" s="245" t="inlineStr">
        <is>
          <t>8IN GREEN TEA MF MATTRESS FL</t>
        </is>
      </c>
      <c r="L16" s="245" t="inlineStr">
        <is>
          <t>ZU-MFMA1ZZI-08F</t>
        </is>
      </c>
      <c r="M16" s="248" t="inlineStr">
        <is>
          <t>1WW24IGR</t>
        </is>
      </c>
      <c r="N16" s="245" t="inlineStr">
        <is>
          <t>F.MFM.08F.008.AD</t>
        </is>
      </c>
      <c r="O16" s="245" t="n"/>
      <c r="P16" s="245" t="n"/>
      <c r="Q16" s="250">
        <f>R16/H16</f>
        <v/>
      </c>
      <c r="R16" s="251" t="n">
        <v>4031.28</v>
      </c>
      <c r="S16" s="249" t="n">
        <v>17863</v>
      </c>
      <c r="T16" s="252">
        <f>S16*R16</f>
        <v/>
      </c>
      <c r="U16" s="245" t="n"/>
      <c r="V16" s="245" t="n"/>
      <c r="W16" s="245" t="n"/>
      <c r="X16" s="245" t="n"/>
      <c r="Y16" s="245" t="n"/>
      <c r="Z16" s="245" t="n"/>
    </row>
    <row r="17" ht="16.5" customFormat="1" customHeight="1" s="253">
      <c r="A17" s="245" t="n"/>
      <c r="B17" s="245" t="n"/>
      <c r="C17" s="245" t="n"/>
      <c r="D17" s="245" t="n"/>
      <c r="E17" s="245" t="n"/>
      <c r="F17" s="245" t="n"/>
      <c r="G17" s="245" t="n"/>
      <c r="H17" s="247" t="n">
        <v>435</v>
      </c>
      <c r="I17" s="245" t="inlineStr"/>
      <c r="J17" s="245" t="inlineStr"/>
      <c r="K17" s="245" t="inlineStr">
        <is>
          <t>8IN GREEN TEA MF MATTRESS TW</t>
        </is>
      </c>
      <c r="L17" s="245" t="inlineStr">
        <is>
          <t>ZU-MFMA1ZZI-08T</t>
        </is>
      </c>
      <c r="M17" s="248" t="inlineStr">
        <is>
          <t>1WW24IGR</t>
        </is>
      </c>
      <c r="N17" s="245" t="inlineStr">
        <is>
          <t>F.MFM.08T.008.AD</t>
        </is>
      </c>
      <c r="O17" s="245" t="n"/>
      <c r="P17" s="245" t="n"/>
      <c r="Q17" s="250">
        <f>R17/H17</f>
        <v/>
      </c>
      <c r="R17" s="251" t="n">
        <v>15629.55</v>
      </c>
      <c r="S17" s="249" t="n">
        <v>17863</v>
      </c>
      <c r="T17" s="252">
        <f>S17*R17</f>
        <v/>
      </c>
      <c r="U17" s="245" t="n"/>
      <c r="V17" s="245" t="n"/>
      <c r="W17" s="245" t="n"/>
      <c r="X17" s="245" t="n"/>
      <c r="Y17" s="245" t="n"/>
      <c r="Z17" s="245" t="n"/>
    </row>
    <row r="18" ht="16.5" customHeight="1" s="202" thickBot="1">
      <c r="A18" s="245" t="n"/>
      <c r="B18" s="245" t="n"/>
      <c r="C18" s="245" t="n"/>
      <c r="D18" s="245" t="n"/>
      <c r="E18" s="245" t="n"/>
      <c r="F18" s="245" t="n"/>
      <c r="G18" s="245" t="n"/>
      <c r="H18" s="247" t="n">
        <v>58</v>
      </c>
      <c r="I18" s="245" t="inlineStr"/>
      <c r="J18" s="245" t="inlineStr"/>
      <c r="K18" s="245" t="inlineStr">
        <is>
          <t>10IN GREEN TEA MF MATTRESS TW</t>
        </is>
      </c>
      <c r="L18" s="245" t="inlineStr">
        <is>
          <t>ZU-MFMA1ZZI-10T</t>
        </is>
      </c>
      <c r="M18" s="248" t="inlineStr">
        <is>
          <t>1WW24IGR</t>
        </is>
      </c>
      <c r="N18" s="245" t="inlineStr">
        <is>
          <t>F.MFM.10T.007.AD</t>
        </is>
      </c>
      <c r="O18" s="245" t="n"/>
      <c r="P18" s="245" t="n"/>
      <c r="Q18" s="250">
        <f>R18/H18</f>
        <v/>
      </c>
      <c r="R18" s="251" t="n">
        <v>3203.92</v>
      </c>
      <c r="S18" s="249" t="n">
        <v>17863</v>
      </c>
      <c r="T18" s="252">
        <f>S18*R18</f>
        <v/>
      </c>
      <c r="U18" s="245" t="n"/>
      <c r="V18" s="245" t="n"/>
      <c r="W18" s="245" t="n"/>
      <c r="X18" s="245" t="n"/>
      <c r="Y18" s="245" t="n"/>
      <c r="Z18" s="245" t="n"/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49</v>
      </c>
      <c r="I19" s="245" t="inlineStr"/>
      <c r="J19" s="245" t="inlineStr"/>
      <c r="K19" s="245" t="inlineStr">
        <is>
          <t>12IN GREEN TEA MF MATTRESS EK</t>
        </is>
      </c>
      <c r="L19" s="245" t="inlineStr">
        <is>
          <t>ZU-MFMA1ZZI-12K</t>
        </is>
      </c>
      <c r="M19" s="248" t="inlineStr">
        <is>
          <t>29S3WJ7Q</t>
        </is>
      </c>
      <c r="N19" s="245" t="inlineStr">
        <is>
          <t>F.MFM.12K.006.AD</t>
        </is>
      </c>
      <c r="O19" s="245" t="n"/>
      <c r="P19" s="245" t="n"/>
      <c r="Q19" s="250">
        <f>R19/H19</f>
        <v/>
      </c>
      <c r="R19" s="251" t="n">
        <v>4996.53</v>
      </c>
      <c r="S19" s="249" t="n">
        <v>17863</v>
      </c>
      <c r="T19" s="252">
        <f>S19*R19</f>
        <v/>
      </c>
      <c r="U19" s="245" t="n"/>
      <c r="V19" s="245" t="n"/>
      <c r="W19" s="245" t="n"/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100</v>
      </c>
      <c r="I20" s="245" t="inlineStr"/>
      <c r="J20" s="245" t="inlineStr"/>
      <c r="K20" s="245" t="inlineStr">
        <is>
          <t>12IN GREEN TEA MF MATTRESS EK</t>
        </is>
      </c>
      <c r="L20" s="245" t="inlineStr">
        <is>
          <t>ZU-MFMA1ZZI-12K</t>
        </is>
      </c>
      <c r="M20" s="248" t="inlineStr">
        <is>
          <t>2KFFXBLZ</t>
        </is>
      </c>
      <c r="N20" s="245" t="inlineStr">
        <is>
          <t>F.MFM.12K.006.AD</t>
        </is>
      </c>
      <c r="O20" s="245" t="n"/>
      <c r="P20" s="245" t="n"/>
      <c r="Q20" s="250">
        <f>R20/H20</f>
        <v/>
      </c>
      <c r="R20" s="251" t="n">
        <v>10197</v>
      </c>
      <c r="S20" s="249" t="n">
        <v>17863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123</v>
      </c>
      <c r="I21" s="245" t="inlineStr"/>
      <c r="J21" s="245" t="inlineStr"/>
      <c r="K21" s="245" t="inlineStr">
        <is>
          <t>12IN GREEN TEA MF MATTRESS TW</t>
        </is>
      </c>
      <c r="L21" s="245" t="inlineStr">
        <is>
          <t>ZU-MFMA1ZZI-12T</t>
        </is>
      </c>
      <c r="M21" s="248" t="inlineStr">
        <is>
          <t>2KFFXBLZ</t>
        </is>
      </c>
      <c r="N21" s="245" t="inlineStr">
        <is>
          <t>F.MFM.12T.006.AD</t>
        </is>
      </c>
      <c r="O21" s="245" t="n"/>
      <c r="P21" s="245" t="n"/>
      <c r="Q21" s="250">
        <f>R21/H21</f>
        <v/>
      </c>
      <c r="R21" s="251" t="n">
        <v>7773.6</v>
      </c>
      <c r="S21" s="249" t="n">
        <v>17863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346</v>
      </c>
      <c r="I22" s="245" t="inlineStr"/>
      <c r="J22" s="245" t="inlineStr"/>
      <c r="K22" s="245" t="inlineStr">
        <is>
          <t>10IN GREEN TEA MF MATTRESS QN</t>
        </is>
      </c>
      <c r="L22" s="245" t="inlineStr">
        <is>
          <t>ZU-MFMA1ZZI-10Q</t>
        </is>
      </c>
      <c r="M22" s="248" t="inlineStr">
        <is>
          <t>2OQM7ICG</t>
        </is>
      </c>
      <c r="N22" s="245" t="inlineStr">
        <is>
          <t>F.MFM.10Q.007.AD</t>
        </is>
      </c>
      <c r="O22" s="245" t="n"/>
      <c r="P22" s="245" t="n"/>
      <c r="Q22" s="250">
        <f>R22/H22</f>
        <v/>
      </c>
      <c r="R22" s="251" t="n">
        <v>22794.48</v>
      </c>
      <c r="S22" s="249" t="n">
        <v>17863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1</v>
      </c>
      <c r="I23" s="245" t="inlineStr"/>
      <c r="J23" s="245" t="inlineStr"/>
      <c r="K23" s="245" t="inlineStr">
        <is>
          <t>12IN GREEN TEA MF MATTRESS TW</t>
        </is>
      </c>
      <c r="L23" s="245" t="inlineStr">
        <is>
          <t>ZU-MFMA1ZZI-12T</t>
        </is>
      </c>
      <c r="M23" s="248" t="inlineStr">
        <is>
          <t>2OQM7ICG</t>
        </is>
      </c>
      <c r="N23" s="245" t="inlineStr">
        <is>
          <t>F.MFM.12T.006.AD</t>
        </is>
      </c>
      <c r="O23" s="245" t="n"/>
      <c r="P23" s="245" t="n"/>
      <c r="Q23" s="250">
        <f>R23/H23</f>
        <v/>
      </c>
      <c r="R23" s="251" t="n">
        <v>63.2</v>
      </c>
      <c r="S23" s="249" t="n">
        <v>17863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58</v>
      </c>
      <c r="I24" s="245" t="inlineStr"/>
      <c r="J24" s="245" t="inlineStr"/>
      <c r="K24" s="245" t="inlineStr">
        <is>
          <t>10IN GREEN TEA MF MATTRESS QN</t>
        </is>
      </c>
      <c r="L24" s="245" t="inlineStr">
        <is>
          <t>ZU-MFMA1ZZI-10Q</t>
        </is>
      </c>
      <c r="M24" s="248" t="inlineStr">
        <is>
          <t>36XIQEQY</t>
        </is>
      </c>
      <c r="N24" s="245" t="inlineStr">
        <is>
          <t>F.MFM.10Q.007.AD</t>
        </is>
      </c>
      <c r="O24" s="245" t="n"/>
      <c r="P24" s="245" t="n"/>
      <c r="Q24" s="250">
        <f>R24/H24</f>
        <v/>
      </c>
      <c r="R24" s="251" t="n">
        <v>3821.04</v>
      </c>
      <c r="S24" s="249" t="n">
        <v>17863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7" t="n">
        <v>60</v>
      </c>
      <c r="I25" s="245" t="inlineStr"/>
      <c r="J25" s="245" t="inlineStr"/>
      <c r="K25" s="245" t="inlineStr">
        <is>
          <t>12IN GREEN TEA MF MATTRESS CK</t>
        </is>
      </c>
      <c r="L25" s="245" t="inlineStr">
        <is>
          <t>ZU-MFMA1ZZI-12C</t>
        </is>
      </c>
      <c r="M25" s="248" t="inlineStr">
        <is>
          <t>36XIQEQY</t>
        </is>
      </c>
      <c r="N25" s="245" t="inlineStr">
        <is>
          <t>F.MFM.12C.006.AD</t>
        </is>
      </c>
      <c r="O25" s="245" t="n"/>
      <c r="P25" s="245" t="n"/>
      <c r="Q25" s="250">
        <f>R25/H25</f>
        <v/>
      </c>
      <c r="R25" s="251" t="n">
        <v>6031.2</v>
      </c>
      <c r="S25" s="249" t="n">
        <v>17863</v>
      </c>
      <c r="T25" s="252">
        <f>S25*R25</f>
        <v/>
      </c>
      <c r="U25" s="245" t="n"/>
      <c r="V25" s="245" t="n"/>
      <c r="W25" s="245" t="n"/>
      <c r="X25" s="245" t="n"/>
      <c r="Y25" s="245" t="n"/>
      <c r="Z25" s="245" t="n"/>
    </row>
    <row r="26" ht="16.5" customHeight="1" s="202">
      <c r="A26" s="245" t="n"/>
      <c r="B26" s="245" t="n"/>
      <c r="C26" s="245" t="n"/>
      <c r="D26" s="245" t="n"/>
      <c r="E26" s="245" t="n"/>
      <c r="F26" s="245" t="n"/>
      <c r="G26" s="245" t="n"/>
      <c r="H26" s="247" t="n">
        <v>152</v>
      </c>
      <c r="I26" s="245" t="inlineStr"/>
      <c r="J26" s="245" t="inlineStr"/>
      <c r="K26" s="245" t="inlineStr">
        <is>
          <t>10IN GREEN TEA MF MATTRESS FL</t>
        </is>
      </c>
      <c r="L26" s="245" t="inlineStr">
        <is>
          <t>ZU-MFMA1ZZI-10F</t>
        </is>
      </c>
      <c r="M26" s="248" t="inlineStr">
        <is>
          <t>3ESRQPWJ</t>
        </is>
      </c>
      <c r="N26" s="245" t="inlineStr">
        <is>
          <t>F.MFM.10F.007.AD</t>
        </is>
      </c>
      <c r="O26" s="245" t="n"/>
      <c r="P26" s="245" t="n"/>
      <c r="Q26" s="250">
        <f>R26/H26</f>
        <v/>
      </c>
      <c r="R26" s="251" t="n">
        <v>9433.120000000001</v>
      </c>
      <c r="S26" s="249" t="n">
        <v>17863</v>
      </c>
      <c r="T26" s="252">
        <f>S26*R26</f>
        <v/>
      </c>
      <c r="U26" s="245" t="n"/>
      <c r="V26" s="245" t="n"/>
      <c r="W26" s="245" t="n"/>
      <c r="X26" s="245" t="n"/>
      <c r="Y26" s="245" t="n"/>
      <c r="Z26" s="245" t="n"/>
    </row>
    <row r="27" ht="16.5" customHeight="1" s="202">
      <c r="A27" s="245" t="n"/>
      <c r="B27" s="245" t="n"/>
      <c r="C27" s="245" t="n"/>
      <c r="D27" s="245" t="n"/>
      <c r="E27" s="245" t="n"/>
      <c r="F27" s="245" t="n"/>
      <c r="G27" s="245" t="n"/>
      <c r="H27" s="247" t="n">
        <v>28</v>
      </c>
      <c r="I27" s="245" t="inlineStr"/>
      <c r="J27" s="245" t="inlineStr"/>
      <c r="K27" s="245" t="inlineStr">
        <is>
          <t>12IN GREEN TEA MF MATTRESS CK</t>
        </is>
      </c>
      <c r="L27" s="245" t="inlineStr">
        <is>
          <t>ZU-MFMA1ZZI-12C</t>
        </is>
      </c>
      <c r="M27" s="248" t="inlineStr">
        <is>
          <t>3J4U8IJT</t>
        </is>
      </c>
      <c r="N27" s="245" t="inlineStr">
        <is>
          <t>F.MFM.12C.006.AD</t>
        </is>
      </c>
      <c r="O27" s="245" t="n"/>
      <c r="P27" s="245" t="n"/>
      <c r="Q27" s="250">
        <f>R27/H27</f>
        <v/>
      </c>
      <c r="R27" s="251" t="n">
        <v>2814.56</v>
      </c>
      <c r="S27" s="249" t="n">
        <v>17863</v>
      </c>
      <c r="T27" s="252">
        <f>S27*R27</f>
        <v/>
      </c>
      <c r="U27" s="245" t="n"/>
      <c r="V27" s="245" t="n"/>
      <c r="W27" s="245" t="n"/>
      <c r="X27" s="245" t="n"/>
      <c r="Y27" s="245" t="n"/>
      <c r="Z27" s="245" t="n"/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7" t="n">
        <v>329</v>
      </c>
      <c r="I28" s="245" t="inlineStr"/>
      <c r="J28" s="245" t="inlineStr"/>
      <c r="K28" s="245" t="inlineStr">
        <is>
          <t>12IN GREEN TEA MF MATTRESS EK</t>
        </is>
      </c>
      <c r="L28" s="245" t="inlineStr">
        <is>
          <t>ZU-MFMA1ZZI-12K</t>
        </is>
      </c>
      <c r="M28" s="248" t="inlineStr">
        <is>
          <t>3J4U8IJT</t>
        </is>
      </c>
      <c r="N28" s="245" t="inlineStr">
        <is>
          <t>F.MFM.12K.006.AD</t>
        </is>
      </c>
      <c r="O28" s="245" t="n"/>
      <c r="P28" s="245" t="n"/>
      <c r="Q28" s="250">
        <f>R28/H28</f>
        <v/>
      </c>
      <c r="R28" s="251" t="n">
        <v>33548.13</v>
      </c>
      <c r="S28" s="249" t="n">
        <v>17863</v>
      </c>
      <c r="T28" s="252">
        <f>S28*R28</f>
        <v/>
      </c>
      <c r="U28" s="245" t="n"/>
      <c r="V28" s="245" t="n"/>
      <c r="W28" s="245" t="n"/>
      <c r="X28" s="245" t="n"/>
      <c r="Y28" s="245" t="n"/>
      <c r="Z28" s="245" t="n"/>
    </row>
    <row r="29" ht="17.1" customHeight="1" s="202">
      <c r="A29" s="254" t="n"/>
      <c r="B29" s="254" t="n"/>
      <c r="C29" s="254" t="n"/>
      <c r="D29" s="254" t="n"/>
      <c r="E29" s="254" t="n"/>
      <c r="F29" s="254" t="n"/>
      <c r="G29" s="254" t="n"/>
      <c r="H29" s="255">
        <f>SUM(H12:H28)</f>
        <v/>
      </c>
      <c r="I29" s="254">
        <f>COUNTA(I12:I28)</f>
        <v/>
      </c>
      <c r="J29" s="254" t="n"/>
      <c r="K29" s="254" t="n"/>
      <c r="L29" s="254" t="n"/>
      <c r="M29" s="254" t="n"/>
      <c r="N29" s="254" t="n"/>
      <c r="O29" s="256">
        <f>SUM(O12:O28)</f>
        <v/>
      </c>
      <c r="P29" s="256">
        <f>SUM(P12:P28)</f>
        <v/>
      </c>
      <c r="Q29" s="254" t="n"/>
      <c r="R29" s="257">
        <f>SUM(R12:R28)</f>
        <v/>
      </c>
      <c r="S29" s="254" t="n"/>
      <c r="T29" s="258">
        <f>SUM(T12:T28)</f>
        <v/>
      </c>
      <c r="U29" s="254" t="n"/>
      <c r="V29" s="254" t="n"/>
      <c r="W29" s="254" t="n"/>
      <c r="X29" s="254" t="n"/>
      <c r="Y29" s="254" t="n"/>
      <c r="Z29" s="254" t="n"/>
    </row>
    <row r="30" ht="16.5" customHeight="1" s="202">
      <c r="A30" s="245" t="n">
        <v>2</v>
      </c>
      <c r="B30" s="245" t="inlineStr">
        <is>
          <t>000030ZIK48020260929000869</t>
        </is>
      </c>
      <c r="C30" s="245" t="n">
        <v>619860</v>
      </c>
      <c r="D30" s="245" t="n">
        <v>619796</v>
      </c>
      <c r="E30" s="246" t="n">
        <v>46295</v>
      </c>
      <c r="F30" s="245" t="inlineStr">
        <is>
          <t>ID2609-8643</t>
        </is>
      </c>
      <c r="G30" s="246" t="n">
        <v>46294</v>
      </c>
      <c r="H30" s="247" t="n">
        <v>1560</v>
      </c>
      <c r="I30" s="245" t="inlineStr">
        <is>
          <t>CAIU9030311</t>
        </is>
      </c>
      <c r="J30" s="245" t="inlineStr">
        <is>
          <t>40FT</t>
        </is>
      </c>
      <c r="K30" s="245" t="inlineStr">
        <is>
          <t>6IN GREEN TEA MF MATTRESS TW</t>
        </is>
      </c>
      <c r="L30" s="245" t="inlineStr">
        <is>
          <t>ZU-MFMA1ZZI-06T</t>
        </is>
      </c>
      <c r="M30" s="248" t="inlineStr">
        <is>
          <t>89K57SJO</t>
        </is>
      </c>
      <c r="N30" s="245" t="inlineStr">
        <is>
          <t>F.MFM.06T.007.AD</t>
        </is>
      </c>
      <c r="O30" s="249" t="n">
        <v>70302.99000000001</v>
      </c>
      <c r="P30" s="249" t="n">
        <v>58964.61</v>
      </c>
      <c r="Q30" s="250">
        <f>R30/H30</f>
        <v/>
      </c>
      <c r="R30" s="251" t="n">
        <v>47595.6</v>
      </c>
      <c r="S30" s="249" t="n">
        <v>17863</v>
      </c>
      <c r="T30" s="252">
        <f>S30*R30</f>
        <v/>
      </c>
      <c r="U30" s="245" t="inlineStr">
        <is>
          <t>040300/KPPBC</t>
        </is>
      </c>
      <c r="V30" s="245" t="inlineStr">
        <is>
          <t>TG. PRIOK</t>
        </is>
      </c>
      <c r="W30" s="245" t="inlineStr">
        <is>
          <t>LONG BEACH, US</t>
        </is>
      </c>
      <c r="X30" s="245" t="inlineStr">
        <is>
          <t>AMAZON.COM SERVICES LLC</t>
        </is>
      </c>
      <c r="Y30" s="245" t="inlineStr">
        <is>
          <t>MEDUKU759032</t>
        </is>
      </c>
      <c r="Z30" s="246" t="n">
        <v>46295</v>
      </c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2530</v>
      </c>
      <c r="I31" s="245" t="inlineStr">
        <is>
          <t>TCLU7790991</t>
        </is>
      </c>
      <c r="J31" s="245" t="inlineStr">
        <is>
          <t>40FT</t>
        </is>
      </c>
      <c r="K31" s="245" t="inlineStr">
        <is>
          <t>8IN GREEN TEA MF MATTRESS TW</t>
        </is>
      </c>
      <c r="L31" s="245" t="inlineStr">
        <is>
          <t>ZU-MFMA1ZZI-08T</t>
        </is>
      </c>
      <c r="M31" s="248" t="inlineStr">
        <is>
          <t>89K57SJO</t>
        </is>
      </c>
      <c r="N31" s="245" t="inlineStr">
        <is>
          <t>F.MFM.08T.008.AD</t>
        </is>
      </c>
      <c r="O31" s="245" t="n"/>
      <c r="P31" s="245" t="n"/>
      <c r="Q31" s="250">
        <f>R31/H31</f>
        <v/>
      </c>
      <c r="R31" s="251" t="n">
        <v>90902.89999999999</v>
      </c>
      <c r="S31" s="249" t="n">
        <v>17863</v>
      </c>
      <c r="T31" s="252">
        <f>S31*R31</f>
        <v/>
      </c>
      <c r="U31" s="245" t="n"/>
      <c r="V31" s="245" t="n"/>
      <c r="W31" s="245" t="inlineStr">
        <is>
          <t>ETD : 04-10-2026</t>
        </is>
      </c>
      <c r="X31" s="245" t="n"/>
      <c r="Y31" s="245" t="n"/>
      <c r="Z31" s="245" t="n"/>
    </row>
    <row r="32" ht="16.5" customHeight="1" s="202" thickBot="1">
      <c r="A32" s="245" t="n"/>
      <c r="B32" s="245" t="n"/>
      <c r="C32" s="245" t="n"/>
      <c r="D32" s="245" t="n"/>
      <c r="E32" s="245" t="n"/>
      <c r="F32" s="245" t="n"/>
      <c r="G32" s="245" t="n"/>
      <c r="H32" s="247" t="n">
        <v>620</v>
      </c>
      <c r="I32" s="245" t="inlineStr">
        <is>
          <t>MEDU9475592</t>
        </is>
      </c>
      <c r="J32" s="245" t="inlineStr">
        <is>
          <t>40FT</t>
        </is>
      </c>
      <c r="K32" s="245" t="inlineStr">
        <is>
          <t>10IN GREEN TEA MF MATTRESS TW</t>
        </is>
      </c>
      <c r="L32" s="245" t="inlineStr">
        <is>
          <t>ZU-MFMA1ZZI-10T</t>
        </is>
      </c>
      <c r="M32" s="248" t="inlineStr">
        <is>
          <t>89K57SJO</t>
        </is>
      </c>
      <c r="N32" s="245" t="inlineStr">
        <is>
          <t>F.MFM.10T.007.AD</t>
        </is>
      </c>
      <c r="O32" s="245" t="n"/>
      <c r="P32" s="245" t="n"/>
      <c r="Q32" s="250">
        <f>R32/H32</f>
        <v/>
      </c>
      <c r="R32" s="251" t="n">
        <v>34248.8</v>
      </c>
      <c r="S32" s="249" t="n">
        <v>17863</v>
      </c>
      <c r="T32" s="252">
        <f>S32*R32</f>
        <v/>
      </c>
      <c r="U32" s="245" t="n"/>
      <c r="V32" s="245" t="n"/>
      <c r="W32" s="245" t="n"/>
      <c r="X32" s="245" t="n"/>
      <c r="Y32" s="245" t="n"/>
      <c r="Z32" s="245" t="n"/>
    </row>
    <row r="33" ht="16.5" customFormat="1" customHeight="1" s="17" thickTop="1">
      <c r="A33" s="245" t="n"/>
      <c r="B33" s="245" t="n"/>
      <c r="C33" s="245" t="n"/>
      <c r="D33" s="245" t="n"/>
      <c r="E33" s="245" t="n"/>
      <c r="F33" s="245" t="n"/>
      <c r="G33" s="245" t="n"/>
      <c r="H33" s="247" t="n">
        <v>37</v>
      </c>
      <c r="I33" s="245" t="inlineStr">
        <is>
          <t>MSMU8837134</t>
        </is>
      </c>
      <c r="J33" s="245" t="inlineStr">
        <is>
          <t>40FT</t>
        </is>
      </c>
      <c r="K33" s="245" t="inlineStr">
        <is>
          <t>10IN GREEN TEA MF MATTRESS TX</t>
        </is>
      </c>
      <c r="L33" s="245" t="inlineStr">
        <is>
          <t>ZU-MFMA1ZZI-10X</t>
        </is>
      </c>
      <c r="M33" s="248" t="inlineStr">
        <is>
          <t>89K57SJO</t>
        </is>
      </c>
      <c r="N33" s="245" t="inlineStr">
        <is>
          <t>F.MFM.10X.007.AD</t>
        </is>
      </c>
      <c r="O33" s="245" t="n"/>
      <c r="P33" s="245" t="n"/>
      <c r="Q33" s="250">
        <f>R33/H33</f>
        <v/>
      </c>
      <c r="R33" s="251" t="n">
        <v>1862.95</v>
      </c>
      <c r="S33" s="249" t="n">
        <v>17863</v>
      </c>
      <c r="T33" s="252">
        <f>S33*R33</f>
        <v/>
      </c>
      <c r="U33" s="245" t="n"/>
      <c r="V33" s="245" t="n"/>
      <c r="W33" s="245" t="n"/>
      <c r="X33" s="245" t="n"/>
      <c r="Y33" s="245" t="n"/>
      <c r="Z33" s="245" t="n"/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7" t="n">
        <v>214</v>
      </c>
      <c r="I34" s="245" t="inlineStr">
        <is>
          <t>MSCU5422160</t>
        </is>
      </c>
      <c r="J34" s="245" t="inlineStr">
        <is>
          <t>40FT</t>
        </is>
      </c>
      <c r="K34" s="245" t="inlineStr">
        <is>
          <t>12IN GREEN TEA MF MATTRESS TX</t>
        </is>
      </c>
      <c r="L34" s="245" t="inlineStr">
        <is>
          <t>ZU-MFMA1ZZI-12X</t>
        </is>
      </c>
      <c r="M34" s="248" t="inlineStr">
        <is>
          <t>89K57SJO</t>
        </is>
      </c>
      <c r="N34" s="245" t="inlineStr">
        <is>
          <t>F.MFM.12X.006.AD</t>
        </is>
      </c>
      <c r="O34" s="245" t="n"/>
      <c r="P34" s="245" t="n"/>
      <c r="Q34" s="250">
        <f>R34/H34</f>
        <v/>
      </c>
      <c r="R34" s="251" t="n">
        <v>12476.2</v>
      </c>
      <c r="S34" s="249" t="n">
        <v>17863</v>
      </c>
      <c r="T34" s="252">
        <f>S34*R34</f>
        <v/>
      </c>
      <c r="U34" s="245" t="n"/>
      <c r="V34" s="245" t="n"/>
      <c r="W34" s="245" t="n"/>
      <c r="X34" s="245" t="n"/>
      <c r="Y34" s="245" t="n"/>
      <c r="Z34" s="245" t="n"/>
    </row>
    <row r="35" ht="16.5" customHeight="1" s="202">
      <c r="A35" s="245" t="n"/>
      <c r="B35" s="245" t="n"/>
      <c r="C35" s="245" t="n"/>
      <c r="D35" s="245" t="n"/>
      <c r="E35" s="245" t="n"/>
      <c r="F35" s="245" t="n"/>
      <c r="G35" s="245" t="n"/>
      <c r="H35" s="245" t="n"/>
      <c r="I35" s="245" t="inlineStr">
        <is>
          <t>TRHU7478325</t>
        </is>
      </c>
      <c r="J35" s="245" t="inlineStr">
        <is>
          <t>40FT</t>
        </is>
      </c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5" t="n"/>
      <c r="V35" s="245" t="n"/>
      <c r="W35" s="245" t="n"/>
      <c r="X35" s="245" t="n"/>
      <c r="Y35" s="245" t="n"/>
      <c r="Z35" s="245" t="n"/>
    </row>
    <row r="36" ht="17.1" customHeight="1" s="202">
      <c r="A36" s="254" t="n"/>
      <c r="B36" s="254" t="n"/>
      <c r="C36" s="254" t="n"/>
      <c r="D36" s="254" t="n"/>
      <c r="E36" s="254" t="n"/>
      <c r="F36" s="254" t="n"/>
      <c r="G36" s="254" t="n"/>
      <c r="H36" s="255">
        <f>SUM(H30:H35)</f>
        <v/>
      </c>
      <c r="I36" s="254">
        <f>COUNTA(I30:I35)</f>
        <v/>
      </c>
      <c r="J36" s="254" t="n"/>
      <c r="K36" s="254" t="n"/>
      <c r="L36" s="254" t="n"/>
      <c r="M36" s="254" t="n"/>
      <c r="N36" s="254" t="n"/>
      <c r="O36" s="256">
        <f>SUM(O30:O35)</f>
        <v/>
      </c>
      <c r="P36" s="256">
        <f>SUM(P30:P35)</f>
        <v/>
      </c>
      <c r="Q36" s="254" t="n"/>
      <c r="R36" s="257">
        <f>SUM(R30:R35)</f>
        <v/>
      </c>
      <c r="S36" s="254" t="n"/>
      <c r="T36" s="258">
        <f>SUM(T30:T35)</f>
        <v/>
      </c>
      <c r="U36" s="254" t="n"/>
      <c r="V36" s="254" t="n"/>
      <c r="W36" s="254" t="n"/>
      <c r="X36" s="254" t="n"/>
      <c r="Y36" s="254" t="n"/>
      <c r="Z36" s="254" t="n"/>
    </row>
    <row r="37" ht="16.5" customHeight="1" s="202">
      <c r="A37" s="245" t="n">
        <v>3</v>
      </c>
      <c r="B37" s="245" t="inlineStr">
        <is>
          <t>000030ZIK48020260929000870</t>
        </is>
      </c>
      <c r="C37" s="245" t="n">
        <v>619468</v>
      </c>
      <c r="D37" s="245" t="n">
        <v>619404</v>
      </c>
      <c r="E37" s="246" t="n">
        <v>46295</v>
      </c>
      <c r="F37" s="245" t="inlineStr">
        <is>
          <t>ID2609-8633</t>
        </is>
      </c>
      <c r="G37" s="246" t="n">
        <v>46293</v>
      </c>
      <c r="H37" s="247" t="n">
        <v>1040</v>
      </c>
      <c r="I37" s="245" t="inlineStr">
        <is>
          <t>CXDU1845596</t>
        </is>
      </c>
      <c r="J37" s="245" t="inlineStr">
        <is>
          <t>40FT</t>
        </is>
      </c>
      <c r="K37" s="245" t="inlineStr">
        <is>
          <t>8IN GREEN TEA MF MATTRESS FL</t>
        </is>
      </c>
      <c r="L37" s="245" t="inlineStr">
        <is>
          <t>SCF-STR-800F</t>
        </is>
      </c>
      <c r="M37" s="248" t="inlineStr">
        <is>
          <t>0993630750</t>
        </is>
      </c>
      <c r="N37" s="245" t="inlineStr">
        <is>
          <t>F.MFM.08F.000.WS</t>
        </is>
      </c>
      <c r="O37" s="249" t="n">
        <v>21236.8</v>
      </c>
      <c r="P37" s="249" t="n">
        <v>18740.8</v>
      </c>
      <c r="Q37" s="250">
        <f>R37/H37</f>
        <v/>
      </c>
      <c r="R37" s="251" t="n">
        <v>82960.8</v>
      </c>
      <c r="S37" s="249" t="n">
        <v>17863</v>
      </c>
      <c r="T37" s="252">
        <f>S37*R37</f>
        <v/>
      </c>
      <c r="U37" s="245" t="inlineStr">
        <is>
          <t>040300/KPPBC</t>
        </is>
      </c>
      <c r="V37" s="245" t="inlineStr">
        <is>
          <t>TG. PRIOK</t>
        </is>
      </c>
      <c r="W37" s="245" t="inlineStr">
        <is>
          <t>MOBILE, US</t>
        </is>
      </c>
      <c r="X37" s="245" t="inlineStr">
        <is>
          <t>WALMART, INC.</t>
        </is>
      </c>
      <c r="Y37" s="245" t="inlineStr">
        <is>
          <t>CMDUDJA1538383A</t>
        </is>
      </c>
      <c r="Z37" s="246" t="n">
        <v>46295</v>
      </c>
    </row>
    <row r="38" ht="16.5" customHeight="1" s="202">
      <c r="A38" s="245" t="n"/>
      <c r="B38" s="245" t="n"/>
      <c r="C38" s="245" t="n"/>
      <c r="D38" s="245" t="n"/>
      <c r="E38" s="245" t="n"/>
      <c r="F38" s="245" t="n"/>
      <c r="G38" s="245" t="n"/>
      <c r="H38" s="245" t="n"/>
      <c r="I38" s="245" t="inlineStr">
        <is>
          <t>CMAU6017659</t>
        </is>
      </c>
      <c r="J38" s="245" t="inlineStr">
        <is>
          <t>40FT</t>
        </is>
      </c>
      <c r="K38" s="245" t="n"/>
      <c r="L38" s="245" t="n"/>
      <c r="M38" s="245" t="n"/>
      <c r="N38" s="245" t="n"/>
      <c r="O38" s="245" t="n"/>
      <c r="P38" s="245" t="n"/>
      <c r="Q38" s="245" t="n"/>
      <c r="R38" s="245" t="n"/>
      <c r="S38" s="245" t="n"/>
      <c r="T38" s="245" t="n"/>
      <c r="U38" s="245" t="n"/>
      <c r="V38" s="245" t="n"/>
      <c r="W38" s="245" t="inlineStr">
        <is>
          <t>ETD : 06-10-2026</t>
        </is>
      </c>
      <c r="X38" s="245" t="n"/>
      <c r="Y38" s="245" t="n"/>
      <c r="Z38" s="245" t="n"/>
    </row>
    <row r="39" ht="17.1" customHeight="1" s="202">
      <c r="A39" s="254" t="n"/>
      <c r="B39" s="254" t="n"/>
      <c r="C39" s="254" t="n"/>
      <c r="D39" s="254" t="n"/>
      <c r="E39" s="254" t="n"/>
      <c r="F39" s="254" t="n"/>
      <c r="G39" s="254" t="n"/>
      <c r="H39" s="255">
        <f>SUM(H37:H38)</f>
        <v/>
      </c>
      <c r="I39" s="254">
        <f>COUNTA(I37:I38)</f>
        <v/>
      </c>
      <c r="J39" s="254" t="n"/>
      <c r="K39" s="254" t="n"/>
      <c r="L39" s="254" t="n"/>
      <c r="M39" s="254" t="n"/>
      <c r="N39" s="254" t="n"/>
      <c r="O39" s="256">
        <f>SUM(O37:O38)</f>
        <v/>
      </c>
      <c r="P39" s="256">
        <f>SUM(P37:P38)</f>
        <v/>
      </c>
      <c r="Q39" s="254" t="n"/>
      <c r="R39" s="257">
        <f>SUM(R37:R38)</f>
        <v/>
      </c>
      <c r="S39" s="254" t="n"/>
      <c r="T39" s="258">
        <f>SUM(T37:T38)</f>
        <v/>
      </c>
      <c r="U39" s="254" t="n"/>
      <c r="V39" s="254" t="n"/>
      <c r="W39" s="254" t="n"/>
      <c r="X39" s="254" t="n"/>
      <c r="Y39" s="254" t="n"/>
      <c r="Z39" s="254" t="n"/>
    </row>
    <row r="40" ht="16.5" customHeight="1" s="202">
      <c r="A40" s="245" t="n">
        <v>4</v>
      </c>
      <c r="B40" s="245" t="inlineStr">
        <is>
          <t>000030ZIK48020260929000871</t>
        </is>
      </c>
      <c r="C40" s="245" t="n">
        <v>619517</v>
      </c>
      <c r="D40" s="245" t="n">
        <v>619453</v>
      </c>
      <c r="E40" s="246" t="n">
        <v>46295</v>
      </c>
      <c r="F40" s="245" t="inlineStr">
        <is>
          <t>ID2609-8634</t>
        </is>
      </c>
      <c r="G40" s="246" t="n">
        <v>46293</v>
      </c>
      <c r="H40" s="247" t="n">
        <v>450</v>
      </c>
      <c r="I40" s="245" t="inlineStr">
        <is>
          <t>BEAU4112921</t>
        </is>
      </c>
      <c r="J40" s="245" t="inlineStr">
        <is>
          <t>40FT</t>
        </is>
      </c>
      <c r="K40" s="245" t="inlineStr">
        <is>
          <t>8IN GREEN TEA MF MATTRESS QN</t>
        </is>
      </c>
      <c r="L40" s="245" t="inlineStr">
        <is>
          <t>SCF-STR-800Q</t>
        </is>
      </c>
      <c r="M40" s="248" t="inlineStr">
        <is>
          <t>0993630612</t>
        </is>
      </c>
      <c r="N40" s="245" t="inlineStr">
        <is>
          <t>F.MFM.08Q.000.WS</t>
        </is>
      </c>
      <c r="O40" s="249" t="n">
        <v>10755</v>
      </c>
      <c r="P40" s="249" t="n">
        <v>9594</v>
      </c>
      <c r="Q40" s="250">
        <f>R40/H40</f>
        <v/>
      </c>
      <c r="R40" s="251" t="n">
        <v>42286.5</v>
      </c>
      <c r="S40" s="249" t="n">
        <v>17863</v>
      </c>
      <c r="T40" s="252">
        <f>S40*R40</f>
        <v/>
      </c>
      <c r="U40" s="245" t="inlineStr">
        <is>
          <t>040300/KPPBC</t>
        </is>
      </c>
      <c r="V40" s="245" t="inlineStr">
        <is>
          <t>TG. PRIOK</t>
        </is>
      </c>
      <c r="W40" s="245" t="inlineStr">
        <is>
          <t>MOBILE, US</t>
        </is>
      </c>
      <c r="X40" s="245" t="inlineStr">
        <is>
          <t>WALMART, INC.</t>
        </is>
      </c>
      <c r="Y40" s="245" t="inlineStr">
        <is>
          <t>CMDUDJA1538383B</t>
        </is>
      </c>
      <c r="Z40" s="246" t="n">
        <v>46295</v>
      </c>
    </row>
    <row r="41" ht="16.5" customHeight="1" s="202">
      <c r="A41" s="245" t="n"/>
      <c r="B41" s="245" t="n"/>
      <c r="C41" s="245" t="n"/>
      <c r="D41" s="245" t="n"/>
      <c r="E41" s="245" t="n"/>
      <c r="F41" s="245" t="n"/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5" t="n"/>
      <c r="W41" s="245" t="inlineStr">
        <is>
          <t>ETD : 06-10-2026</t>
        </is>
      </c>
      <c r="X41" s="245" t="n"/>
      <c r="Y41" s="245" t="n"/>
      <c r="Z41" s="245" t="n"/>
    </row>
    <row r="42" ht="17.1" customHeight="1" s="202">
      <c r="A42" s="254" t="n"/>
      <c r="B42" s="254" t="n"/>
      <c r="C42" s="254" t="n"/>
      <c r="D42" s="254" t="n"/>
      <c r="E42" s="254" t="n"/>
      <c r="F42" s="254" t="n"/>
      <c r="G42" s="254" t="n"/>
      <c r="H42" s="255">
        <f>SUM(H40:H41)</f>
        <v/>
      </c>
      <c r="I42" s="254">
        <f>COUNTA(I40:I41)</f>
        <v/>
      </c>
      <c r="J42" s="254" t="n"/>
      <c r="K42" s="254" t="n"/>
      <c r="L42" s="254" t="n"/>
      <c r="M42" s="254" t="n"/>
      <c r="N42" s="254" t="n"/>
      <c r="O42" s="256">
        <f>SUM(O40:O41)</f>
        <v/>
      </c>
      <c r="P42" s="256">
        <f>SUM(P40:P41)</f>
        <v/>
      </c>
      <c r="Q42" s="254" t="n"/>
      <c r="R42" s="257">
        <f>SUM(R40:R41)</f>
        <v/>
      </c>
      <c r="S42" s="254" t="n"/>
      <c r="T42" s="258">
        <f>SUM(T40:T41)</f>
        <v/>
      </c>
      <c r="U42" s="254" t="n"/>
      <c r="V42" s="254" t="n"/>
      <c r="W42" s="254" t="n"/>
      <c r="X42" s="254" t="n"/>
      <c r="Y42" s="254" t="n"/>
      <c r="Z42" s="254" t="n"/>
    </row>
    <row r="43" ht="16.5" customHeight="1" s="202">
      <c r="A43" s="245" t="n">
        <v>5</v>
      </c>
      <c r="B43" s="245" t="inlineStr">
        <is>
          <t>000030ZIK48020260929000872</t>
        </is>
      </c>
      <c r="C43" s="245" t="n">
        <v>619733</v>
      </c>
      <c r="D43" s="245" t="n">
        <v>619669</v>
      </c>
      <c r="E43" s="246" t="n">
        <v>46295</v>
      </c>
      <c r="F43" s="245" t="inlineStr">
        <is>
          <t>ID2609-8635</t>
        </is>
      </c>
      <c r="G43" s="246" t="n">
        <v>46293</v>
      </c>
      <c r="H43" s="247" t="n">
        <v>520</v>
      </c>
      <c r="I43" s="245" t="inlineStr">
        <is>
          <t>CAIU9396213</t>
        </is>
      </c>
      <c r="J43" s="245" t="inlineStr">
        <is>
          <t>40FT</t>
        </is>
      </c>
      <c r="K43" s="245" t="inlineStr">
        <is>
          <t>8IN GREEN TEA MF MATTRESS FL</t>
        </is>
      </c>
      <c r="L43" s="245" t="inlineStr">
        <is>
          <t>SCF-STR-800F</t>
        </is>
      </c>
      <c r="M43" s="248" t="inlineStr">
        <is>
          <t>0993630689</t>
        </is>
      </c>
      <c r="N43" s="245" t="inlineStr">
        <is>
          <t>F.MFM.08F.000.WS</t>
        </is>
      </c>
      <c r="O43" s="249" t="n">
        <v>10618.4</v>
      </c>
      <c r="P43" s="249" t="n">
        <v>9370.4</v>
      </c>
      <c r="Q43" s="250">
        <f>R43/H43</f>
        <v/>
      </c>
      <c r="R43" s="251" t="n">
        <v>41480.4</v>
      </c>
      <c r="S43" s="249" t="n">
        <v>17863</v>
      </c>
      <c r="T43" s="252">
        <f>S43*R43</f>
        <v/>
      </c>
      <c r="U43" s="245" t="inlineStr">
        <is>
          <t>040300/KPPBC</t>
        </is>
      </c>
      <c r="V43" s="245" t="inlineStr">
        <is>
          <t>TG. PRIOK</t>
        </is>
      </c>
      <c r="W43" s="245" t="inlineStr">
        <is>
          <t>LOS ANGELES, US</t>
        </is>
      </c>
      <c r="X43" s="245" t="inlineStr">
        <is>
          <t>WALMART, INC.</t>
        </is>
      </c>
      <c r="Y43" s="245" t="inlineStr">
        <is>
          <t>CMDUDJA1542713A</t>
        </is>
      </c>
      <c r="Z43" s="246" t="n">
        <v>46295</v>
      </c>
    </row>
    <row r="44" ht="16.5" customHeight="1" s="202">
      <c r="A44" s="245" t="n"/>
      <c r="B44" s="245" t="n"/>
      <c r="C44" s="245" t="n"/>
      <c r="D44" s="245" t="n"/>
      <c r="E44" s="245" t="n"/>
      <c r="F44" s="245" t="n"/>
      <c r="G44" s="245" t="n"/>
      <c r="H44" s="245" t="n"/>
      <c r="I44" s="245" t="n"/>
      <c r="J44" s="245" t="n"/>
      <c r="K44" s="245" t="n"/>
      <c r="L44" s="245" t="n"/>
      <c r="M44" s="245" t="n"/>
      <c r="N44" s="245" t="n"/>
      <c r="O44" s="245" t="n"/>
      <c r="P44" s="245" t="n"/>
      <c r="Q44" s="245" t="n"/>
      <c r="R44" s="245" t="n"/>
      <c r="S44" s="245" t="n"/>
      <c r="T44" s="245" t="n"/>
      <c r="U44" s="245" t="n"/>
      <c r="V44" s="245" t="n"/>
      <c r="W44" s="245" t="inlineStr">
        <is>
          <t>ETD : 06-10-2026</t>
        </is>
      </c>
      <c r="X44" s="245" t="n"/>
      <c r="Y44" s="245" t="n"/>
      <c r="Z44" s="245" t="n"/>
    </row>
    <row r="45" ht="17.1" customHeight="1" s="202">
      <c r="A45" s="254" t="n"/>
      <c r="B45" s="254" t="n"/>
      <c r="C45" s="254" t="n"/>
      <c r="D45" s="254" t="n"/>
      <c r="E45" s="254" t="n"/>
      <c r="F45" s="254" t="n"/>
      <c r="G45" s="254" t="n"/>
      <c r="H45" s="255">
        <f>SUM(H43:H44)</f>
        <v/>
      </c>
      <c r="I45" s="254">
        <f>COUNTA(I43:I44)</f>
        <v/>
      </c>
      <c r="J45" s="254" t="n"/>
      <c r="K45" s="254" t="n"/>
      <c r="L45" s="254" t="n"/>
      <c r="M45" s="254" t="n"/>
      <c r="N45" s="254" t="n"/>
      <c r="O45" s="256">
        <f>SUM(O43:O44)</f>
        <v/>
      </c>
      <c r="P45" s="256">
        <f>SUM(P43:P44)</f>
        <v/>
      </c>
      <c r="Q45" s="254" t="n"/>
      <c r="R45" s="257">
        <f>SUM(R43:R44)</f>
        <v/>
      </c>
      <c r="S45" s="254" t="n"/>
      <c r="T45" s="258">
        <f>SUM(T43:T44)</f>
        <v/>
      </c>
      <c r="U45" s="254" t="n"/>
      <c r="V45" s="254" t="n"/>
      <c r="W45" s="254" t="n"/>
      <c r="X45" s="254" t="n"/>
      <c r="Y45" s="254" t="n"/>
      <c r="Z45" s="254" t="n"/>
    </row>
    <row r="46" ht="16.5" customHeight="1" s="202">
      <c r="A46" s="245" t="n">
        <v>6</v>
      </c>
      <c r="B46" s="245" t="inlineStr">
        <is>
          <t>000030ZIK48020260929000873</t>
        </is>
      </c>
      <c r="C46" s="245" t="n">
        <v>619804</v>
      </c>
      <c r="D46" s="245" t="n">
        <v>619740</v>
      </c>
      <c r="E46" s="246" t="n">
        <v>46295</v>
      </c>
      <c r="F46" s="245" t="inlineStr">
        <is>
          <t>ID2609-8636</t>
        </is>
      </c>
      <c r="G46" s="246" t="n">
        <v>46293</v>
      </c>
      <c r="H46" s="247" t="n">
        <v>693</v>
      </c>
      <c r="I46" s="245" t="inlineStr">
        <is>
          <t>SEGU6315302</t>
        </is>
      </c>
      <c r="J46" s="245" t="inlineStr">
        <is>
          <t>40FT</t>
        </is>
      </c>
      <c r="K46" s="245" t="inlineStr">
        <is>
          <t>8IN GREEN TEA MF MATTRESS TW</t>
        </is>
      </c>
      <c r="L46" s="245" t="inlineStr">
        <is>
          <t>SCF-STR-800T</t>
        </is>
      </c>
      <c r="M46" s="248" t="inlineStr">
        <is>
          <t>0993631195</t>
        </is>
      </c>
      <c r="N46" s="245" t="inlineStr">
        <is>
          <t>F.MFM.08T.000.WS</t>
        </is>
      </c>
      <c r="O46" s="249" t="n">
        <v>10526.67</v>
      </c>
      <c r="P46" s="249" t="n">
        <v>9140.67</v>
      </c>
      <c r="Q46" s="250">
        <f>R46/H46</f>
        <v/>
      </c>
      <c r="R46" s="251" t="n">
        <v>42619.5</v>
      </c>
      <c r="S46" s="249" t="n">
        <v>17863</v>
      </c>
      <c r="T46" s="252">
        <f>S46*R46</f>
        <v/>
      </c>
      <c r="U46" s="245" t="inlineStr">
        <is>
          <t>040300/KPPBC</t>
        </is>
      </c>
      <c r="V46" s="245" t="inlineStr">
        <is>
          <t>TG. PRIOK</t>
        </is>
      </c>
      <c r="W46" s="245" t="inlineStr">
        <is>
          <t>LOS ANGELES, US</t>
        </is>
      </c>
      <c r="X46" s="245" t="inlineStr">
        <is>
          <t>WALMART, INC.</t>
        </is>
      </c>
      <c r="Y46" s="245" t="inlineStr">
        <is>
          <t>CMDUDJA1542713B</t>
        </is>
      </c>
      <c r="Z46" s="246" t="n">
        <v>46295</v>
      </c>
    </row>
    <row r="47" ht="16.5" customHeight="1" s="202">
      <c r="A47" s="245" t="n"/>
      <c r="B47" s="245" t="n"/>
      <c r="C47" s="245" t="n"/>
      <c r="D47" s="245" t="n"/>
      <c r="E47" s="245" t="n"/>
      <c r="F47" s="245" t="n"/>
      <c r="G47" s="245" t="n"/>
      <c r="H47" s="245" t="n"/>
      <c r="I47" s="245" t="n"/>
      <c r="J47" s="245" t="n"/>
      <c r="K47" s="245" t="n"/>
      <c r="L47" s="245" t="n"/>
      <c r="M47" s="245" t="n"/>
      <c r="N47" s="245" t="n"/>
      <c r="O47" s="245" t="n"/>
      <c r="P47" s="245" t="n"/>
      <c r="Q47" s="245" t="n"/>
      <c r="R47" s="245" t="n"/>
      <c r="S47" s="245" t="n"/>
      <c r="T47" s="245" t="n"/>
      <c r="U47" s="245" t="n"/>
      <c r="V47" s="245" t="n"/>
      <c r="W47" s="245" t="inlineStr">
        <is>
          <t>ETD : 06-10-2026</t>
        </is>
      </c>
      <c r="X47" s="245" t="n"/>
      <c r="Y47" s="245" t="n"/>
      <c r="Z47" s="245" t="n"/>
    </row>
    <row r="48" ht="17.1" customHeight="1" s="202">
      <c r="A48" s="254" t="n"/>
      <c r="B48" s="254" t="n"/>
      <c r="C48" s="254" t="n"/>
      <c r="D48" s="254" t="n"/>
      <c r="E48" s="254" t="n"/>
      <c r="F48" s="254" t="n"/>
      <c r="G48" s="254" t="n"/>
      <c r="H48" s="255">
        <f>SUM(H46:H47)</f>
        <v/>
      </c>
      <c r="I48" s="254">
        <f>COUNTA(I46:I47)</f>
        <v/>
      </c>
      <c r="J48" s="254" t="n"/>
      <c r="K48" s="254" t="n"/>
      <c r="L48" s="254" t="n"/>
      <c r="M48" s="254" t="n"/>
      <c r="N48" s="254" t="n"/>
      <c r="O48" s="256">
        <f>SUM(O46:O47)</f>
        <v/>
      </c>
      <c r="P48" s="256">
        <f>SUM(P46:P47)</f>
        <v/>
      </c>
      <c r="Q48" s="254" t="n"/>
      <c r="R48" s="257">
        <f>SUM(R46:R47)</f>
        <v/>
      </c>
      <c r="S48" s="254" t="n"/>
      <c r="T48" s="258">
        <f>SUM(T46:T47)</f>
        <v/>
      </c>
      <c r="U48" s="254" t="n"/>
      <c r="V48" s="254" t="n"/>
      <c r="W48" s="254" t="n"/>
      <c r="X48" s="254" t="n"/>
      <c r="Y48" s="254" t="n"/>
      <c r="Z48" s="254" t="n"/>
    </row>
    <row r="49" ht="16.5" customHeight="1" s="202">
      <c r="A49" s="245" t="n">
        <v>7</v>
      </c>
      <c r="B49" s="245" t="inlineStr">
        <is>
          <t>000030ZIK48020260929000874</t>
        </is>
      </c>
      <c r="C49" s="245" t="n">
        <v>620938</v>
      </c>
      <c r="D49" s="245" t="n">
        <v>620868</v>
      </c>
      <c r="E49" s="246" t="n">
        <v>46295</v>
      </c>
      <c r="F49" s="245" t="inlineStr">
        <is>
          <t>ID2609-8637</t>
        </is>
      </c>
      <c r="G49" s="246" t="n">
        <v>46293</v>
      </c>
      <c r="H49" s="247" t="n">
        <v>900</v>
      </c>
      <c r="I49" s="245" t="inlineStr">
        <is>
          <t>CMAU5630706</t>
        </is>
      </c>
      <c r="J49" s="245" t="inlineStr">
        <is>
          <t>40FT</t>
        </is>
      </c>
      <c r="K49" s="245" t="inlineStr">
        <is>
          <t>8IN GREEN TEA MF MATTRESS QN</t>
        </is>
      </c>
      <c r="L49" s="245" t="inlineStr">
        <is>
          <t>SCF-STR-800Q</t>
        </is>
      </c>
      <c r="M49" s="248" t="inlineStr">
        <is>
          <t>0993630566</t>
        </is>
      </c>
      <c r="N49" s="245" t="inlineStr">
        <is>
          <t>F.MFM.08Q.000.WS</t>
        </is>
      </c>
      <c r="O49" s="249" t="n">
        <v>21510</v>
      </c>
      <c r="P49" s="249" t="n">
        <v>19188</v>
      </c>
      <c r="Q49" s="250">
        <f>R49/H49</f>
        <v/>
      </c>
      <c r="R49" s="251" t="n">
        <v>84573</v>
      </c>
      <c r="S49" s="249" t="n">
        <v>17863</v>
      </c>
      <c r="T49" s="252">
        <f>S49*R49</f>
        <v/>
      </c>
      <c r="U49" s="245" t="inlineStr">
        <is>
          <t>040300/KPPBC</t>
        </is>
      </c>
      <c r="V49" s="245" t="inlineStr">
        <is>
          <t>TG. PRIOK</t>
        </is>
      </c>
      <c r="W49" s="245" t="inlineStr">
        <is>
          <t>LOS ANGELES, US</t>
        </is>
      </c>
      <c r="X49" s="245" t="inlineStr">
        <is>
          <t>WALMART, INC.</t>
        </is>
      </c>
      <c r="Y49" s="245" t="inlineStr">
        <is>
          <t>CMDUDJA1542713C</t>
        </is>
      </c>
      <c r="Z49" s="246" t="n">
        <v>46295</v>
      </c>
    </row>
    <row r="50" ht="16.5" customHeight="1" s="202">
      <c r="A50" s="245" t="n"/>
      <c r="B50" s="245" t="n"/>
      <c r="C50" s="245" t="n"/>
      <c r="D50" s="245" t="n"/>
      <c r="E50" s="245" t="n"/>
      <c r="F50" s="245" t="n"/>
      <c r="G50" s="245" t="n"/>
      <c r="H50" s="245" t="n"/>
      <c r="I50" s="245" t="inlineStr">
        <is>
          <t>MAGU5695271</t>
        </is>
      </c>
      <c r="J50" s="245" t="inlineStr">
        <is>
          <t>40FT</t>
        </is>
      </c>
      <c r="K50" s="245" t="n"/>
      <c r="L50" s="245" t="n"/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5" t="n"/>
      <c r="V50" s="245" t="n"/>
      <c r="W50" s="245" t="inlineStr">
        <is>
          <t>ETD : 06-10-2026</t>
        </is>
      </c>
      <c r="X50" s="245" t="n"/>
      <c r="Y50" s="245" t="n"/>
      <c r="Z50" s="245" t="n"/>
    </row>
    <row r="51" ht="17.1" customHeight="1" s="202">
      <c r="A51" s="254" t="n"/>
      <c r="B51" s="254" t="n"/>
      <c r="C51" s="254" t="n"/>
      <c r="D51" s="254" t="n"/>
      <c r="E51" s="254" t="n"/>
      <c r="F51" s="254" t="n"/>
      <c r="G51" s="254" t="n"/>
      <c r="H51" s="255">
        <f>SUM(H49:H50)</f>
        <v/>
      </c>
      <c r="I51" s="254">
        <f>COUNTA(I49:I50)</f>
        <v/>
      </c>
      <c r="J51" s="254" t="n"/>
      <c r="K51" s="254" t="n"/>
      <c r="L51" s="254" t="n"/>
      <c r="M51" s="254" t="n"/>
      <c r="N51" s="254" t="n"/>
      <c r="O51" s="256">
        <f>SUM(O49:O50)</f>
        <v/>
      </c>
      <c r="P51" s="256">
        <f>SUM(P49:P50)</f>
        <v/>
      </c>
      <c r="Q51" s="254" t="n"/>
      <c r="R51" s="257">
        <f>SUM(R49:R50)</f>
        <v/>
      </c>
      <c r="S51" s="254" t="n"/>
      <c r="T51" s="258">
        <f>SUM(T49:T50)</f>
        <v/>
      </c>
      <c r="U51" s="254" t="n"/>
      <c r="V51" s="254" t="n"/>
      <c r="W51" s="254" t="n"/>
      <c r="X51" s="254" t="n"/>
      <c r="Y51" s="254" t="n"/>
      <c r="Z51" s="254" t="n"/>
    </row>
    <row r="52" ht="16.5" customHeight="1" s="202">
      <c r="A52" s="245" t="n">
        <v>8</v>
      </c>
      <c r="B52" s="245" t="inlineStr">
        <is>
          <t>000030ZIK48020260930000875</t>
        </is>
      </c>
      <c r="C52" s="245" t="n">
        <v>500896</v>
      </c>
      <c r="D52" s="245" t="n">
        <v>500629</v>
      </c>
      <c r="E52" s="246" t="n">
        <v>46295</v>
      </c>
      <c r="F52" s="245" t="inlineStr">
        <is>
          <t>SPL/041/ZDI/IX/2026</t>
        </is>
      </c>
      <c r="G52" s="246" t="n">
        <v>46295</v>
      </c>
      <c r="H52" s="247" t="n">
        <v>3</v>
      </c>
      <c r="I52" s="245" t="inlineStr"/>
      <c r="J52" s="245" t="inlineStr"/>
      <c r="K52" s="245" t="inlineStr">
        <is>
          <t>FOAM CUTTING SAMPLE</t>
        </is>
      </c>
      <c r="L52" s="245" t="inlineStr">
        <is>
          <t>GT MF 40D</t>
        </is>
      </c>
      <c r="M52" s="248" t="inlineStr"/>
      <c r="N52" s="245" t="inlineStr">
        <is>
          <t>-</t>
        </is>
      </c>
      <c r="O52" s="249" t="n">
        <v>6.9</v>
      </c>
      <c r="P52" s="249" t="n">
        <v>4.65</v>
      </c>
      <c r="Q52" s="250">
        <f>R52/H52</f>
        <v/>
      </c>
      <c r="R52" s="251" t="n">
        <v>3.87</v>
      </c>
      <c r="S52" s="249" t="n">
        <v>17863</v>
      </c>
      <c r="T52" s="252">
        <f>S52*R52</f>
        <v/>
      </c>
      <c r="U52" s="245" t="inlineStr">
        <is>
          <t>050100/KPPBC</t>
        </is>
      </c>
      <c r="V52" s="245" t="inlineStr">
        <is>
          <t>S. HATTA</t>
        </is>
      </c>
      <c r="W52" s="245" t="inlineStr">
        <is>
          <t>HO CHI MINH CITY, US</t>
        </is>
      </c>
      <c r="X52" s="245" t="inlineStr">
        <is>
          <t>WANEK FURNITURE CO., LTD</t>
        </is>
      </c>
      <c r="Y52" s="245" t="inlineStr">
        <is>
          <t>877962373190</t>
        </is>
      </c>
      <c r="Z52" s="246" t="n">
        <v>46295</v>
      </c>
    </row>
    <row r="53" ht="16.5" customHeight="1" s="202">
      <c r="A53" s="245" t="n"/>
      <c r="B53" s="245" t="n"/>
      <c r="C53" s="245" t="n"/>
      <c r="D53" s="245" t="n"/>
      <c r="E53" s="245" t="n"/>
      <c r="F53" s="245" t="n"/>
      <c r="G53" s="245" t="n"/>
      <c r="H53" s="247" t="n">
        <v>3</v>
      </c>
      <c r="I53" s="245" t="inlineStr"/>
      <c r="J53" s="245" t="inlineStr"/>
      <c r="K53" s="245" t="inlineStr">
        <is>
          <t>FOAM CUTTING SAMPLE</t>
        </is>
      </c>
      <c r="L53" s="245" t="inlineStr">
        <is>
          <t>HD 26D (A)</t>
        </is>
      </c>
      <c r="M53" s="248" t="inlineStr"/>
      <c r="N53" s="245" t="inlineStr">
        <is>
          <t>-</t>
        </is>
      </c>
      <c r="O53" s="245" t="n"/>
      <c r="P53" s="245" t="n"/>
      <c r="Q53" s="250">
        <f>R53/H53</f>
        <v/>
      </c>
      <c r="R53" s="251" t="n">
        <v>2.73</v>
      </c>
      <c r="S53" s="249" t="n">
        <v>17863</v>
      </c>
      <c r="T53" s="252">
        <f>S53*R53</f>
        <v/>
      </c>
      <c r="U53" s="245" t="n"/>
      <c r="V53" s="245" t="n"/>
      <c r="W53" s="245" t="inlineStr">
        <is>
          <t>ETD : 07-10-2026</t>
        </is>
      </c>
      <c r="X53" s="245" t="n"/>
      <c r="Y53" s="245" t="n"/>
      <c r="Z53" s="245" t="n"/>
    </row>
    <row r="54" ht="17.1" customHeight="1" s="202">
      <c r="A54" s="254" t="n"/>
      <c r="B54" s="254" t="n"/>
      <c r="C54" s="254" t="n"/>
      <c r="D54" s="254" t="n"/>
      <c r="E54" s="254" t="n"/>
      <c r="F54" s="254" t="n"/>
      <c r="G54" s="254" t="n"/>
      <c r="H54" s="255">
        <f>SUM(H52:H53)</f>
        <v/>
      </c>
      <c r="I54" s="254">
        <f>COUNTA(I52:I53)</f>
        <v/>
      </c>
      <c r="J54" s="254" t="n"/>
      <c r="K54" s="254" t="n"/>
      <c r="L54" s="254" t="n"/>
      <c r="M54" s="254" t="n"/>
      <c r="N54" s="254" t="n"/>
      <c r="O54" s="256">
        <f>SUM(O52:O53)</f>
        <v/>
      </c>
      <c r="P54" s="256">
        <f>SUM(P52:P53)</f>
        <v/>
      </c>
      <c r="Q54" s="254" t="n"/>
      <c r="R54" s="257">
        <f>SUM(R52:R53)</f>
        <v/>
      </c>
      <c r="S54" s="254" t="n"/>
      <c r="T54" s="258">
        <f>SUM(T52:T53)</f>
        <v/>
      </c>
      <c r="U54" s="254" t="n"/>
      <c r="V54" s="254" t="n"/>
      <c r="W54" s="254" t="n"/>
      <c r="X54" s="254" t="n"/>
      <c r="Y54" s="254" t="n"/>
      <c r="Z54" s="254" t="n"/>
    </row>
    <row r="55" ht="8.1" customHeight="1" s="202"/>
    <row r="56" ht="20.1" customHeight="1" s="202">
      <c r="A56" s="259">
        <f>COUNT(A12:A55)</f>
        <v/>
      </c>
      <c r="B56" s="260" t="n"/>
      <c r="C56" s="260" t="n"/>
      <c r="D56" s="260" t="n"/>
      <c r="E56" s="260" t="n"/>
      <c r="F56" s="260" t="n"/>
      <c r="G56" s="260" t="n"/>
      <c r="H56" s="261">
        <f>SUM(H29,H36,H39,H42,H45,H48,H51,H54)</f>
        <v/>
      </c>
      <c r="I56" s="261">
        <f>SUM(I29,I36,I39,I42,I45,I48,I51,I54)</f>
        <v/>
      </c>
      <c r="J56" s="260" t="n"/>
      <c r="K56" s="260" t="n"/>
      <c r="L56" s="260" t="n"/>
      <c r="M56" s="260" t="n"/>
      <c r="N56" s="260" t="n"/>
      <c r="O56" s="262">
        <f>SUM(O29,O36,O39,O42,O45,O48,O51,O54)</f>
        <v/>
      </c>
      <c r="P56" s="262">
        <f>SUM(P29,P36,P39,P42,P45,P48,P51,P54)</f>
        <v/>
      </c>
      <c r="Q56" s="260" t="n"/>
      <c r="R56" s="263">
        <f>SUM(R29,R36,R39,R42,R45,R48,R51,R54)</f>
        <v/>
      </c>
      <c r="S56" s="260" t="n"/>
      <c r="T56" s="264">
        <f>SUM(T29,T36,T39,T42,T45,T48,T51,T54)</f>
        <v/>
      </c>
      <c r="U56" s="260" t="n"/>
      <c r="V56" s="260" t="n"/>
      <c r="W56" s="260" t="n"/>
      <c r="X56" s="260" t="n"/>
      <c r="Y56" s="260" t="n"/>
      <c r="Z56" s="260" t="n"/>
    </row>
    <row r="57" ht="17.1" customHeight="1" s="202"/>
    <row r="58" ht="17.1" customHeight="1" s="202">
      <c r="B58" s="265" t="inlineStr">
        <is>
          <t>Total Qty Export :</t>
        </is>
      </c>
      <c r="C58" s="266">
        <f>H56-C59</f>
        <v/>
      </c>
    </row>
    <row r="59" ht="17.1" customHeight="1" s="202">
      <c r="B59" s="267" t="inlineStr">
        <is>
          <t>Total Qty Export Sample :</t>
        </is>
      </c>
      <c r="C59" s="268" t="inlineStr"/>
    </row>
    <row r="61" ht="17.1" customHeight="1" s="202">
      <c r="A61" s="269" t="n"/>
      <c r="B61" s="270" t="n"/>
      <c r="C61" s="270" t="n"/>
      <c r="D61" s="271" t="n"/>
      <c r="U61" s="272" t="inlineStr">
        <is>
          <t>Tangerang, 30 September 2026</t>
        </is>
      </c>
    </row>
    <row r="62" ht="17.1" customHeight="1" s="202">
      <c r="A62" s="273" t="inlineStr">
        <is>
          <t>Total Document</t>
        </is>
      </c>
      <c r="C62" s="274">
        <f>A56</f>
        <v/>
      </c>
      <c r="D62" s="275" t="n"/>
      <c r="U62" s="272" t="inlineStr">
        <is>
          <t>Kasubsi Hanggar Pabean dan Cukai</t>
        </is>
      </c>
    </row>
    <row r="63" ht="17.1" customHeight="1" s="202">
      <c r="A63" s="273" t="inlineStr">
        <is>
          <t>Gross Weight</t>
        </is>
      </c>
      <c r="C63" s="276">
        <f>O56</f>
        <v/>
      </c>
      <c r="D63" s="275" t="n"/>
    </row>
    <row r="64" ht="17.1" customHeight="1" s="202">
      <c r="A64" s="273" t="inlineStr">
        <is>
          <t>Nett Weight</t>
        </is>
      </c>
      <c r="C64" s="276">
        <f>P56</f>
        <v/>
      </c>
      <c r="D64" s="275" t="n"/>
    </row>
    <row r="65" ht="17.1" customHeight="1" s="202">
      <c r="A65" s="273" t="inlineStr">
        <is>
          <t>Amount</t>
        </is>
      </c>
      <c r="C65" s="277">
        <f>R56</f>
        <v/>
      </c>
      <c r="D65" s="275" t="n"/>
    </row>
    <row r="66" ht="17.1" customHeight="1" s="202">
      <c r="A66" s="273" t="inlineStr">
        <is>
          <t>Jumlah Container</t>
        </is>
      </c>
      <c r="C66" s="278">
        <f>I56-C67</f>
        <v/>
      </c>
      <c r="D66" s="275" t="n"/>
    </row>
    <row r="67" ht="17.1" customHeight="1" s="202">
      <c r="A67" s="279" t="n"/>
      <c r="C67" s="280" t="inlineStr"/>
      <c r="D67" s="275" t="n"/>
    </row>
    <row r="68" ht="17.1" customHeight="1" s="202">
      <c r="A68" s="279" t="n"/>
      <c r="C68" s="281">
        <f>C66*2+C67</f>
        <v/>
      </c>
      <c r="D68" s="275" t="n"/>
    </row>
    <row r="69" ht="16.2" customHeight="1" s="202">
      <c r="A69" s="282" t="n"/>
      <c r="B69" s="283" t="n"/>
      <c r="C69" s="283" t="n"/>
      <c r="D69" s="284" t="n"/>
    </row>
  </sheetData>
  <autoFilter ref="A10:Z11">
    <filterColumn colId="2" hiddenButton="0" showButton="0"/>
    <filterColumn colId="8" hiddenButton="0" showButton="0"/>
  </autoFilter>
  <mergeCells count="26">
    <mergeCell ref="C62:D62"/>
    <mergeCell ref="C68:D68"/>
    <mergeCell ref="C64:D64"/>
    <mergeCell ref="E10:E11"/>
    <mergeCell ref="G10:G11"/>
    <mergeCell ref="M10:M11"/>
    <mergeCell ref="Y10:Y11"/>
    <mergeCell ref="Q10:Q11"/>
    <mergeCell ref="C10:D10"/>
    <mergeCell ref="C63:D63"/>
    <mergeCell ref="C65:D65"/>
    <mergeCell ref="I10:J11"/>
    <mergeCell ref="A6:Z6"/>
    <mergeCell ref="B10:B11"/>
    <mergeCell ref="A7:Z7"/>
    <mergeCell ref="L10:L11"/>
    <mergeCell ref="X10:X11"/>
    <mergeCell ref="N10:N11"/>
    <mergeCell ref="Z10:Z11"/>
    <mergeCell ref="A10:A11"/>
    <mergeCell ref="K10:K11"/>
    <mergeCell ref="C67:D67"/>
    <mergeCell ref="A8:Z8"/>
    <mergeCell ref="C66:D66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2026-09-30T09:53:58Z</dcterms:modified>
  <cp:lastModifiedBy>Chiswa Dian Hermansyah(ZINUS ZDI)</cp:lastModifiedBy>
</cp:coreProperties>
</file>