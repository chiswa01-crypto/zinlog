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33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67" fontId="4" fillId="0" borderId="13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24" fillId="6" borderId="15" applyAlignment="1" pivotButton="0" quotePrefix="1" xfId="4">
      <alignment horizontal="left" vertical="center"/>
    </xf>
    <xf numFmtId="49" fontId="25" fillId="6" borderId="15" applyAlignment="1" pivotButton="0" quotePrefix="0" xfId="5">
      <alignment horizontal="right" vertical="center"/>
    </xf>
    <xf numFmtId="49" fontId="24" fillId="0" borderId="12" applyAlignment="1" pivotButton="0" quotePrefix="1" xfId="4">
      <alignment horizontal="left" vertical="center"/>
    </xf>
    <xf numFmtId="49" fontId="25" fillId="0" borderId="12" applyAlignment="1" pivotButton="0" quotePrefix="1" xfId="5">
      <alignment horizontal="right" vertical="center"/>
    </xf>
    <xf numFmtId="0" fontId="24" fillId="0" borderId="12" applyAlignment="1" pivotButton="0" quotePrefix="0" xfId="5">
      <alignment horizontal="left" vertical="center"/>
    </xf>
    <xf numFmtId="1" fontId="25" fillId="0" borderId="13" applyAlignment="1" pivotButton="0" quotePrefix="1" xfId="4">
      <alignment horizontal="center" vertical="center" wrapText="1"/>
    </xf>
    <xf numFmtId="49" fontId="25" fillId="0" borderId="13" applyAlignment="1" pivotButton="0" quotePrefix="1" xfId="5">
      <alignment horizontal="center" vertical="center" wrapText="1"/>
    </xf>
    <xf numFmtId="1" fontId="25" fillId="2" borderId="15" applyAlignment="1" pivotButton="0" quotePrefix="1" xfId="4">
      <alignment horizontal="center" vertical="center" wrapText="1"/>
    </xf>
    <xf numFmtId="49" fontId="25" fillId="2" borderId="15" applyAlignment="1" pivotButton="0" quotePrefix="0" xfId="5">
      <alignment horizontal="center" vertical="center"/>
    </xf>
    <xf numFmtId="1" fontId="25" fillId="0" borderId="12" applyAlignment="1" pivotButton="0" quotePrefix="1" xfId="4">
      <alignment horizontal="center" vertical="center" wrapText="1"/>
    </xf>
    <xf numFmtId="49" fontId="25" fillId="0" borderId="12" applyAlignment="1" pivotButton="0" quotePrefix="1" xfId="5">
      <alignment horizontal="center" vertical="center" wrapText="1"/>
    </xf>
    <xf numFmtId="1" fontId="25" fillId="0" borderId="9" applyAlignment="1" pivotButton="0" quotePrefix="1" xfId="4">
      <alignment horizontal="center" vertical="center"/>
    </xf>
    <xf numFmtId="164" fontId="25" fillId="3" borderId="1" applyAlignment="1" pivotButton="0" quotePrefix="1" xfId="8">
      <alignment horizontal="center" vertical="center" wrapText="1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3" fontId="21" fillId="0" borderId="23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000030ZIK48020260729000542</t>
        </is>
      </c>
      <c r="C12" s="81" t="n">
        <v>472028</v>
      </c>
      <c r="D12" s="81" t="n">
        <v>471992</v>
      </c>
      <c r="E12" s="258" t="n">
        <v>46233</v>
      </c>
      <c r="F12" s="82" t="inlineStr">
        <is>
          <t>ID2607-7962</t>
        </is>
      </c>
      <c r="G12" s="258" t="n">
        <v>46232</v>
      </c>
      <c r="H12" s="83" t="n">
        <v>693</v>
      </c>
      <c r="I12" s="42" t="inlineStr">
        <is>
          <t>TLLU5275270</t>
        </is>
      </c>
      <c r="J12" s="42" t="inlineStr">
        <is>
          <t>40FT</t>
        </is>
      </c>
      <c r="K12" s="44" t="inlineStr">
        <is>
          <t>8IN GREEN TEA MF MATTRESS TW</t>
        </is>
      </c>
      <c r="L12" s="84" t="inlineStr">
        <is>
          <t>SCF-STR-800T</t>
        </is>
      </c>
      <c r="M12" s="85" t="inlineStr">
        <is>
          <t>0993631128</t>
        </is>
      </c>
      <c r="N12" s="44" t="inlineStr">
        <is>
          <t>F.MFM.08T.000.WS</t>
        </is>
      </c>
      <c r="O12" s="86" t="n">
        <v>10526.67</v>
      </c>
      <c r="P12" s="86" t="n">
        <v>9140.67</v>
      </c>
      <c r="Q12" s="259">
        <f>IFERROR(R12/H12, 0)</f>
        <v/>
      </c>
      <c r="R12" s="260" t="n">
        <v>42619.5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NORFOLK</t>
        </is>
      </c>
      <c r="X12" s="51" t="inlineStr">
        <is>
          <t>WALMART, INC.</t>
        </is>
      </c>
      <c r="Y12" s="52" t="inlineStr">
        <is>
          <t>HLCUJK1260743840</t>
        </is>
      </c>
      <c r="Z12" s="258" t="n">
        <v>46233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/>
      <c r="I13" s="42" t="n"/>
      <c r="J13" s="42" t="n"/>
      <c r="K13" s="44" t="n"/>
      <c r="L13" s="84" t="n"/>
      <c r="M13" s="85" t="n"/>
      <c r="N13" s="44" t="n"/>
      <c r="O13" s="86" t="n"/>
      <c r="P13" s="86" t="n"/>
      <c r="Q13" s="259" t="n"/>
      <c r="R13" s="260" t="n"/>
      <c r="S13" s="261" t="n"/>
      <c r="T13" s="261" t="n"/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7.1" customFormat="1" customHeight="1" s="257">
      <c r="A14" s="64" t="n"/>
      <c r="B14" s="65" t="n"/>
      <c r="C14" s="262" t="n"/>
      <c r="D14" s="262" t="n"/>
      <c r="E14" s="263" t="n"/>
      <c r="F14" s="263" t="n"/>
      <c r="G14" s="263" t="n"/>
      <c r="H14" s="264">
        <f>SUM(H12:H13)</f>
        <v/>
      </c>
      <c r="I14" s="69">
        <f>COUNTA(I12:I13)</f>
        <v/>
      </c>
      <c r="J14" s="68" t="n"/>
      <c r="K14" s="68" t="n"/>
      <c r="L14" s="265" t="n"/>
      <c r="M14" s="266" t="n"/>
      <c r="N14" s="68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68" t="n"/>
      <c r="V14" s="75" t="n"/>
      <c r="W14" s="76" t="n"/>
      <c r="X14" s="77" t="n"/>
      <c r="Y14" s="271" t="n"/>
      <c r="Z14" s="272" t="n"/>
    </row>
    <row r="15" ht="16.5" customFormat="1" customHeight="1" s="257">
      <c r="A15" s="79">
        <f>COUNT(A12:A14)</f>
        <v/>
      </c>
      <c r="B15" s="80" t="n"/>
      <c r="C15" s="81" t="n"/>
      <c r="D15" s="81" t="n"/>
      <c r="E15" s="258" t="n"/>
      <c r="F15" s="82" t="n"/>
      <c r="G15" s="258" t="n"/>
      <c r="H15" s="83">
        <f>SUM(H14)</f>
        <v/>
      </c>
      <c r="I15" s="42">
        <f>SUM(I14)</f>
        <v/>
      </c>
      <c r="J15" s="42" t="n"/>
      <c r="K15" s="44" t="n"/>
      <c r="L15" s="84" t="n"/>
      <c r="M15" s="85" t="n"/>
      <c r="N15" s="44" t="n"/>
      <c r="O15" s="86">
        <f>SUM(O14)</f>
        <v/>
      </c>
      <c r="P15" s="86">
        <f>SUM(P14)</f>
        <v/>
      </c>
      <c r="Q15" s="259" t="n"/>
      <c r="R15" s="260">
        <f>SUM(R14)</f>
        <v/>
      </c>
      <c r="S15" s="261" t="n"/>
      <c r="T15" s="261">
        <f>SUM(T14)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54" t="n"/>
      <c r="B16" s="55" t="n"/>
      <c r="C16" s="56" t="n"/>
      <c r="D16" s="56" t="n"/>
      <c r="E16" s="273" t="n"/>
      <c r="F16" s="58" t="n"/>
      <c r="G16" s="273" t="n"/>
      <c r="H16" s="88" t="n"/>
      <c r="I16" s="59" t="n"/>
      <c r="J16" s="42" t="n"/>
      <c r="K16" s="60" t="n"/>
      <c r="L16" s="43" t="n"/>
      <c r="M16" s="85" t="n"/>
      <c r="N16" s="44" t="n"/>
      <c r="O16" s="61" t="n"/>
      <c r="P16" s="61" t="n"/>
      <c r="Q16" s="259" t="n"/>
      <c r="R16" s="274" t="n"/>
      <c r="S16" s="261" t="n"/>
      <c r="T16" s="261" t="n"/>
      <c r="U16" s="48" t="n"/>
      <c r="V16" s="49" t="n"/>
      <c r="W16" s="50" t="n"/>
      <c r="X16" s="62" t="n"/>
      <c r="Y16" s="63" t="n"/>
      <c r="Z16" s="273" t="n"/>
    </row>
    <row r="17" ht="20" customFormat="1" customHeight="1" s="275">
      <c r="A17" s="64" t="n"/>
      <c r="B17" s="276" t="inlineStr">
        <is>
          <t>Total Qty Export :</t>
        </is>
      </c>
      <c r="C17" s="277">
        <f>H15-C18</f>
        <v/>
      </c>
      <c r="D17" s="66" t="n"/>
      <c r="E17" s="67" t="n"/>
      <c r="F17" s="67" t="n"/>
      <c r="G17" s="67" t="n"/>
      <c r="H17" s="68" t="n"/>
      <c r="I17" s="69" t="n"/>
      <c r="J17" s="68" t="n"/>
      <c r="K17" s="68" t="n"/>
      <c r="L17" s="70" t="n"/>
      <c r="M17" s="68" t="n"/>
      <c r="N17" s="68" t="n"/>
      <c r="O17" s="267" t="n"/>
      <c r="P17" s="267" t="n"/>
      <c r="Q17" s="268" t="n"/>
      <c r="R17" s="269" t="n"/>
      <c r="S17" s="270" t="n"/>
      <c r="T17" s="270" t="n"/>
      <c r="U17" s="68" t="n"/>
      <c r="V17" s="75" t="n"/>
      <c r="W17" s="76" t="n"/>
      <c r="X17" s="77" t="n"/>
      <c r="Y17" s="77" t="n"/>
      <c r="Z17" s="77" t="n"/>
    </row>
    <row r="18" ht="20" customFormat="1" customHeight="1" s="257">
      <c r="A18" s="79" t="n"/>
      <c r="B18" s="278" t="inlineStr">
        <is>
          <t>Total Qty Export Sample :</t>
        </is>
      </c>
      <c r="C18" s="279" t="n">
        <v>0</v>
      </c>
      <c r="D18" s="81" t="n"/>
      <c r="E18" s="258" t="n"/>
      <c r="F18" s="82" t="n"/>
      <c r="G18" s="258" t="n"/>
      <c r="H18" s="83" t="n"/>
      <c r="I18" s="42" t="n"/>
      <c r="J18" s="42" t="n"/>
      <c r="K18" s="44" t="n"/>
      <c r="L18" s="84" t="n"/>
      <c r="M18" s="85" t="n"/>
      <c r="N18" s="44" t="n"/>
      <c r="O18" s="86" t="n"/>
      <c r="P18" s="86" t="n"/>
      <c r="Q18" s="259" t="n"/>
      <c r="R18" s="260" t="n"/>
      <c r="S18" s="261" t="n"/>
      <c r="T18" s="261" t="n"/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54" t="n"/>
      <c r="B19" s="55" t="n"/>
      <c r="C19" s="56" t="n"/>
      <c r="D19" s="56" t="n"/>
      <c r="E19" s="273" t="n"/>
      <c r="F19" s="58" t="n"/>
      <c r="G19" s="273" t="n"/>
      <c r="H19" s="88" t="n"/>
      <c r="I19" s="59" t="n"/>
      <c r="J19" s="42" t="n"/>
      <c r="K19" s="60" t="n"/>
      <c r="L19" s="43" t="n"/>
      <c r="M19" s="85" t="n"/>
      <c r="N19" s="44" t="n"/>
      <c r="O19" s="61" t="n"/>
      <c r="P19" s="61" t="n"/>
      <c r="Q19" s="259" t="n"/>
      <c r="R19" s="274" t="n"/>
      <c r="S19" s="261" t="n"/>
      <c r="T19" s="261" t="n"/>
      <c r="U19" s="48" t="n"/>
      <c r="V19" s="49" t="n"/>
      <c r="W19" s="50" t="n"/>
      <c r="X19" s="62" t="n"/>
      <c r="Y19" s="63" t="n"/>
      <c r="Z19" s="273" t="n"/>
    </row>
    <row r="20" ht="20" customFormat="1" customHeight="1" s="257">
      <c r="A20" s="54" t="n"/>
      <c r="B20" s="55" t="n"/>
      <c r="C20" s="56" t="n"/>
      <c r="D20" s="56" t="n"/>
      <c r="E20" s="273" t="n"/>
      <c r="F20" s="58" t="n"/>
      <c r="G20" s="273" t="n"/>
      <c r="H20" s="88" t="n"/>
      <c r="I20" s="59" t="n"/>
      <c r="J20" s="42" t="n"/>
      <c r="K20" s="60" t="n"/>
      <c r="L20" s="43" t="n"/>
      <c r="M20" s="85" t="n"/>
      <c r="N20" s="44" t="n"/>
      <c r="O20" s="61" t="n"/>
      <c r="P20" s="61" t="n"/>
      <c r="Q20" s="259" t="n"/>
      <c r="R20" s="274" t="n"/>
      <c r="S20" s="261" t="n"/>
      <c r="T20" s="261" t="n"/>
      <c r="U20" s="280" t="inlineStr">
        <is>
          <t>Tangerang, 30 July 2026</t>
        </is>
      </c>
      <c r="V20" s="49" t="n"/>
      <c r="W20" s="50" t="n"/>
      <c r="X20" s="62" t="n"/>
      <c r="Y20" s="63" t="n"/>
      <c r="Z20" s="273" t="n"/>
    </row>
    <row r="21" ht="20" customFormat="1" customHeight="1" s="257">
      <c r="A21" s="281" t="inlineStr">
        <is>
          <t>Total Document</t>
        </is>
      </c>
      <c r="B21" s="55" t="n"/>
      <c r="C21" s="282">
        <f>A15</f>
        <v/>
      </c>
      <c r="D21" s="56" t="n"/>
      <c r="E21" s="273" t="n"/>
      <c r="F21" s="58" t="n"/>
      <c r="G21" s="273" t="n"/>
      <c r="H21" s="88" t="n"/>
      <c r="I21" s="59" t="n"/>
      <c r="J21" s="42" t="n"/>
      <c r="K21" s="60" t="n"/>
      <c r="L21" s="43" t="n"/>
      <c r="M21" s="85" t="n"/>
      <c r="N21" s="44" t="n"/>
      <c r="O21" s="61" t="n"/>
      <c r="P21" s="61" t="n"/>
      <c r="Q21" s="259" t="n"/>
      <c r="R21" s="274" t="n"/>
      <c r="S21" s="261" t="n"/>
      <c r="T21" s="261" t="n"/>
      <c r="U21" s="280" t="inlineStr">
        <is>
          <t>Kasubsi Hanggar Pabean dan Cukai</t>
        </is>
      </c>
      <c r="V21" s="49" t="n"/>
      <c r="W21" s="50" t="n"/>
      <c r="X21" s="62" t="n"/>
      <c r="Y21" s="63" t="n"/>
      <c r="Z21" s="273" t="n"/>
    </row>
    <row r="22" ht="20" customFormat="1" customHeight="1" s="257">
      <c r="A22" s="281" t="inlineStr">
        <is>
          <t>Gross Weight</t>
        </is>
      </c>
      <c r="B22" s="55" t="n"/>
      <c r="C22" s="282">
        <f>O15</f>
        <v/>
      </c>
      <c r="D22" s="56" t="n"/>
      <c r="E22" s="273" t="n"/>
      <c r="F22" s="58" t="n"/>
      <c r="G22" s="273" t="n"/>
      <c r="H22" s="88" t="n"/>
      <c r="I22" s="59" t="n"/>
      <c r="J22" s="42" t="n"/>
      <c r="K22" s="60" t="n"/>
      <c r="L22" s="43" t="n"/>
      <c r="M22" s="85" t="n"/>
      <c r="N22" s="44" t="n"/>
      <c r="O22" s="61" t="n"/>
      <c r="P22" s="61" t="n"/>
      <c r="Q22" s="259" t="n"/>
      <c r="R22" s="274" t="n"/>
      <c r="S22" s="261" t="n"/>
      <c r="T22" s="261" t="n"/>
      <c r="U22" s="48" t="n"/>
      <c r="V22" s="49" t="n"/>
      <c r="W22" s="50" t="n"/>
      <c r="X22" s="62" t="n"/>
      <c r="Y22" s="63" t="n"/>
      <c r="Z22" s="273" t="n"/>
    </row>
    <row r="23" ht="20" customFormat="1" customHeight="1" s="275">
      <c r="A23" s="283" t="inlineStr">
        <is>
          <t>Nett Weight</t>
        </is>
      </c>
      <c r="B23" s="65" t="n"/>
      <c r="C23" s="284">
        <f>P15</f>
        <v/>
      </c>
      <c r="D23" s="66" t="n"/>
      <c r="E23" s="67" t="n"/>
      <c r="F23" s="67" t="n"/>
      <c r="G23" s="67" t="n"/>
      <c r="H23" s="68" t="n"/>
      <c r="I23" s="69" t="n"/>
      <c r="J23" s="68" t="n"/>
      <c r="K23" s="68" t="n"/>
      <c r="L23" s="70" t="n"/>
      <c r="M23" s="68" t="n"/>
      <c r="N23" s="68" t="n"/>
      <c r="O23" s="267" t="n"/>
      <c r="P23" s="267" t="n"/>
      <c r="Q23" s="268" t="n"/>
      <c r="R23" s="269" t="n"/>
      <c r="S23" s="270" t="n"/>
      <c r="T23" s="270" t="n"/>
      <c r="U23" s="68" t="n"/>
      <c r="V23" s="75" t="n"/>
      <c r="W23" s="76" t="n"/>
      <c r="X23" s="77" t="n"/>
      <c r="Y23" s="77" t="n"/>
      <c r="Z23" s="77" t="n"/>
    </row>
    <row r="24" ht="20" customFormat="1" customHeight="1" s="275">
      <c r="A24" s="285" t="inlineStr">
        <is>
          <t>Amount</t>
        </is>
      </c>
      <c r="B24" s="80" t="n"/>
      <c r="C24" s="286">
        <f>R15</f>
        <v/>
      </c>
      <c r="D24" s="81" t="n"/>
      <c r="E24" s="258" t="n"/>
      <c r="F24" s="82" t="n"/>
      <c r="G24" s="258" t="n"/>
      <c r="H24" s="83" t="n"/>
      <c r="I24" s="42" t="n"/>
      <c r="J24" s="42" t="n"/>
      <c r="K24" s="44" t="n"/>
      <c r="L24" s="84" t="n"/>
      <c r="M24" s="42" t="n"/>
      <c r="N24" s="44" t="n"/>
      <c r="O24" s="86" t="n"/>
      <c r="P24" s="86" t="n"/>
      <c r="Q24" s="259" t="n"/>
      <c r="R24" s="260" t="n"/>
      <c r="S24" s="261" t="n"/>
      <c r="T24" s="261" t="n"/>
      <c r="U24" s="48" t="n"/>
      <c r="V24" s="49" t="n"/>
      <c r="W24" s="50" t="n"/>
      <c r="X24" s="51" t="n"/>
      <c r="Y24" s="52" t="n"/>
      <c r="Z24" s="258" t="n"/>
    </row>
    <row r="25" ht="20" customHeight="1" s="223" thickBot="1">
      <c r="A25" s="287" t="inlineStr">
        <is>
          <t>Jumlah Container</t>
        </is>
      </c>
      <c r="B25" s="90" t="n"/>
      <c r="C25" s="288">
        <f>I15</f>
        <v/>
      </c>
      <c r="D25" s="92" t="n"/>
      <c r="E25" s="289" t="n"/>
      <c r="F25" s="290" t="n"/>
      <c r="G25" s="290" t="n"/>
      <c r="H25" s="95" t="n"/>
      <c r="I25" s="19" t="n"/>
      <c r="J25" s="19" t="n"/>
      <c r="K25" s="225" t="n"/>
      <c r="L25" s="225" t="n"/>
      <c r="M25" s="225" t="n"/>
      <c r="N25" s="226" t="n"/>
      <c r="O25" s="291" t="n"/>
      <c r="P25" s="291" t="n"/>
      <c r="Q25" s="292" t="n"/>
      <c r="R25" s="293" t="n"/>
      <c r="S25" s="294" t="n"/>
      <c r="T25" s="294" t="n"/>
      <c r="U25" s="295" t="n"/>
      <c r="V25" s="295" t="n"/>
      <c r="W25" s="295" t="n"/>
      <c r="X25" s="101" t="n"/>
      <c r="Y25" s="129" t="n"/>
      <c r="Z25" s="129" t="n"/>
    </row>
    <row r="26" ht="20.1" customFormat="1" customHeight="1" s="231" thickBot="1">
      <c r="A26" s="103" t="n"/>
      <c r="B26" s="104" t="n"/>
      <c r="C26" s="296" t="n"/>
      <c r="D26" s="297" t="n"/>
      <c r="E26" s="297" t="n"/>
      <c r="F26" s="297" t="n"/>
      <c r="G26" s="297" t="n"/>
      <c r="H26" s="107" t="n"/>
      <c r="I26" s="107" t="n"/>
      <c r="J26" s="108" t="n"/>
      <c r="K26" s="298" t="n"/>
      <c r="L26" s="299" t="n"/>
      <c r="M26" s="300" t="n"/>
      <c r="N26" s="301" t="n"/>
      <c r="O26" s="113" t="n"/>
      <c r="P26" s="113" t="n"/>
      <c r="Q26" s="302" t="n"/>
      <c r="R26" s="303" t="n"/>
      <c r="S26" s="304" t="n"/>
      <c r="T26" s="305" t="n"/>
      <c r="U26" s="118" t="n"/>
      <c r="V26" s="118" t="n"/>
      <c r="W26" s="118" t="n"/>
      <c r="X26" s="118" t="n"/>
      <c r="Y26" s="119" t="n"/>
      <c r="Z26" s="119" t="n"/>
    </row>
    <row r="27" ht="17.1" customHeight="1" s="223">
      <c r="A27" s="120" t="n"/>
      <c r="B27" s="121" t="n"/>
      <c r="C27" s="122" t="n"/>
      <c r="E27" s="123" t="n"/>
      <c r="F27" s="124" t="n"/>
      <c r="G27" s="124" t="n"/>
      <c r="H27" s="306" t="n"/>
      <c r="I27" s="306" t="n"/>
      <c r="J27" s="307" t="n"/>
      <c r="K27" s="221" t="n"/>
      <c r="L27" s="221" t="n"/>
      <c r="M27" s="221" t="n"/>
      <c r="N27" s="308" t="n"/>
      <c r="Q27" s="309" t="n"/>
      <c r="U27" s="129" t="n"/>
      <c r="V27" s="129" t="n"/>
      <c r="W27" s="129" t="n"/>
      <c r="X27" s="129" t="n"/>
      <c r="Y27" s="129" t="n"/>
      <c r="Z27" s="129" t="n"/>
    </row>
    <row r="28" ht="17.1" customHeight="1" s="223">
      <c r="A28" s="120" t="n"/>
      <c r="B28" s="130" t="n"/>
      <c r="C28" s="131" t="n"/>
      <c r="E28" s="123" t="n"/>
      <c r="F28" s="124" t="n"/>
      <c r="G28" s="124" t="n"/>
      <c r="H28" s="307" t="n"/>
      <c r="I28" s="307" t="n"/>
      <c r="J28" s="307" t="n"/>
      <c r="K28" s="221" t="n"/>
      <c r="L28" s="221" t="n"/>
      <c r="M28" s="221" t="n"/>
      <c r="N28" s="308" t="n"/>
      <c r="Q28" s="309" t="n"/>
      <c r="U28" s="129" t="n"/>
      <c r="V28" s="129" t="n"/>
      <c r="W28" s="129" t="n"/>
      <c r="X28" s="129" t="n"/>
      <c r="Y28" s="129" t="n"/>
      <c r="Z28" s="129" t="n"/>
    </row>
    <row r="29" ht="17.1" customHeight="1" s="223">
      <c r="A29" s="120" t="n"/>
      <c r="B29" s="132" t="n"/>
      <c r="C29" s="133" t="n"/>
      <c r="E29" s="123" t="n"/>
      <c r="F29" s="124" t="n"/>
      <c r="G29" s="124" t="n"/>
      <c r="H29" s="310" t="n"/>
      <c r="I29" s="310" t="n"/>
      <c r="J29" s="307" t="n"/>
      <c r="T29" s="311" t="n"/>
      <c r="V29" s="129" t="n"/>
      <c r="W29" s="129" t="n"/>
      <c r="X29" s="129" t="n"/>
      <c r="Y29" s="129" t="n"/>
      <c r="Z29" s="129" t="n"/>
    </row>
    <row r="30" ht="17.1" customHeight="1" s="223" thickBot="1">
      <c r="A30" s="120" t="n"/>
      <c r="B30" s="136" t="n"/>
      <c r="C30" s="122" t="n"/>
      <c r="D30" s="122" t="n"/>
      <c r="E30" s="123" t="n"/>
      <c r="F30" s="124" t="n"/>
      <c r="G30" s="124" t="n"/>
      <c r="H30" s="307" t="n"/>
      <c r="I30" s="307" t="n"/>
      <c r="J30" s="307" t="n"/>
      <c r="K30" s="221" t="n"/>
      <c r="L30" s="221" t="n"/>
      <c r="M30" s="221" t="n"/>
      <c r="R30" s="312" t="n"/>
      <c r="S30" s="311" t="n"/>
      <c r="U30" s="138" t="n"/>
    </row>
    <row r="31" ht="17.1" customHeight="1" s="223" thickTop="1">
      <c r="A31" s="139" t="n"/>
      <c r="B31" s="140" t="n"/>
      <c r="C31" s="141" t="n"/>
      <c r="D31" s="142" t="n"/>
      <c r="E31" s="143" t="n"/>
      <c r="F31" s="144" t="n"/>
      <c r="G31" s="144" t="n"/>
      <c r="H31" s="145" t="n"/>
      <c r="I31" s="145" t="n"/>
      <c r="K31" s="221" t="n"/>
      <c r="L31" s="221" t="n"/>
      <c r="M31" s="221" t="n"/>
      <c r="N31" s="308" t="n"/>
      <c r="P31" s="313" t="n"/>
      <c r="Q31" s="314" t="n"/>
      <c r="R31" s="312" t="n"/>
      <c r="S31" s="311" t="n"/>
      <c r="T31" s="311" t="n"/>
      <c r="U31" s="148" t="n"/>
    </row>
    <row r="32" ht="17.1" customHeight="1" s="223">
      <c r="A32" s="149" t="n"/>
      <c r="B32" s="150" t="n"/>
      <c r="C32" s="315" t="n"/>
      <c r="G32" s="144" t="n"/>
      <c r="H32" s="151" t="n"/>
      <c r="I32" s="151" t="n"/>
      <c r="K32" s="221" t="n"/>
      <c r="L32" s="221" t="n"/>
      <c r="M32" s="221" t="n"/>
      <c r="N32" s="308" t="n"/>
      <c r="P32" s="313" t="n"/>
      <c r="Q32" s="314" t="n"/>
      <c r="R32" s="312" t="n"/>
      <c r="S32" s="311" t="n"/>
      <c r="T32" s="311" t="n"/>
      <c r="U32" s="148" t="n"/>
    </row>
    <row r="33" ht="17.1" customHeight="1" s="223">
      <c r="A33" s="149" t="n"/>
      <c r="B33" s="152" t="n"/>
      <c r="C33" s="316" t="n"/>
      <c r="H33" s="153" t="n"/>
      <c r="I33" s="154" t="n"/>
      <c r="K33" s="221" t="n"/>
      <c r="L33" s="221" t="n"/>
      <c r="M33" s="221" t="n"/>
      <c r="N33" s="308" t="n"/>
      <c r="P33" s="317" t="n"/>
      <c r="Q33" s="318" t="n"/>
      <c r="R33" s="319" t="n"/>
      <c r="S33" s="320" t="n"/>
      <c r="T33" s="320" t="n"/>
      <c r="U33" s="4" t="n"/>
    </row>
    <row r="34" ht="17.1" customHeight="1" s="223">
      <c r="A34" s="149" t="n"/>
      <c r="B34" s="152" t="n"/>
      <c r="C34" s="316" t="n"/>
      <c r="K34" s="221" t="n"/>
      <c r="L34" s="221" t="n"/>
      <c r="M34" s="221" t="n"/>
      <c r="N34" s="308" t="n"/>
      <c r="P34" s="317" t="n"/>
      <c r="Q34" s="318" t="n"/>
      <c r="R34" s="319" t="n"/>
      <c r="S34" s="320" t="n"/>
      <c r="T34" s="320" t="n"/>
      <c r="U34" s="4" t="n"/>
    </row>
    <row r="35" ht="17.1" customHeight="1" s="223">
      <c r="A35" s="149" t="n"/>
      <c r="B35" s="152" t="n"/>
      <c r="C35" s="321" t="n"/>
      <c r="K35" s="221" t="n"/>
      <c r="L35" s="221" t="n"/>
      <c r="M35" s="221" t="n"/>
      <c r="N35" s="308" t="n"/>
      <c r="P35" s="317" t="n"/>
      <c r="Q35" s="318" t="n"/>
      <c r="R35" s="319" t="n"/>
      <c r="S35" s="320" t="n"/>
      <c r="T35" s="320" t="n"/>
      <c r="U35" s="159" t="n"/>
    </row>
    <row r="36" ht="17.1" customHeight="1" s="223">
      <c r="A36" s="149" t="n"/>
      <c r="B36" s="152" t="n"/>
      <c r="C36" s="322" t="n"/>
      <c r="K36" s="221" t="n"/>
      <c r="L36" s="221" t="n"/>
      <c r="M36" s="221" t="n"/>
      <c r="N36" s="308" t="n"/>
      <c r="P36" s="317" t="n"/>
      <c r="Q36" s="318" t="n"/>
      <c r="R36" s="319" t="n"/>
      <c r="S36" s="320" t="n"/>
      <c r="T36" s="320" t="n"/>
      <c r="U36" s="148" t="n"/>
    </row>
    <row r="37" ht="17.1" customHeight="1" s="223">
      <c r="A37" s="149" t="n"/>
      <c r="B37" s="152" t="n"/>
      <c r="C37" s="323" t="n"/>
      <c r="K37" s="221" t="n"/>
      <c r="L37" s="221" t="n"/>
      <c r="M37" s="221" t="n"/>
      <c r="N37" s="308" t="n"/>
      <c r="P37" s="317" t="n"/>
      <c r="Q37" s="318" t="n"/>
      <c r="R37" s="319" t="n"/>
      <c r="S37" s="320" t="n"/>
      <c r="T37" s="320" t="n"/>
      <c r="U37" s="148" t="n"/>
    </row>
    <row r="38" ht="17.1" customHeight="1" s="223">
      <c r="A38" s="160" t="n"/>
      <c r="B38" s="152" t="n"/>
      <c r="C38" s="324" t="n"/>
      <c r="K38" s="221" t="n"/>
      <c r="L38" s="221" t="n"/>
      <c r="M38" s="221" t="n"/>
      <c r="N38" s="308" t="n"/>
    </row>
    <row r="39" ht="16.2" customHeight="1" s="223" thickBot="1">
      <c r="A39" s="161" t="n"/>
      <c r="B39" s="162" t="n"/>
      <c r="C39" s="163" t="n"/>
      <c r="D39" s="164" t="n"/>
    </row>
    <row r="40" ht="16.2" customFormat="1" customHeight="1" s="17" thickTop="1">
      <c r="B40" s="6" t="n"/>
      <c r="C40" s="3" t="n"/>
      <c r="D40" s="3" t="n"/>
      <c r="E40" s="4" t="n"/>
      <c r="F40" s="5" t="n"/>
      <c r="G40" s="5" t="n"/>
      <c r="H40" s="6" t="n"/>
      <c r="I40" s="6" t="n"/>
      <c r="J40" s="6" t="n"/>
      <c r="K40" s="215" t="n"/>
      <c r="L40" s="215" t="n"/>
      <c r="M40" s="215" t="n"/>
      <c r="N40" s="216" t="n"/>
      <c r="O40" s="217" t="n"/>
      <c r="P40" s="217" t="n"/>
      <c r="Q40" s="218" t="n"/>
      <c r="R40" s="219" t="n"/>
      <c r="S40" s="220" t="n"/>
      <c r="T40" s="220" t="n"/>
      <c r="U40" s="221" t="n"/>
      <c r="V40" s="221" t="n"/>
      <c r="W40" s="221" t="n"/>
      <c r="X40" s="221" t="n"/>
      <c r="Y40" s="221" t="n"/>
      <c r="Z40" s="221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25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26" t="n"/>
      <c r="L333" s="326" t="n"/>
      <c r="M333" s="326" t="n"/>
      <c r="N333" s="327" t="n"/>
      <c r="O333" s="328" t="n"/>
      <c r="P333" s="328" t="n"/>
      <c r="Q333" s="329" t="n"/>
      <c r="R333" s="330" t="n"/>
      <c r="S333" s="331" t="n"/>
      <c r="T333" s="331" t="n"/>
      <c r="U333" s="332" t="n"/>
      <c r="V333" s="332" t="n"/>
      <c r="W333" s="332" t="n"/>
      <c r="X333" s="332" t="n"/>
      <c r="Y333" s="332" t="n"/>
      <c r="Z333" s="332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2026-07-30T15:00:58Z</dcterms:modified>
  <cp:lastModifiedBy>Chiswa Dian Hermansyah(ZINUS ZDI)</cp:lastModifiedBy>
</cp:coreProperties>
</file>