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9" fillId="0" borderId="0" applyAlignment="1" pivotButton="0" quotePrefix="0" xfId="4">
      <alignment vertical="center" wrapText="1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21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n">
        <v>450515</v>
      </c>
      <c r="D12" s="260" t="n">
        <v>450465</v>
      </c>
      <c r="E12" s="261" t="n">
        <v>46225</v>
      </c>
      <c r="F12" s="262" t="inlineStr">
        <is>
          <t>ID2607-7885</t>
        </is>
      </c>
      <c r="G12" s="261" t="n">
        <v>46223</v>
      </c>
      <c r="H12" s="263" t="n">
        <v>850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F.MFM.06F.001.BD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TANJUNG PRIOK</t>
        </is>
      </c>
      <c r="W12" s="272" t="inlineStr">
        <is>
          <t>Ekspor</t>
        </is>
      </c>
      <c r="X12" s="263" t="inlineStr"/>
      <c r="Y12" s="271" t="inlineStr">
        <is>
          <t>EGLV080600441901</t>
        </is>
      </c>
      <c r="Z12" s="261" t="n">
        <v>46225</v>
      </c>
    </row>
    <row r="13" ht="16.5" customFormat="1" customHeight="1" s="257">
      <c r="A13" s="273" t="n"/>
      <c r="B13" s="274" t="n"/>
      <c r="C13" s="275" t="n"/>
      <c r="D13" s="275" t="n"/>
      <c r="E13" s="276" t="n"/>
      <c r="F13" s="276" t="n"/>
      <c r="G13" s="276" t="n"/>
      <c r="H13" s="277">
        <f>SUM(H12:H12)</f>
        <v/>
      </c>
      <c r="I13" s="278">
        <f>COUNTA(I12:I12)</f>
        <v/>
      </c>
      <c r="J13" s="277" t="n"/>
      <c r="K13" s="277" t="n"/>
      <c r="L13" s="279" t="n"/>
      <c r="M13" s="277" t="n"/>
      <c r="N13" s="277" t="n"/>
      <c r="O13" s="280">
        <f>SUM(O12:O12)</f>
        <v/>
      </c>
      <c r="P13" s="280">
        <f>SUM(P12:P12)</f>
        <v/>
      </c>
      <c r="Q13" s="281" t="n"/>
      <c r="R13" s="282">
        <f>SUM(R12:R12)</f>
        <v/>
      </c>
      <c r="S13" s="283" t="n"/>
      <c r="T13" s="283">
        <f>SUM(T12:T12)</f>
        <v/>
      </c>
      <c r="U13" s="277" t="n"/>
      <c r="V13" s="284" t="n"/>
      <c r="W13" s="285" t="n"/>
      <c r="X13" s="284" t="n"/>
      <c r="Y13" s="284" t="n"/>
      <c r="Z13" s="284" t="n"/>
    </row>
    <row r="14" ht="16.5" customFormat="1" customHeight="1" s="257">
      <c r="A14" s="128">
        <f>COUNT(A12:A13)</f>
        <v/>
      </c>
      <c r="B14" s="129" t="n"/>
      <c r="C14" s="286" t="n"/>
      <c r="D14" s="287" t="n"/>
      <c r="E14" s="287" t="n"/>
      <c r="F14" s="287" t="n"/>
      <c r="G14" s="287" t="n"/>
      <c r="H14" s="132">
        <f>H13</f>
        <v/>
      </c>
      <c r="I14" s="132">
        <f>I13</f>
        <v/>
      </c>
      <c r="J14" s="133" t="n"/>
      <c r="K14" s="288" t="n"/>
      <c r="L14" s="289" t="n"/>
      <c r="M14" s="290" t="n"/>
      <c r="N14" s="291" t="n"/>
      <c r="O14" s="138">
        <f>O13</f>
        <v/>
      </c>
      <c r="P14" s="138">
        <f>P13</f>
        <v/>
      </c>
      <c r="Q14" s="292" t="n"/>
      <c r="R14" s="293">
        <f>R13</f>
        <v/>
      </c>
      <c r="S14" s="294" t="n"/>
      <c r="T14" s="295">
        <f>T13</f>
        <v/>
      </c>
      <c r="U14" s="143" t="n"/>
      <c r="V14" s="143" t="n"/>
      <c r="W14" s="143" t="n"/>
      <c r="X14" s="143" t="n"/>
      <c r="Y14" s="144" t="n"/>
      <c r="Z14" s="144" t="n"/>
    </row>
    <row r="15" ht="16.5" customFormat="1" customHeight="1" s="257">
      <c r="A15" s="145" t="n"/>
      <c r="B15" s="146" t="n"/>
      <c r="C15" s="147" t="n"/>
      <c r="E15" s="148" t="n"/>
      <c r="F15" s="149" t="n"/>
      <c r="G15" s="149" t="n"/>
      <c r="H15" s="296" t="n"/>
      <c r="I15" s="296" t="n"/>
      <c r="J15" s="297" t="n"/>
      <c r="K15" s="221" t="n"/>
      <c r="L15" s="221" t="n"/>
      <c r="M15" s="221" t="n"/>
      <c r="N15" s="298" t="n"/>
      <c r="Q15" s="299" t="n"/>
      <c r="U15" s="154" t="n"/>
      <c r="V15" s="154" t="n"/>
      <c r="W15" s="154" t="n"/>
      <c r="X15" s="154" t="n"/>
      <c r="Y15" s="154" t="n"/>
      <c r="Z15" s="154" t="n"/>
    </row>
    <row r="16" ht="16.5" customFormat="1" customHeight="1" s="257">
      <c r="A16" s="145" t="n"/>
      <c r="B16" s="155" t="inlineStr">
        <is>
          <t>Total Qty Export :</t>
        </is>
      </c>
      <c r="C16" s="156">
        <f>H14</f>
        <v/>
      </c>
      <c r="E16" s="148" t="n"/>
      <c r="F16" s="149" t="n"/>
      <c r="G16" s="149" t="n"/>
      <c r="H16" s="297" t="n"/>
      <c r="I16" s="297" t="n"/>
      <c r="J16" s="297" t="n"/>
      <c r="K16" s="221" t="n"/>
      <c r="L16" s="221" t="n"/>
      <c r="M16" s="221" t="n"/>
      <c r="N16" s="298" t="n"/>
      <c r="Q16" s="299" t="n"/>
      <c r="U16" s="154" t="n"/>
      <c r="V16" s="154" t="n"/>
      <c r="W16" s="154" t="n"/>
      <c r="X16" s="154" t="n"/>
      <c r="Y16" s="154" t="n"/>
      <c r="Z16" s="154" t="n"/>
    </row>
    <row r="17" ht="17.1" customFormat="1" customHeight="1" s="300">
      <c r="A17" s="145" t="n"/>
      <c r="B17" s="157" t="inlineStr">
        <is>
          <t>Total Qty Export Sample :</t>
        </is>
      </c>
      <c r="C17" s="158" t="n"/>
      <c r="E17" s="148" t="n"/>
      <c r="F17" s="149" t="n"/>
      <c r="G17" s="149" t="n"/>
      <c r="H17" s="301" t="n"/>
      <c r="I17" s="301" t="n"/>
      <c r="J17" s="297" t="n"/>
      <c r="T17" s="302" t="n"/>
      <c r="V17" s="154" t="n"/>
      <c r="W17" s="154" t="n"/>
      <c r="X17" s="154" t="n"/>
      <c r="Y17" s="154" t="n"/>
      <c r="Z17" s="154" t="n"/>
    </row>
    <row r="18" ht="16.5" customFormat="1" customHeight="1" s="257">
      <c r="A18" s="145" t="n"/>
      <c r="B18" s="161" t="n"/>
      <c r="C18" s="147" t="n"/>
      <c r="D18" s="147" t="n"/>
      <c r="E18" s="148" t="n"/>
      <c r="F18" s="149" t="n"/>
      <c r="G18" s="149" t="n"/>
      <c r="H18" s="297" t="n"/>
      <c r="I18" s="297" t="n"/>
      <c r="J18" s="297" t="n"/>
      <c r="K18" s="221" t="n"/>
      <c r="L18" s="221" t="n"/>
      <c r="M18" s="221" t="n"/>
      <c r="R18" s="303" t="n"/>
      <c r="S18" s="302" t="n"/>
      <c r="U18" s="163" t="n"/>
    </row>
    <row r="19" ht="16.5" customFormat="1" customHeight="1" s="257">
      <c r="A19" s="164" t="n"/>
      <c r="B19" s="165" t="n"/>
      <c r="C19" s="166" t="n"/>
      <c r="D19" s="167" t="n"/>
      <c r="E19" s="168" t="n"/>
      <c r="F19" s="169" t="n"/>
      <c r="G19" s="169" t="n"/>
      <c r="H19" s="170" t="n"/>
      <c r="I19" s="170" t="n"/>
      <c r="K19" s="221" t="n"/>
      <c r="L19" s="221" t="n"/>
      <c r="M19" s="221" t="n"/>
      <c r="N19" s="298" t="n"/>
      <c r="P19" s="304" t="n"/>
      <c r="Q19" s="305" t="n"/>
      <c r="R19" s="303" t="n"/>
      <c r="S19" s="302" t="n"/>
      <c r="T19" s="302" t="n"/>
      <c r="U19" s="173" t="inlineStr">
        <is>
          <t>Tangerang, 26 July 2026</t>
        </is>
      </c>
    </row>
    <row r="20" ht="16.5" customFormat="1" customHeight="1" s="257">
      <c r="A20" s="174" t="inlineStr">
        <is>
          <t>Total Document</t>
        </is>
      </c>
      <c r="B20" s="175" t="n"/>
      <c r="C20" s="306">
        <f>A14</f>
        <v/>
      </c>
      <c r="D20" s="307" t="n"/>
      <c r="G20" s="169" t="n"/>
      <c r="H20" s="178" t="n"/>
      <c r="I20" s="178" t="n"/>
      <c r="K20" s="221" t="n"/>
      <c r="L20" s="221" t="n"/>
      <c r="M20" s="221" t="n"/>
      <c r="N20" s="298" t="n"/>
      <c r="P20" s="304" t="n"/>
      <c r="Q20" s="305" t="n"/>
      <c r="R20" s="303" t="n"/>
      <c r="S20" s="302" t="n"/>
      <c r="T20" s="302" t="n"/>
      <c r="U20" s="173">
        <f>+[1]REKAP!X34</f>
        <v/>
      </c>
    </row>
    <row r="21" ht="16.5" customFormat="1" customHeight="1" s="257">
      <c r="A21" s="174" t="inlineStr">
        <is>
          <t>Gross Weight</t>
        </is>
      </c>
      <c r="B21" s="179" t="n"/>
      <c r="C21" s="308">
        <f>O14</f>
        <v/>
      </c>
      <c r="D21" s="307" t="n"/>
      <c r="H21" s="182" t="n"/>
      <c r="I21" s="183" t="n"/>
      <c r="K21" s="221" t="n"/>
      <c r="L21" s="221" t="n"/>
      <c r="M21" s="221" t="n"/>
      <c r="N21" s="298" t="n"/>
      <c r="P21" s="309" t="n"/>
      <c r="Q21" s="310" t="n"/>
      <c r="R21" s="311" t="n"/>
      <c r="S21" s="312" t="n"/>
      <c r="T21" s="312" t="n"/>
      <c r="U21" s="4" t="n"/>
    </row>
    <row r="22" ht="16.5" customFormat="1" customHeight="1" s="257">
      <c r="A22" s="174" t="inlineStr">
        <is>
          <t>Nett Weight</t>
        </is>
      </c>
      <c r="B22" s="179" t="n"/>
      <c r="C22" s="308">
        <f>P14</f>
        <v/>
      </c>
      <c r="D22" s="307" t="n"/>
      <c r="K22" s="221" t="n"/>
      <c r="L22" s="221" t="n"/>
      <c r="M22" s="221" t="n"/>
      <c r="N22" s="298" t="n"/>
      <c r="P22" s="309" t="n"/>
      <c r="Q22" s="310" t="n"/>
      <c r="R22" s="311" t="n"/>
      <c r="S22" s="312" t="n"/>
      <c r="T22" s="312" t="n"/>
      <c r="U22" s="4" t="n"/>
    </row>
    <row r="23" ht="17.1" customFormat="1" customHeight="1" s="300">
      <c r="A23" s="174" t="inlineStr">
        <is>
          <t>Amount</t>
        </is>
      </c>
      <c r="B23" s="179" t="n"/>
      <c r="C23" s="313">
        <f>R14</f>
        <v/>
      </c>
      <c r="D23" s="307" t="n"/>
      <c r="K23" s="221" t="n"/>
      <c r="L23" s="221" t="n"/>
      <c r="M23" s="221" t="n"/>
      <c r="N23" s="298" t="n"/>
      <c r="P23" s="309" t="n"/>
      <c r="Q23" s="310" t="n"/>
      <c r="R23" s="311" t="n"/>
      <c r="S23" s="312" t="n"/>
      <c r="T23" s="312" t="n"/>
      <c r="U23" s="190" t="n"/>
    </row>
    <row r="24" ht="17.1" customFormat="1" customHeight="1" s="300">
      <c r="A24" s="174" t="inlineStr">
        <is>
          <t>Jumlah Container</t>
        </is>
      </c>
      <c r="B24" s="179" t="n"/>
      <c r="C24" s="314">
        <f>I14</f>
        <v/>
      </c>
      <c r="D24" s="307" t="n"/>
      <c r="K24" s="221" t="n"/>
      <c r="L24" s="221" t="n"/>
      <c r="M24" s="221" t="n"/>
      <c r="N24" s="298" t="n"/>
      <c r="P24" s="309" t="n"/>
      <c r="Q24" s="310" t="n"/>
      <c r="R24" s="311" t="n"/>
      <c r="S24" s="312" t="n"/>
      <c r="T24" s="312" t="n"/>
      <c r="U24" s="173" t="n"/>
    </row>
    <row r="25" ht="8.1" customHeight="1" s="223" thickBot="1">
      <c r="A25" s="174" t="n"/>
      <c r="B25" s="179" t="n"/>
      <c r="C25" s="315">
        <f>I28</f>
        <v/>
      </c>
      <c r="D25" s="307" t="n"/>
      <c r="K25" s="221" t="n"/>
      <c r="L25" s="221" t="n"/>
      <c r="M25" s="221" t="n"/>
      <c r="N25" s="298" t="n"/>
      <c r="P25" s="309" t="n"/>
      <c r="Q25" s="310" t="n"/>
      <c r="R25" s="311" t="n"/>
      <c r="S25" s="312" t="n"/>
      <c r="T25" s="312" t="n"/>
      <c r="U25" s="173" t="n"/>
    </row>
    <row r="26" ht="20.1" customFormat="1" customHeight="1" s="231" thickBot="1">
      <c r="A26" s="195" t="n"/>
      <c r="B26" s="179" t="n"/>
      <c r="C26" s="316">
        <f>C36*2+C37</f>
        <v/>
      </c>
      <c r="D26" s="307" t="n"/>
      <c r="K26" s="221" t="n"/>
      <c r="L26" s="221" t="n"/>
      <c r="M26" s="221" t="n"/>
      <c r="N26" s="298" t="n"/>
    </row>
    <row r="27" ht="17.1" customHeight="1" s="223">
      <c r="A27" s="198" t="n"/>
      <c r="B27" s="199" t="n"/>
      <c r="C27" s="200" t="n"/>
      <c r="D27" s="201" t="n"/>
    </row>
    <row r="28" ht="17.1" customHeight="1" s="223">
      <c r="B28" s="6" t="n"/>
      <c r="C28" s="3" t="n"/>
      <c r="D28" s="3" t="n"/>
      <c r="E28" s="4" t="n"/>
      <c r="F28" s="5" t="n"/>
      <c r="G28" s="5" t="n"/>
      <c r="H28" s="6" t="n"/>
      <c r="I28" s="6" t="n"/>
      <c r="J28" s="6" t="n"/>
      <c r="K28" s="215" t="n"/>
      <c r="L28" s="215" t="n"/>
      <c r="M28" s="215" t="n"/>
      <c r="N28" s="216" t="n"/>
      <c r="O28" s="217" t="n"/>
      <c r="P28" s="217" t="n"/>
      <c r="Q28" s="218" t="n"/>
      <c r="R28" s="219" t="n"/>
      <c r="S28" s="220" t="n"/>
      <c r="T28" s="220" t="n"/>
      <c r="U28" s="221" t="n"/>
      <c r="V28" s="221" t="n"/>
      <c r="W28" s="221" t="n"/>
      <c r="X28" s="221" t="n"/>
      <c r="Y28" s="221" t="n"/>
      <c r="Z28" s="221" t="n"/>
      <c r="AA28" s="222" t="n"/>
      <c r="AB28" s="222" t="n"/>
      <c r="AC28" s="222" t="n"/>
      <c r="AD28" s="222" t="n"/>
      <c r="AE28" s="222" t="n"/>
      <c r="AF28" s="222" t="n"/>
      <c r="AG28" s="222" t="n"/>
      <c r="AH28" s="222" t="n"/>
      <c r="AI28" s="222" t="n"/>
      <c r="AJ28" s="222" t="n"/>
      <c r="AK28" s="222" t="n"/>
      <c r="AL28" s="222" t="n"/>
      <c r="AM28" s="222" t="n"/>
      <c r="AN28" s="222" t="n"/>
      <c r="AO28" s="222" t="n"/>
      <c r="AP28" s="222" t="n"/>
      <c r="AQ28" s="222" t="n"/>
      <c r="AR28" s="222" t="n"/>
      <c r="AS28" s="222" t="n"/>
      <c r="AT28" s="222" t="n"/>
      <c r="AU28" s="222" t="n"/>
      <c r="AV28" s="222" t="n"/>
      <c r="AW28" s="222" t="n"/>
      <c r="AX28" s="222" t="n"/>
      <c r="AY28" s="222" t="n"/>
      <c r="AZ28" s="222" t="n"/>
      <c r="BA28" s="222" t="n"/>
      <c r="BB28" s="222" t="n"/>
      <c r="BC28" s="222" t="n"/>
      <c r="BD28" s="222" t="n"/>
      <c r="BE28" s="222" t="n"/>
      <c r="BF28" s="222" t="n"/>
      <c r="BG28" s="222" t="n"/>
      <c r="BH28" s="222" t="n"/>
      <c r="BI28" s="222" t="n"/>
      <c r="BJ28" s="222" t="n"/>
      <c r="BK28" s="222" t="n"/>
      <c r="BL28" s="222" t="n"/>
      <c r="BM28" s="222" t="n"/>
      <c r="BN28" s="222" t="n"/>
      <c r="BO28" s="222" t="n"/>
      <c r="BP28" s="222" t="n"/>
      <c r="BQ28" s="222" t="n"/>
      <c r="BR28" s="222" t="n"/>
      <c r="BS28" s="222" t="n"/>
      <c r="BT28" s="222" t="n"/>
      <c r="BU28" s="222" t="n"/>
      <c r="BV28" s="222" t="n"/>
      <c r="BW28" s="222" t="n"/>
      <c r="BX28" s="222" t="n"/>
      <c r="BY28" s="222" t="n"/>
      <c r="BZ28" s="222" t="n"/>
      <c r="CA28" s="222" t="n"/>
      <c r="CB28" s="222" t="n"/>
      <c r="CC28" s="222" t="n"/>
      <c r="CD28" s="222" t="n"/>
      <c r="CE28" s="222" t="n"/>
      <c r="CF28" s="222" t="n"/>
      <c r="CG28" s="222" t="n"/>
      <c r="CH28" s="222" t="n"/>
      <c r="CI28" s="222" t="n"/>
      <c r="CJ28" s="222" t="n"/>
      <c r="CK28" s="222" t="n"/>
      <c r="CL28" s="222" t="n"/>
      <c r="CM28" s="222" t="n"/>
      <c r="CN28" s="222" t="n"/>
      <c r="CO28" s="222" t="n"/>
      <c r="CP28" s="222" t="n"/>
      <c r="CQ28" s="222" t="n"/>
      <c r="CR28" s="222" t="n"/>
      <c r="CS28" s="222" t="n"/>
      <c r="CT28" s="222" t="n"/>
      <c r="CU28" s="222" t="n"/>
      <c r="CV28" s="222" t="n"/>
      <c r="CW28" s="222" t="n"/>
      <c r="CX28" s="222" t="n"/>
      <c r="CY28" s="222" t="n"/>
      <c r="CZ28" s="222" t="n"/>
      <c r="DA28" s="222" t="n"/>
      <c r="DB28" s="222" t="n"/>
      <c r="DC28" s="222" t="n"/>
      <c r="DD28" s="222" t="n"/>
      <c r="DE28" s="222" t="n"/>
      <c r="DF28" s="222" t="n"/>
      <c r="DG28" s="222" t="n"/>
      <c r="DH28" s="222" t="n"/>
      <c r="DI28" s="222" t="n"/>
      <c r="DJ28" s="222" t="n"/>
      <c r="DK28" s="222" t="n"/>
      <c r="DL28" s="222" t="n"/>
      <c r="DM28" s="222" t="n"/>
      <c r="DN28" s="222" t="n"/>
      <c r="DO28" s="222" t="n"/>
      <c r="DP28" s="222" t="n"/>
      <c r="DQ28" s="222" t="n"/>
      <c r="DR28" s="222" t="n"/>
      <c r="DS28" s="222" t="n"/>
      <c r="DT28" s="222" t="n"/>
      <c r="DU28" s="222" t="n"/>
      <c r="DV28" s="222" t="n"/>
      <c r="DW28" s="222" t="n"/>
      <c r="DX28" s="222" t="n"/>
      <c r="DY28" s="222" t="n"/>
      <c r="DZ28" s="222" t="n"/>
      <c r="EA28" s="222" t="n"/>
      <c r="EB28" s="222" t="n"/>
      <c r="EC28" s="222" t="n"/>
      <c r="ED28" s="222" t="n"/>
      <c r="EE28" s="222" t="n"/>
      <c r="EF28" s="222" t="n"/>
      <c r="EG28" s="222" t="n"/>
      <c r="EH28" s="222" t="n"/>
      <c r="EI28" s="222" t="n"/>
      <c r="EJ28" s="222" t="n"/>
      <c r="EK28" s="222" t="n"/>
      <c r="EL28" s="222" t="n"/>
      <c r="EM28" s="222" t="n"/>
      <c r="EN28" s="222" t="n"/>
      <c r="EO28" s="222" t="n"/>
      <c r="EP28" s="222" t="n"/>
      <c r="EQ28" s="222" t="n"/>
      <c r="ER28" s="222" t="n"/>
      <c r="ES28" s="222" t="n"/>
      <c r="ET28" s="222" t="n"/>
      <c r="EU28" s="222" t="n"/>
      <c r="EV28" s="222" t="n"/>
      <c r="EW28" s="222" t="n"/>
      <c r="EX28" s="222" t="n"/>
      <c r="EY28" s="222" t="n"/>
      <c r="EZ28" s="222" t="n"/>
      <c r="FA28" s="222" t="n"/>
      <c r="FB28" s="222" t="n"/>
      <c r="FC28" s="222" t="n"/>
      <c r="FD28" s="222" t="n"/>
      <c r="FE28" s="222" t="n"/>
      <c r="FF28" s="222" t="n"/>
      <c r="FG28" s="222" t="n"/>
      <c r="FH28" s="222" t="n"/>
      <c r="FI28" s="222" t="n"/>
      <c r="FJ28" s="222" t="n"/>
      <c r="FK28" s="222" t="n"/>
      <c r="FL28" s="222" t="n"/>
      <c r="FM28" s="222" t="n"/>
      <c r="FN28" s="222" t="n"/>
      <c r="FO28" s="222" t="n"/>
      <c r="FP28" s="222" t="n"/>
      <c r="FQ28" s="222" t="n"/>
      <c r="FR28" s="222" t="n"/>
      <c r="FS28" s="222" t="n"/>
      <c r="FT28" s="222" t="n"/>
      <c r="FU28" s="222" t="n"/>
      <c r="FV28" s="222" t="n"/>
      <c r="FW28" s="222" t="n"/>
      <c r="FX28" s="222" t="n"/>
      <c r="FY28" s="222" t="n"/>
      <c r="FZ28" s="222" t="n"/>
      <c r="GA28" s="222" t="n"/>
      <c r="GB28" s="222" t="n"/>
      <c r="GC28" s="222" t="n"/>
      <c r="GD28" s="222" t="n"/>
      <c r="GE28" s="222" t="n"/>
      <c r="GF28" s="222" t="n"/>
      <c r="GG28" s="222" t="n"/>
      <c r="GH28" s="222" t="n"/>
      <c r="GI28" s="222" t="n"/>
      <c r="GJ28" s="222" t="n"/>
      <c r="GK28" s="222" t="n"/>
      <c r="GL28" s="222" t="n"/>
      <c r="GM28" s="222" t="n"/>
      <c r="GN28" s="222" t="n"/>
      <c r="GO28" s="222" t="n"/>
      <c r="GP28" s="222" t="n"/>
      <c r="GQ28" s="222" t="n"/>
      <c r="GR28" s="222" t="n"/>
      <c r="GS28" s="222" t="n"/>
      <c r="GT28" s="222" t="n"/>
      <c r="GU28" s="222" t="n"/>
      <c r="GV28" s="222" t="n"/>
      <c r="GW28" s="222" t="n"/>
      <c r="GX28" s="222" t="n"/>
      <c r="GY28" s="222" t="n"/>
      <c r="GZ28" s="222" t="n"/>
      <c r="HA28" s="222" t="n"/>
      <c r="HB28" s="222" t="n"/>
      <c r="HC28" s="222" t="n"/>
      <c r="HD28" s="222" t="n"/>
      <c r="HE28" s="222" t="n"/>
      <c r="HF28" s="222" t="n"/>
      <c r="HG28" s="222" t="n"/>
      <c r="HH28" s="222" t="n"/>
      <c r="HI28" s="222" t="n"/>
      <c r="HJ28" s="222" t="n"/>
      <c r="HK28" s="222" t="n"/>
      <c r="HL28" s="222" t="n"/>
      <c r="HM28" s="222" t="n"/>
      <c r="HN28" s="222" t="n"/>
      <c r="HO28" s="222" t="n"/>
      <c r="HP28" s="222" t="n"/>
      <c r="HQ28" s="222" t="n"/>
      <c r="HR28" s="222" t="n"/>
      <c r="HS28" s="222" t="n"/>
      <c r="HT28" s="222" t="n"/>
      <c r="HU28" s="222" t="n"/>
      <c r="HV28" s="222" t="n"/>
      <c r="HW28" s="222" t="n"/>
      <c r="HX28" s="222" t="n"/>
      <c r="HY28" s="222" t="n"/>
      <c r="HZ28" s="222" t="n"/>
      <c r="IA28" s="222" t="n"/>
      <c r="IB28" s="222" t="n"/>
      <c r="IC28" s="222" t="n"/>
      <c r="ID28" s="222" t="n"/>
      <c r="IE28" s="222" t="n"/>
      <c r="IF28" s="222" t="n"/>
      <c r="IG28" s="222" t="n"/>
      <c r="IH28" s="222" t="n"/>
      <c r="II28" s="222" t="n"/>
      <c r="IJ28" s="222" t="n"/>
      <c r="IK28" s="222" t="n"/>
      <c r="IL28" s="222" t="n"/>
      <c r="IM28" s="222" t="n"/>
      <c r="IN28" s="222" t="n"/>
      <c r="IO28" s="222" t="n"/>
      <c r="IP28" s="222" t="n"/>
      <c r="IQ28" s="222" t="n"/>
      <c r="IR28" s="222" t="n"/>
      <c r="IS28" s="222" t="n"/>
      <c r="IT28" s="222" t="n"/>
      <c r="IU28" s="222" t="n"/>
      <c r="IV28" s="222" t="n"/>
      <c r="IW28" s="222" t="n"/>
      <c r="IX28" s="222" t="n"/>
      <c r="IY28" s="222" t="n"/>
      <c r="IZ28" s="222" t="n"/>
      <c r="JA28" s="222" t="n"/>
      <c r="JB28" s="222" t="n"/>
      <c r="JC28" s="222" t="n"/>
      <c r="JD28" s="222" t="n"/>
      <c r="JE28" s="222" t="n"/>
      <c r="JF28" s="222" t="n"/>
      <c r="JG28" s="222" t="n"/>
      <c r="JH28" s="222" t="n"/>
      <c r="JI28" s="222" t="n"/>
      <c r="JJ28" s="222" t="n"/>
      <c r="JK28" s="222" t="n"/>
      <c r="JL28" s="222" t="n"/>
      <c r="JM28" s="222" t="n"/>
      <c r="JN28" s="222" t="n"/>
      <c r="JO28" s="222" t="n"/>
      <c r="JP28" s="222" t="n"/>
      <c r="JQ28" s="222" t="n"/>
      <c r="JR28" s="222" t="n"/>
      <c r="JS28" s="222" t="n"/>
      <c r="JT28" s="222" t="n"/>
      <c r="JU28" s="222" t="n"/>
      <c r="JV28" s="222" t="n"/>
      <c r="JW28" s="222" t="n"/>
      <c r="JX28" s="222" t="n"/>
      <c r="JY28" s="222" t="n"/>
      <c r="JZ28" s="222" t="n"/>
      <c r="KA28" s="222" t="n"/>
      <c r="KB28" s="222" t="n"/>
      <c r="KC28" s="222" t="n"/>
      <c r="KD28" s="222" t="n"/>
    </row>
    <row r="29" ht="17.1" customHeight="1" s="223"/>
    <row r="30" ht="17.1" customHeight="1" s="223" thickBot="1"/>
    <row r="31" ht="17.1" customHeight="1" s="223" thickTop="1"/>
    <row r="32" ht="17.1" customHeight="1" s="223"/>
    <row r="33" ht="17.1" customHeight="1" s="223"/>
    <row r="34" ht="17.1" customHeight="1" s="223"/>
    <row r="35" ht="17.1" customHeight="1" s="223"/>
    <row r="36" ht="17.1" customHeight="1" s="223"/>
    <row r="37" ht="17.1" customHeight="1" s="223"/>
    <row r="38" ht="17.1" customHeight="1" s="223"/>
    <row r="39" ht="16.2" customHeight="1" s="223" thickBot="1"/>
    <row r="40" ht="16.2" customFormat="1" customHeight="1" s="17" thickTop="1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>
      <c r="A321" s="202" t="n"/>
      <c r="B321" s="203" t="n"/>
      <c r="C321" s="204" t="n"/>
      <c r="D321" s="204" t="n"/>
      <c r="E321" s="205" t="n"/>
      <c r="F321" s="206" t="n"/>
      <c r="G321" s="206" t="n"/>
      <c r="H321" s="6" t="n"/>
      <c r="I321" s="203" t="n"/>
      <c r="J321" s="203" t="n"/>
      <c r="K321" s="317" t="n"/>
      <c r="L321" s="317" t="n"/>
      <c r="M321" s="317" t="n"/>
      <c r="N321" s="318" t="n"/>
      <c r="O321" s="319" t="n"/>
      <c r="P321" s="319" t="n"/>
      <c r="Q321" s="320" t="n"/>
      <c r="R321" s="321" t="n"/>
      <c r="S321" s="322" t="n"/>
      <c r="T321" s="322" t="n"/>
      <c r="U321" s="323" t="n"/>
      <c r="V321" s="323" t="n"/>
      <c r="W321" s="323" t="n"/>
      <c r="X321" s="323" t="n"/>
      <c r="Y321" s="323" t="n"/>
      <c r="Z321" s="323" t="n"/>
    </row>
    <row r="333" ht="15" customFormat="1" customHeight="1" s="324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2026-07-25T17:16:02Z</dcterms:modified>
  <cp:lastModifiedBy>Chiswa Dian Hermansyah(ZINUS ZDI)</cp:lastModifiedBy>
</cp:coreProperties>
</file>