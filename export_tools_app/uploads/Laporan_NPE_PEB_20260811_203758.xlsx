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42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000030ZIK48020260731000551</t>
        </is>
      </c>
      <c r="C12" s="81" t="n">
        <v>479608</v>
      </c>
      <c r="D12" s="81" t="n">
        <v>479563</v>
      </c>
      <c r="E12" s="258" t="n">
        <v>46235</v>
      </c>
      <c r="F12" s="82" t="inlineStr">
        <is>
          <t>ID2607-7995</t>
        </is>
      </c>
      <c r="G12" s="258" t="n">
        <v>46234</v>
      </c>
      <c r="H12" s="83" t="n">
        <v>1350</v>
      </c>
      <c r="I12" s="42" t="inlineStr">
        <is>
          <t>MSDU5996584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0993631183</t>
        </is>
      </c>
      <c r="N12" s="44" t="inlineStr">
        <is>
          <t>F.MFM.08Q.000.WS</t>
        </is>
      </c>
      <c r="O12" s="86" t="n">
        <v>32265</v>
      </c>
      <c r="P12" s="86" t="n">
        <v>28782</v>
      </c>
      <c r="Q12" s="259">
        <f>IFERROR(R12/H12, 0)</f>
        <v/>
      </c>
      <c r="R12" s="260" t="n">
        <v>126859.5</v>
      </c>
      <c r="S12" s="261" t="n">
        <v>17937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HOUSTON, US</t>
        </is>
      </c>
      <c r="X12" s="51" t="inlineStr">
        <is>
          <t>WALMART, INC.</t>
        </is>
      </c>
      <c r="Y12" s="52" t="inlineStr">
        <is>
          <t>MEDUKU616984</t>
        </is>
      </c>
      <c r="Z12" s="258" t="n">
        <v>46235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MSDU6338253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07-08-2026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/>
      <c r="I14" s="42" t="inlineStr">
        <is>
          <t>MSNU5234850</t>
        </is>
      </c>
      <c r="J14" s="42" t="inlineStr">
        <is>
          <t>40FT</t>
        </is>
      </c>
      <c r="K14" s="44" t="n"/>
      <c r="L14" s="84" t="n"/>
      <c r="M14" s="85" t="n"/>
      <c r="N14" s="44" t="n"/>
      <c r="O14" s="86" t="n"/>
      <c r="P14" s="86" t="n"/>
      <c r="Q14" s="259" t="n"/>
      <c r="R14" s="260" t="n"/>
      <c r="S14" s="261" t="n"/>
      <c r="T14" s="261" t="n"/>
      <c r="U14" s="48" t="n"/>
      <c r="V14" s="49" t="n"/>
      <c r="W14" s="50" t="n"/>
      <c r="X14" s="51" t="n"/>
      <c r="Y14" s="52" t="n"/>
      <c r="Z14" s="258" t="n"/>
    </row>
    <row r="15" ht="17.1" customFormat="1" customHeight="1" s="257">
      <c r="A15" s="64" t="n"/>
      <c r="B15" s="65" t="n"/>
      <c r="C15" s="262" t="n"/>
      <c r="D15" s="262" t="n"/>
      <c r="E15" s="263" t="n"/>
      <c r="F15" s="263" t="n"/>
      <c r="G15" s="263" t="n"/>
      <c r="H15" s="264">
        <f>SUM(H12:H14)</f>
        <v/>
      </c>
      <c r="I15" s="69">
        <f>COUNTA(I12:I14)</f>
        <v/>
      </c>
      <c r="J15" s="68" t="n"/>
      <c r="K15" s="68" t="n"/>
      <c r="L15" s="265" t="n"/>
      <c r="M15" s="266" t="n"/>
      <c r="N15" s="68" t="n"/>
      <c r="O15" s="267">
        <f>SUM(O12:O14)</f>
        <v/>
      </c>
      <c r="P15" s="267">
        <f>SUM(P12:P14)</f>
        <v/>
      </c>
      <c r="Q15" s="268" t="n"/>
      <c r="R15" s="269">
        <f>SUM(R12:R14)</f>
        <v/>
      </c>
      <c r="S15" s="270" t="n"/>
      <c r="T15" s="270">
        <f>SUM(T12:T14)</f>
        <v/>
      </c>
      <c r="U15" s="68" t="n"/>
      <c r="V15" s="75" t="n"/>
      <c r="W15" s="76" t="n"/>
      <c r="X15" s="77" t="n"/>
      <c r="Y15" s="271" t="n"/>
      <c r="Z15" s="272" t="n"/>
    </row>
    <row r="16" ht="16.5" customFormat="1" customHeight="1" s="257">
      <c r="A16" s="79" t="n">
        <v>2</v>
      </c>
      <c r="B16" s="80" t="inlineStr">
        <is>
          <t>000030ZIK48020260731000552</t>
        </is>
      </c>
      <c r="C16" s="81" t="n">
        <v>479600</v>
      </c>
      <c r="D16" s="81" t="n">
        <v>479555</v>
      </c>
      <c r="E16" s="258" t="n">
        <v>46235</v>
      </c>
      <c r="F16" s="82" t="inlineStr">
        <is>
          <t>ID2607-8003</t>
        </is>
      </c>
      <c r="G16" s="258" t="n">
        <v>46234</v>
      </c>
      <c r="H16" s="83" t="n">
        <v>1386</v>
      </c>
      <c r="I16" s="42" t="inlineStr">
        <is>
          <t>CAAU8052782</t>
        </is>
      </c>
      <c r="J16" s="42" t="inlineStr">
        <is>
          <t>40FT</t>
        </is>
      </c>
      <c r="K16" s="44" t="inlineStr">
        <is>
          <t>8IN GREEN TEA MF MATTRESS TW</t>
        </is>
      </c>
      <c r="L16" s="84" t="inlineStr">
        <is>
          <t>SCF-STR-800T</t>
        </is>
      </c>
      <c r="M16" s="85" t="inlineStr">
        <is>
          <t>0993631224</t>
        </is>
      </c>
      <c r="N16" s="44" t="inlineStr">
        <is>
          <t>F.MFM.08T.000.WS</t>
        </is>
      </c>
      <c r="O16" s="86" t="n">
        <v>21053.34</v>
      </c>
      <c r="P16" s="86" t="n">
        <v>18281.34</v>
      </c>
      <c r="Q16" s="259">
        <f>IFERROR(R16/H16, 0)</f>
        <v/>
      </c>
      <c r="R16" s="260" t="n">
        <v>85239</v>
      </c>
      <c r="S16" s="261" t="n">
        <v>17937</v>
      </c>
      <c r="T16" s="261">
        <f>IFERROR(S16*R16, 0)</f>
        <v/>
      </c>
      <c r="U16" s="48" t="inlineStr">
        <is>
          <t>040300/KPPBC</t>
        </is>
      </c>
      <c r="V16" s="49" t="inlineStr">
        <is>
          <t>TG. PRIOK</t>
        </is>
      </c>
      <c r="W16" s="50" t="inlineStr">
        <is>
          <t>HOUSTON, US</t>
        </is>
      </c>
      <c r="X16" s="51" t="inlineStr">
        <is>
          <t>WALMART, INC.</t>
        </is>
      </c>
      <c r="Y16" s="52" t="inlineStr">
        <is>
          <t>MEDUKU622156</t>
        </is>
      </c>
      <c r="Z16" s="258" t="n">
        <v>46235</v>
      </c>
    </row>
    <row r="17" ht="16.5" customFormat="1" customHeight="1" s="273">
      <c r="A17" s="79" t="n"/>
      <c r="B17" s="80" t="n"/>
      <c r="C17" s="274" t="n"/>
      <c r="D17" s="274" t="n"/>
      <c r="E17" s="275" t="n"/>
      <c r="F17" s="276" t="n"/>
      <c r="G17" s="275" t="n"/>
      <c r="H17" s="42" t="n"/>
      <c r="I17" s="42" t="inlineStr">
        <is>
          <t>MSNU5753584</t>
        </is>
      </c>
      <c r="J17" s="42" t="inlineStr">
        <is>
          <t>40FT</t>
        </is>
      </c>
      <c r="K17" s="44" t="n"/>
      <c r="L17" s="277" t="n"/>
      <c r="M17" s="42" t="n"/>
      <c r="N17" s="44" t="n"/>
      <c r="O17" s="86" t="n"/>
      <c r="P17" s="86" t="n"/>
      <c r="Q17" s="259" t="n"/>
      <c r="R17" s="260" t="n"/>
      <c r="S17" s="261" t="n"/>
      <c r="T17" s="261" t="n"/>
      <c r="U17" s="48" t="n"/>
      <c r="V17" s="49" t="n"/>
      <c r="W17" s="50" t="inlineStr">
        <is>
          <t>ETD : 07-08-2026</t>
        </is>
      </c>
      <c r="X17" s="51" t="n"/>
      <c r="Y17" s="278" t="n"/>
      <c r="Z17" s="279" t="n"/>
    </row>
    <row r="18" ht="17.1" customFormat="1" customHeight="1" s="257">
      <c r="A18" s="64" t="n"/>
      <c r="B18" s="65" t="n"/>
      <c r="C18" s="262" t="n"/>
      <c r="D18" s="262" t="n"/>
      <c r="E18" s="263" t="n"/>
      <c r="F18" s="263" t="n"/>
      <c r="G18" s="263" t="n"/>
      <c r="H18" s="264">
        <f>SUM(H16:H17)</f>
        <v/>
      </c>
      <c r="I18" s="69">
        <f>COUNTA(I16:I17)</f>
        <v/>
      </c>
      <c r="J18" s="68" t="n"/>
      <c r="K18" s="68" t="n"/>
      <c r="L18" s="265" t="n"/>
      <c r="M18" s="266" t="n"/>
      <c r="N18" s="68" t="n"/>
      <c r="O18" s="267">
        <f>SUM(O16:O17)</f>
        <v/>
      </c>
      <c r="P18" s="267">
        <f>SUM(P16:P17)</f>
        <v/>
      </c>
      <c r="Q18" s="268" t="n"/>
      <c r="R18" s="269">
        <f>SUM(R16:R17)</f>
        <v/>
      </c>
      <c r="S18" s="270" t="n"/>
      <c r="T18" s="270">
        <f>SUM(T16:T17)</f>
        <v/>
      </c>
      <c r="U18" s="68" t="n"/>
      <c r="V18" s="75" t="n"/>
      <c r="W18" s="76" t="n"/>
      <c r="X18" s="77" t="n"/>
      <c r="Y18" s="271" t="n"/>
      <c r="Z18" s="272" t="n"/>
    </row>
    <row r="19" ht="16.5" customFormat="1" customHeight="1" s="257">
      <c r="A19" s="79" t="n">
        <v>3</v>
      </c>
      <c r="B19" s="80" t="inlineStr">
        <is>
          <t>000030ZIK48020260731000553</t>
        </is>
      </c>
      <c r="C19" s="81" t="n">
        <v>479621</v>
      </c>
      <c r="D19" s="81" t="n">
        <v>479576</v>
      </c>
      <c r="E19" s="258" t="n">
        <v>46235</v>
      </c>
      <c r="F19" s="82" t="inlineStr">
        <is>
          <t>ID2607-8004</t>
        </is>
      </c>
      <c r="G19" s="258" t="n">
        <v>46234</v>
      </c>
      <c r="H19" s="83" t="n">
        <v>1040</v>
      </c>
      <c r="I19" s="42" t="inlineStr">
        <is>
          <t>TCNU1421062</t>
        </is>
      </c>
      <c r="J19" s="42" t="inlineStr">
        <is>
          <t>40FT</t>
        </is>
      </c>
      <c r="K19" s="44" t="inlineStr">
        <is>
          <t>8IN GREEN TEA MF MATTRESS FL</t>
        </is>
      </c>
      <c r="L19" s="84" t="inlineStr">
        <is>
          <t>SCF-STR-800F</t>
        </is>
      </c>
      <c r="M19" s="85" t="inlineStr">
        <is>
          <t>0993630696</t>
        </is>
      </c>
      <c r="N19" s="44" t="inlineStr">
        <is>
          <t>F.MFM.08F.000.WS</t>
        </is>
      </c>
      <c r="O19" s="86" t="n">
        <v>21236.8</v>
      </c>
      <c r="P19" s="86" t="n">
        <v>18740.8</v>
      </c>
      <c r="Q19" s="259">
        <f>IFERROR(R19/H19, 0)</f>
        <v/>
      </c>
      <c r="R19" s="260" t="n">
        <v>82960.8</v>
      </c>
      <c r="S19" s="261" t="n">
        <v>17937</v>
      </c>
      <c r="T19" s="261">
        <f>IFERROR(S19*R19, 0)</f>
        <v/>
      </c>
      <c r="U19" s="48" t="inlineStr">
        <is>
          <t>040300/KPPBC</t>
        </is>
      </c>
      <c r="V19" s="49" t="inlineStr">
        <is>
          <t>TG. PRIOK</t>
        </is>
      </c>
      <c r="W19" s="50" t="inlineStr">
        <is>
          <t>HOUSTON, US</t>
        </is>
      </c>
      <c r="X19" s="51" t="inlineStr">
        <is>
          <t>WALMART, INC.</t>
        </is>
      </c>
      <c r="Y19" s="52" t="inlineStr">
        <is>
          <t>MEDUKU622164</t>
        </is>
      </c>
      <c r="Z19" s="258" t="n">
        <v>46235</v>
      </c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/>
      <c r="I20" s="42" t="inlineStr">
        <is>
          <t>CAAU5598342</t>
        </is>
      </c>
      <c r="J20" s="42" t="inlineStr">
        <is>
          <t>40FT</t>
        </is>
      </c>
      <c r="K20" s="44" t="n"/>
      <c r="L20" s="84" t="n"/>
      <c r="M20" s="85" t="n"/>
      <c r="N20" s="44" t="n"/>
      <c r="O20" s="86" t="n"/>
      <c r="P20" s="86" t="n"/>
      <c r="Q20" s="259" t="n"/>
      <c r="R20" s="260" t="n"/>
      <c r="S20" s="261" t="n"/>
      <c r="T20" s="261" t="n"/>
      <c r="U20" s="48" t="n"/>
      <c r="V20" s="49" t="n"/>
      <c r="W20" s="50" t="inlineStr">
        <is>
          <t>ETD : 07-08-2026</t>
        </is>
      </c>
      <c r="X20" s="51" t="n"/>
      <c r="Y20" s="52" t="n"/>
      <c r="Z20" s="258" t="n"/>
    </row>
    <row r="21" ht="17.1" customFormat="1" customHeight="1" s="257">
      <c r="A21" s="64" t="n"/>
      <c r="B21" s="65" t="n"/>
      <c r="C21" s="262" t="n"/>
      <c r="D21" s="262" t="n"/>
      <c r="E21" s="263" t="n"/>
      <c r="F21" s="263" t="n"/>
      <c r="G21" s="263" t="n"/>
      <c r="H21" s="264">
        <f>SUM(H19:H20)</f>
        <v/>
      </c>
      <c r="I21" s="69">
        <f>COUNTA(I19:I20)</f>
        <v/>
      </c>
      <c r="J21" s="68" t="n"/>
      <c r="K21" s="68" t="n"/>
      <c r="L21" s="265" t="n"/>
      <c r="M21" s="266" t="n"/>
      <c r="N21" s="68" t="n"/>
      <c r="O21" s="267">
        <f>SUM(O19:O20)</f>
        <v/>
      </c>
      <c r="P21" s="267">
        <f>SUM(P19:P20)</f>
        <v/>
      </c>
      <c r="Q21" s="268" t="n"/>
      <c r="R21" s="269">
        <f>SUM(R19:R20)</f>
        <v/>
      </c>
      <c r="S21" s="270" t="n"/>
      <c r="T21" s="270">
        <f>SUM(T19:T20)</f>
        <v/>
      </c>
      <c r="U21" s="68" t="n"/>
      <c r="V21" s="75" t="n"/>
      <c r="W21" s="76" t="n"/>
      <c r="X21" s="77" t="n"/>
      <c r="Y21" s="271" t="n"/>
      <c r="Z21" s="272" t="n"/>
    </row>
    <row r="22" ht="16.5" customFormat="1" customHeight="1" s="257">
      <c r="A22" s="79" t="n">
        <v>4</v>
      </c>
      <c r="B22" s="80" t="inlineStr">
        <is>
          <t>000030ZIK48020260803000554</t>
        </is>
      </c>
      <c r="C22" s="81" t="n">
        <v>390034</v>
      </c>
      <c r="D22" s="81" t="n">
        <v>389827</v>
      </c>
      <c r="E22" s="258" t="n">
        <v>46237</v>
      </c>
      <c r="F22" s="82" t="inlineStr">
        <is>
          <t>SAMPLE-ZIID26-0064-NCV</t>
        </is>
      </c>
      <c r="G22" s="258" t="n">
        <v>46233</v>
      </c>
      <c r="H22" s="83" t="n">
        <v>1</v>
      </c>
      <c r="I22" s="42" t="inlineStr"/>
      <c r="J22" s="42" t="inlineStr"/>
      <c r="K22" s="44" t="inlineStr">
        <is>
          <t>5IN GREEN TEA MF MATTRESS TW</t>
        </is>
      </c>
      <c r="L22" s="84" t="inlineStr">
        <is>
          <t>ZU-MFMA1ZZI-05T</t>
        </is>
      </c>
      <c r="M22" s="85" t="inlineStr"/>
      <c r="N22" s="44" t="inlineStr">
        <is>
          <t>F.MFM.05T.007.AD</t>
        </is>
      </c>
      <c r="O22" s="86" t="n">
        <v>811.52</v>
      </c>
      <c r="P22" s="86" t="n">
        <v>765.02</v>
      </c>
      <c r="Q22" s="259">
        <f>IFERROR(R22/H22, 0)</f>
        <v/>
      </c>
      <c r="R22" s="260" t="n">
        <v>30.64</v>
      </c>
      <c r="S22" s="261" t="n">
        <v>17937</v>
      </c>
      <c r="T22" s="261">
        <f>IFERROR(S22*R22, 0)</f>
        <v/>
      </c>
      <c r="U22" s="48" t="inlineStr">
        <is>
          <t>050100/KPPBC</t>
        </is>
      </c>
      <c r="V22" s="49" t="inlineStr">
        <is>
          <t>S. HATTA</t>
        </is>
      </c>
      <c r="W22" s="50" t="inlineStr">
        <is>
          <t>GUANGZHOU, US</t>
        </is>
      </c>
      <c r="X22" s="51" t="inlineStr">
        <is>
          <t>SGS-CSTC STANDARDS TECHNICAL SERVICES</t>
        </is>
      </c>
      <c r="Y22" s="52" t="inlineStr">
        <is>
          <t>PLIID2H02224</t>
        </is>
      </c>
      <c r="Z22" s="258" t="n">
        <v>46237</v>
      </c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1</v>
      </c>
      <c r="I23" s="42" t="inlineStr"/>
      <c r="J23" s="42" t="inlineStr"/>
      <c r="K23" s="44" t="inlineStr">
        <is>
          <t>6IN GREEN TEA MF MATTRESS QN</t>
        </is>
      </c>
      <c r="L23" s="277" t="inlineStr">
        <is>
          <t>ZU-MFMA1ZZI-06Q</t>
        </is>
      </c>
      <c r="M23" s="42" t="inlineStr"/>
      <c r="N23" s="44" t="inlineStr">
        <is>
          <t>F.MFM.06Q.007.AD</t>
        </is>
      </c>
      <c r="O23" s="86" t="n"/>
      <c r="P23" s="86" t="n"/>
      <c r="Q23" s="259">
        <f>IFERROR(R23/H23, 0)</f>
        <v/>
      </c>
      <c r="R23" s="260" t="n">
        <v>54.31</v>
      </c>
      <c r="S23" s="261" t="n">
        <v>17937</v>
      </c>
      <c r="T23" s="261">
        <f>IFERROR(S23*R23, 0)</f>
        <v/>
      </c>
      <c r="U23" s="48" t="n"/>
      <c r="V23" s="49" t="n"/>
      <c r="W23" s="50" t="inlineStr">
        <is>
          <t>ETD : 10-08-2026</t>
        </is>
      </c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1</v>
      </c>
      <c r="I24" s="42" t="inlineStr"/>
      <c r="J24" s="42" t="inlineStr"/>
      <c r="K24" s="44" t="inlineStr">
        <is>
          <t>10IN GREEN TEA MF MATTRESS TX</t>
        </is>
      </c>
      <c r="L24" s="84" t="inlineStr">
        <is>
          <t>ZU-MFMA1ZZI-10X</t>
        </is>
      </c>
      <c r="M24" s="42" t="inlineStr"/>
      <c r="N24" s="44" t="inlineStr">
        <is>
          <t>F.MFM.10X.007.AD</t>
        </is>
      </c>
      <c r="O24" s="86" t="n"/>
      <c r="P24" s="86" t="n"/>
      <c r="Q24" s="259">
        <f>IFERROR(R24/H24, 0)</f>
        <v/>
      </c>
      <c r="R24" s="260" t="n">
        <v>67.67</v>
      </c>
      <c r="S24" s="261" t="n">
        <v>17937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/>
      <c r="J25" s="51" t="inlineStr"/>
      <c r="K25" s="284" t="inlineStr">
        <is>
          <t>12IN GREEN TEA MF MATTRESS TX</t>
        </is>
      </c>
      <c r="L25" s="285" t="inlineStr">
        <is>
          <t>ZU-MFMA1ZZI-12X</t>
        </is>
      </c>
      <c r="M25" s="51" t="inlineStr"/>
      <c r="N25" s="284" t="inlineStr">
        <is>
          <t>F.MFM.12X.006.AD</t>
        </is>
      </c>
      <c r="O25" s="286" t="n"/>
      <c r="P25" s="286" t="n"/>
      <c r="Q25" s="287">
        <f>IFERROR(R25/H25, 0)</f>
        <v/>
      </c>
      <c r="R25" s="288" t="n">
        <v>63.85</v>
      </c>
      <c r="S25" s="289" t="n">
        <v>17937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1</v>
      </c>
      <c r="I26" s="297" t="inlineStr"/>
      <c r="J26" s="51" t="inlineStr"/>
      <c r="K26" s="284" t="inlineStr">
        <is>
          <t>14IN GREEN TEA FOAM MATTRESS K</t>
        </is>
      </c>
      <c r="L26" s="285" t="inlineStr">
        <is>
          <t>ZU-MFMA1ZZI-14K</t>
        </is>
      </c>
      <c r="M26" s="51" t="inlineStr"/>
      <c r="N26" s="284" t="inlineStr">
        <is>
          <t>F.MFM.14K.000.AD</t>
        </is>
      </c>
      <c r="O26" s="298" t="n"/>
      <c r="P26" s="298" t="n"/>
      <c r="Q26" s="299">
        <f>IFERROR(R26/H26, 0)</f>
        <v/>
      </c>
      <c r="R26" s="300" t="n">
        <v>132.6</v>
      </c>
      <c r="S26" s="301" t="n">
        <v>17937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14IN GREEN TEA FOAM MATTRESS Q</t>
        </is>
      </c>
      <c r="L27" s="285" t="inlineStr">
        <is>
          <t>ZU-MFMA1ZZI-14Q</t>
        </is>
      </c>
      <c r="M27" s="51" t="inlineStr"/>
      <c r="N27" s="284" t="inlineStr">
        <is>
          <t>F.MFM.14Q.000.AD</t>
        </is>
      </c>
      <c r="O27" s="306" t="n"/>
      <c r="P27" s="306" t="n"/>
      <c r="Q27" s="299">
        <f>IFERROR(R27/H27, 0)</f>
        <v/>
      </c>
      <c r="R27" s="307" t="n">
        <v>108.23</v>
      </c>
      <c r="S27" s="308" t="n">
        <v>17937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2</v>
      </c>
      <c r="I28" s="305" t="inlineStr"/>
      <c r="J28" s="305" t="inlineStr"/>
      <c r="K28" s="284" t="inlineStr">
        <is>
          <t>6IN GREEN TEA MF MATTRESS FL</t>
        </is>
      </c>
      <c r="L28" s="285" t="inlineStr">
        <is>
          <t>ZU-MFMA1ZZI-06F</t>
        </is>
      </c>
      <c r="M28" s="51" t="inlineStr"/>
      <c r="N28" s="284" t="inlineStr">
        <is>
          <t>F.MFM.06F.007.AD</t>
        </is>
      </c>
      <c r="O28" s="306" t="n"/>
      <c r="P28" s="306" t="n"/>
      <c r="Q28" s="299">
        <f>IFERROR(R28/H28, 0)</f>
        <v/>
      </c>
      <c r="R28" s="307" t="n">
        <v>92.09999999999999</v>
      </c>
      <c r="S28" s="308" t="n">
        <v>17937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2</v>
      </c>
      <c r="I29" s="305" t="inlineStr"/>
      <c r="J29" s="305" t="inlineStr"/>
      <c r="K29" s="309" t="inlineStr">
        <is>
          <t>6IN GREEN TEA MF MATTRESS EK</t>
        </is>
      </c>
      <c r="L29" s="310" t="inlineStr">
        <is>
          <t>ZU-MFMA1ZZI-06K</t>
        </is>
      </c>
      <c r="M29" s="311" t="inlineStr"/>
      <c r="N29" s="309" t="inlineStr">
        <is>
          <t>F.MFM.06K.007.AD</t>
        </is>
      </c>
      <c r="O29" s="306" t="n"/>
      <c r="P29" s="306" t="n"/>
      <c r="Q29" s="312">
        <f>IFERROR(R29/H29, 0)</f>
        <v/>
      </c>
      <c r="R29" s="307" t="n">
        <v>134.58</v>
      </c>
      <c r="S29" s="308" t="n">
        <v>17937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6IN GREEN TEA MF MATTRESS NT</t>
        </is>
      </c>
      <c r="L30" s="285" t="inlineStr">
        <is>
          <t>ZU-MFMA1ZZI-06N</t>
        </is>
      </c>
      <c r="M30" s="51" t="inlineStr"/>
      <c r="N30" s="309" t="inlineStr">
        <is>
          <t>F.MFM.06N.007.AD</t>
        </is>
      </c>
      <c r="O30" s="306" t="n"/>
      <c r="P30" s="306" t="n"/>
      <c r="Q30" s="312">
        <f>IFERROR(R30/H30, 0)</f>
        <v/>
      </c>
      <c r="R30" s="260" t="n">
        <v>57.94</v>
      </c>
      <c r="S30" s="261" t="n">
        <v>17937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2</v>
      </c>
      <c r="I31" s="51" t="inlineStr"/>
      <c r="J31" s="311" t="inlineStr"/>
      <c r="K31" s="284" t="inlineStr">
        <is>
          <t>6IN GREEN TEA MF MATTRESS TW</t>
        </is>
      </c>
      <c r="L31" s="285" t="inlineStr">
        <is>
          <t>ZU-MFMA1ZZI-06T</t>
        </is>
      </c>
      <c r="M31" s="51" t="inlineStr"/>
      <c r="N31" s="284" t="inlineStr">
        <is>
          <t>F.MFM.06T.007.AD</t>
        </is>
      </c>
      <c r="O31" s="306" t="n"/>
      <c r="P31" s="86" t="n"/>
      <c r="Q31" s="318">
        <f>IFERROR(R31/H31, 0)</f>
        <v/>
      </c>
      <c r="R31" s="260" t="n">
        <v>69.22</v>
      </c>
      <c r="S31" s="261" t="n">
        <v>17937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2</v>
      </c>
      <c r="I32" s="51" t="inlineStr"/>
      <c r="J32" s="311" t="inlineStr"/>
      <c r="K32" s="284" t="inlineStr">
        <is>
          <t>8IN GREEN TEA MF MATTRESS FL</t>
        </is>
      </c>
      <c r="L32" s="285" t="inlineStr">
        <is>
          <t>ZU-MFMA1ZZI-08F</t>
        </is>
      </c>
      <c r="M32" s="51" t="inlineStr"/>
      <c r="N32" s="284" t="inlineStr">
        <is>
          <t>F.MFM.08F.008.AD</t>
        </is>
      </c>
      <c r="O32" s="306" t="n"/>
      <c r="P32" s="86" t="n"/>
      <c r="Q32" s="318">
        <f>IFERROR(R32/H32, 0)</f>
        <v/>
      </c>
      <c r="R32" s="260" t="n">
        <v>118.74</v>
      </c>
      <c r="S32" s="261" t="n">
        <v>17937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2</v>
      </c>
      <c r="I33" s="51" t="inlineStr"/>
      <c r="J33" s="311" t="inlineStr"/>
      <c r="K33" s="284" t="inlineStr">
        <is>
          <t>8IN GREEN TEA MF MATTRESS EK</t>
        </is>
      </c>
      <c r="L33" s="285" t="inlineStr">
        <is>
          <t>ZU-MFMA1ZZI-08K</t>
        </is>
      </c>
      <c r="M33" s="51" t="inlineStr"/>
      <c r="N33" s="284" t="inlineStr">
        <is>
          <t>F.MFM.08K.008.AD</t>
        </is>
      </c>
      <c r="O33" s="306" t="n"/>
      <c r="P33" s="86" t="n"/>
      <c r="Q33" s="318">
        <f>IFERROR(R33/H33, 0)</f>
        <v/>
      </c>
      <c r="R33" s="260" t="n">
        <v>171.92</v>
      </c>
      <c r="S33" s="261" t="n">
        <v>17937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8IN GREEN TEA MF MATTRESS QN</t>
        </is>
      </c>
      <c r="L34" s="285" t="inlineStr">
        <is>
          <t>ZU-MFMA1ZZI-08Q</t>
        </is>
      </c>
      <c r="M34" s="51" t="inlineStr"/>
      <c r="N34" s="284" t="inlineStr">
        <is>
          <t>F.MFM.08Q.008.AD</t>
        </is>
      </c>
      <c r="O34" s="306" t="n"/>
      <c r="P34" s="86" t="n"/>
      <c r="Q34" s="318">
        <f>IFERROR(R34/H34, 0)</f>
        <v/>
      </c>
      <c r="R34" s="260" t="n">
        <v>139.92</v>
      </c>
      <c r="S34" s="261" t="n">
        <v>17937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2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51" t="inlineStr"/>
      <c r="N35" s="284" t="inlineStr">
        <is>
          <t>F.MFM.08S.011.AD</t>
        </is>
      </c>
      <c r="O35" s="306" t="n"/>
      <c r="P35" s="86" t="n"/>
      <c r="Q35" s="318">
        <f>IFERROR(R35/H35, 0)</f>
        <v/>
      </c>
      <c r="R35" s="260" t="n">
        <v>132.02</v>
      </c>
      <c r="S35" s="261" t="n">
        <v>17937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2</v>
      </c>
      <c r="I36" s="311" t="inlineStr"/>
      <c r="J36" s="311" t="inlineStr"/>
      <c r="K36" s="284" t="inlineStr">
        <is>
          <t>8IN GREEN TEA MF MATTRESS TW</t>
        </is>
      </c>
      <c r="L36" s="285" t="inlineStr">
        <is>
          <t>ZU-MFMA1ZZI-08T</t>
        </is>
      </c>
      <c r="M36" s="51" t="inlineStr"/>
      <c r="N36" s="284" t="inlineStr">
        <is>
          <t>F.MFM.08T.008.AD</t>
        </is>
      </c>
      <c r="O36" s="306" t="n"/>
      <c r="P36" s="86" t="n"/>
      <c r="Q36" s="318">
        <f>IFERROR(R36/H36, 0)</f>
        <v/>
      </c>
      <c r="R36" s="260" t="n">
        <v>88.31999999999999</v>
      </c>
      <c r="S36" s="261" t="n">
        <v>17937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2</v>
      </c>
      <c r="I37" s="311" t="inlineStr"/>
      <c r="J37" s="311" t="inlineStr"/>
      <c r="K37" s="284" t="inlineStr">
        <is>
          <t>10IN GREEN TEA MF MATTRESS FL</t>
        </is>
      </c>
      <c r="L37" s="285" t="inlineStr">
        <is>
          <t>ZU-MFMA1ZZI-10F</t>
        </is>
      </c>
      <c r="M37" s="51" t="inlineStr"/>
      <c r="N37" s="284" t="inlineStr">
        <is>
          <t>F.MFM.10F.007.AD</t>
        </is>
      </c>
      <c r="O37" s="306" t="n"/>
      <c r="P37" s="86" t="n"/>
      <c r="Q37" s="318">
        <f>IFERROR(R37/H37, 0)</f>
        <v/>
      </c>
      <c r="R37" s="260" t="n">
        <v>140.22</v>
      </c>
      <c r="S37" s="261" t="n">
        <v>17937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2</v>
      </c>
      <c r="I38" s="311" t="inlineStr"/>
      <c r="J38" s="311" t="inlineStr"/>
      <c r="K38" s="284" t="inlineStr">
        <is>
          <t>10IN GREEN TEA MF MATTRESS TW</t>
        </is>
      </c>
      <c r="L38" s="285" t="inlineStr">
        <is>
          <t>ZU-MFMA1ZZI-10T</t>
        </is>
      </c>
      <c r="M38" s="51" t="inlineStr"/>
      <c r="N38" s="284" t="inlineStr">
        <is>
          <t>F.MFM.10T.007.AD</t>
        </is>
      </c>
      <c r="O38" s="306" t="n"/>
      <c r="P38" s="306" t="n"/>
      <c r="Q38" s="312">
        <f>IFERROR(R38/H38, 0)</f>
        <v/>
      </c>
      <c r="R38" s="307" t="n">
        <v>105.98</v>
      </c>
      <c r="S38" s="308" t="n">
        <v>17937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2</v>
      </c>
      <c r="I39" s="311" t="inlineStr"/>
      <c r="J39" s="311" t="inlineStr"/>
      <c r="K39" s="309" t="inlineStr">
        <is>
          <t>12IN GREEN TEA MF MATTRESS CK</t>
        </is>
      </c>
      <c r="L39" s="310" t="inlineStr">
        <is>
          <t>ZU-MFMA1ZZI-12C</t>
        </is>
      </c>
      <c r="M39" s="311" t="inlineStr"/>
      <c r="N39" s="309" t="inlineStr">
        <is>
          <t>F.MFM.12C.006.AD</t>
        </is>
      </c>
      <c r="O39" s="306" t="n"/>
      <c r="P39" s="306" t="n"/>
      <c r="Q39" s="312">
        <f>IFERROR(R39/H39, 0)</f>
        <v/>
      </c>
      <c r="R39" s="307" t="n">
        <v>233.36</v>
      </c>
      <c r="S39" s="308" t="n">
        <v>17937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79" t="n"/>
      <c r="F40" s="296" t="n"/>
      <c r="G40" s="279" t="n"/>
      <c r="H40" s="51" t="n">
        <v>2</v>
      </c>
      <c r="I40" s="51" t="inlineStr"/>
      <c r="J40" s="51" t="inlineStr"/>
      <c r="K40" s="284" t="inlineStr">
        <is>
          <t>12IN GREEN TEA MF MATTRESS FL</t>
        </is>
      </c>
      <c r="L40" s="285" t="inlineStr">
        <is>
          <t>ZU-MFMA1ZZI-12F</t>
        </is>
      </c>
      <c r="M40" s="51" t="inlineStr"/>
      <c r="N40" s="284" t="inlineStr">
        <is>
          <t>F.MFM.12F.006.AD</t>
        </is>
      </c>
      <c r="O40" s="86" t="n"/>
      <c r="P40" s="86" t="n"/>
      <c r="Q40" s="318">
        <f>IFERROR(R40/H40, 0)</f>
        <v/>
      </c>
      <c r="R40" s="260" t="n">
        <v>163.18</v>
      </c>
      <c r="S40" s="261" t="n">
        <v>17937</v>
      </c>
      <c r="T40" s="261">
        <f>IFERROR(S40*R40, 0)</f>
        <v/>
      </c>
      <c r="U40" s="314" t="n"/>
      <c r="V40" s="278" t="n"/>
      <c r="W40" s="323" t="n"/>
      <c r="X40" s="51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2</v>
      </c>
      <c r="I41" s="311" t="inlineStr"/>
      <c r="J41" s="311" t="inlineStr"/>
      <c r="K41" s="309" t="inlineStr">
        <is>
          <t>12IN GREEN TEA MF MATTRESS TW</t>
        </is>
      </c>
      <c r="L41" s="310" t="inlineStr">
        <is>
          <t>ZU-MFMA1ZZI-12T</t>
        </is>
      </c>
      <c r="M41" s="311" t="inlineStr"/>
      <c r="N41" s="309" t="inlineStr">
        <is>
          <t>F.MFM.12T.006.AD</t>
        </is>
      </c>
      <c r="O41" s="306" t="n"/>
      <c r="P41" s="306" t="n"/>
      <c r="Q41" s="312">
        <f>IFERROR(R41/H41, 0)</f>
        <v/>
      </c>
      <c r="R41" s="307" t="n">
        <v>121.74</v>
      </c>
      <c r="S41" s="308" t="n">
        <v>17937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FOAM MATTRESS</t>
        </is>
      </c>
      <c r="L42" s="310" t="inlineStr">
        <is>
          <t>SAMPLE</t>
        </is>
      </c>
      <c r="M42" s="311" t="inlineStr"/>
      <c r="N42" s="309" t="inlineStr">
        <is>
          <t>F.MFM.SAMP</t>
        </is>
      </c>
      <c r="O42" s="306" t="n"/>
      <c r="P42" s="306" t="n"/>
      <c r="Q42" s="312">
        <f>IFERROR(R42/H42, 0)</f>
        <v/>
      </c>
      <c r="R42" s="307" t="n">
        <v>51.34</v>
      </c>
      <c r="S42" s="308" t="n">
        <v>17937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FOAM MATTRESS</t>
        </is>
      </c>
      <c r="L43" s="310" t="inlineStr">
        <is>
          <t>SAMPLE</t>
        </is>
      </c>
      <c r="M43" s="311" t="inlineStr"/>
      <c r="N43" s="309" t="inlineStr">
        <is>
          <t>F.MFM.SAMP</t>
        </is>
      </c>
      <c r="O43" s="306" t="n"/>
      <c r="P43" s="306" t="n"/>
      <c r="Q43" s="312">
        <f>IFERROR(R43/H43, 0)</f>
        <v/>
      </c>
      <c r="R43" s="307" t="n">
        <v>46.34</v>
      </c>
      <c r="S43" s="308" t="n">
        <v>17937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7.1" customHeight="1" s="223">
      <c r="A44" s="325" t="n"/>
      <c r="B44" s="326" t="n"/>
      <c r="C44" s="327" t="n"/>
      <c r="D44" s="327" t="n"/>
      <c r="E44" s="328" t="n"/>
      <c r="F44" s="328" t="n"/>
      <c r="G44" s="328" t="n"/>
      <c r="H44" s="329">
        <f>SUM(H22:H43)</f>
        <v/>
      </c>
      <c r="I44" s="330">
        <f>COUNTA(I22:I43)</f>
        <v/>
      </c>
      <c r="J44" s="329" t="n"/>
      <c r="K44" s="329" t="n"/>
      <c r="L44" s="331" t="n"/>
      <c r="M44" s="329" t="n"/>
      <c r="N44" s="329" t="n"/>
      <c r="O44" s="332">
        <f>SUM(O22:O43)</f>
        <v/>
      </c>
      <c r="P44" s="332">
        <f>SUM(P22:P43)</f>
        <v/>
      </c>
      <c r="Q44" s="333" t="n"/>
      <c r="R44" s="334">
        <f>SUM(R22:R43)</f>
        <v/>
      </c>
      <c r="S44" s="335" t="n"/>
      <c r="T44" s="335">
        <f>SUM(T22:T43)</f>
        <v/>
      </c>
      <c r="U44" s="329" t="n"/>
      <c r="V44" s="336" t="n"/>
      <c r="W44" s="337" t="n"/>
      <c r="X44" s="336" t="n"/>
      <c r="Y44" s="336" t="n"/>
      <c r="Z44" s="336" t="n"/>
    </row>
    <row r="45" ht="16.5" customHeight="1" s="223">
      <c r="A45" s="322" t="n">
        <v>5</v>
      </c>
      <c r="B45" s="324" t="inlineStr">
        <is>
          <t>000030ZIK48020260803000555</t>
        </is>
      </c>
      <c r="C45" s="304" t="n">
        <v>484173</v>
      </c>
      <c r="D45" s="304" t="n">
        <v>484125</v>
      </c>
      <c r="E45" s="317" t="n">
        <v>46238</v>
      </c>
      <c r="F45" s="320" t="inlineStr">
        <is>
          <t>ID2607-7986</t>
        </is>
      </c>
      <c r="G45" s="317" t="n">
        <v>46234</v>
      </c>
      <c r="H45" s="311" t="n">
        <v>192</v>
      </c>
      <c r="I45" s="311" t="inlineStr">
        <is>
          <t>CAAU5713277</t>
        </is>
      </c>
      <c r="J45" s="311" t="inlineStr">
        <is>
          <t>40FT</t>
        </is>
      </c>
      <c r="K45" s="309" t="inlineStr">
        <is>
          <t>8IN GREEN TEA MF MATTRESS TX</t>
        </is>
      </c>
      <c r="L45" s="310" t="inlineStr">
        <is>
          <t>BPM-FMS-8TXL-IN</t>
        </is>
      </c>
      <c r="M45" s="311" t="inlineStr">
        <is>
          <t>41S4L8QA</t>
        </is>
      </c>
      <c r="N45" s="309" t="inlineStr">
        <is>
          <t>F.MFM.08X.002.BD</t>
        </is>
      </c>
      <c r="O45" s="306" t="n">
        <v>10693.92</v>
      </c>
      <c r="P45" s="306" t="n">
        <v>8503.08</v>
      </c>
      <c r="Q45" s="312">
        <f>IFERROR(R45/H45, 0)</f>
        <v/>
      </c>
      <c r="R45" s="307" t="n">
        <v>8695.68</v>
      </c>
      <c r="S45" s="308" t="n">
        <v>17937</v>
      </c>
      <c r="T45" s="308">
        <f>IFERROR(S45*R45, 0)</f>
        <v/>
      </c>
      <c r="U45" s="313" t="inlineStr">
        <is>
          <t>040300/KPPBC</t>
        </is>
      </c>
      <c r="V45" s="315" t="inlineStr">
        <is>
          <t>TG. PRIOK</t>
        </is>
      </c>
      <c r="W45" s="316" t="inlineStr">
        <is>
          <t>NEW YORK, US</t>
        </is>
      </c>
      <c r="X45" s="311" t="inlineStr">
        <is>
          <t>AMAZON.COM SERVICES LLC</t>
        </is>
      </c>
      <c r="Y45" s="315" t="inlineStr">
        <is>
          <t>EGLV080600467082</t>
        </is>
      </c>
      <c r="Z45" s="317" t="n">
        <v>46238</v>
      </c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336</v>
      </c>
      <c r="I46" s="311" t="inlineStr"/>
      <c r="J46" s="311" t="inlineStr"/>
      <c r="K46" s="309" t="inlineStr">
        <is>
          <t>6IN GEL FOAM MATTRESS TW</t>
        </is>
      </c>
      <c r="L46" s="310" t="inlineStr">
        <is>
          <t>GFM-6T</t>
        </is>
      </c>
      <c r="M46" s="311" t="inlineStr">
        <is>
          <t>41S4L8QA</t>
        </is>
      </c>
      <c r="N46" s="309" t="inlineStr">
        <is>
          <t>F.MFG.06T.000.BD</t>
        </is>
      </c>
      <c r="O46" s="306" t="n"/>
      <c r="P46" s="306" t="n"/>
      <c r="Q46" s="312">
        <f>IFERROR(R46/H46, 0)</f>
        <v/>
      </c>
      <c r="R46" s="307" t="n">
        <v>10950.24</v>
      </c>
      <c r="S46" s="308" t="n">
        <v>17937</v>
      </c>
      <c r="T46" s="308">
        <f>IFERROR(S46*R46, 0)</f>
        <v/>
      </c>
      <c r="U46" s="313" t="n"/>
      <c r="V46" s="315" t="n"/>
      <c r="W46" s="316" t="inlineStr">
        <is>
          <t>ETD : 09-08-2026</t>
        </is>
      </c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128</v>
      </c>
      <c r="I47" s="311" t="inlineStr"/>
      <c r="J47" s="311" t="inlineStr"/>
      <c r="K47" s="309" t="inlineStr">
        <is>
          <t>12IN GEL FOAM MATTRESS TW</t>
        </is>
      </c>
      <c r="L47" s="310" t="inlineStr">
        <is>
          <t>GFM-12T</t>
        </is>
      </c>
      <c r="M47" s="311" t="inlineStr">
        <is>
          <t>6HQ3S3KI</t>
        </is>
      </c>
      <c r="N47" s="309" t="inlineStr">
        <is>
          <t>F.MFG.12T.000.BD</t>
        </is>
      </c>
      <c r="O47" s="306" t="n"/>
      <c r="P47" s="306" t="n"/>
      <c r="Q47" s="312">
        <f>IFERROR(R47/H47, 0)</f>
        <v/>
      </c>
      <c r="R47" s="307" t="n">
        <v>6622.72</v>
      </c>
      <c r="S47" s="308" t="n">
        <v>17937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28</v>
      </c>
      <c r="I48" s="311" t="inlineStr"/>
      <c r="J48" s="311" t="inlineStr"/>
      <c r="K48" s="309" t="inlineStr">
        <is>
          <t>10IN GREEN TEA MF MATTRESS TX</t>
        </is>
      </c>
      <c r="L48" s="310" t="inlineStr">
        <is>
          <t>OLC-FMS-1000TXL-IN</t>
        </is>
      </c>
      <c r="M48" s="311" t="inlineStr">
        <is>
          <t>6HQ3S3KI</t>
        </is>
      </c>
      <c r="N48" s="309" t="inlineStr">
        <is>
          <t>F.MFM.10X.003.BD</t>
        </is>
      </c>
      <c r="O48" s="306" t="n"/>
      <c r="P48" s="306" t="n"/>
      <c r="Q48" s="312">
        <f>IFERROR(R48/H48, 0)</f>
        <v/>
      </c>
      <c r="R48" s="307" t="n">
        <v>1605.8</v>
      </c>
      <c r="S48" s="308" t="n">
        <v>17937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7.1" customHeight="1" s="223">
      <c r="A49" s="325" t="n"/>
      <c r="B49" s="326" t="n"/>
      <c r="C49" s="327" t="n"/>
      <c r="D49" s="327" t="n"/>
      <c r="E49" s="328" t="n"/>
      <c r="F49" s="328" t="n"/>
      <c r="G49" s="328" t="n"/>
      <c r="H49" s="329">
        <f>SUM(H45:H48)</f>
        <v/>
      </c>
      <c r="I49" s="330">
        <f>COUNTA(I45:I48)</f>
        <v/>
      </c>
      <c r="J49" s="329" t="n"/>
      <c r="K49" s="329" t="n"/>
      <c r="L49" s="331" t="n"/>
      <c r="M49" s="329" t="n"/>
      <c r="N49" s="329" t="n"/>
      <c r="O49" s="332">
        <f>SUM(O45:O48)</f>
        <v/>
      </c>
      <c r="P49" s="332">
        <f>SUM(P45:P48)</f>
        <v/>
      </c>
      <c r="Q49" s="333" t="n"/>
      <c r="R49" s="334">
        <f>SUM(R45:R48)</f>
        <v/>
      </c>
      <c r="S49" s="335" t="n"/>
      <c r="T49" s="335">
        <f>SUM(T45:T48)</f>
        <v/>
      </c>
      <c r="U49" s="329" t="n"/>
      <c r="V49" s="336" t="n"/>
      <c r="W49" s="337" t="n"/>
      <c r="X49" s="336" t="n"/>
      <c r="Y49" s="336" t="n"/>
      <c r="Z49" s="336" t="n"/>
    </row>
    <row r="50" ht="16.5" customHeight="1" s="223">
      <c r="A50" s="322" t="n">
        <v>6</v>
      </c>
      <c r="B50" s="324" t="inlineStr">
        <is>
          <t>000030ZIK48020260803000556</t>
        </is>
      </c>
      <c r="C50" s="304" t="n">
        <v>484312</v>
      </c>
      <c r="D50" s="304" t="n">
        <v>484262</v>
      </c>
      <c r="E50" s="317" t="n">
        <v>46238</v>
      </c>
      <c r="F50" s="320" t="inlineStr">
        <is>
          <t>ID2608-8010</t>
        </is>
      </c>
      <c r="G50" s="317" t="n">
        <v>46237</v>
      </c>
      <c r="H50" s="311" t="n">
        <v>125</v>
      </c>
      <c r="I50" s="311" t="inlineStr">
        <is>
          <t>FFAU3990928</t>
        </is>
      </c>
      <c r="J50" s="311" t="inlineStr">
        <is>
          <t>40FT</t>
        </is>
      </c>
      <c r="K50" s="309" t="inlineStr">
        <is>
          <t>8IN FIRM GEL MF MATTRESS TW</t>
        </is>
      </c>
      <c r="L50" s="310" t="inlineStr">
        <is>
          <t>WA-MFGN5CZI-08T</t>
        </is>
      </c>
      <c r="M50" s="311" t="inlineStr">
        <is>
          <t>WFIN00523</t>
        </is>
      </c>
      <c r="N50" s="309" t="inlineStr">
        <is>
          <t>F.MFG.08T.009.WA</t>
        </is>
      </c>
      <c r="O50" s="306" t="n">
        <v>12917.85</v>
      </c>
      <c r="P50" s="306" t="n">
        <v>11715.5</v>
      </c>
      <c r="Q50" s="312">
        <f>IFERROR(R50/H50, 0)</f>
        <v/>
      </c>
      <c r="R50" s="307" t="n">
        <v>4865</v>
      </c>
      <c r="S50" s="308" t="n">
        <v>17937</v>
      </c>
      <c r="T50" s="308">
        <f>IFERROR(S50*R50, 0)</f>
        <v/>
      </c>
      <c r="U50" s="313" t="inlineStr">
        <is>
          <t>040300/KPPBC</t>
        </is>
      </c>
      <c r="V50" s="315" t="inlineStr">
        <is>
          <t>TG. PRIOK</t>
        </is>
      </c>
      <c r="W50" s="316" t="inlineStr">
        <is>
          <t>NEW YORK, US</t>
        </is>
      </c>
      <c r="X50" s="311" t="inlineStr">
        <is>
          <t>ZINUS, INC.</t>
        </is>
      </c>
      <c r="Y50" s="315" t="inlineStr">
        <is>
          <t>MEDUKU528049</t>
        </is>
      </c>
      <c r="Z50" s="317" t="n">
        <v>46238</v>
      </c>
    </row>
    <row r="51" ht="16.5" customHeight="1" s="223">
      <c r="A51" s="322" t="n"/>
      <c r="B51" s="324" t="n"/>
      <c r="C51" s="304" t="n"/>
      <c r="D51" s="304" t="n"/>
      <c r="E51" s="317" t="n"/>
      <c r="F51" s="320" t="n"/>
      <c r="G51" s="317" t="n"/>
      <c r="H51" s="311" t="n">
        <v>105</v>
      </c>
      <c r="I51" s="311" t="inlineStr"/>
      <c r="J51" s="311" t="inlineStr"/>
      <c r="K51" s="309" t="inlineStr">
        <is>
          <t>12IN F-EUROTOP PLUSH HYBRID EK</t>
        </is>
      </c>
      <c r="L51" s="310" t="inlineStr">
        <is>
          <t>ZU-MSHPHMZI-12K</t>
        </is>
      </c>
      <c r="M51" s="311" t="inlineStr">
        <is>
          <t>WFIN00523</t>
        </is>
      </c>
      <c r="N51" s="309" t="inlineStr">
        <is>
          <t>F.MSH.12K.000.ZU</t>
        </is>
      </c>
      <c r="O51" s="306" t="n"/>
      <c r="P51" s="306" t="n"/>
      <c r="Q51" s="312">
        <f>IFERROR(R51/H51, 0)</f>
        <v/>
      </c>
      <c r="R51" s="307" t="n">
        <v>10840.2</v>
      </c>
      <c r="S51" s="308" t="n">
        <v>17937</v>
      </c>
      <c r="T51" s="308">
        <f>IFERROR(S51*R51, 0)</f>
        <v/>
      </c>
      <c r="U51" s="313" t="n"/>
      <c r="V51" s="315" t="n"/>
      <c r="W51" s="316" t="inlineStr">
        <is>
          <t>ETD : 10-08-2026</t>
        </is>
      </c>
      <c r="X51" s="311" t="n"/>
      <c r="Y51" s="315" t="n"/>
      <c r="Z51" s="317" t="n"/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105</v>
      </c>
      <c r="I52" s="311" t="inlineStr"/>
      <c r="J52" s="311" t="inlineStr"/>
      <c r="K52" s="309" t="inlineStr">
        <is>
          <t>14IN EURO TOP PLUSH HYBRID EK</t>
        </is>
      </c>
      <c r="L52" s="310" t="inlineStr">
        <is>
          <t>ZU-MSHPHMZI-14K</t>
        </is>
      </c>
      <c r="M52" s="311" t="inlineStr">
        <is>
          <t>WFIN00523</t>
        </is>
      </c>
      <c r="N52" s="309" t="inlineStr">
        <is>
          <t>F.MSH.14K.000.ZU</t>
        </is>
      </c>
      <c r="O52" s="306" t="n"/>
      <c r="P52" s="306" t="n"/>
      <c r="Q52" s="312">
        <f>IFERROR(R52/H52, 0)</f>
        <v/>
      </c>
      <c r="R52" s="307" t="n">
        <v>12107.55</v>
      </c>
      <c r="S52" s="308" t="n">
        <v>17937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7.1" customHeight="1" s="223">
      <c r="A53" s="325" t="n"/>
      <c r="B53" s="326" t="n"/>
      <c r="C53" s="327" t="n"/>
      <c r="D53" s="327" t="n"/>
      <c r="E53" s="328" t="n"/>
      <c r="F53" s="328" t="n"/>
      <c r="G53" s="328" t="n"/>
      <c r="H53" s="329">
        <f>SUM(H50:H52)</f>
        <v/>
      </c>
      <c r="I53" s="330">
        <f>COUNTA(I50:I52)</f>
        <v/>
      </c>
      <c r="J53" s="329" t="n"/>
      <c r="K53" s="329" t="n"/>
      <c r="L53" s="331" t="n"/>
      <c r="M53" s="329" t="n"/>
      <c r="N53" s="329" t="n"/>
      <c r="O53" s="332">
        <f>SUM(O50:O52)</f>
        <v/>
      </c>
      <c r="P53" s="332">
        <f>SUM(P50:P52)</f>
        <v/>
      </c>
      <c r="Q53" s="333" t="n"/>
      <c r="R53" s="334">
        <f>SUM(R50:R52)</f>
        <v/>
      </c>
      <c r="S53" s="335" t="n"/>
      <c r="T53" s="335">
        <f>SUM(T50:T52)</f>
        <v/>
      </c>
      <c r="U53" s="329" t="n"/>
      <c r="V53" s="336" t="n"/>
      <c r="W53" s="337" t="n"/>
      <c r="X53" s="336" t="n"/>
      <c r="Y53" s="336" t="n"/>
      <c r="Z53" s="336" t="n"/>
    </row>
    <row r="54" ht="16.5" customHeight="1" s="223">
      <c r="A54" s="322" t="n">
        <v>7</v>
      </c>
      <c r="B54" s="324" t="inlineStr">
        <is>
          <t>000030ZIK48020260803000557</t>
        </is>
      </c>
      <c r="C54" s="304" t="n">
        <v>484429</v>
      </c>
      <c r="D54" s="304" t="n">
        <v>484376</v>
      </c>
      <c r="E54" s="317" t="n">
        <v>46238</v>
      </c>
      <c r="F54" s="320" t="inlineStr">
        <is>
          <t>ID2608-8006</t>
        </is>
      </c>
      <c r="G54" s="317" t="n">
        <v>46237</v>
      </c>
      <c r="H54" s="311" t="n">
        <v>81</v>
      </c>
      <c r="I54" s="311" t="inlineStr">
        <is>
          <t>MEDU7584315</t>
        </is>
      </c>
      <c r="J54" s="311" t="inlineStr">
        <is>
          <t>40FT</t>
        </is>
      </c>
      <c r="K54" s="309" t="inlineStr">
        <is>
          <t>10IN MEDIUM MFM FL</t>
        </is>
      </c>
      <c r="L54" s="310" t="inlineStr">
        <is>
          <t>WA-MMF-10F-IN</t>
        </is>
      </c>
      <c r="M54" s="311" t="inlineStr">
        <is>
          <t>MIWU00191</t>
        </is>
      </c>
      <c r="N54" s="309" t="inlineStr">
        <is>
          <t>F.MFM.10F.005.BU</t>
        </is>
      </c>
      <c r="O54" s="306" t="n">
        <v>12046.7</v>
      </c>
      <c r="P54" s="306" t="n">
        <v>10876.8</v>
      </c>
      <c r="Q54" s="312">
        <f>IFERROR(R54/H54, 0)</f>
        <v/>
      </c>
      <c r="R54" s="307" t="n">
        <v>4890.78</v>
      </c>
      <c r="S54" s="308" t="n">
        <v>17937</v>
      </c>
      <c r="T54" s="308">
        <f>IFERROR(S54*R54, 0)</f>
        <v/>
      </c>
      <c r="U54" s="313" t="inlineStr">
        <is>
          <t>040300/KPPBC</t>
        </is>
      </c>
      <c r="V54" s="315" t="inlineStr">
        <is>
          <t>TG. PRIOK</t>
        </is>
      </c>
      <c r="W54" s="316" t="inlineStr">
        <is>
          <t>NEW YORK, US</t>
        </is>
      </c>
      <c r="X54" s="311" t="inlineStr">
        <is>
          <t>MELLOW INC</t>
        </is>
      </c>
      <c r="Y54" s="315" t="inlineStr">
        <is>
          <t>MEDUKU528106</t>
        </is>
      </c>
      <c r="Z54" s="317" t="n">
        <v>46238</v>
      </c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42</v>
      </c>
      <c r="I55" s="311" t="inlineStr"/>
      <c r="J55" s="311" t="inlineStr"/>
      <c r="K55" s="309" t="inlineStr">
        <is>
          <t>10IN MEDIUM MFM EK</t>
        </is>
      </c>
      <c r="L55" s="310" t="inlineStr">
        <is>
          <t>WA-MMF-10K-IN</t>
        </is>
      </c>
      <c r="M55" s="311" t="inlineStr">
        <is>
          <t>MIWU00191</t>
        </is>
      </c>
      <c r="N55" s="309" t="inlineStr">
        <is>
          <t>F.MFM.10K.005.BU</t>
        </is>
      </c>
      <c r="O55" s="306" t="n"/>
      <c r="P55" s="306" t="n"/>
      <c r="Q55" s="312">
        <f>IFERROR(R55/H55, 0)</f>
        <v/>
      </c>
      <c r="R55" s="307" t="n">
        <v>3673.74</v>
      </c>
      <c r="S55" s="308" t="n">
        <v>17937</v>
      </c>
      <c r="T55" s="308">
        <f>IFERROR(S55*R55, 0)</f>
        <v/>
      </c>
      <c r="U55" s="313" t="n"/>
      <c r="V55" s="315" t="n"/>
      <c r="W55" s="316" t="inlineStr">
        <is>
          <t>ETD : 10-08-2026</t>
        </is>
      </c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65</v>
      </c>
      <c r="I56" s="311" t="inlineStr"/>
      <c r="J56" s="311" t="inlineStr"/>
      <c r="K56" s="309" t="inlineStr">
        <is>
          <t>Pos Tarif/HS : 4,651.4-10IN MEDIUM MFM QN</t>
        </is>
      </c>
      <c r="L56" s="310" t="inlineStr">
        <is>
          <t>WA-MMF-10Q-IN</t>
        </is>
      </c>
      <c r="M56" s="311" t="inlineStr">
        <is>
          <t>s</t>
        </is>
      </c>
      <c r="N56" s="309" t="inlineStr">
        <is>
          <t>F.MFM.10Q.005.BU</t>
        </is>
      </c>
      <c r="O56" s="306" t="n"/>
      <c r="P56" s="306" t="n"/>
      <c r="Q56" s="312">
        <f>IFERROR(R56/H56, 0)</f>
        <v/>
      </c>
      <c r="R56" s="307" t="n">
        <v>0</v>
      </c>
      <c r="S56" s="308" t="n">
        <v>17937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51</v>
      </c>
      <c r="I57" s="311" t="inlineStr"/>
      <c r="J57" s="311" t="inlineStr"/>
      <c r="K57" s="309" t="inlineStr">
        <is>
          <t>10IN MEDIUM MFM TW</t>
        </is>
      </c>
      <c r="L57" s="310" t="inlineStr">
        <is>
          <t>WA-MMF-10T-IN</t>
        </is>
      </c>
      <c r="M57" s="311" t="inlineStr">
        <is>
          <t>MIWU00191</t>
        </is>
      </c>
      <c r="N57" s="309" t="inlineStr">
        <is>
          <t>F.MFM.10T.005.BU</t>
        </is>
      </c>
      <c r="O57" s="306" t="n"/>
      <c r="P57" s="306" t="n"/>
      <c r="Q57" s="312">
        <f>IFERROR(R57/H57, 0)</f>
        <v/>
      </c>
      <c r="R57" s="307" t="n">
        <v>2347.02</v>
      </c>
      <c r="S57" s="308" t="n">
        <v>17937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31</v>
      </c>
      <c r="I58" s="311" t="inlineStr"/>
      <c r="J58" s="311" t="inlineStr"/>
      <c r="K58" s="309" t="inlineStr">
        <is>
          <t>12IN MEDIUM MFM FL</t>
        </is>
      </c>
      <c r="L58" s="310" t="inlineStr">
        <is>
          <t>WA-MMF-12F-IN</t>
        </is>
      </c>
      <c r="M58" s="311" t="inlineStr">
        <is>
          <t>MIWU00191</t>
        </is>
      </c>
      <c r="N58" s="309" t="inlineStr">
        <is>
          <t>F.MFM.12F.005.BU</t>
        </is>
      </c>
      <c r="O58" s="306" t="n"/>
      <c r="P58" s="306" t="n"/>
      <c r="Q58" s="312">
        <f>IFERROR(R58/H58, 0)</f>
        <v/>
      </c>
      <c r="R58" s="307" t="n">
        <v>2159.15</v>
      </c>
      <c r="S58" s="308" t="n">
        <v>17937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24</v>
      </c>
      <c r="I59" s="311" t="inlineStr"/>
      <c r="J59" s="311" t="inlineStr"/>
      <c r="K59" s="309" t="inlineStr">
        <is>
          <t>12IN MEDIUM MFM EK</t>
        </is>
      </c>
      <c r="L59" s="310" t="inlineStr">
        <is>
          <t>WA-MMF-12K-IN</t>
        </is>
      </c>
      <c r="M59" s="311" t="inlineStr">
        <is>
          <t>MIWU00191</t>
        </is>
      </c>
      <c r="N59" s="309" t="inlineStr">
        <is>
          <t>F.MFM.12K.005.BU</t>
        </is>
      </c>
      <c r="O59" s="306" t="n"/>
      <c r="P59" s="306" t="n"/>
      <c r="Q59" s="312">
        <f>IFERROR(R59/H59, 0)</f>
        <v/>
      </c>
      <c r="R59" s="307" t="n">
        <v>2372.64</v>
      </c>
      <c r="S59" s="308" t="n">
        <v>17937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70</v>
      </c>
      <c r="I60" s="311" t="inlineStr"/>
      <c r="J60" s="311" t="inlineStr"/>
      <c r="K60" s="309" t="inlineStr">
        <is>
          <t>6IN MEDIUM MFM FL</t>
        </is>
      </c>
      <c r="L60" s="310" t="inlineStr">
        <is>
          <t>WA-MMF-6F-IN</t>
        </is>
      </c>
      <c r="M60" s="311" t="inlineStr">
        <is>
          <t>MIWU00191</t>
        </is>
      </c>
      <c r="N60" s="309" t="inlineStr">
        <is>
          <t>F.MFM.06F.002.BU</t>
        </is>
      </c>
      <c r="O60" s="306" t="n"/>
      <c r="P60" s="306" t="n"/>
      <c r="Q60" s="312">
        <f>IFERROR(R60/H60, 0)</f>
        <v/>
      </c>
      <c r="R60" s="307" t="n">
        <v>2983.4</v>
      </c>
      <c r="S60" s="308" t="n">
        <v>17937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77</v>
      </c>
      <c r="I61" s="311" t="inlineStr"/>
      <c r="J61" s="311" t="inlineStr"/>
      <c r="K61" s="309" t="inlineStr">
        <is>
          <t>6IN MEDIUM MFM TW</t>
        </is>
      </c>
      <c r="L61" s="310" t="inlineStr">
        <is>
          <t>WA-MMF-6T-IN</t>
        </is>
      </c>
      <c r="M61" s="311" t="inlineStr">
        <is>
          <t>MIWU00191</t>
        </is>
      </c>
      <c r="N61" s="309" t="inlineStr">
        <is>
          <t>F.MFM.06T.002.BU</t>
        </is>
      </c>
      <c r="O61" s="306" t="n"/>
      <c r="P61" s="306" t="n"/>
      <c r="Q61" s="312">
        <f>IFERROR(R61/H61, 0)</f>
        <v/>
      </c>
      <c r="R61" s="307" t="n">
        <v>2471.7</v>
      </c>
      <c r="S61" s="308" t="n">
        <v>17937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20</v>
      </c>
      <c r="I62" s="311" t="inlineStr"/>
      <c r="J62" s="311" t="inlineStr"/>
      <c r="K62" s="309" t="inlineStr">
        <is>
          <t>6IN MEDIUM MFM TX</t>
        </is>
      </c>
      <c r="L62" s="310" t="inlineStr">
        <is>
          <t>WA-MMF-6TXL-IN</t>
        </is>
      </c>
      <c r="M62" s="311" t="inlineStr">
        <is>
          <t>MIWU00191</t>
        </is>
      </c>
      <c r="N62" s="309" t="inlineStr">
        <is>
          <t>F.MFM.06X.002.BU</t>
        </is>
      </c>
      <c r="O62" s="306" t="n"/>
      <c r="P62" s="306" t="n"/>
      <c r="Q62" s="312">
        <f>IFERROR(R62/H62, 0)</f>
        <v/>
      </c>
      <c r="R62" s="307" t="n">
        <v>680.2</v>
      </c>
      <c r="S62" s="308" t="n">
        <v>17937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50</v>
      </c>
      <c r="I63" s="311" t="inlineStr"/>
      <c r="J63" s="311" t="inlineStr"/>
      <c r="K63" s="309" t="inlineStr">
        <is>
          <t>8IN MEDIUM MFM FL</t>
        </is>
      </c>
      <c r="L63" s="310" t="inlineStr">
        <is>
          <t>WA-MMF-8F-IN</t>
        </is>
      </c>
      <c r="M63" s="311" t="inlineStr">
        <is>
          <t>MIWU00191</t>
        </is>
      </c>
      <c r="N63" s="309" t="inlineStr">
        <is>
          <t>F.MFM.08F.005.BU</t>
        </is>
      </c>
      <c r="O63" s="306" t="n"/>
      <c r="P63" s="306" t="n"/>
      <c r="Q63" s="312">
        <f>IFERROR(R63/H63, 0)</f>
        <v/>
      </c>
      <c r="R63" s="307" t="n">
        <v>2605</v>
      </c>
      <c r="S63" s="308" t="n">
        <v>17937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22</v>
      </c>
      <c r="I64" s="311" t="inlineStr"/>
      <c r="J64" s="311" t="inlineStr"/>
      <c r="K64" s="309" t="inlineStr">
        <is>
          <t>8IN MEDIUM MFM QN</t>
        </is>
      </c>
      <c r="L64" s="310" t="inlineStr">
        <is>
          <t>WA-MMF-8Q-IN</t>
        </is>
      </c>
      <c r="M64" s="311" t="inlineStr">
        <is>
          <t>MIWU00191</t>
        </is>
      </c>
      <c r="N64" s="309" t="inlineStr">
        <is>
          <t>F.MFM.08Q.005.BU</t>
        </is>
      </c>
      <c r="O64" s="306" t="n"/>
      <c r="P64" s="306" t="n"/>
      <c r="Q64" s="312">
        <f>IFERROR(R64/H64, 0)</f>
        <v/>
      </c>
      <c r="R64" s="307" t="n">
        <v>1357.18</v>
      </c>
      <c r="S64" s="308" t="n">
        <v>17937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81</v>
      </c>
      <c r="I65" s="311" t="inlineStr"/>
      <c r="J65" s="311" t="inlineStr"/>
      <c r="K65" s="309" t="inlineStr">
        <is>
          <t>8IN MEDIUM MFM TW</t>
        </is>
      </c>
      <c r="L65" s="310" t="inlineStr">
        <is>
          <t>WA-MMF-8T-IN</t>
        </is>
      </c>
      <c r="M65" s="311" t="inlineStr">
        <is>
          <t>MIWU00191</t>
        </is>
      </c>
      <c r="N65" s="309" t="inlineStr">
        <is>
          <t>F.MFM.08T.005.BU</t>
        </is>
      </c>
      <c r="O65" s="306" t="n"/>
      <c r="P65" s="306" t="n"/>
      <c r="Q65" s="312">
        <f>IFERROR(R65/H65, 0)</f>
        <v/>
      </c>
      <c r="R65" s="307" t="n">
        <v>3149.28</v>
      </c>
      <c r="S65" s="308" t="n">
        <v>17937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7.1" customHeight="1" s="223">
      <c r="A66" s="325" t="n"/>
      <c r="B66" s="326" t="n"/>
      <c r="C66" s="327" t="n"/>
      <c r="D66" s="327" t="n"/>
      <c r="E66" s="328" t="n"/>
      <c r="F66" s="328" t="n"/>
      <c r="G66" s="328" t="n"/>
      <c r="H66" s="329">
        <f>SUM(H54:H65)</f>
        <v/>
      </c>
      <c r="I66" s="330">
        <f>COUNTA(I54:I65)</f>
        <v/>
      </c>
      <c r="J66" s="329" t="n"/>
      <c r="K66" s="329" t="n"/>
      <c r="L66" s="331" t="n"/>
      <c r="M66" s="329" t="n"/>
      <c r="N66" s="329" t="n"/>
      <c r="O66" s="332">
        <f>SUM(O54:O65)</f>
        <v/>
      </c>
      <c r="P66" s="332">
        <f>SUM(P54:P65)</f>
        <v/>
      </c>
      <c r="Q66" s="333" t="n"/>
      <c r="R66" s="334">
        <f>SUM(R54:R65)</f>
        <v/>
      </c>
      <c r="S66" s="335" t="n"/>
      <c r="T66" s="335">
        <f>SUM(T54:T65)</f>
        <v/>
      </c>
      <c r="U66" s="329" t="n"/>
      <c r="V66" s="336" t="n"/>
      <c r="W66" s="337" t="n"/>
      <c r="X66" s="336" t="n"/>
      <c r="Y66" s="336" t="n"/>
      <c r="Z66" s="336" t="n"/>
    </row>
    <row r="67" ht="16.5" customHeight="1" s="223">
      <c r="A67" s="322" t="n">
        <v>8</v>
      </c>
      <c r="B67" s="324" t="inlineStr">
        <is>
          <t>000030ZIK48020260803000558</t>
        </is>
      </c>
      <c r="C67" s="304" t="n">
        <v>484283</v>
      </c>
      <c r="D67" s="304" t="n">
        <v>484233</v>
      </c>
      <c r="E67" s="317" t="n">
        <v>46238</v>
      </c>
      <c r="F67" s="320" t="inlineStr">
        <is>
          <t>ID2607-7979</t>
        </is>
      </c>
      <c r="G67" s="317" t="n">
        <v>46233</v>
      </c>
      <c r="H67" s="311" t="n">
        <v>1386</v>
      </c>
      <c r="I67" s="311" t="inlineStr">
        <is>
          <t>CMAU9747033</t>
        </is>
      </c>
      <c r="J67" s="311" t="inlineStr">
        <is>
          <t>40FT</t>
        </is>
      </c>
      <c r="K67" s="309" t="inlineStr">
        <is>
          <t>8IN GREEN TEA MF MATTRESS TW</t>
        </is>
      </c>
      <c r="L67" s="310" t="inlineStr">
        <is>
          <t>SCF-STR-800T</t>
        </is>
      </c>
      <c r="M67" s="311" t="inlineStr">
        <is>
          <t>0993631204</t>
        </is>
      </c>
      <c r="N67" s="309" t="inlineStr">
        <is>
          <t>F.MFM.08T.000.WS</t>
        </is>
      </c>
      <c r="O67" s="306" t="n">
        <v>21053.34</v>
      </c>
      <c r="P67" s="306" t="n">
        <v>18281.34</v>
      </c>
      <c r="Q67" s="312">
        <f>IFERROR(R67/H67, 0)</f>
        <v/>
      </c>
      <c r="R67" s="307" t="n">
        <v>85239</v>
      </c>
      <c r="S67" s="308" t="n">
        <v>17937</v>
      </c>
      <c r="T67" s="308">
        <f>IFERROR(S67*R67, 0)</f>
        <v/>
      </c>
      <c r="U67" s="313" t="inlineStr">
        <is>
          <t>040300/KPPBC</t>
        </is>
      </c>
      <c r="V67" s="315" t="inlineStr">
        <is>
          <t>TG. PRIOK</t>
        </is>
      </c>
      <c r="W67" s="316" t="inlineStr">
        <is>
          <t>HOUSTON, US</t>
        </is>
      </c>
      <c r="X67" s="311" t="inlineStr">
        <is>
          <t>WALMART, INC.</t>
        </is>
      </c>
      <c r="Y67" s="315" t="inlineStr">
        <is>
          <t>CMDUDJA1506746B</t>
        </is>
      </c>
      <c r="Z67" s="317" t="n">
        <v>46238</v>
      </c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/>
      <c r="I68" s="311" t="inlineStr">
        <is>
          <t>CMAU6662971</t>
        </is>
      </c>
      <c r="J68" s="311" t="inlineStr">
        <is>
          <t>40FT</t>
        </is>
      </c>
      <c r="K68" s="309" t="n"/>
      <c r="L68" s="310" t="n"/>
      <c r="M68" s="311" t="n"/>
      <c r="N68" s="309" t="n"/>
      <c r="O68" s="306" t="n"/>
      <c r="P68" s="306" t="n"/>
      <c r="Q68" s="312" t="n"/>
      <c r="R68" s="307" t="n"/>
      <c r="S68" s="308" t="n"/>
      <c r="T68" s="308" t="n"/>
      <c r="U68" s="313" t="n"/>
      <c r="V68" s="315" t="n"/>
      <c r="W68" s="316" t="inlineStr">
        <is>
          <t>ETD : 09-08-2026</t>
        </is>
      </c>
      <c r="X68" s="311" t="n"/>
      <c r="Y68" s="315" t="n"/>
      <c r="Z68" s="317" t="n"/>
    </row>
    <row r="69" ht="17.1" customHeight="1" s="223">
      <c r="A69" s="325" t="n"/>
      <c r="B69" s="326" t="n"/>
      <c r="C69" s="327" t="n"/>
      <c r="D69" s="327" t="n"/>
      <c r="E69" s="328" t="n"/>
      <c r="F69" s="328" t="n"/>
      <c r="G69" s="328" t="n"/>
      <c r="H69" s="329">
        <f>SUM(H67:H68)</f>
        <v/>
      </c>
      <c r="I69" s="330">
        <f>COUNTA(I67:I68)</f>
        <v/>
      </c>
      <c r="J69" s="329" t="n"/>
      <c r="K69" s="329" t="n"/>
      <c r="L69" s="331" t="n"/>
      <c r="M69" s="329" t="n"/>
      <c r="N69" s="329" t="n"/>
      <c r="O69" s="332">
        <f>SUM(O67:O68)</f>
        <v/>
      </c>
      <c r="P69" s="332">
        <f>SUM(P67:P68)</f>
        <v/>
      </c>
      <c r="Q69" s="333" t="n"/>
      <c r="R69" s="334">
        <f>SUM(R67:R68)</f>
        <v/>
      </c>
      <c r="S69" s="335" t="n"/>
      <c r="T69" s="335">
        <f>SUM(T67:T68)</f>
        <v/>
      </c>
      <c r="U69" s="329" t="n"/>
      <c r="V69" s="336" t="n"/>
      <c r="W69" s="337" t="n"/>
      <c r="X69" s="336" t="n"/>
      <c r="Y69" s="336" t="n"/>
      <c r="Z69" s="336" t="n"/>
    </row>
    <row r="70" ht="16.5" customHeight="1" s="223">
      <c r="A70" s="322" t="n">
        <v>9</v>
      </c>
      <c r="B70" s="324" t="inlineStr">
        <is>
          <t>000030ZIK48020260803000559</t>
        </is>
      </c>
      <c r="C70" s="304" t="n">
        <v>484522</v>
      </c>
      <c r="D70" s="304" t="n">
        <v>484468</v>
      </c>
      <c r="E70" s="317" t="n">
        <v>46238</v>
      </c>
      <c r="F70" s="320" t="inlineStr">
        <is>
          <t>ID2607-7981</t>
        </is>
      </c>
      <c r="G70" s="317" t="n">
        <v>46233</v>
      </c>
      <c r="H70" s="311" t="n">
        <v>1040</v>
      </c>
      <c r="I70" s="311" t="inlineStr">
        <is>
          <t>UETU6498063</t>
        </is>
      </c>
      <c r="J70" s="311" t="inlineStr">
        <is>
          <t>40FT</t>
        </is>
      </c>
      <c r="K70" s="309" t="inlineStr">
        <is>
          <t>8IN GREEN TEA MF MATTRESS FL</t>
        </is>
      </c>
      <c r="L70" s="310" t="inlineStr">
        <is>
          <t>SCF-STR-800F</t>
        </is>
      </c>
      <c r="M70" s="311" t="inlineStr">
        <is>
          <t>0993630627</t>
        </is>
      </c>
      <c r="N70" s="309" t="inlineStr">
        <is>
          <t>F.MFM.08F.000.WS</t>
        </is>
      </c>
      <c r="O70" s="306" t="n">
        <v>21236.8</v>
      </c>
      <c r="P70" s="306" t="n">
        <v>18740.8</v>
      </c>
      <c r="Q70" s="312">
        <f>IFERROR(R70/H70, 0)</f>
        <v/>
      </c>
      <c r="R70" s="307" t="n">
        <v>82960.8</v>
      </c>
      <c r="S70" s="308" t="n">
        <v>17937</v>
      </c>
      <c r="T70" s="308">
        <f>IFERROR(S70*R70, 0)</f>
        <v/>
      </c>
      <c r="U70" s="313" t="inlineStr">
        <is>
          <t>040300/KPPBC</t>
        </is>
      </c>
      <c r="V70" s="315" t="inlineStr">
        <is>
          <t>TG. PRIOK</t>
        </is>
      </c>
      <c r="W70" s="316" t="inlineStr">
        <is>
          <t>HOUSTON, US</t>
        </is>
      </c>
      <c r="X70" s="311" t="inlineStr">
        <is>
          <t>WALMART, INC.</t>
        </is>
      </c>
      <c r="Y70" s="315" t="inlineStr">
        <is>
          <t>CMDUDJA1506746A</t>
        </is>
      </c>
      <c r="Z70" s="317" t="n">
        <v>46238</v>
      </c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/>
      <c r="I71" s="311" t="inlineStr">
        <is>
          <t>GCXU6118565</t>
        </is>
      </c>
      <c r="J71" s="311" t="inlineStr">
        <is>
          <t>40FT</t>
        </is>
      </c>
      <c r="K71" s="309" t="n"/>
      <c r="L71" s="310" t="n"/>
      <c r="M71" s="311" t="n"/>
      <c r="N71" s="309" t="n"/>
      <c r="O71" s="306" t="n"/>
      <c r="P71" s="306" t="n"/>
      <c r="Q71" s="312" t="n"/>
      <c r="R71" s="307" t="n"/>
      <c r="S71" s="308" t="n"/>
      <c r="T71" s="308" t="n"/>
      <c r="U71" s="313" t="n"/>
      <c r="V71" s="315" t="n"/>
      <c r="W71" s="316" t="inlineStr">
        <is>
          <t>ETD : 09-08-2026</t>
        </is>
      </c>
      <c r="X71" s="311" t="n"/>
      <c r="Y71" s="315" t="n"/>
      <c r="Z71" s="317" t="n"/>
    </row>
    <row r="72" ht="17.1" customHeight="1" s="223">
      <c r="A72" s="325" t="n"/>
      <c r="B72" s="326" t="n"/>
      <c r="C72" s="327" t="n"/>
      <c r="D72" s="327" t="n"/>
      <c r="E72" s="328" t="n"/>
      <c r="F72" s="328" t="n"/>
      <c r="G72" s="328" t="n"/>
      <c r="H72" s="329">
        <f>SUM(H70:H71)</f>
        <v/>
      </c>
      <c r="I72" s="330">
        <f>COUNTA(I70:I71)</f>
        <v/>
      </c>
      <c r="J72" s="329" t="n"/>
      <c r="K72" s="329" t="n"/>
      <c r="L72" s="331" t="n"/>
      <c r="M72" s="329" t="n"/>
      <c r="N72" s="329" t="n"/>
      <c r="O72" s="332">
        <f>SUM(O70:O71)</f>
        <v/>
      </c>
      <c r="P72" s="332">
        <f>SUM(P70:P71)</f>
        <v/>
      </c>
      <c r="Q72" s="333" t="n"/>
      <c r="R72" s="334">
        <f>SUM(R70:R71)</f>
        <v/>
      </c>
      <c r="S72" s="335" t="n"/>
      <c r="T72" s="335">
        <f>SUM(T70:T71)</f>
        <v/>
      </c>
      <c r="U72" s="329" t="n"/>
      <c r="V72" s="336" t="n"/>
      <c r="W72" s="337" t="n"/>
      <c r="X72" s="336" t="n"/>
      <c r="Y72" s="336" t="n"/>
      <c r="Z72" s="336" t="n"/>
    </row>
    <row r="73" ht="16.5" customHeight="1" s="223">
      <c r="A73" s="322" t="n">
        <v>10</v>
      </c>
      <c r="B73" s="324" t="inlineStr">
        <is>
          <t>000030ZIK48020260803000560</t>
        </is>
      </c>
      <c r="C73" s="304" t="n">
        <v>484468</v>
      </c>
      <c r="D73" s="304" t="n">
        <v>484414</v>
      </c>
      <c r="E73" s="317" t="n">
        <v>46238</v>
      </c>
      <c r="F73" s="320" t="inlineStr">
        <is>
          <t>ID2607-7980</t>
        </is>
      </c>
      <c r="G73" s="317" t="n">
        <v>46233</v>
      </c>
      <c r="H73" s="311" t="n">
        <v>1350</v>
      </c>
      <c r="I73" s="311" t="inlineStr">
        <is>
          <t>CMAU3741700</t>
        </is>
      </c>
      <c r="J73" s="311" t="inlineStr">
        <is>
          <t>40FT</t>
        </is>
      </c>
      <c r="K73" s="309" t="inlineStr">
        <is>
          <t>8IN GREEN TEA MF MATTRESS QN</t>
        </is>
      </c>
      <c r="L73" s="310" t="inlineStr">
        <is>
          <t>SCF-STR-800Q</t>
        </is>
      </c>
      <c r="M73" s="311" t="inlineStr">
        <is>
          <t>0993631184</t>
        </is>
      </c>
      <c r="N73" s="309" t="inlineStr">
        <is>
          <t>F.MFM.08Q.000.WS</t>
        </is>
      </c>
      <c r="O73" s="306" t="n">
        <v>32265</v>
      </c>
      <c r="P73" s="306" t="n">
        <v>28782</v>
      </c>
      <c r="Q73" s="312">
        <f>IFERROR(R73/H73, 0)</f>
        <v/>
      </c>
      <c r="R73" s="307" t="n">
        <v>126859.5</v>
      </c>
      <c r="S73" s="308" t="n">
        <v>17937</v>
      </c>
      <c r="T73" s="308">
        <f>IFERROR(S73*R73, 0)</f>
        <v/>
      </c>
      <c r="U73" s="313" t="inlineStr">
        <is>
          <t>040300/KPPBC</t>
        </is>
      </c>
      <c r="V73" s="315" t="inlineStr">
        <is>
          <t>TG. PRIOK</t>
        </is>
      </c>
      <c r="W73" s="316" t="inlineStr">
        <is>
          <t>HOUSTON, US</t>
        </is>
      </c>
      <c r="X73" s="311" t="inlineStr">
        <is>
          <t>WALMART, INC.</t>
        </is>
      </c>
      <c r="Y73" s="315" t="inlineStr">
        <is>
          <t>CMDUDJA1506746C</t>
        </is>
      </c>
      <c r="Z73" s="317" t="n">
        <v>46238</v>
      </c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/>
      <c r="I74" s="311" t="inlineStr">
        <is>
          <t>CAAU8228249</t>
        </is>
      </c>
      <c r="J74" s="311" t="inlineStr">
        <is>
          <t>40FT</t>
        </is>
      </c>
      <c r="K74" s="309" t="n"/>
      <c r="L74" s="310" t="n"/>
      <c r="M74" s="311" t="n"/>
      <c r="N74" s="309" t="n"/>
      <c r="O74" s="306" t="n"/>
      <c r="P74" s="306" t="n"/>
      <c r="Q74" s="312" t="n"/>
      <c r="R74" s="307" t="n"/>
      <c r="S74" s="308" t="n"/>
      <c r="T74" s="308" t="n"/>
      <c r="U74" s="313" t="n"/>
      <c r="V74" s="315" t="n"/>
      <c r="W74" s="316" t="inlineStr">
        <is>
          <t>ETD : 09-08-2026</t>
        </is>
      </c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/>
      <c r="I75" s="311" t="inlineStr">
        <is>
          <t>TLLU5808106</t>
        </is>
      </c>
      <c r="J75" s="311" t="inlineStr">
        <is>
          <t>40FT</t>
        </is>
      </c>
      <c r="K75" s="309" t="n"/>
      <c r="L75" s="310" t="n"/>
      <c r="M75" s="311" t="n"/>
      <c r="N75" s="309" t="n"/>
      <c r="O75" s="306" t="n"/>
      <c r="P75" s="306" t="n"/>
      <c r="Q75" s="312" t="n"/>
      <c r="R75" s="307" t="n"/>
      <c r="S75" s="308" t="n"/>
      <c r="T75" s="308" t="n"/>
      <c r="U75" s="313" t="n"/>
      <c r="V75" s="315" t="n"/>
      <c r="W75" s="316" t="n"/>
      <c r="X75" s="311" t="n"/>
      <c r="Y75" s="315" t="n"/>
      <c r="Z75" s="317" t="n"/>
    </row>
    <row r="76" ht="17.1" customHeight="1" s="223">
      <c r="A76" s="325" t="n"/>
      <c r="B76" s="326" t="n"/>
      <c r="C76" s="327" t="n"/>
      <c r="D76" s="327" t="n"/>
      <c r="E76" s="328" t="n"/>
      <c r="F76" s="328" t="n"/>
      <c r="G76" s="328" t="n"/>
      <c r="H76" s="329">
        <f>SUM(H73:H75)</f>
        <v/>
      </c>
      <c r="I76" s="330">
        <f>COUNTA(I73:I75)</f>
        <v/>
      </c>
      <c r="J76" s="329" t="n"/>
      <c r="K76" s="329" t="n"/>
      <c r="L76" s="331" t="n"/>
      <c r="M76" s="329" t="n"/>
      <c r="N76" s="329" t="n"/>
      <c r="O76" s="332">
        <f>SUM(O73:O75)</f>
        <v/>
      </c>
      <c r="P76" s="332">
        <f>SUM(P73:P75)</f>
        <v/>
      </c>
      <c r="Q76" s="333" t="n"/>
      <c r="R76" s="334">
        <f>SUM(R73:R75)</f>
        <v/>
      </c>
      <c r="S76" s="335" t="n"/>
      <c r="T76" s="335">
        <f>SUM(T73:T75)</f>
        <v/>
      </c>
      <c r="U76" s="329" t="n"/>
      <c r="V76" s="336" t="n"/>
      <c r="W76" s="337" t="n"/>
      <c r="X76" s="336" t="n"/>
      <c r="Y76" s="336" t="n"/>
      <c r="Z76" s="336" t="n"/>
    </row>
    <row r="77" ht="16.5" customHeight="1" s="223">
      <c r="A77" s="322" t="n">
        <v>11</v>
      </c>
      <c r="B77" s="324" t="inlineStr">
        <is>
          <t>000030ZIK48020260803000561</t>
        </is>
      </c>
      <c r="C77" s="304" t="n">
        <v>485165</v>
      </c>
      <c r="D77" s="304" t="n">
        <v>485105</v>
      </c>
      <c r="E77" s="317" t="n">
        <v>46238</v>
      </c>
      <c r="F77" s="320" t="inlineStr">
        <is>
          <t>SAMPLE-ZIID26-0062-NCV</t>
        </is>
      </c>
      <c r="G77" s="317" t="n">
        <v>46225</v>
      </c>
      <c r="H77" s="311" t="n">
        <v>1</v>
      </c>
      <c r="I77" s="311" t="inlineStr">
        <is>
          <t>FTAU1019757</t>
        </is>
      </c>
      <c r="J77" s="311" t="inlineStr">
        <is>
          <t>20FT</t>
        </is>
      </c>
      <c r="K77" s="309" t="inlineStr">
        <is>
          <t>8IN MYGEL FOAM MATTRESS QN</t>
        </is>
      </c>
      <c r="L77" s="310" t="inlineStr">
        <is>
          <t>ZU-MFGN1YZI-08Q</t>
        </is>
      </c>
      <c r="M77" s="311" t="inlineStr"/>
      <c r="N77" s="309" t="inlineStr">
        <is>
          <t>F.MFG.08Q.003.AD</t>
        </is>
      </c>
      <c r="O77" s="306" t="n">
        <v>2652.95</v>
      </c>
      <c r="P77" s="306" t="n">
        <v>2344.34</v>
      </c>
      <c r="Q77" s="312">
        <f>IFERROR(R77/H77, 0)</f>
        <v/>
      </c>
      <c r="R77" s="307" t="n">
        <v>70.15000000000001</v>
      </c>
      <c r="S77" s="308" t="n">
        <v>17937</v>
      </c>
      <c r="T77" s="308">
        <f>IFERROR(S77*R77, 0)</f>
        <v/>
      </c>
      <c r="U77" s="313" t="inlineStr">
        <is>
          <t>040300/KPPBC</t>
        </is>
      </c>
      <c r="V77" s="315" t="inlineStr">
        <is>
          <t>TG. PRIOK</t>
        </is>
      </c>
      <c r="W77" s="316" t="inlineStr">
        <is>
          <t>NANSHA, US</t>
        </is>
      </c>
      <c r="X77" s="311" t="inlineStr">
        <is>
          <t>SGS-CSTC STANDARDS TECHNICAL SERVICES</t>
        </is>
      </c>
      <c r="Y77" s="315" t="inlineStr">
        <is>
          <t>JKNSA2608014</t>
        </is>
      </c>
      <c r="Z77" s="317" t="n">
        <v>46238</v>
      </c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</v>
      </c>
      <c r="I78" s="311" t="inlineStr"/>
      <c r="J78" s="311" t="inlineStr"/>
      <c r="K78" s="309" t="inlineStr">
        <is>
          <t>12IN AIRFLOW GEL FOAM MATT FL</t>
        </is>
      </c>
      <c r="L78" s="310" t="inlineStr">
        <is>
          <t>ZU-MFMA1RZI-12F</t>
        </is>
      </c>
      <c r="M78" s="311" t="inlineStr"/>
      <c r="N78" s="309" t="inlineStr">
        <is>
          <t>F.MFM.12F.011.AD</t>
        </is>
      </c>
      <c r="O78" s="306" t="n"/>
      <c r="P78" s="306" t="n"/>
      <c r="Q78" s="312">
        <f>IFERROR(R78/H78, 0)</f>
        <v/>
      </c>
      <c r="R78" s="307" t="n">
        <v>75.56</v>
      </c>
      <c r="S78" s="308" t="n">
        <v>17937</v>
      </c>
      <c r="T78" s="308">
        <f>IFERROR(S78*R78, 0)</f>
        <v/>
      </c>
      <c r="U78" s="313" t="n"/>
      <c r="V78" s="315" t="n"/>
      <c r="W78" s="316" t="inlineStr">
        <is>
          <t>ETD : 11-08-2026</t>
        </is>
      </c>
      <c r="X78" s="311" t="n"/>
      <c r="Y78" s="315" t="n"/>
      <c r="Z78" s="317" t="n"/>
    </row>
    <row r="79" ht="16.5" customHeight="1" s="223">
      <c r="A79" s="322" t="n"/>
      <c r="B79" s="324" t="n"/>
      <c r="C79" s="304" t="n"/>
      <c r="D79" s="304" t="n"/>
      <c r="E79" s="317" t="n"/>
      <c r="F79" s="320" t="n"/>
      <c r="G79" s="317" t="n"/>
      <c r="H79" s="311" t="n">
        <v>1</v>
      </c>
      <c r="I79" s="311" t="inlineStr"/>
      <c r="J79" s="311" t="inlineStr"/>
      <c r="K79" s="309" t="inlineStr">
        <is>
          <t>5IN OPP HD TW</t>
        </is>
      </c>
      <c r="L79" s="310" t="inlineStr">
        <is>
          <t>ZU-MFMA1OZI-05T</t>
        </is>
      </c>
      <c r="M79" s="311" t="inlineStr"/>
      <c r="N79" s="309" t="inlineStr">
        <is>
          <t>F.MFM.05T.008.AD</t>
        </is>
      </c>
      <c r="O79" s="306" t="n"/>
      <c r="P79" s="306" t="n"/>
      <c r="Q79" s="312">
        <f>IFERROR(R79/H79, 0)</f>
        <v/>
      </c>
      <c r="R79" s="307" t="n">
        <v>31.07</v>
      </c>
      <c r="S79" s="308" t="n">
        <v>17937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2" t="n"/>
      <c r="B80" s="324" t="n"/>
      <c r="C80" s="304" t="n"/>
      <c r="D80" s="304" t="n"/>
      <c r="E80" s="317" t="n"/>
      <c r="F80" s="320" t="n"/>
      <c r="G80" s="317" t="n"/>
      <c r="H80" s="311" t="n">
        <v>1</v>
      </c>
      <c r="I80" s="311" t="inlineStr"/>
      <c r="J80" s="311" t="inlineStr"/>
      <c r="K80" s="309" t="inlineStr">
        <is>
          <t>12IN OPP HD FL</t>
        </is>
      </c>
      <c r="L80" s="310" t="inlineStr">
        <is>
          <t>ZU-MFMA1OZI-12F</t>
        </is>
      </c>
      <c r="M80" s="311" t="inlineStr"/>
      <c r="N80" s="309" t="inlineStr">
        <is>
          <t>F.MFM.12F.010.AD</t>
        </is>
      </c>
      <c r="O80" s="306" t="n"/>
      <c r="P80" s="306" t="n"/>
      <c r="Q80" s="312">
        <f>IFERROR(R80/H80, 0)</f>
        <v/>
      </c>
      <c r="R80" s="307" t="n">
        <v>75.45</v>
      </c>
      <c r="S80" s="308" t="n">
        <v>17937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>
        <v>1</v>
      </c>
      <c r="I81" s="311" t="inlineStr"/>
      <c r="J81" s="311" t="inlineStr"/>
      <c r="K81" s="309" t="inlineStr">
        <is>
          <t>6IN TIGHT TOP BONNEL NT</t>
        </is>
      </c>
      <c r="L81" s="310" t="inlineStr">
        <is>
          <t>ZU-MSSA2BZI-06N</t>
        </is>
      </c>
      <c r="M81" s="311" t="inlineStr"/>
      <c r="N81" s="309" t="inlineStr">
        <is>
          <t>F.MSS.06N.007.AD</t>
        </is>
      </c>
      <c r="O81" s="306" t="n"/>
      <c r="P81" s="306" t="n"/>
      <c r="Q81" s="312">
        <f>IFERROR(R81/H81, 0)</f>
        <v/>
      </c>
      <c r="R81" s="307" t="n">
        <v>26.1</v>
      </c>
      <c r="S81" s="308" t="n">
        <v>17937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2" t="n"/>
      <c r="B82" s="324" t="n"/>
      <c r="C82" s="304" t="n"/>
      <c r="D82" s="304" t="n"/>
      <c r="E82" s="317" t="n"/>
      <c r="F82" s="320" t="n"/>
      <c r="G82" s="317" t="n"/>
      <c r="H82" s="311" t="n">
        <v>1</v>
      </c>
      <c r="I82" s="311" t="inlineStr"/>
      <c r="J82" s="311" t="inlineStr"/>
      <c r="K82" s="309" t="inlineStr">
        <is>
          <t>8IN AIRFLOW GEL FOAM MATT QN</t>
        </is>
      </c>
      <c r="L82" s="310" t="inlineStr">
        <is>
          <t>ZU-MFMA1RZI-08Q</t>
        </is>
      </c>
      <c r="M82" s="311" t="inlineStr"/>
      <c r="N82" s="309" t="inlineStr">
        <is>
          <t>F.MFM.08Q.014.AD</t>
        </is>
      </c>
      <c r="O82" s="306" t="n"/>
      <c r="P82" s="306" t="n"/>
      <c r="Q82" s="312">
        <f>IFERROR(R82/H82, 0)</f>
        <v/>
      </c>
      <c r="R82" s="307" t="n">
        <v>65.27</v>
      </c>
      <c r="S82" s="308" t="n">
        <v>17937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2" t="n"/>
      <c r="B83" s="324" t="n"/>
      <c r="C83" s="304" t="n"/>
      <c r="D83" s="304" t="n"/>
      <c r="E83" s="317" t="n"/>
      <c r="F83" s="320" t="n"/>
      <c r="G83" s="317" t="n"/>
      <c r="H83" s="311" t="n">
        <v>1</v>
      </c>
      <c r="I83" s="311" t="inlineStr"/>
      <c r="J83" s="311" t="inlineStr"/>
      <c r="K83" s="309" t="inlineStr">
        <is>
          <t>6IN OPP HD FL</t>
        </is>
      </c>
      <c r="L83" s="310" t="inlineStr">
        <is>
          <t>ZU-MFMA1OZI-06F</t>
        </is>
      </c>
      <c r="M83" s="311" t="inlineStr"/>
      <c r="N83" s="309" t="inlineStr">
        <is>
          <t>F.MFM.06F.008.AD</t>
        </is>
      </c>
      <c r="O83" s="306" t="n"/>
      <c r="P83" s="306" t="n"/>
      <c r="Q83" s="312">
        <f>IFERROR(R83/H83, 0)</f>
        <v/>
      </c>
      <c r="R83" s="307" t="n">
        <v>44.32</v>
      </c>
      <c r="S83" s="308" t="n">
        <v>17937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>
        <v>1</v>
      </c>
      <c r="I84" s="311" t="inlineStr"/>
      <c r="J84" s="311" t="inlineStr"/>
      <c r="K84" s="309" t="inlineStr">
        <is>
          <t>10IN OPP HD EK</t>
        </is>
      </c>
      <c r="L84" s="310" t="inlineStr">
        <is>
          <t>ZU-MFMA1OZI-10K</t>
        </is>
      </c>
      <c r="M84" s="311" t="inlineStr"/>
      <c r="N84" s="309" t="inlineStr">
        <is>
          <t>F.MFM.10K.013.AD</t>
        </is>
      </c>
      <c r="O84" s="306" t="n"/>
      <c r="P84" s="306" t="n"/>
      <c r="Q84" s="312">
        <f>IFERROR(R84/H84, 0)</f>
        <v/>
      </c>
      <c r="R84" s="307" t="n">
        <v>94.83</v>
      </c>
      <c r="S84" s="308" t="n">
        <v>17937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2" t="n"/>
      <c r="B85" s="324" t="n"/>
      <c r="C85" s="304" t="n"/>
      <c r="D85" s="304" t="n"/>
      <c r="E85" s="317" t="n"/>
      <c r="F85" s="320" t="n"/>
      <c r="G85" s="317" t="n"/>
      <c r="H85" s="311" t="n">
        <v>1</v>
      </c>
      <c r="I85" s="311" t="inlineStr"/>
      <c r="J85" s="311" t="inlineStr"/>
      <c r="K85" s="309" t="inlineStr">
        <is>
          <t>10IN MYGEL FOAM MATTRESS QN</t>
        </is>
      </c>
      <c r="L85" s="310" t="inlineStr">
        <is>
          <t>ZU-MFGN1YZI-10Q</t>
        </is>
      </c>
      <c r="M85" s="311" t="inlineStr"/>
      <c r="N85" s="309" t="inlineStr">
        <is>
          <t>F.MFG.10Q.002.AD</t>
        </is>
      </c>
      <c r="O85" s="306" t="n"/>
      <c r="P85" s="306" t="n"/>
      <c r="Q85" s="312">
        <f>IFERROR(R85/H85, 0)</f>
        <v/>
      </c>
      <c r="R85" s="307" t="n">
        <v>81.15000000000001</v>
      </c>
      <c r="S85" s="308" t="n">
        <v>17937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2" t="n"/>
      <c r="B86" s="324" t="n"/>
      <c r="C86" s="304" t="n"/>
      <c r="D86" s="304" t="n"/>
      <c r="E86" s="317" t="n"/>
      <c r="F86" s="320" t="n"/>
      <c r="G86" s="317" t="n"/>
      <c r="H86" s="311" t="n">
        <v>1</v>
      </c>
      <c r="I86" s="311" t="inlineStr"/>
      <c r="J86" s="311" t="inlineStr"/>
      <c r="K86" s="309" t="inlineStr">
        <is>
          <t>8IN AIRFLOW GEL FOAM MATT FL</t>
        </is>
      </c>
      <c r="L86" s="310" t="inlineStr">
        <is>
          <t>ZU-MFMA1RZI-08F</t>
        </is>
      </c>
      <c r="M86" s="311" t="inlineStr"/>
      <c r="N86" s="309" t="inlineStr">
        <is>
          <t>F.MFM.08F.014.AD</t>
        </is>
      </c>
      <c r="O86" s="306" t="n"/>
      <c r="P86" s="306" t="n"/>
      <c r="Q86" s="312">
        <f>IFERROR(R86/H86, 0)</f>
        <v/>
      </c>
      <c r="R86" s="307" t="n">
        <v>55.4</v>
      </c>
      <c r="S86" s="308" t="n">
        <v>17937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10IN AIRFLOW GEL FOAM MATT QN</t>
        </is>
      </c>
      <c r="L87" s="310" t="inlineStr">
        <is>
          <t>ZU-MFMA1RZI-10Q</t>
        </is>
      </c>
      <c r="M87" s="311" t="inlineStr"/>
      <c r="N87" s="309" t="inlineStr">
        <is>
          <t>F.MFM.10Q.014.AD</t>
        </is>
      </c>
      <c r="O87" s="306" t="n"/>
      <c r="P87" s="306" t="n"/>
      <c r="Q87" s="312">
        <f>IFERROR(R87/H87, 0)</f>
        <v/>
      </c>
      <c r="R87" s="307" t="n">
        <v>77.58</v>
      </c>
      <c r="S87" s="308" t="n">
        <v>17937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8IN TIGHT TOP BONNEL SQ</t>
        </is>
      </c>
      <c r="L88" s="310" t="inlineStr">
        <is>
          <t>ZU-MSSA2BZI-08S</t>
        </is>
      </c>
      <c r="M88" s="311" t="inlineStr"/>
      <c r="N88" s="309" t="inlineStr">
        <is>
          <t>F.MSS.08S.009.AD</t>
        </is>
      </c>
      <c r="O88" s="306" t="n"/>
      <c r="P88" s="306" t="n"/>
      <c r="Q88" s="312">
        <f>IFERROR(R88/H88, 0)</f>
        <v/>
      </c>
      <c r="R88" s="307" t="n">
        <v>51.21</v>
      </c>
      <c r="S88" s="308" t="n">
        <v>17937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 t="n">
        <v>1</v>
      </c>
      <c r="I89" s="311" t="inlineStr"/>
      <c r="J89" s="311" t="inlineStr"/>
      <c r="K89" s="309" t="inlineStr">
        <is>
          <t>12IN OPP HD EK</t>
        </is>
      </c>
      <c r="L89" s="310" t="inlineStr">
        <is>
          <t>ZU-MFMA1OZI-12K</t>
        </is>
      </c>
      <c r="M89" s="311" t="inlineStr"/>
      <c r="N89" s="309" t="inlineStr">
        <is>
          <t>F.MFM.12K.010.AD</t>
        </is>
      </c>
      <c r="O89" s="306" t="n"/>
      <c r="P89" s="306" t="n"/>
      <c r="Q89" s="312">
        <f>IFERROR(R89/H89, 0)</f>
        <v/>
      </c>
      <c r="R89" s="307" t="n">
        <v>107.8</v>
      </c>
      <c r="S89" s="308" t="n">
        <v>17937</v>
      </c>
      <c r="T89" s="308">
        <f>IFERROR(S89*R89, 0)</f>
        <v/>
      </c>
      <c r="U89" s="313" t="n"/>
      <c r="V89" s="315" t="n"/>
      <c r="W89" s="316" t="n"/>
      <c r="X89" s="311" t="n"/>
      <c r="Y89" s="315" t="n"/>
      <c r="Z89" s="317" t="n"/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1</v>
      </c>
      <c r="I90" s="311" t="inlineStr"/>
      <c r="J90" s="311" t="inlineStr"/>
      <c r="K90" s="309" t="inlineStr">
        <is>
          <t>6IN OPP HD QN</t>
        </is>
      </c>
      <c r="L90" s="310" t="inlineStr">
        <is>
          <t>ZU-MFMA1OZI-06Q</t>
        </is>
      </c>
      <c r="M90" s="311" t="inlineStr"/>
      <c r="N90" s="309" t="inlineStr">
        <is>
          <t>F.MFM.06Q.008.AD</t>
        </is>
      </c>
      <c r="O90" s="306" t="n"/>
      <c r="P90" s="306" t="n"/>
      <c r="Q90" s="312">
        <f>IFERROR(R90/H90, 0)</f>
        <v/>
      </c>
      <c r="R90" s="307" t="n">
        <v>52.49</v>
      </c>
      <c r="S90" s="308" t="n">
        <v>17937</v>
      </c>
      <c r="T90" s="308">
        <f>IFERROR(S90*R90, 0)</f>
        <v/>
      </c>
      <c r="U90" s="313" t="n"/>
      <c r="V90" s="315" t="n"/>
      <c r="W90" s="316" t="n"/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1</v>
      </c>
      <c r="I91" s="311" t="inlineStr"/>
      <c r="J91" s="311" t="inlineStr"/>
      <c r="K91" s="309" t="inlineStr">
        <is>
          <t>10IN TIGHT TOP BONNEL TW</t>
        </is>
      </c>
      <c r="L91" s="310" t="inlineStr">
        <is>
          <t>ZU-MSSA2BZI-10T</t>
        </is>
      </c>
      <c r="M91" s="311" t="inlineStr"/>
      <c r="N91" s="309" t="inlineStr">
        <is>
          <t>F.MSS.10T.009.AD</t>
        </is>
      </c>
      <c r="O91" s="306" t="n"/>
      <c r="P91" s="306" t="n"/>
      <c r="Q91" s="312">
        <f>IFERROR(R91/H91, 0)</f>
        <v/>
      </c>
      <c r="R91" s="307" t="n">
        <v>42</v>
      </c>
      <c r="S91" s="308" t="n">
        <v>17937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1</v>
      </c>
      <c r="I92" s="311" t="inlineStr"/>
      <c r="J92" s="311" t="inlineStr"/>
      <c r="K92" s="309" t="inlineStr">
        <is>
          <t>12IN OPP HD TW</t>
        </is>
      </c>
      <c r="L92" s="310" t="inlineStr">
        <is>
          <t>ZU-MFMA1OZI-12T</t>
        </is>
      </c>
      <c r="M92" s="311" t="inlineStr"/>
      <c r="N92" s="309" t="inlineStr">
        <is>
          <t>F.MFM.12T.010.AD</t>
        </is>
      </c>
      <c r="O92" s="306" t="n"/>
      <c r="P92" s="306" t="n"/>
      <c r="Q92" s="312">
        <f>IFERROR(R92/H92, 0)</f>
        <v/>
      </c>
      <c r="R92" s="307" t="n">
        <v>56.61</v>
      </c>
      <c r="S92" s="308" t="n">
        <v>17937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</v>
      </c>
      <c r="I93" s="311" t="inlineStr"/>
      <c r="J93" s="311" t="inlineStr"/>
      <c r="K93" s="309" t="inlineStr">
        <is>
          <t>6IN TIGHT TOP BONNEL TW</t>
        </is>
      </c>
      <c r="L93" s="310" t="inlineStr">
        <is>
          <t>ZU-MSSA2BZI-06T</t>
        </is>
      </c>
      <c r="M93" s="311" t="inlineStr"/>
      <c r="N93" s="309" t="inlineStr">
        <is>
          <t>F.MSS.06T.007.AD</t>
        </is>
      </c>
      <c r="O93" s="306" t="n"/>
      <c r="P93" s="306" t="n"/>
      <c r="Q93" s="312">
        <f>IFERROR(R93/H93, 0)</f>
        <v/>
      </c>
      <c r="R93" s="307" t="n">
        <v>31.49</v>
      </c>
      <c r="S93" s="308" t="n">
        <v>17937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</v>
      </c>
      <c r="I94" s="311" t="inlineStr"/>
      <c r="J94" s="311" t="inlineStr"/>
      <c r="K94" s="309" t="inlineStr">
        <is>
          <t>12IN MYGEL FOAM MATTRESS FL</t>
        </is>
      </c>
      <c r="L94" s="310" t="inlineStr">
        <is>
          <t>ZU-MFGN1YZI-12F</t>
        </is>
      </c>
      <c r="M94" s="311" t="inlineStr"/>
      <c r="N94" s="309" t="inlineStr">
        <is>
          <t>F.MFG.12F.002.AD</t>
        </is>
      </c>
      <c r="O94" s="306" t="n"/>
      <c r="P94" s="306" t="n"/>
      <c r="Q94" s="312">
        <f>IFERROR(R94/H94, 0)</f>
        <v/>
      </c>
      <c r="R94" s="307" t="n">
        <v>78.40000000000001</v>
      </c>
      <c r="S94" s="308" t="n">
        <v>17937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</v>
      </c>
      <c r="I95" s="311" t="inlineStr"/>
      <c r="J95" s="311" t="inlineStr"/>
      <c r="K95" s="309" t="inlineStr">
        <is>
          <t>6IN MYGEL FOAM MATTRESS TW</t>
        </is>
      </c>
      <c r="L95" s="310" t="inlineStr">
        <is>
          <t>ZU-MFGN1YZI-06T</t>
        </is>
      </c>
      <c r="M95" s="311" t="inlineStr"/>
      <c r="N95" s="309" t="inlineStr">
        <is>
          <t>F.MFG.06T.002.AD</t>
        </is>
      </c>
      <c r="O95" s="306" t="n"/>
      <c r="P95" s="306" t="n"/>
      <c r="Q95" s="312">
        <f>IFERROR(R95/H95, 0)</f>
        <v/>
      </c>
      <c r="R95" s="307" t="n">
        <v>35.39</v>
      </c>
      <c r="S95" s="308" t="n">
        <v>17937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1</v>
      </c>
      <c r="I96" s="311" t="inlineStr"/>
      <c r="J96" s="311" t="inlineStr"/>
      <c r="K96" s="309" t="inlineStr">
        <is>
          <t>8IN TIGHT TOP BONNEL CK</t>
        </is>
      </c>
      <c r="L96" s="310" t="inlineStr">
        <is>
          <t>ZU-MSSA2BZI-08C</t>
        </is>
      </c>
      <c r="M96" s="311" t="inlineStr"/>
      <c r="N96" s="309" t="inlineStr">
        <is>
          <t>F.MSS.08C.009.AD</t>
        </is>
      </c>
      <c r="O96" s="306" t="n"/>
      <c r="P96" s="306" t="n"/>
      <c r="Q96" s="312">
        <f>IFERROR(R96/H96, 0)</f>
        <v/>
      </c>
      <c r="R96" s="307" t="n">
        <v>71.61</v>
      </c>
      <c r="S96" s="308" t="n">
        <v>17937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1</v>
      </c>
      <c r="I97" s="311" t="inlineStr"/>
      <c r="J97" s="311" t="inlineStr"/>
      <c r="K97" s="309" t="inlineStr">
        <is>
          <t>10IN MYGEL FOAM MATTRESS FL</t>
        </is>
      </c>
      <c r="L97" s="310" t="inlineStr">
        <is>
          <t>ZU-MFGN1YZI-10F</t>
        </is>
      </c>
      <c r="M97" s="311" t="inlineStr"/>
      <c r="N97" s="309" t="inlineStr">
        <is>
          <t>F.MFG.10F.002.AD</t>
        </is>
      </c>
      <c r="O97" s="306" t="n"/>
      <c r="P97" s="306" t="n"/>
      <c r="Q97" s="312">
        <f>IFERROR(R97/H97, 0)</f>
        <v/>
      </c>
      <c r="R97" s="307" t="n">
        <v>68.51000000000001</v>
      </c>
      <c r="S97" s="308" t="n">
        <v>17937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6.5" customHeight="1" s="223">
      <c r="A98" s="322" t="n"/>
      <c r="B98" s="324" t="n"/>
      <c r="C98" s="304" t="n"/>
      <c r="D98" s="304" t="n"/>
      <c r="E98" s="317" t="n"/>
      <c r="F98" s="320" t="n"/>
      <c r="G98" s="317" t="n"/>
      <c r="H98" s="311" t="n">
        <v>1</v>
      </c>
      <c r="I98" s="311" t="inlineStr"/>
      <c r="J98" s="311" t="inlineStr"/>
      <c r="K98" s="309" t="inlineStr">
        <is>
          <t>8IN TIGHT TOP BONNEL TW</t>
        </is>
      </c>
      <c r="L98" s="310" t="inlineStr">
        <is>
          <t>ZU-MSSA2BZI-08T</t>
        </is>
      </c>
      <c r="M98" s="311" t="inlineStr"/>
      <c r="N98" s="309" t="inlineStr">
        <is>
          <t>F.MSS.08T.009.AD</t>
        </is>
      </c>
      <c r="O98" s="306" t="n"/>
      <c r="P98" s="306" t="n"/>
      <c r="Q98" s="312">
        <f>IFERROR(R98/H98, 0)</f>
        <v/>
      </c>
      <c r="R98" s="307" t="n">
        <v>36.3</v>
      </c>
      <c r="S98" s="308" t="n">
        <v>17937</v>
      </c>
      <c r="T98" s="308">
        <f>IFERROR(S98*R98, 0)</f>
        <v/>
      </c>
      <c r="U98" s="313" t="n"/>
      <c r="V98" s="315" t="n"/>
      <c r="W98" s="316" t="n"/>
      <c r="X98" s="311" t="n"/>
      <c r="Y98" s="315" t="n"/>
      <c r="Z98" s="317" t="n"/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>
        <v>1</v>
      </c>
      <c r="I99" s="311" t="inlineStr"/>
      <c r="J99" s="311" t="inlineStr"/>
      <c r="K99" s="309" t="inlineStr">
        <is>
          <t>12IN F-EURO TOP BONNEL EK</t>
        </is>
      </c>
      <c r="L99" s="310" t="inlineStr">
        <is>
          <t>ZU-MSSA2BZI-12K</t>
        </is>
      </c>
      <c r="M99" s="311" t="inlineStr"/>
      <c r="N99" s="309" t="inlineStr">
        <is>
          <t>F.MSS.12K.007.AD</t>
        </is>
      </c>
      <c r="O99" s="306" t="n"/>
      <c r="P99" s="306" t="n"/>
      <c r="Q99" s="312">
        <f>IFERROR(R99/H99, 0)</f>
        <v/>
      </c>
      <c r="R99" s="307" t="n">
        <v>95.33</v>
      </c>
      <c r="S99" s="308" t="n">
        <v>17937</v>
      </c>
      <c r="T99" s="308">
        <f>IFERROR(S99*R99, 0)</f>
        <v/>
      </c>
      <c r="U99" s="313" t="n"/>
      <c r="V99" s="315" t="n"/>
      <c r="W99" s="316" t="n"/>
      <c r="X99" s="311" t="n"/>
      <c r="Y99" s="315" t="n"/>
      <c r="Z99" s="317" t="n"/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>
        <v>1</v>
      </c>
      <c r="I100" s="311" t="inlineStr"/>
      <c r="J100" s="311" t="inlineStr"/>
      <c r="K100" s="309" t="inlineStr">
        <is>
          <t>8IN TIGHT TOP BONNEL FL</t>
        </is>
      </c>
      <c r="L100" s="310" t="inlineStr">
        <is>
          <t>ZU-MSSA2BZI-08F</t>
        </is>
      </c>
      <c r="M100" s="311" t="inlineStr"/>
      <c r="N100" s="309" t="inlineStr">
        <is>
          <t>F.MSS.08F.009.AD</t>
        </is>
      </c>
      <c r="O100" s="306" t="n"/>
      <c r="P100" s="306" t="n"/>
      <c r="Q100" s="312">
        <f>IFERROR(R100/H100, 0)</f>
        <v/>
      </c>
      <c r="R100" s="307" t="n">
        <v>48.56</v>
      </c>
      <c r="S100" s="308" t="n">
        <v>17937</v>
      </c>
      <c r="T100" s="308">
        <f>IFERROR(S100*R100, 0)</f>
        <v/>
      </c>
      <c r="U100" s="313" t="n"/>
      <c r="V100" s="315" t="n"/>
      <c r="W100" s="316" t="n"/>
      <c r="X100" s="311" t="n"/>
      <c r="Y100" s="315" t="n"/>
      <c r="Z100" s="317" t="n"/>
    </row>
    <row r="101" ht="16.5" customHeight="1" s="223">
      <c r="A101" s="322" t="n"/>
      <c r="B101" s="324" t="n"/>
      <c r="C101" s="304" t="n"/>
      <c r="D101" s="304" t="n"/>
      <c r="E101" s="317" t="n"/>
      <c r="F101" s="320" t="n"/>
      <c r="G101" s="317" t="n"/>
      <c r="H101" s="311" t="n">
        <v>1</v>
      </c>
      <c r="I101" s="311" t="inlineStr"/>
      <c r="J101" s="311" t="inlineStr"/>
      <c r="K101" s="309" t="inlineStr">
        <is>
          <t>10IN AIRFLOW GEL FOAM MATT TW</t>
        </is>
      </c>
      <c r="L101" s="310" t="inlineStr">
        <is>
          <t>ZU-MFMA1RZI-10T</t>
        </is>
      </c>
      <c r="M101" s="311" t="inlineStr"/>
      <c r="N101" s="309" t="inlineStr">
        <is>
          <t>F.MFM.10T.014.AD</t>
        </is>
      </c>
      <c r="O101" s="306" t="n"/>
      <c r="P101" s="306" t="n"/>
      <c r="Q101" s="312">
        <f>IFERROR(R101/H101, 0)</f>
        <v/>
      </c>
      <c r="R101" s="307" t="n">
        <v>49.88</v>
      </c>
      <c r="S101" s="308" t="n">
        <v>17937</v>
      </c>
      <c r="T101" s="308">
        <f>IFERROR(S101*R101, 0)</f>
        <v/>
      </c>
      <c r="U101" s="313" t="n"/>
      <c r="V101" s="315" t="n"/>
      <c r="W101" s="316" t="n"/>
      <c r="X101" s="311" t="n"/>
      <c r="Y101" s="315" t="n"/>
      <c r="Z101" s="317" t="n"/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>
        <v>1</v>
      </c>
      <c r="I102" s="311" t="inlineStr"/>
      <c r="J102" s="311" t="inlineStr"/>
      <c r="K102" s="309" t="inlineStr">
        <is>
          <t>10IN AIRFLOW GEL FOAM MATT FL</t>
        </is>
      </c>
      <c r="L102" s="310" t="inlineStr">
        <is>
          <t>ZU-MFMA1RZI-10F</t>
        </is>
      </c>
      <c r="M102" s="311" t="inlineStr"/>
      <c r="N102" s="309" t="inlineStr">
        <is>
          <t>F.MFM.10F.014.AD</t>
        </is>
      </c>
      <c r="O102" s="306" t="n"/>
      <c r="P102" s="306" t="n"/>
      <c r="Q102" s="312">
        <f>IFERROR(R102/H102, 0)</f>
        <v/>
      </c>
      <c r="R102" s="307" t="n">
        <v>65.62</v>
      </c>
      <c r="S102" s="308" t="n">
        <v>17937</v>
      </c>
      <c r="T102" s="308">
        <f>IFERROR(S102*R102, 0)</f>
        <v/>
      </c>
      <c r="U102" s="313" t="n"/>
      <c r="V102" s="315" t="n"/>
      <c r="W102" s="316" t="n"/>
      <c r="X102" s="311" t="n"/>
      <c r="Y102" s="315" t="n"/>
      <c r="Z102" s="317" t="n"/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>
        <v>1</v>
      </c>
      <c r="I103" s="311" t="inlineStr"/>
      <c r="J103" s="311" t="inlineStr"/>
      <c r="K103" s="309" t="inlineStr">
        <is>
          <t>12IN AIRFLOW GEL FOAM MATT TW</t>
        </is>
      </c>
      <c r="L103" s="310" t="inlineStr">
        <is>
          <t>ZU-MFMA1RZI-12T</t>
        </is>
      </c>
      <c r="M103" s="311" t="inlineStr"/>
      <c r="N103" s="309" t="inlineStr">
        <is>
          <t>F.MFM.12T.011.AD</t>
        </is>
      </c>
      <c r="O103" s="306" t="n"/>
      <c r="P103" s="306" t="n"/>
      <c r="Q103" s="312">
        <f>IFERROR(R103/H103, 0)</f>
        <v/>
      </c>
      <c r="R103" s="307" t="n">
        <v>56.69</v>
      </c>
      <c r="S103" s="308" t="n">
        <v>17937</v>
      </c>
      <c r="T103" s="308">
        <f>IFERROR(S103*R103, 0)</f>
        <v/>
      </c>
      <c r="U103" s="313" t="n"/>
      <c r="V103" s="315" t="n"/>
      <c r="W103" s="316" t="n"/>
      <c r="X103" s="311" t="n"/>
      <c r="Y103" s="315" t="n"/>
      <c r="Z103" s="317" t="n"/>
    </row>
    <row r="104" ht="16.5" customHeight="1" s="223">
      <c r="A104" s="322" t="n"/>
      <c r="B104" s="324" t="n"/>
      <c r="C104" s="304" t="n"/>
      <c r="D104" s="304" t="n"/>
      <c r="E104" s="317" t="n"/>
      <c r="F104" s="320" t="n"/>
      <c r="G104" s="317" t="n"/>
      <c r="H104" s="311" t="n">
        <v>1</v>
      </c>
      <c r="I104" s="311" t="inlineStr"/>
      <c r="J104" s="311" t="inlineStr"/>
      <c r="K104" s="309" t="inlineStr">
        <is>
          <t>8IN OPP HD QN</t>
        </is>
      </c>
      <c r="L104" s="310" t="inlineStr">
        <is>
          <t>ZU-MFMA1OZI-08Q</t>
        </is>
      </c>
      <c r="M104" s="311" t="inlineStr"/>
      <c r="N104" s="309" t="inlineStr">
        <is>
          <t>F.MFM.08Q.013.AD</t>
        </is>
      </c>
      <c r="O104" s="306" t="n"/>
      <c r="P104" s="306" t="n"/>
      <c r="Q104" s="312">
        <f>IFERROR(R104/H104, 0)</f>
        <v/>
      </c>
      <c r="R104" s="307" t="n">
        <v>66.44</v>
      </c>
      <c r="S104" s="308" t="n">
        <v>17937</v>
      </c>
      <c r="T104" s="308">
        <f>IFERROR(S104*R104, 0)</f>
        <v/>
      </c>
      <c r="U104" s="313" t="n"/>
      <c r="V104" s="315" t="n"/>
      <c r="W104" s="316" t="n"/>
      <c r="X104" s="311" t="n"/>
      <c r="Y104" s="315" t="n"/>
      <c r="Z104" s="317" t="n"/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>
        <v>1</v>
      </c>
      <c r="I105" s="311" t="inlineStr"/>
      <c r="J105" s="311" t="inlineStr"/>
      <c r="K105" s="309" t="inlineStr">
        <is>
          <t>8IN AIRFLOW GEL FOAM MATT TW</t>
        </is>
      </c>
      <c r="L105" s="310" t="inlineStr">
        <is>
          <t>ZU-MFMA1RZI-08T</t>
        </is>
      </c>
      <c r="M105" s="311" t="inlineStr"/>
      <c r="N105" s="309" t="inlineStr">
        <is>
          <t>F.MFM.08T.014.AD</t>
        </is>
      </c>
      <c r="O105" s="306" t="n"/>
      <c r="P105" s="306" t="n"/>
      <c r="Q105" s="312">
        <f>IFERROR(R105/H105, 0)</f>
        <v/>
      </c>
      <c r="R105" s="307" t="n">
        <v>41.42</v>
      </c>
      <c r="S105" s="308" t="n">
        <v>17937</v>
      </c>
      <c r="T105" s="308">
        <f>IFERROR(S105*R105, 0)</f>
        <v/>
      </c>
      <c r="U105" s="313" t="n"/>
      <c r="V105" s="315" t="n"/>
      <c r="W105" s="316" t="n"/>
      <c r="X105" s="311" t="n"/>
      <c r="Y105" s="315" t="n"/>
      <c r="Z105" s="317" t="n"/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>
        <v>1</v>
      </c>
      <c r="I106" s="311" t="inlineStr"/>
      <c r="J106" s="311" t="inlineStr"/>
      <c r="K106" s="309" t="inlineStr">
        <is>
          <t>10IN AIRFLOW GEL FOAM MATT EK</t>
        </is>
      </c>
      <c r="L106" s="310" t="inlineStr">
        <is>
          <t>ZU-MFMA1RZI-10K</t>
        </is>
      </c>
      <c r="M106" s="311" t="inlineStr"/>
      <c r="N106" s="309" t="inlineStr">
        <is>
          <t>F.MFM.10K.014.AD</t>
        </is>
      </c>
      <c r="O106" s="306" t="n"/>
      <c r="P106" s="306" t="n"/>
      <c r="Q106" s="312">
        <f>IFERROR(R106/H106, 0)</f>
        <v/>
      </c>
      <c r="R106" s="307" t="n">
        <v>95</v>
      </c>
      <c r="S106" s="308" t="n">
        <v>17937</v>
      </c>
      <c r="T106" s="308">
        <f>IFERROR(S106*R106, 0)</f>
        <v/>
      </c>
      <c r="U106" s="313" t="n"/>
      <c r="V106" s="315" t="n"/>
      <c r="W106" s="316" t="n"/>
      <c r="X106" s="311" t="n"/>
      <c r="Y106" s="315" t="n"/>
      <c r="Z106" s="317" t="n"/>
    </row>
    <row r="107" ht="16.5" customHeight="1" s="223">
      <c r="A107" s="322" t="n"/>
      <c r="B107" s="324" t="n"/>
      <c r="C107" s="304" t="n"/>
      <c r="D107" s="304" t="n"/>
      <c r="E107" s="317" t="n"/>
      <c r="F107" s="320" t="n"/>
      <c r="G107" s="317" t="n"/>
      <c r="H107" s="311" t="n">
        <v>1</v>
      </c>
      <c r="I107" s="311" t="inlineStr"/>
      <c r="J107" s="311" t="inlineStr"/>
      <c r="K107" s="309" t="inlineStr">
        <is>
          <t>10IN OPP HD FL</t>
        </is>
      </c>
      <c r="L107" s="310" t="inlineStr">
        <is>
          <t>ZU-MFMA1OZI-10F</t>
        </is>
      </c>
      <c r="M107" s="311" t="inlineStr"/>
      <c r="N107" s="309" t="inlineStr">
        <is>
          <t>F.MFM.10F.013.AD</t>
        </is>
      </c>
      <c r="O107" s="306" t="n"/>
      <c r="P107" s="306" t="n"/>
      <c r="Q107" s="312">
        <f>IFERROR(R107/H107, 0)</f>
        <v/>
      </c>
      <c r="R107" s="307" t="n">
        <v>65.51000000000001</v>
      </c>
      <c r="S107" s="308" t="n">
        <v>17937</v>
      </c>
      <c r="T107" s="308">
        <f>IFERROR(S107*R107, 0)</f>
        <v/>
      </c>
      <c r="U107" s="313" t="n"/>
      <c r="V107" s="315" t="n"/>
      <c r="W107" s="316" t="n"/>
      <c r="X107" s="311" t="n"/>
      <c r="Y107" s="315" t="n"/>
      <c r="Z107" s="317" t="n"/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>
        <v>1</v>
      </c>
      <c r="I108" s="311" t="inlineStr"/>
      <c r="J108" s="311" t="inlineStr"/>
      <c r="K108" s="309" t="inlineStr">
        <is>
          <t>10IN MYGEL FOAM MATTRESS TW</t>
        </is>
      </c>
      <c r="L108" s="310" t="inlineStr">
        <is>
          <t>ZU-MFGN1YZI-10T</t>
        </is>
      </c>
      <c r="M108" s="311" t="inlineStr"/>
      <c r="N108" s="309" t="inlineStr">
        <is>
          <t>F.MFG.10T.002.AD</t>
        </is>
      </c>
      <c r="O108" s="306" t="n"/>
      <c r="P108" s="306" t="n"/>
      <c r="Q108" s="312">
        <f>IFERROR(R108/H108, 0)</f>
        <v/>
      </c>
      <c r="R108" s="307" t="n">
        <v>51.8</v>
      </c>
      <c r="S108" s="308" t="n">
        <v>17937</v>
      </c>
      <c r="T108" s="308">
        <f>IFERROR(S108*R108, 0)</f>
        <v/>
      </c>
      <c r="U108" s="313" t="n"/>
      <c r="V108" s="315" t="n"/>
      <c r="W108" s="316" t="n"/>
      <c r="X108" s="311" t="n"/>
      <c r="Y108" s="315" t="n"/>
      <c r="Z108" s="317" t="n"/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>
        <v>1</v>
      </c>
      <c r="I109" s="311" t="inlineStr"/>
      <c r="J109" s="311" t="inlineStr"/>
      <c r="K109" s="309" t="inlineStr">
        <is>
          <t>8IN MYGEL FOAM MATTRESS TW</t>
        </is>
      </c>
      <c r="L109" s="310" t="inlineStr">
        <is>
          <t>ZU-MFGN1YZI-08T</t>
        </is>
      </c>
      <c r="M109" s="311" t="inlineStr"/>
      <c r="N109" s="309" t="inlineStr">
        <is>
          <t>F.MFG.08T.003.AD</t>
        </is>
      </c>
      <c r="O109" s="306" t="n"/>
      <c r="P109" s="306" t="n"/>
      <c r="Q109" s="312">
        <f>IFERROR(R109/H109, 0)</f>
        <v/>
      </c>
      <c r="R109" s="307" t="n">
        <v>44.18</v>
      </c>
      <c r="S109" s="308" t="n">
        <v>17937</v>
      </c>
      <c r="T109" s="308">
        <f>IFERROR(S109*R109, 0)</f>
        <v/>
      </c>
      <c r="U109" s="313" t="n"/>
      <c r="V109" s="315" t="n"/>
      <c r="W109" s="316" t="n"/>
      <c r="X109" s="311" t="n"/>
      <c r="Y109" s="315" t="n"/>
      <c r="Z109" s="317" t="n"/>
    </row>
    <row r="110" ht="16.5" customHeight="1" s="223">
      <c r="A110" s="322" t="n"/>
      <c r="B110" s="324" t="n"/>
      <c r="C110" s="304" t="n"/>
      <c r="D110" s="304" t="n"/>
      <c r="E110" s="317" t="n"/>
      <c r="F110" s="320" t="n"/>
      <c r="G110" s="317" t="n"/>
      <c r="H110" s="311" t="n">
        <v>1</v>
      </c>
      <c r="I110" s="311" t="inlineStr"/>
      <c r="J110" s="311" t="inlineStr"/>
      <c r="K110" s="309" t="inlineStr">
        <is>
          <t>10IN OPP HD QN</t>
        </is>
      </c>
      <c r="L110" s="310" t="inlineStr">
        <is>
          <t>ZU-MFMA1OZI-10Q</t>
        </is>
      </c>
      <c r="M110" s="311" t="inlineStr"/>
      <c r="N110" s="309" t="inlineStr">
        <is>
          <t>F.MFM.10Q.013.AD</t>
        </is>
      </c>
      <c r="O110" s="306" t="n"/>
      <c r="P110" s="306" t="n"/>
      <c r="Q110" s="312">
        <f>IFERROR(R110/H110, 0)</f>
        <v/>
      </c>
      <c r="R110" s="307" t="n">
        <v>77.45</v>
      </c>
      <c r="S110" s="308" t="n">
        <v>17937</v>
      </c>
      <c r="T110" s="308">
        <f>IFERROR(S110*R110, 0)</f>
        <v/>
      </c>
      <c r="U110" s="313" t="n"/>
      <c r="V110" s="315" t="n"/>
      <c r="W110" s="316" t="n"/>
      <c r="X110" s="311" t="n"/>
      <c r="Y110" s="315" t="n"/>
      <c r="Z110" s="317" t="n"/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>
        <v>1</v>
      </c>
      <c r="I111" s="311" t="inlineStr"/>
      <c r="J111" s="311" t="inlineStr"/>
      <c r="K111" s="309" t="inlineStr">
        <is>
          <t>8IN OPP HD FL</t>
        </is>
      </c>
      <c r="L111" s="310" t="inlineStr">
        <is>
          <t>ZU-MFMA1OZI-08F</t>
        </is>
      </c>
      <c r="M111" s="311" t="inlineStr"/>
      <c r="N111" s="309" t="inlineStr">
        <is>
          <t>F.MFM.08F.013.AD</t>
        </is>
      </c>
      <c r="O111" s="306" t="n"/>
      <c r="P111" s="306" t="n"/>
      <c r="Q111" s="312">
        <f>IFERROR(R111/H111, 0)</f>
        <v/>
      </c>
      <c r="R111" s="307" t="n">
        <v>56.39</v>
      </c>
      <c r="S111" s="308" t="n">
        <v>17937</v>
      </c>
      <c r="T111" s="308">
        <f>IFERROR(S111*R111, 0)</f>
        <v/>
      </c>
      <c r="U111" s="313" t="n"/>
      <c r="V111" s="315" t="n"/>
      <c r="W111" s="316" t="n"/>
      <c r="X111" s="311" t="n"/>
      <c r="Y111" s="315" t="n"/>
      <c r="Z111" s="317" t="n"/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>
        <v>1</v>
      </c>
      <c r="I112" s="311" t="inlineStr"/>
      <c r="J112" s="311" t="inlineStr"/>
      <c r="K112" s="309" t="inlineStr">
        <is>
          <t>12IN MYGEL FOAM MATTRESS EK</t>
        </is>
      </c>
      <c r="L112" s="310" t="inlineStr">
        <is>
          <t>ZU-MFGN1YZI-12K</t>
        </is>
      </c>
      <c r="M112" s="311" t="inlineStr"/>
      <c r="N112" s="309" t="inlineStr">
        <is>
          <t>F.MFG.12K.002.AD</t>
        </is>
      </c>
      <c r="O112" s="306" t="n"/>
      <c r="P112" s="306" t="n"/>
      <c r="Q112" s="312">
        <f>IFERROR(R112/H112, 0)</f>
        <v/>
      </c>
      <c r="R112" s="307" t="n">
        <v>113.33</v>
      </c>
      <c r="S112" s="308" t="n">
        <v>17937</v>
      </c>
      <c r="T112" s="308">
        <f>IFERROR(S112*R112, 0)</f>
        <v/>
      </c>
      <c r="U112" s="313" t="n"/>
      <c r="V112" s="315" t="n"/>
      <c r="W112" s="316" t="n"/>
      <c r="X112" s="311" t="n"/>
      <c r="Y112" s="315" t="n"/>
      <c r="Z112" s="317" t="n"/>
    </row>
    <row r="113" ht="16.5" customHeight="1" s="223">
      <c r="A113" s="322" t="n"/>
      <c r="B113" s="324" t="n"/>
      <c r="C113" s="304" t="n"/>
      <c r="D113" s="304" t="n"/>
      <c r="E113" s="317" t="n"/>
      <c r="F113" s="320" t="n"/>
      <c r="G113" s="317" t="n"/>
      <c r="H113" s="311" t="n">
        <v>1</v>
      </c>
      <c r="I113" s="311" t="inlineStr"/>
      <c r="J113" s="311" t="inlineStr"/>
      <c r="K113" s="309" t="inlineStr">
        <is>
          <t>12IN OPP HD QN</t>
        </is>
      </c>
      <c r="L113" s="310" t="inlineStr">
        <is>
          <t>ZU-MFMA1OZI-12Q</t>
        </is>
      </c>
      <c r="M113" s="311" t="inlineStr"/>
      <c r="N113" s="309" t="inlineStr">
        <is>
          <t>F.MFM.12Q.010.AD</t>
        </is>
      </c>
      <c r="O113" s="306" t="n"/>
      <c r="P113" s="306" t="n"/>
      <c r="Q113" s="312">
        <f>IFERROR(R113/H113, 0)</f>
        <v/>
      </c>
      <c r="R113" s="307" t="n">
        <v>88.09999999999999</v>
      </c>
      <c r="S113" s="308" t="n">
        <v>17937</v>
      </c>
      <c r="T113" s="308">
        <f>IFERROR(S113*R113, 0)</f>
        <v/>
      </c>
      <c r="U113" s="313" t="n"/>
      <c r="V113" s="315" t="n"/>
      <c r="W113" s="316" t="n"/>
      <c r="X113" s="311" t="n"/>
      <c r="Y113" s="315" t="n"/>
      <c r="Z113" s="317" t="n"/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>
        <v>1</v>
      </c>
      <c r="I114" s="311" t="inlineStr"/>
      <c r="J114" s="311" t="inlineStr"/>
      <c r="K114" s="309" t="inlineStr">
        <is>
          <t>10IN MYGEL FOAM MATTRESS EK</t>
        </is>
      </c>
      <c r="L114" s="310" t="inlineStr">
        <is>
          <t>ZU-MFGN1YZI-10K</t>
        </is>
      </c>
      <c r="M114" s="311" t="inlineStr"/>
      <c r="N114" s="309" t="inlineStr">
        <is>
          <t>F.MFG.10K.002.AD</t>
        </is>
      </c>
      <c r="O114" s="306" t="n"/>
      <c r="P114" s="306" t="n"/>
      <c r="Q114" s="312">
        <f>IFERROR(R114/H114, 0)</f>
        <v/>
      </c>
      <c r="R114" s="307" t="n">
        <v>100.22</v>
      </c>
      <c r="S114" s="308" t="n">
        <v>17937</v>
      </c>
      <c r="T114" s="308">
        <f>IFERROR(S114*R114, 0)</f>
        <v/>
      </c>
      <c r="U114" s="313" t="n"/>
      <c r="V114" s="315" t="n"/>
      <c r="W114" s="316" t="n"/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>
        <v>1</v>
      </c>
      <c r="I115" s="311" t="inlineStr"/>
      <c r="J115" s="311" t="inlineStr"/>
      <c r="K115" s="309" t="inlineStr">
        <is>
          <t>6IN MYGEL FOAM MATTRESS QN</t>
        </is>
      </c>
      <c r="L115" s="310" t="inlineStr">
        <is>
          <t>ZU-MFGN1YZI-06Q</t>
        </is>
      </c>
      <c r="M115" s="311" t="inlineStr"/>
      <c r="N115" s="309" t="inlineStr">
        <is>
          <t>F.MFG.06Q.002.AD</t>
        </is>
      </c>
      <c r="O115" s="306" t="n"/>
      <c r="P115" s="306" t="n"/>
      <c r="Q115" s="312">
        <f>IFERROR(R115/H115, 0)</f>
        <v/>
      </c>
      <c r="R115" s="307" t="n">
        <v>55.58</v>
      </c>
      <c r="S115" s="308" t="n">
        <v>17937</v>
      </c>
      <c r="T115" s="308">
        <f>IFERROR(S115*R115, 0)</f>
        <v/>
      </c>
      <c r="U115" s="313" t="n"/>
      <c r="V115" s="315" t="n"/>
      <c r="W115" s="316" t="n"/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>
        <v>1</v>
      </c>
      <c r="I116" s="311" t="inlineStr"/>
      <c r="J116" s="311" t="inlineStr"/>
      <c r="K116" s="309" t="inlineStr">
        <is>
          <t>8IN MYGEL FOAM MATTRESS FL</t>
        </is>
      </c>
      <c r="L116" s="310" t="inlineStr">
        <is>
          <t>ZU-MFGN1YZI-08F</t>
        </is>
      </c>
      <c r="M116" s="311" t="inlineStr"/>
      <c r="N116" s="309" t="inlineStr">
        <is>
          <t>F.MFG.08F.003.AD</t>
        </is>
      </c>
      <c r="O116" s="306" t="n"/>
      <c r="P116" s="306" t="n"/>
      <c r="Q116" s="312">
        <f>IFERROR(R116/H116, 0)</f>
        <v/>
      </c>
      <c r="R116" s="307" t="n">
        <v>59.46</v>
      </c>
      <c r="S116" s="308" t="n">
        <v>17937</v>
      </c>
      <c r="T116" s="308">
        <f>IFERROR(S116*R116, 0)</f>
        <v/>
      </c>
      <c r="U116" s="313" t="n"/>
      <c r="V116" s="315" t="n"/>
      <c r="W116" s="316" t="n"/>
      <c r="X116" s="311" t="n"/>
      <c r="Y116" s="315" t="n"/>
      <c r="Z116" s="317" t="n"/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>
        <v>1</v>
      </c>
      <c r="I117" s="311" t="inlineStr"/>
      <c r="J117" s="311" t="inlineStr"/>
      <c r="K117" s="309" t="inlineStr">
        <is>
          <t>12IN AIRFLOW GEL FOAM MATT QN</t>
        </is>
      </c>
      <c r="L117" s="310" t="inlineStr">
        <is>
          <t>ZU-MFMA1RZI-12Q</t>
        </is>
      </c>
      <c r="M117" s="311" t="inlineStr"/>
      <c r="N117" s="309" t="inlineStr">
        <is>
          <t>F.MFM.12Q.011.AD</t>
        </is>
      </c>
      <c r="O117" s="306" t="n"/>
      <c r="P117" s="306" t="n"/>
      <c r="Q117" s="312">
        <f>IFERROR(R117/H117, 0)</f>
        <v/>
      </c>
      <c r="R117" s="307" t="n">
        <v>88.22</v>
      </c>
      <c r="S117" s="308" t="n">
        <v>17937</v>
      </c>
      <c r="T117" s="308">
        <f>IFERROR(S117*R117, 0)</f>
        <v/>
      </c>
      <c r="U117" s="313" t="n"/>
      <c r="V117" s="315" t="n"/>
      <c r="W117" s="316" t="n"/>
      <c r="X117" s="311" t="n"/>
      <c r="Y117" s="315" t="n"/>
      <c r="Z117" s="317" t="n"/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>
        <v>1</v>
      </c>
      <c r="I118" s="311" t="inlineStr"/>
      <c r="J118" s="311" t="inlineStr"/>
      <c r="K118" s="309" t="inlineStr">
        <is>
          <t>10IN OPP HD TW</t>
        </is>
      </c>
      <c r="L118" s="310" t="inlineStr">
        <is>
          <t>ZU-MFMA1OZI-10T</t>
        </is>
      </c>
      <c r="M118" s="311" t="inlineStr"/>
      <c r="N118" s="309" t="inlineStr">
        <is>
          <t>F.MFM.10T.013.AD</t>
        </is>
      </c>
      <c r="O118" s="306" t="n"/>
      <c r="P118" s="306" t="n"/>
      <c r="Q118" s="312">
        <f>IFERROR(R118/H118, 0)</f>
        <v/>
      </c>
      <c r="R118" s="307" t="n">
        <v>49.8</v>
      </c>
      <c r="S118" s="308" t="n">
        <v>17937</v>
      </c>
      <c r="T118" s="308">
        <f>IFERROR(S118*R118, 0)</f>
        <v/>
      </c>
      <c r="U118" s="313" t="n"/>
      <c r="V118" s="315" t="n"/>
      <c r="W118" s="316" t="n"/>
      <c r="X118" s="311" t="n"/>
      <c r="Y118" s="315" t="n"/>
      <c r="Z118" s="317" t="n"/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>
        <v>1</v>
      </c>
      <c r="I119" s="311" t="inlineStr"/>
      <c r="J119" s="311" t="inlineStr"/>
      <c r="K119" s="309" t="inlineStr">
        <is>
          <t>12IN MYGEL FOAM MATTRESS QN</t>
        </is>
      </c>
      <c r="L119" s="310" t="inlineStr">
        <is>
          <t>ZU-MFGN1YZI-12Q</t>
        </is>
      </c>
      <c r="M119" s="311" t="inlineStr"/>
      <c r="N119" s="309" t="inlineStr">
        <is>
          <t>F.MFG.12Q.002.AD</t>
        </is>
      </c>
      <c r="O119" s="306" t="n"/>
      <c r="P119" s="306" t="n"/>
      <c r="Q119" s="312">
        <f>IFERROR(R119/H119, 0)</f>
        <v/>
      </c>
      <c r="R119" s="307" t="n">
        <v>91.48</v>
      </c>
      <c r="S119" s="308" t="n">
        <v>17937</v>
      </c>
      <c r="T119" s="308">
        <f>IFERROR(S119*R119, 0)</f>
        <v/>
      </c>
      <c r="U119" s="313" t="n"/>
      <c r="V119" s="315" t="n"/>
      <c r="W119" s="316" t="n"/>
      <c r="X119" s="311" t="n"/>
      <c r="Y119" s="315" t="n"/>
      <c r="Z119" s="317" t="n"/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>
        <v>1</v>
      </c>
      <c r="I120" s="311" t="inlineStr"/>
      <c r="J120" s="311" t="inlineStr"/>
      <c r="K120" s="309" t="inlineStr">
        <is>
          <t>12IN AIRFLOW GEL FOAM MATT EK</t>
        </is>
      </c>
      <c r="L120" s="310" t="inlineStr">
        <is>
          <t>ZU-MFMA1RZI-12K</t>
        </is>
      </c>
      <c r="M120" s="311" t="inlineStr"/>
      <c r="N120" s="309" t="inlineStr">
        <is>
          <t>F.MFM.12K.011.AD</t>
        </is>
      </c>
      <c r="O120" s="306" t="n"/>
      <c r="P120" s="306" t="n"/>
      <c r="Q120" s="312">
        <f>IFERROR(R120/H120, 0)</f>
        <v/>
      </c>
      <c r="R120" s="307" t="n">
        <v>107.96</v>
      </c>
      <c r="S120" s="308" t="n">
        <v>17937</v>
      </c>
      <c r="T120" s="308">
        <f>IFERROR(S120*R120, 0)</f>
        <v/>
      </c>
      <c r="U120" s="313" t="n"/>
      <c r="V120" s="315" t="n"/>
      <c r="W120" s="316" t="n"/>
      <c r="X120" s="311" t="n"/>
      <c r="Y120" s="315" t="n"/>
      <c r="Z120" s="317" t="n"/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>
        <v>1</v>
      </c>
      <c r="I121" s="311" t="inlineStr"/>
      <c r="J121" s="311" t="inlineStr"/>
      <c r="K121" s="309" t="inlineStr">
        <is>
          <t>6IN TIGHT TOP BONNEL TX</t>
        </is>
      </c>
      <c r="L121" s="310" t="inlineStr">
        <is>
          <t>ZU-MSSA2BZI-06X</t>
        </is>
      </c>
      <c r="M121" s="311" t="inlineStr"/>
      <c r="N121" s="309" t="inlineStr">
        <is>
          <t>F.MSS.06X.007.AD</t>
        </is>
      </c>
      <c r="O121" s="306" t="n"/>
      <c r="P121" s="306" t="n"/>
      <c r="Q121" s="312">
        <f>IFERROR(R121/H121, 0)</f>
        <v/>
      </c>
      <c r="R121" s="307" t="n">
        <v>32.67</v>
      </c>
      <c r="S121" s="308" t="n">
        <v>17937</v>
      </c>
      <c r="T121" s="308">
        <f>IFERROR(S121*R121, 0)</f>
        <v/>
      </c>
      <c r="U121" s="313" t="n"/>
      <c r="V121" s="315" t="n"/>
      <c r="W121" s="316" t="n"/>
      <c r="X121" s="311" t="n"/>
      <c r="Y121" s="315" t="n"/>
      <c r="Z121" s="317" t="n"/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>
        <v>1</v>
      </c>
      <c r="I122" s="311" t="inlineStr"/>
      <c r="J122" s="311" t="inlineStr"/>
      <c r="K122" s="309" t="inlineStr">
        <is>
          <t>6IN MYGEL FOAM MATTRESS FL</t>
        </is>
      </c>
      <c r="L122" s="310" t="inlineStr">
        <is>
          <t>ZU-MFGN1YZI-06F</t>
        </is>
      </c>
      <c r="M122" s="311" t="inlineStr"/>
      <c r="N122" s="309" t="inlineStr">
        <is>
          <t>F.MFG.06F.002.AD</t>
        </is>
      </c>
      <c r="O122" s="306" t="n"/>
      <c r="P122" s="306" t="n"/>
      <c r="Q122" s="312">
        <f>IFERROR(R122/H122, 0)</f>
        <v/>
      </c>
      <c r="R122" s="307" t="n">
        <v>47.15</v>
      </c>
      <c r="S122" s="308" t="n">
        <v>17937</v>
      </c>
      <c r="T122" s="308">
        <f>IFERROR(S122*R122, 0)</f>
        <v/>
      </c>
      <c r="U122" s="313" t="n"/>
      <c r="V122" s="315" t="n"/>
      <c r="W122" s="316" t="n"/>
      <c r="X122" s="311" t="n"/>
      <c r="Y122" s="315" t="n"/>
      <c r="Z122" s="317" t="n"/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>
        <v>1</v>
      </c>
      <c r="I123" s="311" t="inlineStr"/>
      <c r="J123" s="311" t="inlineStr"/>
      <c r="K123" s="309" t="inlineStr">
        <is>
          <t>10IN TIGHT TOP BONNEL FL</t>
        </is>
      </c>
      <c r="L123" s="310" t="inlineStr">
        <is>
          <t>ZU-MSSA2BZI-10F</t>
        </is>
      </c>
      <c r="M123" s="311" t="inlineStr"/>
      <c r="N123" s="309" t="inlineStr">
        <is>
          <t>F.MSS.10F.009.AD</t>
        </is>
      </c>
      <c r="O123" s="306" t="n"/>
      <c r="P123" s="306" t="n"/>
      <c r="Q123" s="312">
        <f>IFERROR(R123/H123, 0)</f>
        <v/>
      </c>
      <c r="R123" s="307" t="n">
        <v>56.29</v>
      </c>
      <c r="S123" s="308" t="n">
        <v>17937</v>
      </c>
      <c r="T123" s="308">
        <f>IFERROR(S123*R123, 0)</f>
        <v/>
      </c>
      <c r="U123" s="313" t="n"/>
      <c r="V123" s="315" t="n"/>
      <c r="W123" s="316" t="n"/>
      <c r="X123" s="311" t="n"/>
      <c r="Y123" s="315" t="n"/>
      <c r="Z123" s="317" t="n"/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>
        <v>1</v>
      </c>
      <c r="I124" s="311" t="inlineStr"/>
      <c r="J124" s="311" t="inlineStr"/>
      <c r="K124" s="309" t="inlineStr">
        <is>
          <t>12IN F-EURO TOP BONNEL FL</t>
        </is>
      </c>
      <c r="L124" s="310" t="inlineStr">
        <is>
          <t>ZU-MSSA2BZI-12F</t>
        </is>
      </c>
      <c r="M124" s="311" t="inlineStr"/>
      <c r="N124" s="309" t="inlineStr">
        <is>
          <t>F.MSS.12F.007.AD</t>
        </is>
      </c>
      <c r="O124" s="306" t="n"/>
      <c r="P124" s="306" t="n"/>
      <c r="Q124" s="312">
        <f>IFERROR(R124/H124, 0)</f>
        <v/>
      </c>
      <c r="R124" s="307" t="n">
        <v>66.28</v>
      </c>
      <c r="S124" s="308" t="n">
        <v>17937</v>
      </c>
      <c r="T124" s="308">
        <f>IFERROR(S124*R124, 0)</f>
        <v/>
      </c>
      <c r="U124" s="313" t="n"/>
      <c r="V124" s="315" t="n"/>
      <c r="W124" s="316" t="n"/>
      <c r="X124" s="311" t="n"/>
      <c r="Y124" s="315" t="n"/>
      <c r="Z124" s="317" t="n"/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>
        <v>1</v>
      </c>
      <c r="I125" s="311" t="inlineStr"/>
      <c r="J125" s="311" t="inlineStr"/>
      <c r="K125" s="309" t="inlineStr">
        <is>
          <t>8IN OPP HD TW</t>
        </is>
      </c>
      <c r="L125" s="310" t="inlineStr">
        <is>
          <t>ZU-MFMA1OZI-08T</t>
        </is>
      </c>
      <c r="M125" s="311" t="inlineStr"/>
      <c r="N125" s="309" t="inlineStr">
        <is>
          <t>F.MFM.08T.013.AD</t>
        </is>
      </c>
      <c r="O125" s="306" t="n"/>
      <c r="P125" s="306" t="n"/>
      <c r="Q125" s="312">
        <f>IFERROR(R125/H125, 0)</f>
        <v/>
      </c>
      <c r="R125" s="307" t="n">
        <v>42.13</v>
      </c>
      <c r="S125" s="308" t="n">
        <v>17937</v>
      </c>
      <c r="T125" s="308">
        <f>IFERROR(S125*R125, 0)</f>
        <v/>
      </c>
      <c r="U125" s="313" t="n"/>
      <c r="V125" s="315" t="n"/>
      <c r="W125" s="316" t="n"/>
      <c r="X125" s="311" t="n"/>
      <c r="Y125" s="315" t="n"/>
      <c r="Z125" s="317" t="n"/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1</v>
      </c>
      <c r="I126" s="311" t="inlineStr"/>
      <c r="J126" s="311" t="inlineStr"/>
      <c r="K126" s="309" t="inlineStr">
        <is>
          <t>10IN TIGHT TOP BONNEL QN</t>
        </is>
      </c>
      <c r="L126" s="310" t="inlineStr">
        <is>
          <t>ZU-MSSA2BZI-10Q</t>
        </is>
      </c>
      <c r="M126" s="311" t="inlineStr"/>
      <c r="N126" s="309" t="inlineStr">
        <is>
          <t>F.MSS.10Q.009.AD</t>
        </is>
      </c>
      <c r="O126" s="306" t="n"/>
      <c r="P126" s="306" t="n"/>
      <c r="Q126" s="312">
        <f>IFERROR(R126/H126, 0)</f>
        <v/>
      </c>
      <c r="R126" s="307" t="n">
        <v>65.52</v>
      </c>
      <c r="S126" s="308" t="n">
        <v>17937</v>
      </c>
      <c r="T126" s="308">
        <f>IFERROR(S126*R126, 0)</f>
        <v/>
      </c>
      <c r="U126" s="313" t="n"/>
      <c r="V126" s="315" t="n"/>
      <c r="W126" s="316" t="n"/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1</v>
      </c>
      <c r="I127" s="311" t="inlineStr"/>
      <c r="J127" s="311" t="inlineStr"/>
      <c r="K127" s="309" t="inlineStr">
        <is>
          <t>12IN MYGEL FOAM MATTRESS TW</t>
        </is>
      </c>
      <c r="L127" s="310" t="inlineStr">
        <is>
          <t>ZU-MFGN1YZI-12T</t>
        </is>
      </c>
      <c r="M127" s="311" t="inlineStr"/>
      <c r="N127" s="309" t="inlineStr">
        <is>
          <t>F.MFG.12T.002.AD</t>
        </is>
      </c>
      <c r="O127" s="306" t="n"/>
      <c r="P127" s="306" t="n"/>
      <c r="Q127" s="312">
        <f>IFERROR(R127/H127, 0)</f>
        <v/>
      </c>
      <c r="R127" s="307" t="n">
        <v>58.57</v>
      </c>
      <c r="S127" s="308" t="n">
        <v>17937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/>
      <c r="J128" s="311" t="inlineStr"/>
      <c r="K128" s="309" t="inlineStr">
        <is>
          <t>6IN OPP HD TW</t>
        </is>
      </c>
      <c r="L128" s="310" t="inlineStr">
        <is>
          <t>ZU-MFMA1OZI-06T</t>
        </is>
      </c>
      <c r="M128" s="311" t="inlineStr"/>
      <c r="N128" s="309" t="inlineStr">
        <is>
          <t>F.MFM.06T.008.AD</t>
        </is>
      </c>
      <c r="O128" s="306" t="n"/>
      <c r="P128" s="306" t="n"/>
      <c r="Q128" s="312">
        <f>IFERROR(R128/H128, 0)</f>
        <v/>
      </c>
      <c r="R128" s="307" t="n">
        <v>34.36</v>
      </c>
      <c r="S128" s="308" t="n">
        <v>17937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/>
      <c r="J129" s="311" t="inlineStr"/>
      <c r="K129" s="309" t="inlineStr">
        <is>
          <t>12IN F-EURO TOP BONNEL QN</t>
        </is>
      </c>
      <c r="L129" s="310" t="inlineStr">
        <is>
          <t>ZU-MSSA2BZI-12Q</t>
        </is>
      </c>
      <c r="M129" s="311" t="inlineStr"/>
      <c r="N129" s="309" t="inlineStr">
        <is>
          <t>F.MSS.12Q.007.AD</t>
        </is>
      </c>
      <c r="O129" s="306" t="n"/>
      <c r="P129" s="306" t="n"/>
      <c r="Q129" s="312">
        <f>IFERROR(R129/H129, 0)</f>
        <v/>
      </c>
      <c r="R129" s="307" t="n">
        <v>77.20999999999999</v>
      </c>
      <c r="S129" s="308" t="n">
        <v>17937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/>
      <c r="J130" s="311" t="inlineStr"/>
      <c r="K130" s="309" t="inlineStr">
        <is>
          <t>10IN GREEN TEA MF MATTRESS FL</t>
        </is>
      </c>
      <c r="L130" s="310" t="inlineStr">
        <is>
          <t>OLC-FMS-1000F-IN</t>
        </is>
      </c>
      <c r="M130" s="311" t="inlineStr"/>
      <c r="N130" s="309" t="inlineStr">
        <is>
          <t>F.MFM.10F.002.BD</t>
        </is>
      </c>
      <c r="O130" s="306" t="n"/>
      <c r="P130" s="306" t="n"/>
      <c r="Q130" s="312">
        <f>IFERROR(R130/H130, 0)</f>
        <v/>
      </c>
      <c r="R130" s="307" t="n">
        <v>65.84</v>
      </c>
      <c r="S130" s="308" t="n">
        <v>17937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</v>
      </c>
      <c r="I131" s="311" t="inlineStr"/>
      <c r="J131" s="311" t="inlineStr"/>
      <c r="K131" s="309" t="inlineStr">
        <is>
          <t>14IN GREEN TEA MF MATTRESS EK</t>
        </is>
      </c>
      <c r="L131" s="310" t="inlineStr">
        <is>
          <t>OLC-FMS-1400K-IN</t>
        </is>
      </c>
      <c r="M131" s="311" t="inlineStr"/>
      <c r="N131" s="309" t="inlineStr">
        <is>
          <t>F.MFM.14K.000.BD</t>
        </is>
      </c>
      <c r="O131" s="306" t="n"/>
      <c r="P131" s="306" t="n"/>
      <c r="Q131" s="312">
        <f>IFERROR(R131/H131, 0)</f>
        <v/>
      </c>
      <c r="R131" s="307" t="n">
        <v>121.39</v>
      </c>
      <c r="S131" s="308" t="n">
        <v>17937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</v>
      </c>
      <c r="I132" s="311" t="inlineStr"/>
      <c r="J132" s="311" t="inlineStr"/>
      <c r="K132" s="309" t="inlineStr">
        <is>
          <t>12IN GREEN TEA MF MATTRESS QN</t>
        </is>
      </c>
      <c r="L132" s="310" t="inlineStr">
        <is>
          <t>OLC-FMS-1200Q-IN</t>
        </is>
      </c>
      <c r="M132" s="311" t="inlineStr"/>
      <c r="N132" s="309" t="inlineStr">
        <is>
          <t>F.MFM.12Q.002.BD</t>
        </is>
      </c>
      <c r="O132" s="306" t="n"/>
      <c r="P132" s="306" t="n"/>
      <c r="Q132" s="312">
        <f>IFERROR(R132/H132, 0)</f>
        <v/>
      </c>
      <c r="R132" s="307" t="n">
        <v>88.48999999999999</v>
      </c>
      <c r="S132" s="308" t="n">
        <v>17937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</v>
      </c>
      <c r="I133" s="311" t="inlineStr"/>
      <c r="J133" s="311" t="inlineStr"/>
      <c r="K133" s="309" t="inlineStr">
        <is>
          <t>12IN GREEN TEA MF MATTRESS TW</t>
        </is>
      </c>
      <c r="L133" s="310" t="inlineStr">
        <is>
          <t>OLC-FMS-1200T-IN</t>
        </is>
      </c>
      <c r="M133" s="311" t="inlineStr"/>
      <c r="N133" s="309" t="inlineStr">
        <is>
          <t>F.MFM.12T.002.BD</t>
        </is>
      </c>
      <c r="O133" s="306" t="n"/>
      <c r="P133" s="306" t="n"/>
      <c r="Q133" s="312">
        <f>IFERROR(R133/H133, 0)</f>
        <v/>
      </c>
      <c r="R133" s="307" t="n">
        <v>56.66</v>
      </c>
      <c r="S133" s="308" t="n">
        <v>17937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</v>
      </c>
      <c r="I134" s="311" t="inlineStr"/>
      <c r="J134" s="311" t="inlineStr"/>
      <c r="K134" s="309" t="inlineStr">
        <is>
          <t>10IN GREEN TEA MF MATTRESS QN</t>
        </is>
      </c>
      <c r="L134" s="310" t="inlineStr">
        <is>
          <t>OLC-FMS-1000Q-IN</t>
        </is>
      </c>
      <c r="M134" s="311" t="inlineStr"/>
      <c r="N134" s="309" t="inlineStr">
        <is>
          <t>F.MFM.10Q.002.BD</t>
        </is>
      </c>
      <c r="O134" s="306" t="n"/>
      <c r="P134" s="306" t="n"/>
      <c r="Q134" s="312">
        <f>IFERROR(R134/H134, 0)</f>
        <v/>
      </c>
      <c r="R134" s="307" t="n">
        <v>77.88</v>
      </c>
      <c r="S134" s="308" t="n">
        <v>17937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8IN GREEN TEA MF MATTRESS TX</t>
        </is>
      </c>
      <c r="L135" s="310" t="inlineStr">
        <is>
          <t>BPM-FMS-8TXL-IN</t>
        </is>
      </c>
      <c r="M135" s="311" t="inlineStr"/>
      <c r="N135" s="309" t="inlineStr">
        <is>
          <t>F.MFM.08X.002.BD</t>
        </is>
      </c>
      <c r="O135" s="306" t="n"/>
      <c r="P135" s="306" t="n"/>
      <c r="Q135" s="312">
        <f>IFERROR(R135/H135, 0)</f>
        <v/>
      </c>
      <c r="R135" s="307" t="n">
        <v>42.81</v>
      </c>
      <c r="S135" s="308" t="n">
        <v>17937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8IN GREEN TEA MF MATTRESS QN</t>
        </is>
      </c>
      <c r="L136" s="310" t="inlineStr">
        <is>
          <t>BPM-FMS-8Q-IN</t>
        </is>
      </c>
      <c r="M136" s="311" t="inlineStr"/>
      <c r="N136" s="309" t="inlineStr">
        <is>
          <t>F.MFM.08Q.002.BD</t>
        </is>
      </c>
      <c r="O136" s="306" t="n"/>
      <c r="P136" s="306" t="n"/>
      <c r="Q136" s="312">
        <f>IFERROR(R136/H136, 0)</f>
        <v/>
      </c>
      <c r="R136" s="307" t="n">
        <v>64.72</v>
      </c>
      <c r="S136" s="308" t="n">
        <v>17937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6IN GREEN TEA MF MATTRESS QN</t>
        </is>
      </c>
      <c r="L137" s="310" t="inlineStr">
        <is>
          <t>EB-FMS-0600Q-IN</t>
        </is>
      </c>
      <c r="M137" s="311" t="inlineStr"/>
      <c r="N137" s="309" t="inlineStr">
        <is>
          <t>F.MFM.06Q.002.BD</t>
        </is>
      </c>
      <c r="O137" s="306" t="n"/>
      <c r="P137" s="306" t="n"/>
      <c r="Q137" s="312">
        <f>IFERROR(R137/H137, 0)</f>
        <v/>
      </c>
      <c r="R137" s="307" t="n">
        <v>52.46</v>
      </c>
      <c r="S137" s="308" t="n">
        <v>17937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</v>
      </c>
      <c r="I138" s="311" t="inlineStr"/>
      <c r="J138" s="311" t="inlineStr"/>
      <c r="K138" s="309" t="inlineStr">
        <is>
          <t>6IN GREEN TEA MF MATTRESS SQ</t>
        </is>
      </c>
      <c r="L138" s="310" t="inlineStr">
        <is>
          <t>EB-FMS-0600SQ-IN</t>
        </is>
      </c>
      <c r="M138" s="311" t="inlineStr"/>
      <c r="N138" s="309" t="inlineStr">
        <is>
          <t>F.MFM.06S.002.BD</t>
        </is>
      </c>
      <c r="O138" s="306" t="n"/>
      <c r="P138" s="306" t="n"/>
      <c r="Q138" s="312">
        <f>IFERROR(R138/H138, 0)</f>
        <v/>
      </c>
      <c r="R138" s="307" t="n">
        <v>49.59</v>
      </c>
      <c r="S138" s="308" t="n">
        <v>17937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1</v>
      </c>
      <c r="I139" s="311" t="inlineStr"/>
      <c r="J139" s="311" t="inlineStr"/>
      <c r="K139" s="309" t="inlineStr">
        <is>
          <t>10IN GREEN TEA MF MATTRESS TX</t>
        </is>
      </c>
      <c r="L139" s="310" t="inlineStr">
        <is>
          <t>OLC-FMS-1000TXL-IN</t>
        </is>
      </c>
      <c r="M139" s="311" t="inlineStr"/>
      <c r="N139" s="309" t="inlineStr">
        <is>
          <t>F.MFM.10X.003.BD</t>
        </is>
      </c>
      <c r="O139" s="306" t="n"/>
      <c r="P139" s="306" t="n"/>
      <c r="Q139" s="312">
        <f>IFERROR(R139/H139, 0)</f>
        <v/>
      </c>
      <c r="R139" s="307" t="n">
        <v>52.46</v>
      </c>
      <c r="S139" s="308" t="n">
        <v>17937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1</v>
      </c>
      <c r="I140" s="311" t="inlineStr"/>
      <c r="J140" s="311" t="inlineStr"/>
      <c r="K140" s="309" t="inlineStr">
        <is>
          <t>6IN GREEN TEA MF MATTRESS TW</t>
        </is>
      </c>
      <c r="L140" s="310" t="inlineStr">
        <is>
          <t>EB-FMS-0600T-IN</t>
        </is>
      </c>
      <c r="M140" s="311" t="inlineStr"/>
      <c r="N140" s="309" t="inlineStr">
        <is>
          <t>F.MFM.06T.002.BD</t>
        </is>
      </c>
      <c r="O140" s="306" t="n"/>
      <c r="P140" s="306" t="n"/>
      <c r="Q140" s="312">
        <f>IFERROR(R140/H140, 0)</f>
        <v/>
      </c>
      <c r="R140" s="307" t="n">
        <v>33.38</v>
      </c>
      <c r="S140" s="308" t="n">
        <v>17937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OLC-FMS-1000T-IN</t>
        </is>
      </c>
      <c r="M141" s="311" t="inlineStr"/>
      <c r="N141" s="309" t="inlineStr">
        <is>
          <t>F.MFM.10T.002.BD</t>
        </is>
      </c>
      <c r="O141" s="306" t="n"/>
      <c r="P141" s="306" t="n"/>
      <c r="Q141" s="312">
        <f>IFERROR(R141/H141, 0)</f>
        <v/>
      </c>
      <c r="R141" s="307" t="n">
        <v>49.62</v>
      </c>
      <c r="S141" s="308" t="n">
        <v>17937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8IN GREEN TEA MF MATTRESS TW</t>
        </is>
      </c>
      <c r="L142" s="310" t="inlineStr">
        <is>
          <t>BPM-FMS-8T-IN</t>
        </is>
      </c>
      <c r="M142" s="311" t="inlineStr"/>
      <c r="N142" s="309" t="inlineStr">
        <is>
          <t>F.MFM.08T.002.BD</t>
        </is>
      </c>
      <c r="O142" s="306" t="n"/>
      <c r="P142" s="306" t="n"/>
      <c r="Q142" s="312">
        <f>IFERROR(R142/H142, 0)</f>
        <v/>
      </c>
      <c r="R142" s="307" t="n">
        <v>40.81</v>
      </c>
      <c r="S142" s="308" t="n">
        <v>17937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12IN GREEN TEA MF MATTRESS EK</t>
        </is>
      </c>
      <c r="L143" s="310" t="inlineStr">
        <is>
          <t>OLC-FMS-1200K-IN</t>
        </is>
      </c>
      <c r="M143" s="311" t="inlineStr"/>
      <c r="N143" s="309" t="inlineStr">
        <is>
          <t>F.MFM.12K.002.BD</t>
        </is>
      </c>
      <c r="O143" s="306" t="n"/>
      <c r="P143" s="306" t="n"/>
      <c r="Q143" s="312">
        <f>IFERROR(R143/H143, 0)</f>
        <v/>
      </c>
      <c r="R143" s="307" t="n">
        <v>109.28</v>
      </c>
      <c r="S143" s="308" t="n">
        <v>17937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8IN GREEN TEA MF MATTRESS FL</t>
        </is>
      </c>
      <c r="L144" s="310" t="inlineStr">
        <is>
          <t>BPM-FMS-8F-IN</t>
        </is>
      </c>
      <c r="M144" s="311" t="inlineStr"/>
      <c r="N144" s="309" t="inlineStr">
        <is>
          <t>F.MFM.08F.002.BD</t>
        </is>
      </c>
      <c r="O144" s="306" t="n"/>
      <c r="P144" s="306" t="n"/>
      <c r="Q144" s="312">
        <f>IFERROR(R144/H144, 0)</f>
        <v/>
      </c>
      <c r="R144" s="307" t="n">
        <v>54.86</v>
      </c>
      <c r="S144" s="308" t="n">
        <v>17937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6IN GREEN TEA MF MATTRESS FL</t>
        </is>
      </c>
      <c r="L145" s="310" t="inlineStr">
        <is>
          <t>EB-FMS-0600F-IN</t>
        </is>
      </c>
      <c r="M145" s="311" t="inlineStr"/>
      <c r="N145" s="309" t="inlineStr">
        <is>
          <t>F.MFM.06F.002.BD</t>
        </is>
      </c>
      <c r="O145" s="306" t="n"/>
      <c r="P145" s="306" t="n"/>
      <c r="Q145" s="312">
        <f>IFERROR(R145/H145, 0)</f>
        <v/>
      </c>
      <c r="R145" s="307" t="n">
        <v>44.44</v>
      </c>
      <c r="S145" s="308" t="n">
        <v>17937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14IN GREEN TEA MF MATTRESS QN</t>
        </is>
      </c>
      <c r="L146" s="310" t="inlineStr">
        <is>
          <t>OLC-FMS-1400Q-IN</t>
        </is>
      </c>
      <c r="M146" s="311" t="inlineStr"/>
      <c r="N146" s="309" t="inlineStr">
        <is>
          <t>F.MFM.14Q.000.BD</t>
        </is>
      </c>
      <c r="O146" s="306" t="n"/>
      <c r="P146" s="306" t="n"/>
      <c r="Q146" s="312">
        <f>IFERROR(R146/H146, 0)</f>
        <v/>
      </c>
      <c r="R146" s="307" t="n">
        <v>98.5</v>
      </c>
      <c r="S146" s="308" t="n">
        <v>17937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12IN GREEN TEA MF MATTRESS FL</t>
        </is>
      </c>
      <c r="L147" s="310" t="inlineStr">
        <is>
          <t>OLC-FMS-1200F-IN</t>
        </is>
      </c>
      <c r="M147" s="311" t="inlineStr"/>
      <c r="N147" s="309" t="inlineStr">
        <is>
          <t>F.MFM.12F.002.BD</t>
        </is>
      </c>
      <c r="O147" s="306" t="n"/>
      <c r="P147" s="306" t="n"/>
      <c r="Q147" s="312">
        <f>IFERROR(R147/H147, 0)</f>
        <v/>
      </c>
      <c r="R147" s="307" t="n">
        <v>75.86</v>
      </c>
      <c r="S147" s="308" t="n">
        <v>17937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1</v>
      </c>
      <c r="I148" s="311" t="inlineStr"/>
      <c r="J148" s="311" t="inlineStr"/>
      <c r="K148" s="309" t="inlineStr">
        <is>
          <t>6IN GREEN TEA MF MATTRESS TX</t>
        </is>
      </c>
      <c r="L148" s="310" t="inlineStr">
        <is>
          <t>EB-FMS-0600TXL-IN</t>
        </is>
      </c>
      <c r="M148" s="311" t="inlineStr"/>
      <c r="N148" s="309" t="inlineStr">
        <is>
          <t>F.MFM.06X.002.BD</t>
        </is>
      </c>
      <c r="O148" s="306" t="n"/>
      <c r="P148" s="306" t="n"/>
      <c r="Q148" s="312">
        <f>IFERROR(R148/H148, 0)</f>
        <v/>
      </c>
      <c r="R148" s="307" t="n">
        <v>35.3</v>
      </c>
      <c r="S148" s="308" t="n">
        <v>17937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1</v>
      </c>
      <c r="I149" s="311" t="inlineStr"/>
      <c r="J149" s="311" t="inlineStr"/>
      <c r="K149" s="309" t="inlineStr">
        <is>
          <t>6IN GREEN TEA MF MATTRESS EK</t>
        </is>
      </c>
      <c r="L149" s="310" t="inlineStr">
        <is>
          <t>EB-FMS-0600K-IN</t>
        </is>
      </c>
      <c r="M149" s="311" t="inlineStr"/>
      <c r="N149" s="309" t="inlineStr">
        <is>
          <t>F.MFM.06K.002.BD</t>
        </is>
      </c>
      <c r="O149" s="306" t="n"/>
      <c r="P149" s="306" t="n"/>
      <c r="Q149" s="312">
        <f>IFERROR(R149/H149, 0)</f>
        <v/>
      </c>
      <c r="R149" s="307" t="n">
        <v>64.97</v>
      </c>
      <c r="S149" s="308" t="n">
        <v>17937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1</v>
      </c>
      <c r="I150" s="311" t="inlineStr"/>
      <c r="J150" s="311" t="inlineStr"/>
      <c r="K150" s="309" t="inlineStr">
        <is>
          <t>10IN GREEN TEA MF MATTRESS EK</t>
        </is>
      </c>
      <c r="L150" s="310" t="inlineStr">
        <is>
          <t>OLC-FMS-1000K-IN</t>
        </is>
      </c>
      <c r="M150" s="311" t="inlineStr"/>
      <c r="N150" s="309" t="inlineStr">
        <is>
          <t>F.MFM.10K.002.BD</t>
        </is>
      </c>
      <c r="O150" s="306" t="n"/>
      <c r="P150" s="306" t="n"/>
      <c r="Q150" s="312">
        <f>IFERROR(R150/H150, 0)</f>
        <v/>
      </c>
      <c r="R150" s="307" t="n">
        <v>95.89</v>
      </c>
      <c r="S150" s="308" t="n">
        <v>17937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1</v>
      </c>
      <c r="I151" s="311" t="inlineStr"/>
      <c r="J151" s="311" t="inlineStr"/>
      <c r="K151" s="309" t="inlineStr">
        <is>
          <t>12IN GT FMS CK</t>
        </is>
      </c>
      <c r="L151" s="310" t="inlineStr">
        <is>
          <t>OLC-FMS-1200CK-IN</t>
        </is>
      </c>
      <c r="M151" s="311" t="inlineStr"/>
      <c r="N151" s="309" t="inlineStr">
        <is>
          <t>F.MFM.12C.002.BD</t>
        </is>
      </c>
      <c r="O151" s="306" t="n"/>
      <c r="P151" s="306" t="n"/>
      <c r="Q151" s="312">
        <f>IFERROR(R151/H151, 0)</f>
        <v/>
      </c>
      <c r="R151" s="307" t="n">
        <v>108.69</v>
      </c>
      <c r="S151" s="308" t="n">
        <v>17937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1</v>
      </c>
      <c r="I152" s="311" t="inlineStr"/>
      <c r="J152" s="311" t="inlineStr"/>
      <c r="K152" s="309" t="inlineStr">
        <is>
          <t>14IN GREEN TEA MF MATTRESS TW</t>
        </is>
      </c>
      <c r="L152" s="310" t="inlineStr">
        <is>
          <t>OLC-FMS-1400T-IN</t>
        </is>
      </c>
      <c r="M152" s="311" t="inlineStr"/>
      <c r="N152" s="309" t="inlineStr">
        <is>
          <t>F.MFM.14T.000.BD</t>
        </is>
      </c>
      <c r="O152" s="306" t="n"/>
      <c r="P152" s="306" t="n"/>
      <c r="Q152" s="312">
        <f>IFERROR(R152/H152, 0)</f>
        <v/>
      </c>
      <c r="R152" s="307" t="n">
        <v>62.93</v>
      </c>
      <c r="S152" s="308" t="n">
        <v>17937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1</v>
      </c>
      <c r="I153" s="311" t="inlineStr"/>
      <c r="J153" s="311" t="inlineStr"/>
      <c r="K153" s="309" t="inlineStr">
        <is>
          <t>14IN GREEN TEA MF MATTRESS FL</t>
        </is>
      </c>
      <c r="L153" s="310" t="inlineStr">
        <is>
          <t>OLC-FMS-1400F-IN</t>
        </is>
      </c>
      <c r="M153" s="311" t="inlineStr"/>
      <c r="N153" s="309" t="inlineStr">
        <is>
          <t>F.MFM.14F.000.BD</t>
        </is>
      </c>
      <c r="O153" s="306" t="n"/>
      <c r="P153" s="306" t="n"/>
      <c r="Q153" s="312">
        <f>IFERROR(R153/H153, 0)</f>
        <v/>
      </c>
      <c r="R153" s="307" t="n">
        <v>84.55</v>
      </c>
      <c r="S153" s="308" t="n">
        <v>17937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14IN GREEN TEA MF MATTRESS CK</t>
        </is>
      </c>
      <c r="L154" s="310" t="inlineStr">
        <is>
          <t>OLC-FMS-1400CK-IN</t>
        </is>
      </c>
      <c r="M154" s="311" t="inlineStr"/>
      <c r="N154" s="309" t="inlineStr">
        <is>
          <t>F.MFM.14C.000.BD</t>
        </is>
      </c>
      <c r="O154" s="306" t="n"/>
      <c r="P154" s="306" t="n"/>
      <c r="Q154" s="312">
        <f>IFERROR(R154/H154, 0)</f>
        <v/>
      </c>
      <c r="R154" s="307" t="n">
        <v>120.54</v>
      </c>
      <c r="S154" s="308" t="n">
        <v>17937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8IN GREEN TEA MF MATTRESS EK</t>
        </is>
      </c>
      <c r="L155" s="310" t="inlineStr">
        <is>
          <t>BPM-FMS-8K-IN</t>
        </is>
      </c>
      <c r="M155" s="311" t="inlineStr"/>
      <c r="N155" s="309" t="inlineStr">
        <is>
          <t>F.MFM.08K.002.BD</t>
        </is>
      </c>
      <c r="O155" s="306" t="n"/>
      <c r="P155" s="306" t="n"/>
      <c r="Q155" s="312">
        <f>IFERROR(R155/H155, 0)</f>
        <v/>
      </c>
      <c r="R155" s="307" t="n">
        <v>79.39</v>
      </c>
      <c r="S155" s="308" t="n">
        <v>17937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CK</t>
        </is>
      </c>
      <c r="L156" s="310" t="inlineStr">
        <is>
          <t>OLC-FMS-1000CK-IN</t>
        </is>
      </c>
      <c r="M156" s="311" t="inlineStr"/>
      <c r="N156" s="309" t="inlineStr">
        <is>
          <t>F.MFM.10C.002.BD</t>
        </is>
      </c>
      <c r="O156" s="306" t="n"/>
      <c r="P156" s="306" t="n"/>
      <c r="Q156" s="312">
        <f>IFERROR(R156/H156, 0)</f>
        <v/>
      </c>
      <c r="R156" s="307" t="n">
        <v>94.97</v>
      </c>
      <c r="S156" s="308" t="n">
        <v>17937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1</v>
      </c>
      <c r="I157" s="311" t="inlineStr"/>
      <c r="J157" s="311" t="inlineStr"/>
      <c r="K157" s="309" t="inlineStr">
        <is>
          <t>12IN QUADCOOL MF MATTRESS EK</t>
        </is>
      </c>
      <c r="L157" s="310" t="inlineStr">
        <is>
          <t>ZU-MFGNU2ZU-12K</t>
        </is>
      </c>
      <c r="M157" s="311" t="inlineStr"/>
      <c r="N157" s="309" t="inlineStr">
        <is>
          <t>F.MFG.12K.000.AD</t>
        </is>
      </c>
      <c r="O157" s="306" t="n"/>
      <c r="P157" s="306" t="n"/>
      <c r="Q157" s="312">
        <f>IFERROR(R157/H157, 0)</f>
        <v/>
      </c>
      <c r="R157" s="307" t="n">
        <v>140.58</v>
      </c>
      <c r="S157" s="308" t="n">
        <v>17937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1</v>
      </c>
      <c r="I158" s="311" t="inlineStr"/>
      <c r="J158" s="311" t="inlineStr"/>
      <c r="K158" s="309" t="inlineStr">
        <is>
          <t>12IN QUADCOOL MF MATTRESS QN</t>
        </is>
      </c>
      <c r="L158" s="310" t="inlineStr">
        <is>
          <t>ZU-MFGNU2ZU-12Q</t>
        </is>
      </c>
      <c r="M158" s="311" t="inlineStr"/>
      <c r="N158" s="309" t="inlineStr">
        <is>
          <t>F.MFG.12Q.000.AD</t>
        </is>
      </c>
      <c r="O158" s="306" t="n"/>
      <c r="P158" s="306" t="n"/>
      <c r="Q158" s="312">
        <f>IFERROR(R158/H158, 0)</f>
        <v/>
      </c>
      <c r="R158" s="307" t="n">
        <v>113.39</v>
      </c>
      <c r="S158" s="308" t="n">
        <v>17937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1</v>
      </c>
      <c r="I159" s="311" t="inlineStr"/>
      <c r="J159" s="311" t="inlineStr"/>
      <c r="K159" s="309" t="inlineStr">
        <is>
          <t>12IN QUADCOOL MF MATTRESS TW</t>
        </is>
      </c>
      <c r="L159" s="310" t="inlineStr">
        <is>
          <t>ZU-MFGNU2ZU-12T</t>
        </is>
      </c>
      <c r="M159" s="311" t="inlineStr"/>
      <c r="N159" s="309" t="inlineStr">
        <is>
          <t>F.MFG.12T.000.AD</t>
        </is>
      </c>
      <c r="O159" s="306" t="n"/>
      <c r="P159" s="306" t="n"/>
      <c r="Q159" s="312">
        <f>IFERROR(R159/H159, 0)</f>
        <v/>
      </c>
      <c r="R159" s="307" t="n">
        <v>76.23999999999999</v>
      </c>
      <c r="S159" s="308" t="n">
        <v>17937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</v>
      </c>
      <c r="I160" s="311" t="inlineStr"/>
      <c r="J160" s="311" t="inlineStr"/>
      <c r="K160" s="309" t="inlineStr">
        <is>
          <t>14IN MYGEL GREENTEA MF MATT QN</t>
        </is>
      </c>
      <c r="L160" s="310" t="inlineStr">
        <is>
          <t>ZU-MFGN5MZI-14Q</t>
        </is>
      </c>
      <c r="M160" s="311" t="inlineStr"/>
      <c r="N160" s="309" t="inlineStr">
        <is>
          <t>F.MFG.14Q.000.AD</t>
        </is>
      </c>
      <c r="O160" s="306" t="n"/>
      <c r="P160" s="306" t="n"/>
      <c r="Q160" s="312">
        <f>IFERROR(R160/H160, 0)</f>
        <v/>
      </c>
      <c r="R160" s="307" t="n">
        <v>141.94</v>
      </c>
      <c r="S160" s="308" t="n">
        <v>17937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12IN QUADCOOL MF MATTRESS FL</t>
        </is>
      </c>
      <c r="L161" s="310" t="inlineStr">
        <is>
          <t>ZU-MFGNU2ZU-12F</t>
        </is>
      </c>
      <c r="M161" s="311" t="inlineStr"/>
      <c r="N161" s="309" t="inlineStr">
        <is>
          <t>F.MFG.12F.000.AD</t>
        </is>
      </c>
      <c r="O161" s="306" t="n"/>
      <c r="P161" s="306" t="n"/>
      <c r="Q161" s="312">
        <f>IFERROR(R161/H161, 0)</f>
        <v/>
      </c>
      <c r="R161" s="307" t="n">
        <v>99.93000000000001</v>
      </c>
      <c r="S161" s="308" t="n">
        <v>17937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14IN MYGEL GREENTEA MF MATT EK</t>
        </is>
      </c>
      <c r="L162" s="310" t="inlineStr">
        <is>
          <t>ZU-MFGN5MZI-14K</t>
        </is>
      </c>
      <c r="M162" s="311" t="inlineStr"/>
      <c r="N162" s="309" t="inlineStr">
        <is>
          <t>F.MFG.14K.000.AD</t>
        </is>
      </c>
      <c r="O162" s="306" t="n"/>
      <c r="P162" s="306" t="n"/>
      <c r="Q162" s="312">
        <f>IFERROR(R162/H162, 0)</f>
        <v/>
      </c>
      <c r="R162" s="307" t="n">
        <v>170.83</v>
      </c>
      <c r="S162" s="308" t="n">
        <v>17937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BONNEL MATTRESS</t>
        </is>
      </c>
      <c r="L163" s="310" t="inlineStr">
        <is>
          <t>SAMPLE</t>
        </is>
      </c>
      <c r="M163" s="311" t="inlineStr"/>
      <c r="N163" s="309" t="inlineStr">
        <is>
          <t>F.MSS.SAMP</t>
        </is>
      </c>
      <c r="O163" s="306" t="n"/>
      <c r="P163" s="306" t="n"/>
      <c r="Q163" s="312">
        <f>IFERROR(R163/H163, 0)</f>
        <v/>
      </c>
      <c r="R163" s="307" t="n">
        <v>69.06</v>
      </c>
      <c r="S163" s="308" t="n">
        <v>17937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</v>
      </c>
      <c r="I164" s="311" t="inlineStr"/>
      <c r="J164" s="311" t="inlineStr"/>
      <c r="K164" s="309" t="inlineStr">
        <is>
          <t>HYBRID MATTRESS</t>
        </is>
      </c>
      <c r="L164" s="310" t="inlineStr">
        <is>
          <t>SAMPLE</t>
        </is>
      </c>
      <c r="M164" s="311" t="inlineStr"/>
      <c r="N164" s="309" t="inlineStr">
        <is>
          <t>F.MSH.SAMP</t>
        </is>
      </c>
      <c r="O164" s="306" t="n"/>
      <c r="P164" s="306" t="n"/>
      <c r="Q164" s="312">
        <f>IFERROR(R164/H164, 0)</f>
        <v/>
      </c>
      <c r="R164" s="307" t="n">
        <v>78.91</v>
      </c>
      <c r="S164" s="308" t="n">
        <v>17937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</v>
      </c>
      <c r="I165" s="311" t="inlineStr"/>
      <c r="J165" s="311" t="inlineStr"/>
      <c r="K165" s="309" t="inlineStr">
        <is>
          <t>HYBRID MATTRESS</t>
        </is>
      </c>
      <c r="L165" s="310" t="inlineStr">
        <is>
          <t>SAMPLE</t>
        </is>
      </c>
      <c r="M165" s="311" t="inlineStr"/>
      <c r="N165" s="309" t="inlineStr">
        <is>
          <t>F.MSH.SAMP</t>
        </is>
      </c>
      <c r="O165" s="306" t="n"/>
      <c r="P165" s="306" t="n"/>
      <c r="Q165" s="312">
        <f>IFERROR(R165/H165, 0)</f>
        <v/>
      </c>
      <c r="R165" s="307" t="n">
        <v>45.62</v>
      </c>
      <c r="S165" s="308" t="n">
        <v>17937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</v>
      </c>
      <c r="I166" s="311" t="inlineStr"/>
      <c r="J166" s="311" t="inlineStr"/>
      <c r="K166" s="309" t="inlineStr">
        <is>
          <t>HYBRID MATTRESS</t>
        </is>
      </c>
      <c r="L166" s="310" t="inlineStr">
        <is>
          <t>SAMPLE</t>
        </is>
      </c>
      <c r="M166" s="311" t="inlineStr"/>
      <c r="N166" s="309" t="inlineStr">
        <is>
          <t>F.MSH.SAMP</t>
        </is>
      </c>
      <c r="O166" s="306" t="n"/>
      <c r="P166" s="306" t="n"/>
      <c r="Q166" s="312">
        <f>IFERROR(R166/H166, 0)</f>
        <v/>
      </c>
      <c r="R166" s="307" t="n">
        <v>68.40000000000001</v>
      </c>
      <c r="S166" s="308" t="n">
        <v>17937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</v>
      </c>
      <c r="I167" s="311" t="inlineStr"/>
      <c r="J167" s="311" t="inlineStr"/>
      <c r="K167" s="309" t="inlineStr">
        <is>
          <t>HYBRID MATTRESS</t>
        </is>
      </c>
      <c r="L167" s="310" t="inlineStr">
        <is>
          <t>SAMPLE</t>
        </is>
      </c>
      <c r="M167" s="311" t="inlineStr"/>
      <c r="N167" s="309" t="inlineStr">
        <is>
          <t>F.MSH.SAMP</t>
        </is>
      </c>
      <c r="O167" s="306" t="n"/>
      <c r="P167" s="306" t="n"/>
      <c r="Q167" s="312">
        <f>IFERROR(R167/H167, 0)</f>
        <v/>
      </c>
      <c r="R167" s="307" t="n">
        <v>67.31999999999999</v>
      </c>
      <c r="S167" s="308" t="n">
        <v>17937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HYBRID MATTRESS</t>
        </is>
      </c>
      <c r="L168" s="310" t="inlineStr">
        <is>
          <t>SAMPLE</t>
        </is>
      </c>
      <c r="M168" s="311" t="inlineStr"/>
      <c r="N168" s="309" t="inlineStr">
        <is>
          <t>F.MSH.SAMP</t>
        </is>
      </c>
      <c r="O168" s="306" t="n"/>
      <c r="P168" s="306" t="n"/>
      <c r="Q168" s="312">
        <f>IFERROR(R168/H168, 0)</f>
        <v/>
      </c>
      <c r="R168" s="307" t="n">
        <v>60.35</v>
      </c>
      <c r="S168" s="308" t="n">
        <v>17937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BONNEL MATTRESS</t>
        </is>
      </c>
      <c r="L169" s="310" t="inlineStr">
        <is>
          <t>SAMPLE</t>
        </is>
      </c>
      <c r="M169" s="311" t="inlineStr"/>
      <c r="N169" s="309" t="inlineStr">
        <is>
          <t>F.MSS.SAMP</t>
        </is>
      </c>
      <c r="O169" s="306" t="n"/>
      <c r="P169" s="306" t="n"/>
      <c r="Q169" s="312">
        <f>IFERROR(R169/H169, 0)</f>
        <v/>
      </c>
      <c r="R169" s="307" t="n">
        <v>56.09</v>
      </c>
      <c r="S169" s="308" t="n">
        <v>17937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BONNEL MATTRESS</t>
        </is>
      </c>
      <c r="L170" s="310" t="inlineStr">
        <is>
          <t>SAMPLE</t>
        </is>
      </c>
      <c r="M170" s="311" t="inlineStr"/>
      <c r="N170" s="309" t="inlineStr">
        <is>
          <t>F.MSS.SAMP</t>
        </is>
      </c>
      <c r="O170" s="306" t="n"/>
      <c r="P170" s="306" t="n"/>
      <c r="Q170" s="312">
        <f>IFERROR(R170/H170, 0)</f>
        <v/>
      </c>
      <c r="R170" s="307" t="n">
        <v>46.14</v>
      </c>
      <c r="S170" s="308" t="n">
        <v>17937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</v>
      </c>
      <c r="I171" s="311" t="inlineStr"/>
      <c r="J171" s="311" t="inlineStr"/>
      <c r="K171" s="309" t="inlineStr">
        <is>
          <t>HYBRID MATTRESS</t>
        </is>
      </c>
      <c r="L171" s="310" t="inlineStr">
        <is>
          <t>SAMPLE</t>
        </is>
      </c>
      <c r="M171" s="311" t="inlineStr"/>
      <c r="N171" s="309" t="inlineStr">
        <is>
          <t>F.MSH.SAMP</t>
        </is>
      </c>
      <c r="O171" s="306" t="n"/>
      <c r="P171" s="306" t="n"/>
      <c r="Q171" s="312">
        <f>IFERROR(R171/H171, 0)</f>
        <v/>
      </c>
      <c r="R171" s="307" t="n">
        <v>82.69</v>
      </c>
      <c r="S171" s="308" t="n">
        <v>17937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</v>
      </c>
      <c r="I172" s="311" t="inlineStr"/>
      <c r="J172" s="311" t="inlineStr"/>
      <c r="K172" s="309" t="inlineStr">
        <is>
          <t>HYBRID MATTRESS</t>
        </is>
      </c>
      <c r="L172" s="310" t="inlineStr">
        <is>
          <t>SAMPLE</t>
        </is>
      </c>
      <c r="M172" s="311" t="inlineStr"/>
      <c r="N172" s="309" t="inlineStr">
        <is>
          <t>F.MSH.SAMP</t>
        </is>
      </c>
      <c r="O172" s="306" t="n"/>
      <c r="P172" s="306" t="n"/>
      <c r="Q172" s="312">
        <f>IFERROR(R172/H172, 0)</f>
        <v/>
      </c>
      <c r="R172" s="307" t="n">
        <v>97.59999999999999</v>
      </c>
      <c r="S172" s="308" t="n">
        <v>17937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1</v>
      </c>
      <c r="I173" s="311" t="inlineStr"/>
      <c r="J173" s="311" t="inlineStr"/>
      <c r="K173" s="309" t="inlineStr">
        <is>
          <t>BONNEL MATTRESS</t>
        </is>
      </c>
      <c r="L173" s="310" t="inlineStr">
        <is>
          <t>SAMPLE</t>
        </is>
      </c>
      <c r="M173" s="311" t="inlineStr"/>
      <c r="N173" s="309" t="inlineStr">
        <is>
          <t>F.MSS.SAMP</t>
        </is>
      </c>
      <c r="O173" s="306" t="n"/>
      <c r="P173" s="306" t="n"/>
      <c r="Q173" s="312">
        <f>IFERROR(R173/H173, 0)</f>
        <v/>
      </c>
      <c r="R173" s="307" t="n">
        <v>49.38</v>
      </c>
      <c r="S173" s="308" t="n">
        <v>17937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1</v>
      </c>
      <c r="I174" s="311" t="inlineStr"/>
      <c r="J174" s="311" t="inlineStr"/>
      <c r="K174" s="309" t="inlineStr">
        <is>
          <t>BONNEL MATTRESS</t>
        </is>
      </c>
      <c r="L174" s="310" t="inlineStr">
        <is>
          <t>SAMPLE</t>
        </is>
      </c>
      <c r="M174" s="311" t="inlineStr"/>
      <c r="N174" s="309" t="inlineStr">
        <is>
          <t>F.MSS.SAMP</t>
        </is>
      </c>
      <c r="O174" s="306" t="n"/>
      <c r="P174" s="306" t="n"/>
      <c r="Q174" s="312">
        <f>IFERROR(R174/H174, 0)</f>
        <v/>
      </c>
      <c r="R174" s="307" t="n">
        <v>42.26</v>
      </c>
      <c r="S174" s="308" t="n">
        <v>17937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>
        <v>1</v>
      </c>
      <c r="I175" s="311" t="inlineStr"/>
      <c r="J175" s="311" t="inlineStr"/>
      <c r="K175" s="309" t="inlineStr">
        <is>
          <t>FOAM MATTRESS</t>
        </is>
      </c>
      <c r="L175" s="310" t="inlineStr">
        <is>
          <t>SAMPLE</t>
        </is>
      </c>
      <c r="M175" s="311" t="inlineStr"/>
      <c r="N175" s="309" t="inlineStr">
        <is>
          <t>F.MFM.SAMP</t>
        </is>
      </c>
      <c r="O175" s="306" t="n"/>
      <c r="P175" s="306" t="n"/>
      <c r="Q175" s="312">
        <f>IFERROR(R175/H175, 0)</f>
        <v/>
      </c>
      <c r="R175" s="307" t="n">
        <v>39.25</v>
      </c>
      <c r="S175" s="308" t="n">
        <v>17937</v>
      </c>
      <c r="T175" s="308">
        <f>IFERROR(S175*R175, 0)</f>
        <v/>
      </c>
      <c r="U175" s="313" t="n"/>
      <c r="V175" s="315" t="n"/>
      <c r="W175" s="316" t="n"/>
      <c r="X175" s="311" t="n"/>
      <c r="Y175" s="315" t="n"/>
      <c r="Z175" s="317" t="n"/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>
        <v>1</v>
      </c>
      <c r="I176" s="311" t="inlineStr"/>
      <c r="J176" s="311" t="inlineStr"/>
      <c r="K176" s="309" t="inlineStr">
        <is>
          <t>FOAM MATTRESS</t>
        </is>
      </c>
      <c r="L176" s="310" t="inlineStr">
        <is>
          <t>SAMPLE</t>
        </is>
      </c>
      <c r="M176" s="311" t="inlineStr"/>
      <c r="N176" s="309" t="inlineStr">
        <is>
          <t>F.MFM.SAMP</t>
        </is>
      </c>
      <c r="O176" s="306" t="n"/>
      <c r="P176" s="306" t="n"/>
      <c r="Q176" s="312">
        <f>IFERROR(R176/H176, 0)</f>
        <v/>
      </c>
      <c r="R176" s="307" t="n">
        <v>46.46</v>
      </c>
      <c r="S176" s="308" t="n">
        <v>17937</v>
      </c>
      <c r="T176" s="308">
        <f>IFERROR(S176*R176, 0)</f>
        <v/>
      </c>
      <c r="U176" s="313" t="n"/>
      <c r="V176" s="315" t="n"/>
      <c r="W176" s="316" t="n"/>
      <c r="X176" s="311" t="n"/>
      <c r="Y176" s="315" t="n"/>
      <c r="Z176" s="317" t="n"/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>
        <v>1</v>
      </c>
      <c r="I177" s="311" t="inlineStr"/>
      <c r="J177" s="311" t="inlineStr"/>
      <c r="K177" s="309" t="inlineStr">
        <is>
          <t>FOAM MATTRESS</t>
        </is>
      </c>
      <c r="L177" s="310" t="inlineStr">
        <is>
          <t>SAMPLE</t>
        </is>
      </c>
      <c r="M177" s="311" t="inlineStr"/>
      <c r="N177" s="309" t="inlineStr">
        <is>
          <t>F.MFM.SAMP</t>
        </is>
      </c>
      <c r="O177" s="306" t="n"/>
      <c r="P177" s="306" t="n"/>
      <c r="Q177" s="312">
        <f>IFERROR(R177/H177, 0)</f>
        <v/>
      </c>
      <c r="R177" s="307" t="n">
        <v>29.17</v>
      </c>
      <c r="S177" s="308" t="n">
        <v>17937</v>
      </c>
      <c r="T177" s="308">
        <f>IFERROR(S177*R177, 0)</f>
        <v/>
      </c>
      <c r="U177" s="313" t="n"/>
      <c r="V177" s="315" t="n"/>
      <c r="W177" s="316" t="n"/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SUM(H77:H177)</f>
        <v/>
      </c>
      <c r="I178" s="330">
        <f>COUNTA(I77:I177)</f>
        <v/>
      </c>
      <c r="J178" s="329" t="n"/>
      <c r="K178" s="329" t="n"/>
      <c r="L178" s="331" t="n"/>
      <c r="M178" s="329" t="n"/>
      <c r="N178" s="329" t="n"/>
      <c r="O178" s="332">
        <f>SUM(O77:O177)</f>
        <v/>
      </c>
      <c r="P178" s="332">
        <f>SUM(P77:P177)</f>
        <v/>
      </c>
      <c r="Q178" s="333" t="n"/>
      <c r="R178" s="334">
        <f>SUM(R77:R177)</f>
        <v/>
      </c>
      <c r="S178" s="335" t="n"/>
      <c r="T178" s="335">
        <f>SUM(T77:T177)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12</v>
      </c>
      <c r="B179" s="324" t="inlineStr">
        <is>
          <t>000030ZIK48020260804000562</t>
        </is>
      </c>
      <c r="C179" s="304" t="n">
        <v>486503</v>
      </c>
      <c r="D179" s="304" t="n">
        <v>486451</v>
      </c>
      <c r="E179" s="317" t="n">
        <v>46239</v>
      </c>
      <c r="F179" s="320" t="inlineStr">
        <is>
          <t>ID2608-8028</t>
        </is>
      </c>
      <c r="G179" s="317" t="n">
        <v>46238</v>
      </c>
      <c r="H179" s="311" t="n">
        <v>200</v>
      </c>
      <c r="I179" s="311" t="inlineStr">
        <is>
          <t>UACU5921772</t>
        </is>
      </c>
      <c r="J179" s="311" t="inlineStr">
        <is>
          <t>40FT</t>
        </is>
      </c>
      <c r="K179" s="309" t="inlineStr">
        <is>
          <t>8IN FIRM GEL MF MATTRESS TW</t>
        </is>
      </c>
      <c r="L179" s="310" t="inlineStr">
        <is>
          <t>WA-MFGN5CZI-08T</t>
        </is>
      </c>
      <c r="M179" s="311" t="inlineStr">
        <is>
          <t>WFIN00524</t>
        </is>
      </c>
      <c r="N179" s="309" t="inlineStr">
        <is>
          <t>F.MFG.08T.009.WA</t>
        </is>
      </c>
      <c r="O179" s="306" t="n">
        <v>12266.55</v>
      </c>
      <c r="P179" s="306" t="n">
        <v>10630.97</v>
      </c>
      <c r="Q179" s="312">
        <f>IFERROR(R179/H179, 0)</f>
        <v/>
      </c>
      <c r="R179" s="307" t="n">
        <v>7784</v>
      </c>
      <c r="S179" s="308" t="n">
        <v>18062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LOS ANGELES, US</t>
        </is>
      </c>
      <c r="X179" s="311" t="inlineStr">
        <is>
          <t>ZINUS, INC.</t>
        </is>
      </c>
      <c r="Y179" s="315" t="inlineStr">
        <is>
          <t>HLCUJK1260741210</t>
        </is>
      </c>
      <c r="Z179" s="317" t="n">
        <v>46239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>
        <v>105</v>
      </c>
      <c r="I180" s="311" t="inlineStr"/>
      <c r="J180" s="311" t="inlineStr"/>
      <c r="K180" s="309" t="inlineStr">
        <is>
          <t>10IN FIRM GEL MF MATTRESS TW</t>
        </is>
      </c>
      <c r="L180" s="310" t="inlineStr">
        <is>
          <t>WA-MFGN5CZI-10T</t>
        </is>
      </c>
      <c r="M180" s="311" t="inlineStr">
        <is>
          <t>WFIN00524</t>
        </is>
      </c>
      <c r="N180" s="309" t="inlineStr">
        <is>
          <t>F.MFG.10T.009.WA</t>
        </is>
      </c>
      <c r="O180" s="306" t="n"/>
      <c r="P180" s="306" t="n"/>
      <c r="Q180" s="312">
        <f>IFERROR(R180/H180, 0)</f>
        <v/>
      </c>
      <c r="R180" s="307" t="n">
        <v>4830</v>
      </c>
      <c r="S180" s="308" t="n">
        <v>18062</v>
      </c>
      <c r="T180" s="308">
        <f>IFERROR(S180*R180, 0)</f>
        <v/>
      </c>
      <c r="U180" s="313" t="n"/>
      <c r="V180" s="315" t="n"/>
      <c r="W180" s="316" t="inlineStr">
        <is>
          <t>ETD : 11-08-2026</t>
        </is>
      </c>
      <c r="X180" s="311" t="n"/>
      <c r="Y180" s="315" t="n"/>
      <c r="Z180" s="317" t="n"/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>
        <v>186</v>
      </c>
      <c r="I181" s="311" t="inlineStr"/>
      <c r="J181" s="311" t="inlineStr"/>
      <c r="K181" s="309" t="inlineStr">
        <is>
          <t>8IN GEL FOAM MATTRESS TW</t>
        </is>
      </c>
      <c r="L181" s="310" t="inlineStr">
        <is>
          <t>WF-GIFGM-08T</t>
        </is>
      </c>
      <c r="M181" s="311" t="inlineStr">
        <is>
          <t>WFIN00524</t>
        </is>
      </c>
      <c r="N181" s="309" t="inlineStr">
        <is>
          <t>F.MFG.08T.006.WA</t>
        </is>
      </c>
      <c r="O181" s="306" t="n"/>
      <c r="P181" s="306" t="n"/>
      <c r="Q181" s="312">
        <f>IFERROR(R181/H181, 0)</f>
        <v/>
      </c>
      <c r="R181" s="307" t="n">
        <v>6915.48</v>
      </c>
      <c r="S181" s="308" t="n">
        <v>18062</v>
      </c>
      <c r="T181" s="308">
        <f>IFERROR(S181*R181, 0)</f>
        <v/>
      </c>
      <c r="U181" s="313" t="n"/>
      <c r="V181" s="315" t="n"/>
      <c r="W181" s="316" t="n"/>
      <c r="X181" s="311" t="n"/>
      <c r="Y181" s="315" t="n"/>
      <c r="Z181" s="317" t="n"/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>
        <v>105</v>
      </c>
      <c r="I182" s="311" t="inlineStr"/>
      <c r="J182" s="311" t="inlineStr"/>
      <c r="K182" s="309" t="inlineStr">
        <is>
          <t>12IN PLUSH GEL MF MATTRESS FL</t>
        </is>
      </c>
      <c r="L182" s="310" t="inlineStr">
        <is>
          <t>WF-MFGPGM-12F</t>
        </is>
      </c>
      <c r="M182" s="311" t="inlineStr">
        <is>
          <t>WFIN00524</t>
        </is>
      </c>
      <c r="N182" s="309" t="inlineStr">
        <is>
          <t>F.MFG.12F.008.WA</t>
        </is>
      </c>
      <c r="O182" s="306" t="n"/>
      <c r="P182" s="306" t="n"/>
      <c r="Q182" s="312">
        <f>IFERROR(R182/H182, 0)</f>
        <v/>
      </c>
      <c r="R182" s="307" t="n">
        <v>7826.7</v>
      </c>
      <c r="S182" s="308" t="n">
        <v>18062</v>
      </c>
      <c r="T182" s="308">
        <f>IFERROR(S182*R182, 0)</f>
        <v/>
      </c>
      <c r="U182" s="313" t="n"/>
      <c r="V182" s="315" t="n"/>
      <c r="W182" s="316" t="n"/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>
        <v>60</v>
      </c>
      <c r="I183" s="311" t="inlineStr"/>
      <c r="J183" s="311" t="inlineStr"/>
      <c r="K183" s="309" t="inlineStr">
        <is>
          <t>12IN PLUSH GEL MF MATTRESS EK</t>
        </is>
      </c>
      <c r="L183" s="310" t="inlineStr">
        <is>
          <t>WF-MFGPGM-12K</t>
        </is>
      </c>
      <c r="M183" s="311" t="inlineStr">
        <is>
          <t>WFIN00524</t>
        </is>
      </c>
      <c r="N183" s="309" t="inlineStr">
        <is>
          <t>F.MFG.12K.008.WA</t>
        </is>
      </c>
      <c r="O183" s="306" t="n"/>
      <c r="P183" s="306" t="n"/>
      <c r="Q183" s="312">
        <f>IFERROR(R183/H183, 0)</f>
        <v/>
      </c>
      <c r="R183" s="307" t="n">
        <v>6332.4</v>
      </c>
      <c r="S183" s="308" t="n">
        <v>18062</v>
      </c>
      <c r="T183" s="308">
        <f>IFERROR(S183*R183, 0)</f>
        <v/>
      </c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SUM(H179:H183)</f>
        <v/>
      </c>
      <c r="I184" s="330">
        <f>COUNTA(I179:I183)</f>
        <v/>
      </c>
      <c r="J184" s="329" t="n"/>
      <c r="K184" s="329" t="n"/>
      <c r="L184" s="331" t="n"/>
      <c r="M184" s="329" t="n"/>
      <c r="N184" s="329" t="n"/>
      <c r="O184" s="332">
        <f>SUM(O179:O183)</f>
        <v/>
      </c>
      <c r="P184" s="332">
        <f>SUM(P179:P183)</f>
        <v/>
      </c>
      <c r="Q184" s="333" t="n"/>
      <c r="R184" s="334">
        <f>SUM(R179:R183)</f>
        <v/>
      </c>
      <c r="S184" s="335" t="n"/>
      <c r="T184" s="335">
        <f>SUM(T179:T183)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13</v>
      </c>
      <c r="B185" s="324" t="inlineStr">
        <is>
          <t>000030ZIK48020260804000563</t>
        </is>
      </c>
      <c r="C185" s="304" t="n">
        <v>486532</v>
      </c>
      <c r="D185" s="304" t="n">
        <v>486480</v>
      </c>
      <c r="E185" s="317" t="n">
        <v>46239</v>
      </c>
      <c r="F185" s="320" t="inlineStr">
        <is>
          <t>ID2608-8029</t>
        </is>
      </c>
      <c r="G185" s="317" t="n">
        <v>46238</v>
      </c>
      <c r="H185" s="311" t="n">
        <v>45</v>
      </c>
      <c r="I185" s="311" t="inlineStr">
        <is>
          <t>HLBU2896781</t>
        </is>
      </c>
      <c r="J185" s="311" t="inlineStr">
        <is>
          <t>40FT</t>
        </is>
      </c>
      <c r="K185" s="309" t="inlineStr">
        <is>
          <t>12IN PLUSH GEL MF MATTRESS EK</t>
        </is>
      </c>
      <c r="L185" s="310" t="inlineStr">
        <is>
          <t>WF-MFGPGM-12K</t>
        </is>
      </c>
      <c r="M185" s="311" t="inlineStr">
        <is>
          <t>WFIN00525</t>
        </is>
      </c>
      <c r="N185" s="309" t="inlineStr">
        <is>
          <t>F.MFG.12K.008.WA</t>
        </is>
      </c>
      <c r="O185" s="306" t="n">
        <v>12525.15</v>
      </c>
      <c r="P185" s="306" t="n">
        <v>11277.75</v>
      </c>
      <c r="Q185" s="312">
        <f>IFERROR(R185/H185, 0)</f>
        <v/>
      </c>
      <c r="R185" s="307" t="n">
        <v>4749.3</v>
      </c>
      <c r="S185" s="308" t="n">
        <v>18062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ZINUS, INC.</t>
        </is>
      </c>
      <c r="Y185" s="315" t="inlineStr">
        <is>
          <t>HLCUJK1260741191</t>
        </is>
      </c>
      <c r="Z185" s="317" t="n">
        <v>46239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>
        <v>105</v>
      </c>
      <c r="I186" s="311" t="inlineStr"/>
      <c r="J186" s="311" t="inlineStr"/>
      <c r="K186" s="309" t="inlineStr">
        <is>
          <t>12IN PLUSH GEL MF MATTRESS QN</t>
        </is>
      </c>
      <c r="L186" s="310" t="inlineStr">
        <is>
          <t>WF-MFGPGM-12Q</t>
        </is>
      </c>
      <c r="M186" s="311" t="inlineStr">
        <is>
          <t>WFIN00525</t>
        </is>
      </c>
      <c r="N186" s="309" t="inlineStr">
        <is>
          <t>F.MFG.12Q.008.WA</t>
        </is>
      </c>
      <c r="O186" s="306" t="n"/>
      <c r="P186" s="306" t="n"/>
      <c r="Q186" s="312">
        <f>IFERROR(R186/H186, 0)</f>
        <v/>
      </c>
      <c r="R186" s="307" t="n">
        <v>9082.5</v>
      </c>
      <c r="S186" s="308" t="n">
        <v>18062</v>
      </c>
      <c r="T186" s="308">
        <f>IFERROR(S186*R186, 0)</f>
        <v/>
      </c>
      <c r="U186" s="313" t="n"/>
      <c r="V186" s="315" t="n"/>
      <c r="W186" s="316" t="inlineStr">
        <is>
          <t>ETD : 11-08-2026</t>
        </is>
      </c>
      <c r="X186" s="311" t="n"/>
      <c r="Y186" s="315" t="n"/>
      <c r="Z186" s="317" t="n"/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>
        <v>105</v>
      </c>
      <c r="I187" s="311" t="inlineStr"/>
      <c r="J187" s="311" t="inlineStr"/>
      <c r="K187" s="309" t="inlineStr">
        <is>
          <t>14IN PLUSH GEL MF MATTRESS FL</t>
        </is>
      </c>
      <c r="L187" s="310" t="inlineStr">
        <is>
          <t>WF-MFGPGM-14F</t>
        </is>
      </c>
      <c r="M187" s="311" t="inlineStr">
        <is>
          <t>WFIN00525</t>
        </is>
      </c>
      <c r="N187" s="309" t="inlineStr">
        <is>
          <t>F.MFG.14F.006.WA</t>
        </is>
      </c>
      <c r="O187" s="306" t="n"/>
      <c r="P187" s="306" t="n"/>
      <c r="Q187" s="312">
        <f>IFERROR(R187/H187, 0)</f>
        <v/>
      </c>
      <c r="R187" s="307" t="n">
        <v>8716.049999999999</v>
      </c>
      <c r="S187" s="308" t="n">
        <v>18062</v>
      </c>
      <c r="T187" s="308">
        <f>IFERROR(S187*R187, 0)</f>
        <v/>
      </c>
      <c r="U187" s="313" t="n"/>
      <c r="V187" s="315" t="n"/>
      <c r="W187" s="316" t="n"/>
      <c r="X187" s="311" t="n"/>
      <c r="Y187" s="315" t="n"/>
      <c r="Z187" s="317" t="n"/>
    </row>
    <row r="188" ht="16.5" customHeight="1" s="223">
      <c r="A188" s="322" t="n"/>
      <c r="B188" s="324" t="n"/>
      <c r="C188" s="304" t="n"/>
      <c r="D188" s="304" t="n"/>
      <c r="E188" s="317" t="n"/>
      <c r="F188" s="320" t="n"/>
      <c r="G188" s="317" t="n"/>
      <c r="H188" s="311" t="n">
        <v>105</v>
      </c>
      <c r="I188" s="311" t="inlineStr"/>
      <c r="J188" s="311" t="inlineStr"/>
      <c r="K188" s="309" t="inlineStr">
        <is>
          <t>14IN PLUSH GEL MF MATTRESS EK</t>
        </is>
      </c>
      <c r="L188" s="310" t="inlineStr">
        <is>
          <t>WF-MFGPGM-14K</t>
        </is>
      </c>
      <c r="M188" s="311" t="inlineStr">
        <is>
          <t>WFIN00525</t>
        </is>
      </c>
      <c r="N188" s="309" t="inlineStr">
        <is>
          <t>F.MFG.14K.006.WA</t>
        </is>
      </c>
      <c r="O188" s="306" t="n"/>
      <c r="P188" s="306" t="n"/>
      <c r="Q188" s="312">
        <f>IFERROR(R188/H188, 0)</f>
        <v/>
      </c>
      <c r="R188" s="307" t="n">
        <v>12474</v>
      </c>
      <c r="S188" s="308" t="n">
        <v>18062</v>
      </c>
      <c r="T188" s="308">
        <f>IFERROR(S188*R188, 0)</f>
        <v/>
      </c>
      <c r="U188" s="313" t="n"/>
      <c r="V188" s="315" t="n"/>
      <c r="W188" s="316" t="n"/>
      <c r="X188" s="311" t="n"/>
      <c r="Y188" s="315" t="n"/>
      <c r="Z188" s="317" t="n"/>
    </row>
    <row r="189" ht="17.1" customHeight="1" s="223">
      <c r="A189" s="325" t="n"/>
      <c r="B189" s="326" t="n"/>
      <c r="C189" s="327" t="n"/>
      <c r="D189" s="327" t="n"/>
      <c r="E189" s="328" t="n"/>
      <c r="F189" s="328" t="n"/>
      <c r="G189" s="328" t="n"/>
      <c r="H189" s="329">
        <f>SUM(H185:H188)</f>
        <v/>
      </c>
      <c r="I189" s="330">
        <f>COUNTA(I185:I188)</f>
        <v/>
      </c>
      <c r="J189" s="329" t="n"/>
      <c r="K189" s="329" t="n"/>
      <c r="L189" s="331" t="n"/>
      <c r="M189" s="329" t="n"/>
      <c r="N189" s="329" t="n"/>
      <c r="O189" s="332">
        <f>SUM(O185:O188)</f>
        <v/>
      </c>
      <c r="P189" s="332">
        <f>SUM(P185:P188)</f>
        <v/>
      </c>
      <c r="Q189" s="333" t="n"/>
      <c r="R189" s="334">
        <f>SUM(R185:R188)</f>
        <v/>
      </c>
      <c r="S189" s="335" t="n"/>
      <c r="T189" s="335">
        <f>SUM(T185:T188)</f>
        <v/>
      </c>
      <c r="U189" s="329" t="n"/>
      <c r="V189" s="336" t="n"/>
      <c r="W189" s="337" t="n"/>
      <c r="X189" s="336" t="n"/>
      <c r="Y189" s="336" t="n"/>
      <c r="Z189" s="336" t="n"/>
    </row>
    <row r="190" ht="16.5" customHeight="1" s="223">
      <c r="A190" s="322" t="n">
        <v>14</v>
      </c>
      <c r="B190" s="324" t="inlineStr">
        <is>
          <t>000030ZIK48020260804000564</t>
        </is>
      </c>
      <c r="C190" s="304" t="n">
        <v>486568</v>
      </c>
      <c r="D190" s="304" t="n">
        <v>486516</v>
      </c>
      <c r="E190" s="317" t="n">
        <v>46239</v>
      </c>
      <c r="F190" s="320" t="inlineStr">
        <is>
          <t>ID2608-8031</t>
        </is>
      </c>
      <c r="G190" s="317" t="n">
        <v>46238</v>
      </c>
      <c r="H190" s="311" t="n">
        <v>25</v>
      </c>
      <c r="I190" s="311" t="inlineStr">
        <is>
          <t>HLBU2073130</t>
        </is>
      </c>
      <c r="J190" s="311" t="inlineStr">
        <is>
          <t>40FT</t>
        </is>
      </c>
      <c r="K190" s="309" t="inlineStr">
        <is>
          <t>12IN FIRM MF MATTRESS QN</t>
        </is>
      </c>
      <c r="L190" s="310" t="inlineStr">
        <is>
          <t>WA-FMF-12Q</t>
        </is>
      </c>
      <c r="M190" s="311" t="inlineStr">
        <is>
          <t>MIWU00201</t>
        </is>
      </c>
      <c r="N190" s="309" t="inlineStr">
        <is>
          <t>F.MFM.12Q.000.BU</t>
        </is>
      </c>
      <c r="O190" s="306" t="n">
        <v>12535.25</v>
      </c>
      <c r="P190" s="306" t="n">
        <v>11310.65</v>
      </c>
      <c r="Q190" s="312">
        <f>IFERROR(R190/H190, 0)</f>
        <v/>
      </c>
      <c r="R190" s="307" t="n">
        <v>2055</v>
      </c>
      <c r="S190" s="308" t="n">
        <v>18062</v>
      </c>
      <c r="T190" s="308">
        <f>IFERROR(S190*R190, 0)</f>
        <v/>
      </c>
      <c r="U190" s="313" t="inlineStr">
        <is>
          <t>040300/KPPBC</t>
        </is>
      </c>
      <c r="V190" s="315" t="inlineStr">
        <is>
          <t>TG. PRIOK</t>
        </is>
      </c>
      <c r="W190" s="316" t="inlineStr">
        <is>
          <t>LOS ANGELES, US</t>
        </is>
      </c>
      <c r="X190" s="311" t="inlineStr">
        <is>
          <t>MELLOW INC</t>
        </is>
      </c>
      <c r="Y190" s="315" t="inlineStr">
        <is>
          <t>HLCUJK1260741170</t>
        </is>
      </c>
      <c r="Z190" s="317" t="n">
        <v>46239</v>
      </c>
    </row>
    <row r="191" ht="16.5" customHeight="1" s="223">
      <c r="A191" s="322" t="n"/>
      <c r="B191" s="324" t="n"/>
      <c r="C191" s="304" t="n"/>
      <c r="D191" s="304" t="n"/>
      <c r="E191" s="317" t="n"/>
      <c r="F191" s="320" t="n"/>
      <c r="G191" s="317" t="n"/>
      <c r="H191" s="311" t="n">
        <v>20</v>
      </c>
      <c r="I191" s="311" t="inlineStr"/>
      <c r="J191" s="311" t="inlineStr"/>
      <c r="K191" s="309" t="inlineStr">
        <is>
          <t>8IN FIRM MF MATTRESS FL</t>
        </is>
      </c>
      <c r="L191" s="310" t="inlineStr">
        <is>
          <t>WA-FMF-8F</t>
        </is>
      </c>
      <c r="M191" s="311" t="inlineStr">
        <is>
          <t>MIWU00201</t>
        </is>
      </c>
      <c r="N191" s="309" t="inlineStr">
        <is>
          <t>F.MFM.08F.000.BU</t>
        </is>
      </c>
      <c r="O191" s="306" t="n"/>
      <c r="P191" s="306" t="n"/>
      <c r="Q191" s="312">
        <f>IFERROR(R191/H191, 0)</f>
        <v/>
      </c>
      <c r="R191" s="307" t="n">
        <v>1064</v>
      </c>
      <c r="S191" s="308" t="n">
        <v>18062</v>
      </c>
      <c r="T191" s="308">
        <f>IFERROR(S191*R191, 0)</f>
        <v/>
      </c>
      <c r="U191" s="313" t="n"/>
      <c r="V191" s="315" t="n"/>
      <c r="W191" s="316" t="inlineStr">
        <is>
          <t>ETD : 11-08-2026</t>
        </is>
      </c>
      <c r="X191" s="311" t="n"/>
      <c r="Y191" s="315" t="n"/>
      <c r="Z191" s="317" t="n"/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>
        <v>70</v>
      </c>
      <c r="I192" s="311" t="inlineStr"/>
      <c r="J192" s="311" t="inlineStr"/>
      <c r="K192" s="309" t="inlineStr">
        <is>
          <t>10IN MEDIUM MFM FL</t>
        </is>
      </c>
      <c r="L192" s="310" t="inlineStr">
        <is>
          <t>WA-MMF-10F-IN</t>
        </is>
      </c>
      <c r="M192" s="311" t="inlineStr">
        <is>
          <t>MIWU00201</t>
        </is>
      </c>
      <c r="N192" s="309" t="inlineStr">
        <is>
          <t>F.MFM.10F.005.BU</t>
        </is>
      </c>
      <c r="O192" s="306" t="n"/>
      <c r="P192" s="306" t="n"/>
      <c r="Q192" s="312">
        <f>IFERROR(R192/H192, 0)</f>
        <v/>
      </c>
      <c r="R192" s="307" t="n">
        <v>4226.6</v>
      </c>
      <c r="S192" s="308" t="n">
        <v>18062</v>
      </c>
      <c r="T192" s="308">
        <f>IFERROR(S192*R192, 0)</f>
        <v/>
      </c>
      <c r="U192" s="313" t="n"/>
      <c r="V192" s="315" t="n"/>
      <c r="W192" s="316" t="n"/>
      <c r="X192" s="311" t="n"/>
      <c r="Y192" s="315" t="n"/>
      <c r="Z192" s="317" t="n"/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>
        <v>95</v>
      </c>
      <c r="I193" s="311" t="inlineStr"/>
      <c r="J193" s="311" t="inlineStr"/>
      <c r="K193" s="309" t="inlineStr">
        <is>
          <t>10IN MEDIUM MFM QN</t>
        </is>
      </c>
      <c r="L193" s="310" t="inlineStr">
        <is>
          <t>WA-MMF-10Q-IN</t>
        </is>
      </c>
      <c r="M193" s="311" t="inlineStr">
        <is>
          <t>MIWU00201</t>
        </is>
      </c>
      <c r="N193" s="309" t="inlineStr">
        <is>
          <t>F.MFM.10Q.005.BU</t>
        </is>
      </c>
      <c r="O193" s="306" t="n"/>
      <c r="P193" s="306" t="n"/>
      <c r="Q193" s="312">
        <f>IFERROR(R193/H193, 0)</f>
        <v/>
      </c>
      <c r="R193" s="307" t="n">
        <v>6798.2</v>
      </c>
      <c r="S193" s="308" t="n">
        <v>18062</v>
      </c>
      <c r="T193" s="308">
        <f>IFERROR(S193*R193, 0)</f>
        <v/>
      </c>
      <c r="U193" s="313" t="n"/>
      <c r="V193" s="315" t="n"/>
      <c r="W193" s="316" t="n"/>
      <c r="X193" s="311" t="n"/>
      <c r="Y193" s="315" t="n"/>
      <c r="Z193" s="317" t="n"/>
    </row>
    <row r="194" ht="16.5" customHeight="1" s="223">
      <c r="A194" s="322" t="n"/>
      <c r="B194" s="324" t="n"/>
      <c r="C194" s="304" t="n"/>
      <c r="D194" s="304" t="n"/>
      <c r="E194" s="317" t="n"/>
      <c r="F194" s="320" t="n"/>
      <c r="G194" s="317" t="n"/>
      <c r="H194" s="311" t="n">
        <v>78</v>
      </c>
      <c r="I194" s="311" t="inlineStr"/>
      <c r="J194" s="311" t="inlineStr"/>
      <c r="K194" s="309" t="inlineStr">
        <is>
          <t>10IN MEDIUM MFM TW</t>
        </is>
      </c>
      <c r="L194" s="310" t="inlineStr">
        <is>
          <t>WA-MMF-10T-IN</t>
        </is>
      </c>
      <c r="M194" s="311" t="inlineStr">
        <is>
          <t>MIWU00201</t>
        </is>
      </c>
      <c r="N194" s="309" t="inlineStr">
        <is>
          <t>F.MFM.10T.005.BU</t>
        </is>
      </c>
      <c r="O194" s="306" t="n"/>
      <c r="P194" s="306" t="n"/>
      <c r="Q194" s="312">
        <f>IFERROR(R194/H194, 0)</f>
        <v/>
      </c>
      <c r="R194" s="307" t="n">
        <v>3589.56</v>
      </c>
      <c r="S194" s="308" t="n">
        <v>18062</v>
      </c>
      <c r="T194" s="308">
        <f>IFERROR(S194*R194, 0)</f>
        <v/>
      </c>
      <c r="U194" s="313" t="n"/>
      <c r="V194" s="315" t="n"/>
      <c r="W194" s="316" t="n"/>
      <c r="X194" s="311" t="n"/>
      <c r="Y194" s="315" t="n"/>
      <c r="Z194" s="317" t="n"/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>
        <v>38</v>
      </c>
      <c r="I195" s="311" t="inlineStr"/>
      <c r="J195" s="311" t="inlineStr"/>
      <c r="K195" s="309" t="inlineStr">
        <is>
          <t>12IN MEDIUM MFM QN</t>
        </is>
      </c>
      <c r="L195" s="310" t="inlineStr">
        <is>
          <t>WA-MMF-12Q-IN</t>
        </is>
      </c>
      <c r="M195" s="311" t="inlineStr">
        <is>
          <t>MIWU00201</t>
        </is>
      </c>
      <c r="N195" s="309" t="inlineStr">
        <is>
          <t>F.MFM.12Q.005.BU</t>
        </is>
      </c>
      <c r="O195" s="306" t="n"/>
      <c r="P195" s="306" t="n"/>
      <c r="Q195" s="312">
        <f>IFERROR(R195/H195, 0)</f>
        <v/>
      </c>
      <c r="R195" s="307" t="n">
        <v>3076.86</v>
      </c>
      <c r="S195" s="308" t="n">
        <v>18062</v>
      </c>
      <c r="T195" s="308">
        <f>IFERROR(S195*R195, 0)</f>
        <v/>
      </c>
      <c r="U195" s="313" t="n"/>
      <c r="V195" s="315" t="n"/>
      <c r="W195" s="316" t="n"/>
      <c r="X195" s="311" t="n"/>
      <c r="Y195" s="315" t="n"/>
      <c r="Z195" s="317" t="n"/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>
        <v>20</v>
      </c>
      <c r="I196" s="311" t="inlineStr"/>
      <c r="J196" s="311" t="inlineStr"/>
      <c r="K196" s="309" t="inlineStr">
        <is>
          <t>14IN MEDIUM MFM QN</t>
        </is>
      </c>
      <c r="L196" s="310" t="inlineStr">
        <is>
          <t>WA-MMF-14Q-IN</t>
        </is>
      </c>
      <c r="M196" s="311" t="inlineStr">
        <is>
          <t>MIWU00201</t>
        </is>
      </c>
      <c r="N196" s="309" t="inlineStr">
        <is>
          <t>F.MFM.14Q.000.BU</t>
        </is>
      </c>
      <c r="O196" s="306" t="n"/>
      <c r="P196" s="306" t="n"/>
      <c r="Q196" s="312">
        <f>IFERROR(R196/H196, 0)</f>
        <v/>
      </c>
      <c r="R196" s="307" t="n">
        <v>1813.4</v>
      </c>
      <c r="S196" s="308" t="n">
        <v>18062</v>
      </c>
      <c r="T196" s="308">
        <f>IFERROR(S196*R196, 0)</f>
        <v/>
      </c>
      <c r="U196" s="313" t="n"/>
      <c r="V196" s="315" t="n"/>
      <c r="W196" s="316" t="n"/>
      <c r="X196" s="311" t="n"/>
      <c r="Y196" s="315" t="n"/>
      <c r="Z196" s="317" t="n"/>
    </row>
    <row r="197" ht="16.5" customHeight="1" s="223">
      <c r="A197" s="322" t="n"/>
      <c r="B197" s="324" t="n"/>
      <c r="C197" s="304" t="n"/>
      <c r="D197" s="304" t="n"/>
      <c r="E197" s="317" t="n"/>
      <c r="F197" s="320" t="n"/>
      <c r="G197" s="317" t="n"/>
      <c r="H197" s="311" t="n">
        <v>65</v>
      </c>
      <c r="I197" s="311" t="inlineStr"/>
      <c r="J197" s="311" t="inlineStr"/>
      <c r="K197" s="309" t="inlineStr">
        <is>
          <t>6IN MEDIUM MFM TW</t>
        </is>
      </c>
      <c r="L197" s="310" t="inlineStr">
        <is>
          <t>WA-MMF-6T-IN</t>
        </is>
      </c>
      <c r="M197" s="311" t="inlineStr">
        <is>
          <t>MIWU00201</t>
        </is>
      </c>
      <c r="N197" s="309" t="inlineStr">
        <is>
          <t>F.MFM.06T.002.BU</t>
        </is>
      </c>
      <c r="O197" s="306" t="n"/>
      <c r="P197" s="306" t="n"/>
      <c r="Q197" s="312">
        <f>IFERROR(R197/H197, 0)</f>
        <v/>
      </c>
      <c r="R197" s="307" t="n">
        <v>2086.5</v>
      </c>
      <c r="S197" s="308" t="n">
        <v>18062</v>
      </c>
      <c r="T197" s="308">
        <f>IFERROR(S197*R197, 0)</f>
        <v/>
      </c>
      <c r="U197" s="313" t="n"/>
      <c r="V197" s="315" t="n"/>
      <c r="W197" s="316" t="n"/>
      <c r="X197" s="311" t="n"/>
      <c r="Y197" s="315" t="n"/>
      <c r="Z197" s="317" t="n"/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>
        <v>70</v>
      </c>
      <c r="I198" s="311" t="inlineStr"/>
      <c r="J198" s="311" t="inlineStr"/>
      <c r="K198" s="309" t="inlineStr">
        <is>
          <t>8IN MEDIUM MFM TW</t>
        </is>
      </c>
      <c r="L198" s="310" t="inlineStr">
        <is>
          <t>WA-MMF-8T-IN</t>
        </is>
      </c>
      <c r="M198" s="311" t="inlineStr">
        <is>
          <t>MIWU00201</t>
        </is>
      </c>
      <c r="N198" s="309" t="inlineStr">
        <is>
          <t>F.MFM.08T.005.BU</t>
        </is>
      </c>
      <c r="O198" s="306" t="n"/>
      <c r="P198" s="306" t="n"/>
      <c r="Q198" s="312">
        <f>IFERROR(R198/H198, 0)</f>
        <v/>
      </c>
      <c r="R198" s="307" t="n">
        <v>2721.6</v>
      </c>
      <c r="S198" s="308" t="n">
        <v>18062</v>
      </c>
      <c r="T198" s="308">
        <f>IFERROR(S198*R198, 0)</f>
        <v/>
      </c>
      <c r="U198" s="313" t="n"/>
      <c r="V198" s="315" t="n"/>
      <c r="W198" s="316" t="n"/>
      <c r="X198" s="311" t="n"/>
      <c r="Y198" s="315" t="n"/>
      <c r="Z198" s="317" t="n"/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>
        <v>20</v>
      </c>
      <c r="I199" s="311" t="inlineStr"/>
      <c r="J199" s="311" t="inlineStr"/>
      <c r="K199" s="309" t="inlineStr">
        <is>
          <t>10IN PLUSH MFM TW</t>
        </is>
      </c>
      <c r="L199" s="310" t="inlineStr">
        <is>
          <t>WA-PMF-10T-IN</t>
        </is>
      </c>
      <c r="M199" s="311" t="inlineStr">
        <is>
          <t>MIWU00201</t>
        </is>
      </c>
      <c r="N199" s="309" t="inlineStr">
        <is>
          <t>F.MFM.10T.006.BU</t>
        </is>
      </c>
      <c r="O199" s="306" t="n"/>
      <c r="P199" s="306" t="n"/>
      <c r="Q199" s="312">
        <f>IFERROR(R199/H199, 0)</f>
        <v/>
      </c>
      <c r="R199" s="307" t="n">
        <v>961.4</v>
      </c>
      <c r="S199" s="308" t="n">
        <v>18062</v>
      </c>
      <c r="T199" s="308">
        <f>IFERROR(S199*R199, 0)</f>
        <v/>
      </c>
      <c r="U199" s="313" t="n"/>
      <c r="V199" s="315" t="n"/>
      <c r="W199" s="316" t="n"/>
      <c r="X199" s="311" t="n"/>
      <c r="Y199" s="315" t="n"/>
      <c r="Z199" s="317" t="n"/>
    </row>
    <row r="200" ht="16.5" customHeight="1" s="223">
      <c r="A200" s="322" t="n"/>
      <c r="B200" s="324" t="n"/>
      <c r="C200" s="304" t="n"/>
      <c r="D200" s="304" t="n"/>
      <c r="E200" s="317" t="n"/>
      <c r="F200" s="320" t="n"/>
      <c r="G200" s="317" t="n"/>
      <c r="H200" s="311" t="n">
        <v>20</v>
      </c>
      <c r="I200" s="311" t="inlineStr"/>
      <c r="J200" s="311" t="inlineStr"/>
      <c r="K200" s="309" t="inlineStr">
        <is>
          <t>12IN PLUSH MFM EK</t>
        </is>
      </c>
      <c r="L200" s="310" t="inlineStr">
        <is>
          <t>WA-PMF-12K-IN</t>
        </is>
      </c>
      <c r="M200" s="311" t="inlineStr">
        <is>
          <t>MIWU00201</t>
        </is>
      </c>
      <c r="N200" s="309" t="inlineStr">
        <is>
          <t>F.MFM.12K.006.BU</t>
        </is>
      </c>
      <c r="O200" s="306" t="n"/>
      <c r="P200" s="306" t="n"/>
      <c r="Q200" s="312">
        <f>IFERROR(R200/H200, 0)</f>
        <v/>
      </c>
      <c r="R200" s="307" t="n">
        <v>2096.2</v>
      </c>
      <c r="S200" s="308" t="n">
        <v>18062</v>
      </c>
      <c r="T200" s="308">
        <f>IFERROR(S200*R200, 0)</f>
        <v/>
      </c>
      <c r="U200" s="313" t="n"/>
      <c r="V200" s="315" t="n"/>
      <c r="W200" s="316" t="n"/>
      <c r="X200" s="311" t="n"/>
      <c r="Y200" s="315" t="n"/>
      <c r="Z200" s="317" t="n"/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>
        <v>20</v>
      </c>
      <c r="I201" s="311" t="inlineStr"/>
      <c r="J201" s="311" t="inlineStr"/>
      <c r="K201" s="309" t="inlineStr">
        <is>
          <t>12IN PLUSH MFM QN</t>
        </is>
      </c>
      <c r="L201" s="310" t="inlineStr">
        <is>
          <t>WA-PMF-12Q-IN</t>
        </is>
      </c>
      <c r="M201" s="311" t="inlineStr">
        <is>
          <t>MIWU00201</t>
        </is>
      </c>
      <c r="N201" s="309" t="inlineStr">
        <is>
          <t>F.MFM.12Q.006.BU</t>
        </is>
      </c>
      <c r="O201" s="306" t="n"/>
      <c r="P201" s="306" t="n"/>
      <c r="Q201" s="312">
        <f>IFERROR(R201/H201, 0)</f>
        <v/>
      </c>
      <c r="R201" s="307" t="n">
        <v>1712.4</v>
      </c>
      <c r="S201" s="308" t="n">
        <v>18062</v>
      </c>
      <c r="T201" s="308">
        <f>IFERROR(S201*R201, 0)</f>
        <v/>
      </c>
      <c r="U201" s="313" t="n"/>
      <c r="V201" s="315" t="n"/>
      <c r="W201" s="316" t="n"/>
      <c r="X201" s="311" t="n"/>
      <c r="Y201" s="315" t="n"/>
      <c r="Z201" s="317" t="n"/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>
        <v>20</v>
      </c>
      <c r="I202" s="311" t="inlineStr"/>
      <c r="J202" s="311" t="inlineStr"/>
      <c r="K202" s="309" t="inlineStr">
        <is>
          <t>12IN PLUSH MFM TW</t>
        </is>
      </c>
      <c r="L202" s="310" t="inlineStr">
        <is>
          <t>WA-PMF-12T-IN</t>
        </is>
      </c>
      <c r="M202" s="311" t="inlineStr">
        <is>
          <t>MIWU00201</t>
        </is>
      </c>
      <c r="N202" s="309" t="inlineStr">
        <is>
          <t>F.MFM.12T.006.BU</t>
        </is>
      </c>
      <c r="O202" s="306" t="n"/>
      <c r="P202" s="306" t="n"/>
      <c r="Q202" s="312">
        <f>IFERROR(R202/H202, 0)</f>
        <v/>
      </c>
      <c r="R202" s="307" t="n">
        <v>1114.4</v>
      </c>
      <c r="S202" s="308" t="n">
        <v>18062</v>
      </c>
      <c r="T202" s="308">
        <f>IFERROR(S202*R202, 0)</f>
        <v/>
      </c>
      <c r="U202" s="313" t="n"/>
      <c r="V202" s="315" t="n"/>
      <c r="W202" s="316" t="n"/>
      <c r="X202" s="311" t="n"/>
      <c r="Y202" s="315" t="n"/>
      <c r="Z202" s="317" t="n"/>
    </row>
    <row r="203" ht="16.5" customHeight="1" s="223">
      <c r="A203" s="322" t="n"/>
      <c r="B203" s="324" t="n"/>
      <c r="C203" s="304" t="n"/>
      <c r="D203" s="304" t="n"/>
      <c r="E203" s="317" t="n"/>
      <c r="F203" s="320" t="n"/>
      <c r="G203" s="317" t="n"/>
      <c r="H203" s="311" t="n">
        <v>20</v>
      </c>
      <c r="I203" s="311" t="inlineStr"/>
      <c r="J203" s="311" t="inlineStr"/>
      <c r="K203" s="309" t="inlineStr">
        <is>
          <t>8IN PLUSH MFM FL</t>
        </is>
      </c>
      <c r="L203" s="310" t="inlineStr">
        <is>
          <t>WA-PMF-8F-IN</t>
        </is>
      </c>
      <c r="M203" s="311" t="inlineStr">
        <is>
          <t>MIWU00201</t>
        </is>
      </c>
      <c r="N203" s="309" t="inlineStr">
        <is>
          <t>F.MFM.08F.006.BU</t>
        </is>
      </c>
      <c r="O203" s="306" t="n"/>
      <c r="P203" s="306" t="n"/>
      <c r="Q203" s="312">
        <f>IFERROR(R203/H203, 0)</f>
        <v/>
      </c>
      <c r="R203" s="307" t="n">
        <v>956.4</v>
      </c>
      <c r="S203" s="308" t="n">
        <v>18062</v>
      </c>
      <c r="T203" s="308">
        <f>IFERROR(S203*R203, 0)</f>
        <v/>
      </c>
      <c r="U203" s="313" t="n"/>
      <c r="V203" s="315" t="n"/>
      <c r="W203" s="316" t="n"/>
      <c r="X203" s="311" t="n"/>
      <c r="Y203" s="315" t="n"/>
      <c r="Z203" s="317" t="n"/>
    </row>
    <row r="204" ht="17.1" customHeight="1" s="223">
      <c r="A204" s="325" t="n"/>
      <c r="B204" s="326" t="n"/>
      <c r="C204" s="327" t="n"/>
      <c r="D204" s="327" t="n"/>
      <c r="E204" s="328" t="n"/>
      <c r="F204" s="328" t="n"/>
      <c r="G204" s="328" t="n"/>
      <c r="H204" s="329">
        <f>SUM(H190:H203)</f>
        <v/>
      </c>
      <c r="I204" s="330">
        <f>COUNTA(I190:I203)</f>
        <v/>
      </c>
      <c r="J204" s="329" t="n"/>
      <c r="K204" s="329" t="n"/>
      <c r="L204" s="331" t="n"/>
      <c r="M204" s="329" t="n"/>
      <c r="N204" s="329" t="n"/>
      <c r="O204" s="332">
        <f>SUM(O190:O203)</f>
        <v/>
      </c>
      <c r="P204" s="332">
        <f>SUM(P190:P203)</f>
        <v/>
      </c>
      <c r="Q204" s="333" t="n"/>
      <c r="R204" s="334">
        <f>SUM(R190:R203)</f>
        <v/>
      </c>
      <c r="S204" s="335" t="n"/>
      <c r="T204" s="335">
        <f>SUM(T190:T203)</f>
        <v/>
      </c>
      <c r="U204" s="329" t="n"/>
      <c r="V204" s="336" t="n"/>
      <c r="W204" s="337" t="n"/>
      <c r="X204" s="336" t="n"/>
      <c r="Y204" s="336" t="n"/>
      <c r="Z204" s="336" t="n"/>
    </row>
    <row r="205" ht="16.5" customHeight="1" s="223">
      <c r="A205" s="322" t="n">
        <v>15</v>
      </c>
      <c r="B205" s="324" t="inlineStr">
        <is>
          <t>000030ZIK48020260804000565</t>
        </is>
      </c>
      <c r="C205" s="304" t="n">
        <v>486589</v>
      </c>
      <c r="D205" s="304" t="n">
        <v>486537</v>
      </c>
      <c r="E205" s="317" t="n">
        <v>46239</v>
      </c>
      <c r="F205" s="320" t="inlineStr">
        <is>
          <t>ID2608-8032</t>
        </is>
      </c>
      <c r="G205" s="317" t="n">
        <v>46238</v>
      </c>
      <c r="H205" s="311" t="n">
        <v>17</v>
      </c>
      <c r="I205" s="311" t="inlineStr">
        <is>
          <t>BMOU6675739</t>
        </is>
      </c>
      <c r="J205" s="311" t="inlineStr">
        <is>
          <t>40FT</t>
        </is>
      </c>
      <c r="K205" s="309" t="inlineStr">
        <is>
          <t>12IN FIRM MF MATTRESS QN</t>
        </is>
      </c>
      <c r="L205" s="310" t="inlineStr">
        <is>
          <t>WA-FMF-12Q</t>
        </is>
      </c>
      <c r="M205" s="311" t="inlineStr">
        <is>
          <t>MIWU00205</t>
        </is>
      </c>
      <c r="N205" s="309" t="inlineStr">
        <is>
          <t>F.MFM.12Q.000.BU</t>
        </is>
      </c>
      <c r="O205" s="306" t="n">
        <v>12534.77</v>
      </c>
      <c r="P205" s="306" t="n">
        <v>11336.85</v>
      </c>
      <c r="Q205" s="312">
        <f>IFERROR(R205/H205, 0)</f>
        <v/>
      </c>
      <c r="R205" s="307" t="n">
        <v>1397.4</v>
      </c>
      <c r="S205" s="308" t="n">
        <v>18062</v>
      </c>
      <c r="T205" s="308">
        <f>IFERROR(S205*R205, 0)</f>
        <v/>
      </c>
      <c r="U205" s="313" t="inlineStr">
        <is>
          <t>040300/KPPBC</t>
        </is>
      </c>
      <c r="V205" s="315" t="inlineStr">
        <is>
          <t>TG. PRIOK</t>
        </is>
      </c>
      <c r="W205" s="316" t="inlineStr">
        <is>
          <t>LOS ANGELES, US</t>
        </is>
      </c>
      <c r="X205" s="311" t="inlineStr">
        <is>
          <t>MELLOW INC</t>
        </is>
      </c>
      <c r="Y205" s="315" t="inlineStr">
        <is>
          <t>HLCUJK1260741209</t>
        </is>
      </c>
      <c r="Z205" s="317" t="n">
        <v>46239</v>
      </c>
    </row>
    <row r="206" ht="16.5" customHeight="1" s="223">
      <c r="A206" s="322" t="n"/>
      <c r="B206" s="324" t="n"/>
      <c r="C206" s="304" t="n"/>
      <c r="D206" s="304" t="n"/>
      <c r="E206" s="317" t="n"/>
      <c r="F206" s="320" t="n"/>
      <c r="G206" s="317" t="n"/>
      <c r="H206" s="311" t="n">
        <v>29</v>
      </c>
      <c r="I206" s="311" t="inlineStr"/>
      <c r="J206" s="311" t="inlineStr"/>
      <c r="K206" s="309" t="inlineStr">
        <is>
          <t>10IN MEDIUM MFM EK</t>
        </is>
      </c>
      <c r="L206" s="310" t="inlineStr">
        <is>
          <t>WA-MMF-10K-IN</t>
        </is>
      </c>
      <c r="M206" s="311" t="inlineStr">
        <is>
          <t>MIWU00205</t>
        </is>
      </c>
      <c r="N206" s="309" t="inlineStr">
        <is>
          <t>F.MFM.10K.005.BU</t>
        </is>
      </c>
      <c r="O206" s="306" t="n"/>
      <c r="P206" s="306" t="n"/>
      <c r="Q206" s="312">
        <f>IFERROR(R206/H206, 0)</f>
        <v/>
      </c>
      <c r="R206" s="307" t="n">
        <v>2536.63</v>
      </c>
      <c r="S206" s="308" t="n">
        <v>18062</v>
      </c>
      <c r="T206" s="308">
        <f>IFERROR(S206*R206, 0)</f>
        <v/>
      </c>
      <c r="U206" s="313" t="n"/>
      <c r="V206" s="315" t="n"/>
      <c r="W206" s="316" t="inlineStr">
        <is>
          <t>ETD : 11-08-2026</t>
        </is>
      </c>
      <c r="X206" s="311" t="n"/>
      <c r="Y206" s="315" t="n"/>
      <c r="Z206" s="317" t="n"/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>
        <v>105</v>
      </c>
      <c r="I207" s="311" t="inlineStr"/>
      <c r="J207" s="311" t="inlineStr"/>
      <c r="K207" s="309" t="inlineStr">
        <is>
          <t>10IN MEDIUM MFM QN</t>
        </is>
      </c>
      <c r="L207" s="310" t="inlineStr">
        <is>
          <t>WA-MMF-10Q-IN</t>
        </is>
      </c>
      <c r="M207" s="311" t="inlineStr">
        <is>
          <t>MIWU00205</t>
        </is>
      </c>
      <c r="N207" s="309" t="inlineStr">
        <is>
          <t>F.MFM.10Q.005.BU</t>
        </is>
      </c>
      <c r="O207" s="306" t="n"/>
      <c r="P207" s="306" t="n"/>
      <c r="Q207" s="312">
        <f>IFERROR(R207/H207, 0)</f>
        <v/>
      </c>
      <c r="R207" s="307" t="n">
        <v>7513.8</v>
      </c>
      <c r="S207" s="308" t="n">
        <v>18062</v>
      </c>
      <c r="T207" s="308">
        <f>IFERROR(S207*R207, 0)</f>
        <v/>
      </c>
      <c r="U207" s="313" t="n"/>
      <c r="V207" s="315" t="n"/>
      <c r="W207" s="316" t="n"/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>
        <v>90</v>
      </c>
      <c r="I208" s="311" t="inlineStr"/>
      <c r="J208" s="311" t="inlineStr"/>
      <c r="K208" s="309" t="inlineStr">
        <is>
          <t>10IN MEDIUM MFM TW</t>
        </is>
      </c>
      <c r="L208" s="310" t="inlineStr">
        <is>
          <t>WA-MMF-10T-IN</t>
        </is>
      </c>
      <c r="M208" s="311" t="inlineStr">
        <is>
          <t>MIWU00205</t>
        </is>
      </c>
      <c r="N208" s="309" t="inlineStr">
        <is>
          <t>F.MFM.10T.005.BU</t>
        </is>
      </c>
      <c r="O208" s="306" t="n"/>
      <c r="P208" s="306" t="n"/>
      <c r="Q208" s="312">
        <f>IFERROR(R208/H208, 0)</f>
        <v/>
      </c>
      <c r="R208" s="307" t="n">
        <v>4141.8</v>
      </c>
      <c r="S208" s="308" t="n">
        <v>18062</v>
      </c>
      <c r="T208" s="308">
        <f>IFERROR(S208*R208, 0)</f>
        <v/>
      </c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>
        <v>15</v>
      </c>
      <c r="I209" s="311" t="inlineStr"/>
      <c r="J209" s="311" t="inlineStr"/>
      <c r="K209" s="309" t="inlineStr">
        <is>
          <t>12IN MEDIUM MFM FL</t>
        </is>
      </c>
      <c r="L209" s="310" t="inlineStr">
        <is>
          <t>WA-MMF-12F-IN</t>
        </is>
      </c>
      <c r="M209" s="311" t="inlineStr">
        <is>
          <t>MIWU00205</t>
        </is>
      </c>
      <c r="N209" s="309" t="inlineStr">
        <is>
          <t>F.MFM.12F.005.BU</t>
        </is>
      </c>
      <c r="O209" s="306" t="n"/>
      <c r="P209" s="306" t="n"/>
      <c r="Q209" s="312">
        <f>IFERROR(R209/H209, 0)</f>
        <v/>
      </c>
      <c r="R209" s="307" t="n">
        <v>1044.75</v>
      </c>
      <c r="S209" s="308" t="n">
        <v>18062</v>
      </c>
      <c r="T209" s="308">
        <f>IFERROR(S209*R209, 0)</f>
        <v/>
      </c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>
        <v>23</v>
      </c>
      <c r="I210" s="311" t="inlineStr"/>
      <c r="J210" s="311" t="inlineStr"/>
      <c r="K210" s="309" t="inlineStr">
        <is>
          <t>12IN MEDIUM MFM QN</t>
        </is>
      </c>
      <c r="L210" s="310" t="inlineStr">
        <is>
          <t>WA-MMF-12Q-IN</t>
        </is>
      </c>
      <c r="M210" s="311" t="inlineStr">
        <is>
          <t>MIWU00205</t>
        </is>
      </c>
      <c r="N210" s="309" t="inlineStr">
        <is>
          <t>F.MFM.12Q.005.BU</t>
        </is>
      </c>
      <c r="O210" s="306" t="n"/>
      <c r="P210" s="306" t="n"/>
      <c r="Q210" s="312">
        <f>IFERROR(R210/H210, 0)</f>
        <v/>
      </c>
      <c r="R210" s="307" t="n">
        <v>1862.31</v>
      </c>
      <c r="S210" s="308" t="n">
        <v>18062</v>
      </c>
      <c r="T210" s="308">
        <f>IFERROR(S210*R210, 0)</f>
        <v/>
      </c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>
        <v>57</v>
      </c>
      <c r="I211" s="311" t="inlineStr"/>
      <c r="J211" s="311" t="inlineStr"/>
      <c r="K211" s="309" t="inlineStr">
        <is>
          <t>12IN MEDIUM MFM TW</t>
        </is>
      </c>
      <c r="L211" s="310" t="inlineStr">
        <is>
          <t>WA-MMF-12T-IN</t>
        </is>
      </c>
      <c r="M211" s="311" t="inlineStr">
        <is>
          <t>MIWU00205</t>
        </is>
      </c>
      <c r="N211" s="309" t="inlineStr">
        <is>
          <t>F.MFM.12T.005.BU</t>
        </is>
      </c>
      <c r="O211" s="306" t="n"/>
      <c r="P211" s="306" t="n"/>
      <c r="Q211" s="312">
        <f>IFERROR(R211/H211, 0)</f>
        <v/>
      </c>
      <c r="R211" s="307" t="n">
        <v>2969.7</v>
      </c>
      <c r="S211" s="308" t="n">
        <v>18062</v>
      </c>
      <c r="T211" s="308">
        <f>IFERROR(S211*R211, 0)</f>
        <v/>
      </c>
      <c r="U211" s="313" t="n"/>
      <c r="V211" s="315" t="n"/>
      <c r="W211" s="316" t="n"/>
      <c r="X211" s="311" t="n"/>
      <c r="Y211" s="315" t="n"/>
      <c r="Z211" s="317" t="n"/>
    </row>
    <row r="212" ht="16.5" customHeight="1" s="223">
      <c r="A212" s="322" t="n"/>
      <c r="B212" s="324" t="n"/>
      <c r="C212" s="304" t="n"/>
      <c r="D212" s="304" t="n"/>
      <c r="E212" s="317" t="n"/>
      <c r="F212" s="320" t="n"/>
      <c r="G212" s="317" t="n"/>
      <c r="H212" s="311" t="n">
        <v>42</v>
      </c>
      <c r="I212" s="311" t="inlineStr"/>
      <c r="J212" s="311" t="inlineStr"/>
      <c r="K212" s="309" t="inlineStr">
        <is>
          <t>6IN MEDIUM MFM FL</t>
        </is>
      </c>
      <c r="L212" s="310" t="inlineStr">
        <is>
          <t>WA-MMF-6F-IN</t>
        </is>
      </c>
      <c r="M212" s="311" t="inlineStr">
        <is>
          <t>MIWU00205</t>
        </is>
      </c>
      <c r="N212" s="309" t="inlineStr">
        <is>
          <t>F.MFM.06F.002.BU</t>
        </is>
      </c>
      <c r="O212" s="306" t="n"/>
      <c r="P212" s="306" t="n"/>
      <c r="Q212" s="312">
        <f>IFERROR(R212/H212, 0)</f>
        <v/>
      </c>
      <c r="R212" s="307" t="n">
        <v>1790.04</v>
      </c>
      <c r="S212" s="308" t="n">
        <v>18062</v>
      </c>
      <c r="T212" s="308">
        <f>IFERROR(S212*R212, 0)</f>
        <v/>
      </c>
      <c r="U212" s="313" t="n"/>
      <c r="V212" s="315" t="n"/>
      <c r="W212" s="316" t="n"/>
      <c r="X212" s="311" t="n"/>
      <c r="Y212" s="315" t="n"/>
      <c r="Z212" s="317" t="n"/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>
        <v>59</v>
      </c>
      <c r="I213" s="311" t="inlineStr"/>
      <c r="J213" s="311" t="inlineStr"/>
      <c r="K213" s="309" t="inlineStr">
        <is>
          <t>6IN MEDIUM MFM TW</t>
        </is>
      </c>
      <c r="L213" s="310" t="inlineStr">
        <is>
          <t>WA-MMF-6T-IN</t>
        </is>
      </c>
      <c r="M213" s="311" t="inlineStr">
        <is>
          <t>MIWU00205</t>
        </is>
      </c>
      <c r="N213" s="309" t="inlineStr">
        <is>
          <t>F.MFM.06T.002.BU</t>
        </is>
      </c>
      <c r="O213" s="306" t="n"/>
      <c r="P213" s="306" t="n"/>
      <c r="Q213" s="312">
        <f>IFERROR(R213/H213, 0)</f>
        <v/>
      </c>
      <c r="R213" s="307" t="n">
        <v>1893.9</v>
      </c>
      <c r="S213" s="308" t="n">
        <v>18062</v>
      </c>
      <c r="T213" s="308">
        <f>IFERROR(S213*R213, 0)</f>
        <v/>
      </c>
      <c r="U213" s="313" t="n"/>
      <c r="V213" s="315" t="n"/>
      <c r="W213" s="316" t="n"/>
      <c r="X213" s="311" t="n"/>
      <c r="Y213" s="315" t="n"/>
      <c r="Z213" s="317" t="n"/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52</v>
      </c>
      <c r="I214" s="311" t="inlineStr"/>
      <c r="J214" s="311" t="inlineStr"/>
      <c r="K214" s="309" t="inlineStr">
        <is>
          <t>8IN MEDIUM MFM FL</t>
        </is>
      </c>
      <c r="L214" s="310" t="inlineStr">
        <is>
          <t>WA-MMF-8F-IN</t>
        </is>
      </c>
      <c r="M214" s="311" t="inlineStr">
        <is>
          <t>MIWU00205</t>
        </is>
      </c>
      <c r="N214" s="309" t="inlineStr">
        <is>
          <t>F.MFM.08F.005.BU</t>
        </is>
      </c>
      <c r="O214" s="306" t="n"/>
      <c r="P214" s="306" t="n"/>
      <c r="Q214" s="312">
        <f>IFERROR(R214/H214, 0)</f>
        <v/>
      </c>
      <c r="R214" s="307" t="n">
        <v>2709.2</v>
      </c>
      <c r="S214" s="308" t="n">
        <v>18062</v>
      </c>
      <c r="T214" s="308">
        <f>IFERROR(S214*R214, 0)</f>
        <v/>
      </c>
      <c r="U214" s="313" t="n"/>
      <c r="V214" s="315" t="n"/>
      <c r="W214" s="316" t="n"/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32</v>
      </c>
      <c r="I215" s="311" t="inlineStr"/>
      <c r="J215" s="311" t="inlineStr"/>
      <c r="K215" s="309" t="inlineStr">
        <is>
          <t>8IN MEDIUM MFM QN</t>
        </is>
      </c>
      <c r="L215" s="310" t="inlineStr">
        <is>
          <t>WA-MMF-8Q-IN</t>
        </is>
      </c>
      <c r="M215" s="311" t="inlineStr">
        <is>
          <t>MIWU00205</t>
        </is>
      </c>
      <c r="N215" s="309" t="inlineStr">
        <is>
          <t>F.MFM.08Q.005.BU</t>
        </is>
      </c>
      <c r="O215" s="306" t="n"/>
      <c r="P215" s="306" t="n"/>
      <c r="Q215" s="312">
        <f>IFERROR(R215/H215, 0)</f>
        <v/>
      </c>
      <c r="R215" s="307" t="n">
        <v>1974.08</v>
      </c>
      <c r="S215" s="308" t="n">
        <v>18062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>
        <v>45</v>
      </c>
      <c r="I216" s="311" t="inlineStr"/>
      <c r="J216" s="311" t="inlineStr"/>
      <c r="K216" s="309" t="inlineStr">
        <is>
          <t>8IN MEDIUM MFM TW</t>
        </is>
      </c>
      <c r="L216" s="310" t="inlineStr">
        <is>
          <t>WA-MMF-8T-IN</t>
        </is>
      </c>
      <c r="M216" s="311" t="inlineStr">
        <is>
          <t>MIWU00205</t>
        </is>
      </c>
      <c r="N216" s="309" t="inlineStr">
        <is>
          <t>F.MFM.08T.005.BU</t>
        </is>
      </c>
      <c r="O216" s="306" t="n"/>
      <c r="P216" s="306" t="n"/>
      <c r="Q216" s="312">
        <f>IFERROR(R216/H216, 0)</f>
        <v/>
      </c>
      <c r="R216" s="307" t="n">
        <v>1749.6</v>
      </c>
      <c r="S216" s="308" t="n">
        <v>18062</v>
      </c>
      <c r="T216" s="308">
        <f>IFERROR(S216*R216, 0)</f>
        <v/>
      </c>
      <c r="U216" s="313" t="n"/>
      <c r="V216" s="315" t="n"/>
      <c r="W216" s="316" t="n"/>
      <c r="X216" s="311" t="n"/>
      <c r="Y216" s="315" t="n"/>
      <c r="Z216" s="317" t="n"/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>
        <v>34</v>
      </c>
      <c r="I217" s="311" t="inlineStr"/>
      <c r="J217" s="311" t="inlineStr"/>
      <c r="K217" s="309" t="inlineStr">
        <is>
          <t>12IN PLUSH MFM QN</t>
        </is>
      </c>
      <c r="L217" s="310" t="inlineStr">
        <is>
          <t>WA-PMF-12Q-IN</t>
        </is>
      </c>
      <c r="M217" s="311" t="inlineStr">
        <is>
          <t>MIWU00205</t>
        </is>
      </c>
      <c r="N217" s="309" t="inlineStr">
        <is>
          <t>F.MFM.12Q.006.BU</t>
        </is>
      </c>
      <c r="O217" s="306" t="n"/>
      <c r="P217" s="306" t="n"/>
      <c r="Q217" s="312">
        <f>IFERROR(R217/H217, 0)</f>
        <v/>
      </c>
      <c r="R217" s="307" t="n">
        <v>2911.08</v>
      </c>
      <c r="S217" s="308" t="n">
        <v>18062</v>
      </c>
      <c r="T217" s="308">
        <f>IFERROR(S217*R217, 0)</f>
        <v/>
      </c>
      <c r="U217" s="313" t="n"/>
      <c r="V217" s="315" t="n"/>
      <c r="W217" s="316" t="n"/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SUM(H205:H217)</f>
        <v/>
      </c>
      <c r="I218" s="330">
        <f>COUNTA(I205:I217)</f>
        <v/>
      </c>
      <c r="J218" s="329" t="n"/>
      <c r="K218" s="329" t="n"/>
      <c r="L218" s="331" t="n"/>
      <c r="M218" s="329" t="n"/>
      <c r="N218" s="329" t="n"/>
      <c r="O218" s="332">
        <f>SUM(O205:O217)</f>
        <v/>
      </c>
      <c r="P218" s="332">
        <f>SUM(P205:P217)</f>
        <v/>
      </c>
      <c r="Q218" s="333" t="n"/>
      <c r="R218" s="334">
        <f>SUM(R205:R217)</f>
        <v/>
      </c>
      <c r="S218" s="335" t="n"/>
      <c r="T218" s="335">
        <f>SUM(T205:T217)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16</v>
      </c>
      <c r="B219" s="324" t="inlineStr">
        <is>
          <t>000030ZIK48020260805000566</t>
        </is>
      </c>
      <c r="C219" s="304" t="n">
        <v>487492</v>
      </c>
      <c r="D219" s="304" t="n">
        <v>487439</v>
      </c>
      <c r="E219" s="317" t="n">
        <v>46239</v>
      </c>
      <c r="F219" s="320" t="inlineStr">
        <is>
          <t>ID2608-8033</t>
        </is>
      </c>
      <c r="G219" s="317" t="n">
        <v>46239</v>
      </c>
      <c r="H219" s="311" t="n">
        <v>900</v>
      </c>
      <c r="I219" s="311" t="inlineStr">
        <is>
          <t>TCKU7836966</t>
        </is>
      </c>
      <c r="J219" s="311" t="inlineStr">
        <is>
          <t>40FT</t>
        </is>
      </c>
      <c r="K219" s="309" t="inlineStr">
        <is>
          <t>8IN GREEN TEA MF MATTRESS QN</t>
        </is>
      </c>
      <c r="L219" s="310" t="inlineStr">
        <is>
          <t>SCF-STR-800Q</t>
        </is>
      </c>
      <c r="M219" s="311" t="inlineStr">
        <is>
          <t>0993631008</t>
        </is>
      </c>
      <c r="N219" s="309" t="inlineStr">
        <is>
          <t>F.MFM.08Q.000.WS</t>
        </is>
      </c>
      <c r="O219" s="306" t="n">
        <v>21510</v>
      </c>
      <c r="P219" s="306" t="n">
        <v>19188</v>
      </c>
      <c r="Q219" s="312">
        <f>IFERROR(R219/H219, 0)</f>
        <v/>
      </c>
      <c r="R219" s="307" t="n">
        <v>84573</v>
      </c>
      <c r="S219" s="308" t="n">
        <v>18062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NORFOLK, US</t>
        </is>
      </c>
      <c r="X219" s="311" t="inlineStr">
        <is>
          <t>WALMART, INC.</t>
        </is>
      </c>
      <c r="Y219" s="315" t="inlineStr">
        <is>
          <t>CMDUDJA1511956</t>
        </is>
      </c>
      <c r="Z219" s="317" t="n">
        <v>46239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/>
      <c r="I220" s="311" t="inlineStr">
        <is>
          <t>CMAU3559086</t>
        </is>
      </c>
      <c r="J220" s="311" t="inlineStr">
        <is>
          <t>40FT</t>
        </is>
      </c>
      <c r="K220" s="309" t="n"/>
      <c r="L220" s="310" t="n"/>
      <c r="M220" s="311" t="n"/>
      <c r="N220" s="309" t="n"/>
      <c r="O220" s="306" t="n"/>
      <c r="P220" s="306" t="n"/>
      <c r="Q220" s="312" t="n"/>
      <c r="R220" s="307" t="n"/>
      <c r="S220" s="308" t="n"/>
      <c r="T220" s="308" t="n"/>
      <c r="U220" s="313" t="n"/>
      <c r="V220" s="315" t="n"/>
      <c r="W220" s="316" t="inlineStr">
        <is>
          <t>ETD : 10-08-2026</t>
        </is>
      </c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SUM(H219:H220)</f>
        <v/>
      </c>
      <c r="I221" s="330">
        <f>COUNTA(I219:I220)</f>
        <v/>
      </c>
      <c r="J221" s="329" t="n"/>
      <c r="K221" s="329" t="n"/>
      <c r="L221" s="331" t="n"/>
      <c r="M221" s="329" t="n"/>
      <c r="N221" s="329" t="n"/>
      <c r="O221" s="332">
        <f>SUM(O219:O220)</f>
        <v/>
      </c>
      <c r="P221" s="332">
        <f>SUM(P219:P220)</f>
        <v/>
      </c>
      <c r="Q221" s="333" t="n"/>
      <c r="R221" s="334">
        <f>SUM(R219:R220)</f>
        <v/>
      </c>
      <c r="S221" s="335" t="n"/>
      <c r="T221" s="335">
        <f>SUM(T219:T220)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17</v>
      </c>
      <c r="B222" s="324" t="inlineStr">
        <is>
          <t>000030ZIK48020260805000567</t>
        </is>
      </c>
      <c r="C222" s="304" t="n">
        <v>487510</v>
      </c>
      <c r="D222" s="304" t="n">
        <v>487457</v>
      </c>
      <c r="E222" s="317" t="n">
        <v>46239</v>
      </c>
      <c r="F222" s="320" t="inlineStr">
        <is>
          <t>ID2608-8034</t>
        </is>
      </c>
      <c r="G222" s="317" t="n">
        <v>46239</v>
      </c>
      <c r="H222" s="311" t="n">
        <v>520</v>
      </c>
      <c r="I222" s="311" t="inlineStr">
        <is>
          <t>CMAU9377725</t>
        </is>
      </c>
      <c r="J222" s="311" t="inlineStr">
        <is>
          <t>40FT</t>
        </is>
      </c>
      <c r="K222" s="309" t="inlineStr">
        <is>
          <t>8IN GREEN TEA MF MATTRESS FL</t>
        </is>
      </c>
      <c r="L222" s="310" t="inlineStr">
        <is>
          <t>SCF-STR-800F</t>
        </is>
      </c>
      <c r="M222" s="311" t="inlineStr">
        <is>
          <t>0993630591</t>
        </is>
      </c>
      <c r="N222" s="309" t="inlineStr">
        <is>
          <t>F.MFM.08F.000.WS</t>
        </is>
      </c>
      <c r="O222" s="306" t="n">
        <v>10618.4</v>
      </c>
      <c r="P222" s="306" t="n">
        <v>9370.4</v>
      </c>
      <c r="Q222" s="312">
        <f>IFERROR(R222/H222, 0)</f>
        <v/>
      </c>
      <c r="R222" s="307" t="n">
        <v>41480.4</v>
      </c>
      <c r="S222" s="308" t="n">
        <v>18062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NORFOLK, US</t>
        </is>
      </c>
      <c r="X222" s="311" t="inlineStr">
        <is>
          <t>WALMART, INC.</t>
        </is>
      </c>
      <c r="Y222" s="315" t="inlineStr">
        <is>
          <t>CMDUDJA1512017</t>
        </is>
      </c>
      <c r="Z222" s="317" t="n">
        <v>46239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/>
      <c r="I223" s="311" t="n"/>
      <c r="J223" s="311" t="n"/>
      <c r="K223" s="309" t="n"/>
      <c r="L223" s="310" t="n"/>
      <c r="M223" s="311" t="n"/>
      <c r="N223" s="309" t="n"/>
      <c r="O223" s="306" t="n"/>
      <c r="P223" s="306" t="n"/>
      <c r="Q223" s="312" t="n"/>
      <c r="R223" s="307" t="n"/>
      <c r="S223" s="308" t="n"/>
      <c r="T223" s="308" t="n"/>
      <c r="U223" s="313" t="n"/>
      <c r="V223" s="315" t="n"/>
      <c r="W223" s="316" t="inlineStr">
        <is>
          <t>ETD : 10-08-2026</t>
        </is>
      </c>
      <c r="X223" s="311" t="n"/>
      <c r="Y223" s="315" t="n"/>
      <c r="Z223" s="317" t="n"/>
    </row>
    <row r="224" ht="17.1" customHeight="1" s="223">
      <c r="A224" s="325" t="n"/>
      <c r="B224" s="326" t="n"/>
      <c r="C224" s="327" t="n"/>
      <c r="D224" s="327" t="n"/>
      <c r="E224" s="328" t="n"/>
      <c r="F224" s="328" t="n"/>
      <c r="G224" s="328" t="n"/>
      <c r="H224" s="329">
        <f>SUM(H222:H223)</f>
        <v/>
      </c>
      <c r="I224" s="330">
        <f>COUNTA(I222:I223)</f>
        <v/>
      </c>
      <c r="J224" s="329" t="n"/>
      <c r="K224" s="329" t="n"/>
      <c r="L224" s="331" t="n"/>
      <c r="M224" s="329" t="n"/>
      <c r="N224" s="329" t="n"/>
      <c r="O224" s="332">
        <f>SUM(O222:O223)</f>
        <v/>
      </c>
      <c r="P224" s="332">
        <f>SUM(P222:P223)</f>
        <v/>
      </c>
      <c r="Q224" s="333" t="n"/>
      <c r="R224" s="334">
        <f>SUM(R222:R223)</f>
        <v/>
      </c>
      <c r="S224" s="335" t="n"/>
      <c r="T224" s="335">
        <f>SUM(T222:T223)</f>
        <v/>
      </c>
      <c r="U224" s="329" t="n"/>
      <c r="V224" s="336" t="n"/>
      <c r="W224" s="337" t="n"/>
      <c r="X224" s="336" t="n"/>
      <c r="Y224" s="336" t="n"/>
      <c r="Z224" s="336" t="n"/>
    </row>
    <row r="225" ht="16.5" customHeight="1" s="223">
      <c r="A225" s="322" t="n">
        <v>18</v>
      </c>
      <c r="B225" s="324" t="inlineStr">
        <is>
          <t>000030ZIK48020260805000568</t>
        </is>
      </c>
      <c r="C225" s="304" t="n">
        <v>394318</v>
      </c>
      <c r="D225" s="304" t="n">
        <v>394072</v>
      </c>
      <c r="E225" s="317" t="n">
        <v>46239</v>
      </c>
      <c r="F225" s="320" t="inlineStr">
        <is>
          <t>SPL/027/ZDI/VIII/2026</t>
        </is>
      </c>
      <c r="G225" s="317" t="n">
        <v>46239</v>
      </c>
      <c r="H225" s="311" t="n">
        <v>1</v>
      </c>
      <c r="I225" s="311" t="inlineStr"/>
      <c r="J225" s="311" t="inlineStr"/>
      <c r="K225" s="309" t="inlineStr">
        <is>
          <t>OUTCOVER SAMPLE (MFGN-10Q NEW DESIGN)</t>
        </is>
      </c>
      <c r="L225" s="310" t="inlineStr">
        <is>
          <t>S.SMPL.Z0001</t>
        </is>
      </c>
      <c r="M225" s="311" t="inlineStr"/>
      <c r="N225" s="309" t="inlineStr">
        <is>
          <t>S.SMPL.Z0001</t>
        </is>
      </c>
      <c r="O225" s="306" t="n">
        <v>2.92</v>
      </c>
      <c r="P225" s="306" t="n">
        <v>2.14</v>
      </c>
      <c r="Q225" s="312">
        <f>IFERROR(R225/H225, 0)</f>
        <v/>
      </c>
      <c r="R225" s="307" t="n">
        <v>9.880000000000001</v>
      </c>
      <c r="S225" s="308" t="n">
        <v>18062</v>
      </c>
      <c r="T225" s="308">
        <f>IFERROR(S225*R225, 0)</f>
        <v/>
      </c>
      <c r="U225" s="313" t="inlineStr">
        <is>
          <t>050100/KPPBC</t>
        </is>
      </c>
      <c r="V225" s="315" t="inlineStr">
        <is>
          <t>S. HATTA</t>
        </is>
      </c>
      <c r="W225" s="316" t="inlineStr">
        <is>
          <t>XIAMEN, US</t>
        </is>
      </c>
      <c r="X225" s="311" t="inlineStr">
        <is>
          <t>ZINUS (XIAMEN) INC.</t>
        </is>
      </c>
      <c r="Y225" s="315" t="inlineStr">
        <is>
          <t>875344753250</t>
        </is>
      </c>
      <c r="Z225" s="317" t="n">
        <v>46239</v>
      </c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/>
      <c r="I226" s="311" t="n"/>
      <c r="J226" s="311" t="n"/>
      <c r="K226" s="309" t="n"/>
      <c r="L226" s="310" t="n"/>
      <c r="M226" s="311" t="n"/>
      <c r="N226" s="309" t="n"/>
      <c r="O226" s="306" t="n"/>
      <c r="P226" s="306" t="n"/>
      <c r="Q226" s="312" t="n"/>
      <c r="R226" s="307" t="n"/>
      <c r="S226" s="308" t="n"/>
      <c r="T226" s="308" t="n"/>
      <c r="U226" s="313" t="n"/>
      <c r="V226" s="315" t="n"/>
      <c r="W226" s="316" t="inlineStr">
        <is>
          <t>ETD : 12-08-2026</t>
        </is>
      </c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SUM(H225:H226)</f>
        <v/>
      </c>
      <c r="I227" s="330">
        <f>COUNTA(I225:I226)</f>
        <v/>
      </c>
      <c r="J227" s="329" t="n"/>
      <c r="K227" s="329" t="n"/>
      <c r="L227" s="331" t="n"/>
      <c r="M227" s="329" t="n"/>
      <c r="N227" s="329" t="n"/>
      <c r="O227" s="332">
        <f>SUM(O225:O226)</f>
        <v/>
      </c>
      <c r="P227" s="332">
        <f>SUM(P225:P226)</f>
        <v/>
      </c>
      <c r="Q227" s="333" t="n"/>
      <c r="R227" s="334">
        <f>SUM(R225:R226)</f>
        <v/>
      </c>
      <c r="S227" s="335" t="n"/>
      <c r="T227" s="335">
        <f>SUM(T225:T226)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 t="n">
        <v>19</v>
      </c>
      <c r="B228" s="324" t="inlineStr">
        <is>
          <t>000030ZIK48020260805000569</t>
        </is>
      </c>
      <c r="C228" s="304" t="n">
        <v>490284</v>
      </c>
      <c r="D228" s="304" t="n">
        <v>490223</v>
      </c>
      <c r="E228" s="317" t="n">
        <v>46240</v>
      </c>
      <c r="F228" s="320" t="inlineStr">
        <is>
          <t>ID2608-8037</t>
        </is>
      </c>
      <c r="G228" s="317" t="n">
        <v>46239</v>
      </c>
      <c r="H228" s="311" t="n">
        <v>900</v>
      </c>
      <c r="I228" s="311" t="inlineStr">
        <is>
          <t>ONEU0943340</t>
        </is>
      </c>
      <c r="J228" s="311" t="inlineStr">
        <is>
          <t>40FT</t>
        </is>
      </c>
      <c r="K228" s="309" t="inlineStr">
        <is>
          <t>8IN GREEN TEA MF MATTRESS QN</t>
        </is>
      </c>
      <c r="L228" s="310" t="inlineStr">
        <is>
          <t>SCF-STR-800Q</t>
        </is>
      </c>
      <c r="M228" s="311" t="inlineStr">
        <is>
          <t>0993630480</t>
        </is>
      </c>
      <c r="N228" s="309" t="inlineStr">
        <is>
          <t>F.MFM.08Q.000.WS</t>
        </is>
      </c>
      <c r="O228" s="306" t="n">
        <v>21510</v>
      </c>
      <c r="P228" s="306" t="n">
        <v>19188</v>
      </c>
      <c r="Q228" s="312">
        <f>IFERROR(R228/H228, 0)</f>
        <v/>
      </c>
      <c r="R228" s="307" t="n">
        <v>84573</v>
      </c>
      <c r="S228" s="308" t="n">
        <v>18062</v>
      </c>
      <c r="T228" s="308">
        <f>IFERROR(S228*R228, 0)</f>
        <v/>
      </c>
      <c r="U228" s="313" t="inlineStr">
        <is>
          <t>040300/KPPBC</t>
        </is>
      </c>
      <c r="V228" s="315" t="inlineStr">
        <is>
          <t>TG. PRIOK</t>
        </is>
      </c>
      <c r="W228" s="316" t="inlineStr">
        <is>
          <t>MOBILE, US</t>
        </is>
      </c>
      <c r="X228" s="311" t="inlineStr">
        <is>
          <t>WALMART, INC.</t>
        </is>
      </c>
      <c r="Y228" s="315" t="inlineStr">
        <is>
          <t>ONEYJKTG63665700</t>
        </is>
      </c>
      <c r="Z228" s="317" t="n">
        <v>46240</v>
      </c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/>
      <c r="I229" s="311" t="inlineStr">
        <is>
          <t>ONEU5894613</t>
        </is>
      </c>
      <c r="J229" s="311" t="inlineStr">
        <is>
          <t>40FT</t>
        </is>
      </c>
      <c r="K229" s="309" t="n"/>
      <c r="L229" s="310" t="n"/>
      <c r="M229" s="311" t="n"/>
      <c r="N229" s="309" t="n"/>
      <c r="O229" s="306" t="n"/>
      <c r="P229" s="306" t="n"/>
      <c r="Q229" s="312" t="n"/>
      <c r="R229" s="307" t="n"/>
      <c r="S229" s="308" t="n"/>
      <c r="T229" s="308" t="n"/>
      <c r="U229" s="313" t="n"/>
      <c r="V229" s="315" t="n"/>
      <c r="W229" s="316" t="inlineStr">
        <is>
          <t>ETD : 12-08-2026</t>
        </is>
      </c>
      <c r="X229" s="311" t="n"/>
      <c r="Y229" s="315" t="n"/>
      <c r="Z229" s="317" t="n"/>
    </row>
    <row r="230" ht="17.1" customHeight="1" s="223">
      <c r="A230" s="325" t="n"/>
      <c r="B230" s="326" t="n"/>
      <c r="C230" s="327" t="n"/>
      <c r="D230" s="327" t="n"/>
      <c r="E230" s="328" t="n"/>
      <c r="F230" s="328" t="n"/>
      <c r="G230" s="328" t="n"/>
      <c r="H230" s="329">
        <f>SUM(H228:H229)</f>
        <v/>
      </c>
      <c r="I230" s="330">
        <f>COUNTA(I228:I229)</f>
        <v/>
      </c>
      <c r="J230" s="329" t="n"/>
      <c r="K230" s="329" t="n"/>
      <c r="L230" s="331" t="n"/>
      <c r="M230" s="329" t="n"/>
      <c r="N230" s="329" t="n"/>
      <c r="O230" s="332">
        <f>SUM(O228:O229)</f>
        <v/>
      </c>
      <c r="P230" s="332">
        <f>SUM(P228:P229)</f>
        <v/>
      </c>
      <c r="Q230" s="333" t="n"/>
      <c r="R230" s="334">
        <f>SUM(R228:R229)</f>
        <v/>
      </c>
      <c r="S230" s="335" t="n"/>
      <c r="T230" s="335">
        <f>SUM(T228:T229)</f>
        <v/>
      </c>
      <c r="U230" s="329" t="n"/>
      <c r="V230" s="336" t="n"/>
      <c r="W230" s="337" t="n"/>
      <c r="X230" s="336" t="n"/>
      <c r="Y230" s="336" t="n"/>
      <c r="Z230" s="336" t="n"/>
    </row>
    <row r="231" ht="16.5" customHeight="1" s="223">
      <c r="A231" s="322" t="n">
        <v>20</v>
      </c>
      <c r="B231" s="324" t="inlineStr">
        <is>
          <t>000030ZIK48020260805000570</t>
        </is>
      </c>
      <c r="C231" s="304" t="n">
        <v>490466</v>
      </c>
      <c r="D231" s="304" t="n">
        <v>490405</v>
      </c>
      <c r="E231" s="317" t="n">
        <v>46240</v>
      </c>
      <c r="F231" s="320" t="inlineStr">
        <is>
          <t>ID2608-8038</t>
        </is>
      </c>
      <c r="G231" s="317" t="n">
        <v>46239</v>
      </c>
      <c r="H231" s="311" t="n">
        <v>520</v>
      </c>
      <c r="I231" s="311" t="inlineStr">
        <is>
          <t>ONEU6596470</t>
        </is>
      </c>
      <c r="J231" s="311" t="inlineStr">
        <is>
          <t>40FT</t>
        </is>
      </c>
      <c r="K231" s="309" t="inlineStr">
        <is>
          <t>8IN GREEN TEA MF MATTRESS FL</t>
        </is>
      </c>
      <c r="L231" s="310" t="inlineStr">
        <is>
          <t>SCF-STR-800F</t>
        </is>
      </c>
      <c r="M231" s="311" t="inlineStr">
        <is>
          <t>0993630677</t>
        </is>
      </c>
      <c r="N231" s="309" t="inlineStr">
        <is>
          <t>F.MFM.08F.000.WS</t>
        </is>
      </c>
      <c r="O231" s="306" t="n">
        <v>10618.4</v>
      </c>
      <c r="P231" s="306" t="n">
        <v>9370.4</v>
      </c>
      <c r="Q231" s="312">
        <f>IFERROR(R231/H231, 0)</f>
        <v/>
      </c>
      <c r="R231" s="307" t="n">
        <v>41480.4</v>
      </c>
      <c r="S231" s="308" t="n">
        <v>18062</v>
      </c>
      <c r="T231" s="308">
        <f>IFERROR(S231*R231, 0)</f>
        <v/>
      </c>
      <c r="U231" s="313" t="inlineStr">
        <is>
          <t>040300/KPPBC</t>
        </is>
      </c>
      <c r="V231" s="315" t="inlineStr">
        <is>
          <t>TG. PRIOK</t>
        </is>
      </c>
      <c r="W231" s="316" t="inlineStr">
        <is>
          <t>MOBILE, US</t>
        </is>
      </c>
      <c r="X231" s="311" t="inlineStr">
        <is>
          <t>WALMART, INC.</t>
        </is>
      </c>
      <c r="Y231" s="315" t="inlineStr">
        <is>
          <t>ONEYJKTG63665701</t>
        </is>
      </c>
      <c r="Z231" s="317" t="n">
        <v>46240</v>
      </c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/>
      <c r="I232" s="311" t="n"/>
      <c r="J232" s="311" t="n"/>
      <c r="K232" s="309" t="n"/>
      <c r="L232" s="310" t="n"/>
      <c r="M232" s="311" t="n"/>
      <c r="N232" s="309" t="n"/>
      <c r="O232" s="306" t="n"/>
      <c r="P232" s="306" t="n"/>
      <c r="Q232" s="312" t="n"/>
      <c r="R232" s="307" t="n"/>
      <c r="S232" s="308" t="n"/>
      <c r="T232" s="308" t="n"/>
      <c r="U232" s="313" t="n"/>
      <c r="V232" s="315" t="n"/>
      <c r="W232" s="316" t="inlineStr">
        <is>
          <t>ETD : 12-08-2026</t>
        </is>
      </c>
      <c r="X232" s="311" t="n"/>
      <c r="Y232" s="315" t="n"/>
      <c r="Z232" s="317" t="n"/>
    </row>
    <row r="233" ht="17.1" customHeight="1" s="223">
      <c r="A233" s="325" t="n"/>
      <c r="B233" s="326" t="n"/>
      <c r="C233" s="327" t="n"/>
      <c r="D233" s="327" t="n"/>
      <c r="E233" s="328" t="n"/>
      <c r="F233" s="328" t="n"/>
      <c r="G233" s="328" t="n"/>
      <c r="H233" s="329">
        <f>SUM(H231:H232)</f>
        <v/>
      </c>
      <c r="I233" s="330">
        <f>COUNTA(I231:I232)</f>
        <v/>
      </c>
      <c r="J233" s="329" t="n"/>
      <c r="K233" s="329" t="n"/>
      <c r="L233" s="331" t="n"/>
      <c r="M233" s="329" t="n"/>
      <c r="N233" s="329" t="n"/>
      <c r="O233" s="332">
        <f>SUM(O231:O232)</f>
        <v/>
      </c>
      <c r="P233" s="332">
        <f>SUM(P231:P232)</f>
        <v/>
      </c>
      <c r="Q233" s="333" t="n"/>
      <c r="R233" s="334">
        <f>SUM(R231:R232)</f>
        <v/>
      </c>
      <c r="S233" s="335" t="n"/>
      <c r="T233" s="335">
        <f>SUM(T231:T232)</f>
        <v/>
      </c>
      <c r="U233" s="329" t="n"/>
      <c r="V233" s="336" t="n"/>
      <c r="W233" s="337" t="n"/>
      <c r="X233" s="336" t="n"/>
      <c r="Y233" s="336" t="n"/>
      <c r="Z233" s="336" t="n"/>
    </row>
    <row r="234" ht="16.5" customHeight="1" s="223">
      <c r="A234" s="322" t="n">
        <v>21</v>
      </c>
      <c r="B234" s="324" t="inlineStr">
        <is>
          <t>000030ZIK48020260805000571</t>
        </is>
      </c>
      <c r="C234" s="304" t="n">
        <v>490062</v>
      </c>
      <c r="D234" s="304" t="n">
        <v>490002</v>
      </c>
      <c r="E234" s="317" t="n">
        <v>46240</v>
      </c>
      <c r="F234" s="320" t="inlineStr">
        <is>
          <t>ID2608-8042</t>
        </is>
      </c>
      <c r="G234" s="317" t="n">
        <v>46239</v>
      </c>
      <c r="H234" s="311" t="n">
        <v>42</v>
      </c>
      <c r="I234" s="311" t="inlineStr">
        <is>
          <t>NYKU5109082</t>
        </is>
      </c>
      <c r="J234" s="311" t="inlineStr">
        <is>
          <t>40FT</t>
        </is>
      </c>
      <c r="K234" s="309" t="inlineStr">
        <is>
          <t>10IN MEDIUM MFM FL</t>
        </is>
      </c>
      <c r="L234" s="310" t="inlineStr">
        <is>
          <t>WA-MMF-10F-IN</t>
        </is>
      </c>
      <c r="M234" s="311" t="inlineStr">
        <is>
          <t>MIWU00206</t>
        </is>
      </c>
      <c r="N234" s="309" t="inlineStr">
        <is>
          <t>F.MFM.10F.005.BU</t>
        </is>
      </c>
      <c r="O234" s="306" t="n">
        <v>12421.9</v>
      </c>
      <c r="P234" s="306" t="n">
        <v>11283.9</v>
      </c>
      <c r="Q234" s="312">
        <f>IFERROR(R234/H234, 0)</f>
        <v/>
      </c>
      <c r="R234" s="307" t="n">
        <v>2535.96</v>
      </c>
      <c r="S234" s="308" t="n">
        <v>18062</v>
      </c>
      <c r="T234" s="308">
        <f>IFERROR(S234*R234, 0)</f>
        <v/>
      </c>
      <c r="U234" s="313" t="inlineStr">
        <is>
          <t>040300/KPPBC</t>
        </is>
      </c>
      <c r="V234" s="315" t="inlineStr">
        <is>
          <t>TG. PRIOK</t>
        </is>
      </c>
      <c r="W234" s="316" t="inlineStr">
        <is>
          <t>TACOMA, US</t>
        </is>
      </c>
      <c r="X234" s="311" t="inlineStr">
        <is>
          <t>MELLOW INC</t>
        </is>
      </c>
      <c r="Y234" s="315" t="inlineStr">
        <is>
          <t>ONEYJKTG57219500</t>
        </is>
      </c>
      <c r="Z234" s="317" t="n">
        <v>46240</v>
      </c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142</v>
      </c>
      <c r="I235" s="311" t="inlineStr"/>
      <c r="J235" s="311" t="inlineStr"/>
      <c r="K235" s="309" t="inlineStr">
        <is>
          <t>10IN MEDIUM MFM QN</t>
        </is>
      </c>
      <c r="L235" s="310" t="inlineStr">
        <is>
          <t>WA-MMF-10Q-IN</t>
        </is>
      </c>
      <c r="M235" s="311" t="inlineStr">
        <is>
          <t>MIWU00206</t>
        </is>
      </c>
      <c r="N235" s="309" t="inlineStr">
        <is>
          <t>F.MFM.10Q.005.BU</t>
        </is>
      </c>
      <c r="O235" s="306" t="n"/>
      <c r="P235" s="306" t="n"/>
      <c r="Q235" s="312">
        <f>IFERROR(R235/H235, 0)</f>
        <v/>
      </c>
      <c r="R235" s="307" t="n">
        <v>10161.52</v>
      </c>
      <c r="S235" s="308" t="n">
        <v>18062</v>
      </c>
      <c r="T235" s="308">
        <f>IFERROR(S235*R235, 0)</f>
        <v/>
      </c>
      <c r="U235" s="313" t="n"/>
      <c r="V235" s="315" t="n"/>
      <c r="W235" s="316" t="inlineStr">
        <is>
          <t>ETD : 12-08-2026</t>
        </is>
      </c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102</v>
      </c>
      <c r="I236" s="311" t="inlineStr"/>
      <c r="J236" s="311" t="inlineStr"/>
      <c r="K236" s="309" t="inlineStr">
        <is>
          <t>10IN MEDIUM MFM TW</t>
        </is>
      </c>
      <c r="L236" s="310" t="inlineStr">
        <is>
          <t>WA-MMF-10T-IN</t>
        </is>
      </c>
      <c r="M236" s="311" t="inlineStr">
        <is>
          <t>MIWU00206</t>
        </is>
      </c>
      <c r="N236" s="309" t="inlineStr">
        <is>
          <t>F.MFM.10T.005.BU</t>
        </is>
      </c>
      <c r="O236" s="306" t="n"/>
      <c r="P236" s="306" t="n"/>
      <c r="Q236" s="312">
        <f>IFERROR(R236/H236, 0)</f>
        <v/>
      </c>
      <c r="R236" s="307" t="n">
        <v>4694.04</v>
      </c>
      <c r="S236" s="308" t="n">
        <v>18062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</v>
      </c>
      <c r="I237" s="311" t="inlineStr"/>
      <c r="J237" s="311" t="inlineStr"/>
      <c r="K237" s="309" t="inlineStr">
        <is>
          <t>12IN MEDIUM MFM EK</t>
        </is>
      </c>
      <c r="L237" s="310" t="inlineStr">
        <is>
          <t>WA-MMF-12K-IN</t>
        </is>
      </c>
      <c r="M237" s="311" t="inlineStr">
        <is>
          <t>MIWU00206</t>
        </is>
      </c>
      <c r="N237" s="309" t="inlineStr">
        <is>
          <t>F.MFM.12K.005.BU</t>
        </is>
      </c>
      <c r="O237" s="306" t="n"/>
      <c r="P237" s="306" t="n"/>
      <c r="Q237" s="312">
        <f>IFERROR(R237/H237, 0)</f>
        <v/>
      </c>
      <c r="R237" s="307" t="n">
        <v>1680.62</v>
      </c>
      <c r="S237" s="308" t="n">
        <v>18062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31</v>
      </c>
      <c r="I238" s="311" t="inlineStr"/>
      <c r="J238" s="311" t="inlineStr"/>
      <c r="K238" s="309" t="inlineStr">
        <is>
          <t>6IN MEDIUM MFM TW</t>
        </is>
      </c>
      <c r="L238" s="310" t="inlineStr">
        <is>
          <t>WA-MMF-6T-IN</t>
        </is>
      </c>
      <c r="M238" s="311" t="inlineStr">
        <is>
          <t>MIWU00206</t>
        </is>
      </c>
      <c r="N238" s="309" t="inlineStr">
        <is>
          <t>F.MFM.06T.002.BU</t>
        </is>
      </c>
      <c r="O238" s="306" t="n"/>
      <c r="P238" s="306" t="n"/>
      <c r="Q238" s="312">
        <f>IFERROR(R238/H238, 0)</f>
        <v/>
      </c>
      <c r="R238" s="307" t="n">
        <v>995.1</v>
      </c>
      <c r="S238" s="308" t="n">
        <v>18062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21</v>
      </c>
      <c r="I239" s="311" t="inlineStr"/>
      <c r="J239" s="311" t="inlineStr"/>
      <c r="K239" s="309" t="inlineStr">
        <is>
          <t>10IN PLUSH MFM FL</t>
        </is>
      </c>
      <c r="L239" s="310" t="inlineStr">
        <is>
          <t>WA-PMF-10F-IN</t>
        </is>
      </c>
      <c r="M239" s="311" t="inlineStr">
        <is>
          <t>MIWU00206</t>
        </is>
      </c>
      <c r="N239" s="309" t="inlineStr">
        <is>
          <t>F.MFM.10F.006.BU</t>
        </is>
      </c>
      <c r="O239" s="306" t="n"/>
      <c r="P239" s="306" t="n"/>
      <c r="Q239" s="312">
        <f>IFERROR(R239/H239, 0)</f>
        <v/>
      </c>
      <c r="R239" s="307" t="n">
        <v>1316.7</v>
      </c>
      <c r="S239" s="308" t="n">
        <v>18062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50</v>
      </c>
      <c r="I240" s="311" t="inlineStr"/>
      <c r="J240" s="311" t="inlineStr"/>
      <c r="K240" s="309" t="inlineStr">
        <is>
          <t>10IN PLUSH MFM QN</t>
        </is>
      </c>
      <c r="L240" s="310" t="inlineStr">
        <is>
          <t>WA-PMF-10Q-IN</t>
        </is>
      </c>
      <c r="M240" s="311" t="inlineStr">
        <is>
          <t>MIWU00206</t>
        </is>
      </c>
      <c r="N240" s="309" t="inlineStr">
        <is>
          <t>F.MFM.10Q.006.BU</t>
        </is>
      </c>
      <c r="O240" s="306" t="n"/>
      <c r="P240" s="306" t="n"/>
      <c r="Q240" s="312">
        <f>IFERROR(R240/H240, 0)</f>
        <v/>
      </c>
      <c r="R240" s="307" t="n">
        <v>3705</v>
      </c>
      <c r="S240" s="308" t="n">
        <v>18062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50</v>
      </c>
      <c r="I241" s="311" t="inlineStr"/>
      <c r="J241" s="311" t="inlineStr"/>
      <c r="K241" s="309" t="inlineStr">
        <is>
          <t>12IN PLUSH MFM FL</t>
        </is>
      </c>
      <c r="L241" s="310" t="inlineStr">
        <is>
          <t>WA-PMF-12F-IN</t>
        </is>
      </c>
      <c r="M241" s="311" t="inlineStr">
        <is>
          <t>MIWU00206</t>
        </is>
      </c>
      <c r="N241" s="309" t="inlineStr">
        <is>
          <t>F.MFM.12F.006.BU</t>
        </is>
      </c>
      <c r="O241" s="306" t="n"/>
      <c r="P241" s="306" t="n"/>
      <c r="Q241" s="312">
        <f>IFERROR(R241/H241, 0)</f>
        <v/>
      </c>
      <c r="R241" s="307" t="n">
        <v>3681.5</v>
      </c>
      <c r="S241" s="308" t="n">
        <v>18062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50</v>
      </c>
      <c r="I242" s="311" t="inlineStr"/>
      <c r="J242" s="311" t="inlineStr"/>
      <c r="K242" s="309" t="inlineStr">
        <is>
          <t>8IN PLUSH MFM QN</t>
        </is>
      </c>
      <c r="L242" s="310" t="inlineStr">
        <is>
          <t>WA-PMF-8Q-IN</t>
        </is>
      </c>
      <c r="M242" s="311" t="inlineStr">
        <is>
          <t>MIWU00206</t>
        </is>
      </c>
      <c r="N242" s="309" t="inlineStr">
        <is>
          <t>F.MFM.08Q.006.BU</t>
        </is>
      </c>
      <c r="O242" s="306" t="n"/>
      <c r="P242" s="306" t="n"/>
      <c r="Q242" s="312">
        <f>IFERROR(R242/H242, 0)</f>
        <v/>
      </c>
      <c r="R242" s="307" t="n">
        <v>2811</v>
      </c>
      <c r="S242" s="308" t="n">
        <v>18062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54</v>
      </c>
      <c r="I243" s="311" t="inlineStr"/>
      <c r="J243" s="311" t="inlineStr"/>
      <c r="K243" s="309" t="inlineStr">
        <is>
          <t>8IN PLUSH MFM TW</t>
        </is>
      </c>
      <c r="L243" s="310" t="inlineStr">
        <is>
          <t>WA-PMF-8T-IN</t>
        </is>
      </c>
      <c r="M243" s="311" t="inlineStr">
        <is>
          <t>MIWU00206</t>
        </is>
      </c>
      <c r="N243" s="309" t="inlineStr">
        <is>
          <t>F.MFM.08T.006.BU</t>
        </is>
      </c>
      <c r="O243" s="306" t="n"/>
      <c r="P243" s="306" t="n"/>
      <c r="Q243" s="312">
        <f>IFERROR(R243/H243, 0)</f>
        <v/>
      </c>
      <c r="R243" s="307" t="n">
        <v>1952.64</v>
      </c>
      <c r="S243" s="308" t="n">
        <v>18062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7.1" customHeight="1" s="223">
      <c r="A244" s="325" t="n"/>
      <c r="B244" s="326" t="n"/>
      <c r="C244" s="327" t="n"/>
      <c r="D244" s="327" t="n"/>
      <c r="E244" s="328" t="n"/>
      <c r="F244" s="328" t="n"/>
      <c r="G244" s="328" t="n"/>
      <c r="H244" s="329">
        <f>SUM(H234:H243)</f>
        <v/>
      </c>
      <c r="I244" s="330">
        <f>COUNTA(I234:I243)</f>
        <v/>
      </c>
      <c r="J244" s="329" t="n"/>
      <c r="K244" s="329" t="n"/>
      <c r="L244" s="331" t="n"/>
      <c r="M244" s="329" t="n"/>
      <c r="N244" s="329" t="n"/>
      <c r="O244" s="332">
        <f>SUM(O234:O243)</f>
        <v/>
      </c>
      <c r="P244" s="332">
        <f>SUM(P234:P243)</f>
        <v/>
      </c>
      <c r="Q244" s="333" t="n"/>
      <c r="R244" s="334">
        <f>SUM(R234:R243)</f>
        <v/>
      </c>
      <c r="S244" s="335" t="n"/>
      <c r="T244" s="335">
        <f>SUM(T234:T243)</f>
        <v/>
      </c>
      <c r="U244" s="329" t="n"/>
      <c r="V244" s="336" t="n"/>
      <c r="W244" s="337" t="n"/>
      <c r="X244" s="336" t="n"/>
      <c r="Y244" s="336" t="n"/>
      <c r="Z244" s="336" t="n"/>
    </row>
    <row r="245" ht="16.5" customHeight="1" s="223">
      <c r="A245" s="322" t="n">
        <v>22</v>
      </c>
      <c r="B245" s="324" t="inlineStr">
        <is>
          <t>000030ZIK48020260805000572</t>
        </is>
      </c>
      <c r="C245" s="304" t="n">
        <v>490521</v>
      </c>
      <c r="D245" s="304" t="n">
        <v>490461</v>
      </c>
      <c r="E245" s="317" t="n">
        <v>46240</v>
      </c>
      <c r="F245" s="320" t="inlineStr">
        <is>
          <t>ID2608-8043</t>
        </is>
      </c>
      <c r="G245" s="317" t="n">
        <v>46239</v>
      </c>
      <c r="H245" s="311" t="n">
        <v>75</v>
      </c>
      <c r="I245" s="311" t="inlineStr">
        <is>
          <t>TCKU4384630</t>
        </is>
      </c>
      <c r="J245" s="311" t="inlineStr">
        <is>
          <t>40FT</t>
        </is>
      </c>
      <c r="K245" s="309" t="inlineStr">
        <is>
          <t>10IN MEDIUM MFM FL</t>
        </is>
      </c>
      <c r="L245" s="310" t="inlineStr">
        <is>
          <t>WA-MMF-10F-IN</t>
        </is>
      </c>
      <c r="M245" s="311" t="inlineStr">
        <is>
          <t>MIWU00209</t>
        </is>
      </c>
      <c r="N245" s="309" t="inlineStr">
        <is>
          <t>F.MFM.10F.005.BU</t>
        </is>
      </c>
      <c r="O245" s="306" t="n">
        <v>10332.9</v>
      </c>
      <c r="P245" s="306" t="n">
        <v>9425</v>
      </c>
      <c r="Q245" s="312">
        <f>IFERROR(R245/H245, 0)</f>
        <v/>
      </c>
      <c r="R245" s="307" t="n">
        <v>4528.5</v>
      </c>
      <c r="S245" s="308" t="n">
        <v>18062</v>
      </c>
      <c r="T245" s="308">
        <f>IFERROR(S245*R245, 0)</f>
        <v/>
      </c>
      <c r="U245" s="313" t="inlineStr">
        <is>
          <t>040300/KPPBC</t>
        </is>
      </c>
      <c r="V245" s="315" t="inlineStr">
        <is>
          <t>TG. PRIOK</t>
        </is>
      </c>
      <c r="W245" s="316" t="inlineStr">
        <is>
          <t>VANCOUVER, CA</t>
        </is>
      </c>
      <c r="X245" s="311" t="inlineStr">
        <is>
          <t>MELLOW INC</t>
        </is>
      </c>
      <c r="Y245" s="315" t="inlineStr">
        <is>
          <t>ONEYJKTG56970800</t>
        </is>
      </c>
      <c r="Z245" s="317" t="n">
        <v>46240</v>
      </c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161</v>
      </c>
      <c r="I246" s="311" t="inlineStr"/>
      <c r="J246" s="311" t="inlineStr"/>
      <c r="K246" s="309" t="inlineStr">
        <is>
          <t>10IN MEDIUM MFM QN</t>
        </is>
      </c>
      <c r="L246" s="310" t="inlineStr">
        <is>
          <t>WA-MMF-10Q-IN</t>
        </is>
      </c>
      <c r="M246" s="311" t="inlineStr">
        <is>
          <t>MIWU00209</t>
        </is>
      </c>
      <c r="N246" s="309" t="inlineStr">
        <is>
          <t>F.MFM.10Q.005.BU</t>
        </is>
      </c>
      <c r="O246" s="306" t="n"/>
      <c r="P246" s="306" t="n"/>
      <c r="Q246" s="312">
        <f>IFERROR(R246/H246, 0)</f>
        <v/>
      </c>
      <c r="R246" s="307" t="n">
        <v>11521.16</v>
      </c>
      <c r="S246" s="308" t="n">
        <v>18062</v>
      </c>
      <c r="T246" s="308">
        <f>IFERROR(S246*R246, 0)</f>
        <v/>
      </c>
      <c r="U246" s="313" t="n"/>
      <c r="V246" s="315" t="n"/>
      <c r="W246" s="316" t="inlineStr">
        <is>
          <t>ETD : 12-08-2026</t>
        </is>
      </c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105</v>
      </c>
      <c r="I247" s="311" t="inlineStr"/>
      <c r="J247" s="311" t="inlineStr"/>
      <c r="K247" s="309" t="inlineStr">
        <is>
          <t>10IN MEDIUM MFM TW</t>
        </is>
      </c>
      <c r="L247" s="310" t="inlineStr">
        <is>
          <t>WA-MMF-10T-IN</t>
        </is>
      </c>
      <c r="M247" s="311" t="inlineStr">
        <is>
          <t>MIWU00209</t>
        </is>
      </c>
      <c r="N247" s="309" t="inlineStr">
        <is>
          <t>F.MFM.10T.005.BU</t>
        </is>
      </c>
      <c r="O247" s="306" t="n"/>
      <c r="P247" s="306" t="n"/>
      <c r="Q247" s="312">
        <f>IFERROR(R247/H247, 0)</f>
        <v/>
      </c>
      <c r="R247" s="307" t="n">
        <v>4832.1</v>
      </c>
      <c r="S247" s="308" t="n">
        <v>18062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15</v>
      </c>
      <c r="I248" s="311" t="inlineStr"/>
      <c r="J248" s="311" t="inlineStr"/>
      <c r="K248" s="309" t="inlineStr">
        <is>
          <t>12IN MEDIUM MFM EK</t>
        </is>
      </c>
      <c r="L248" s="310" t="inlineStr">
        <is>
          <t>WA-MMF-12K-IN</t>
        </is>
      </c>
      <c r="M248" s="311" t="inlineStr">
        <is>
          <t>MIWU00209</t>
        </is>
      </c>
      <c r="N248" s="309" t="inlineStr">
        <is>
          <t>F.MFM.12K.005.BU</t>
        </is>
      </c>
      <c r="O248" s="306" t="n"/>
      <c r="P248" s="306" t="n"/>
      <c r="Q248" s="312">
        <f>IFERROR(R248/H248, 0)</f>
        <v/>
      </c>
      <c r="R248" s="307" t="n">
        <v>1482.9</v>
      </c>
      <c r="S248" s="308" t="n">
        <v>18062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20</v>
      </c>
      <c r="I249" s="311" t="inlineStr"/>
      <c r="J249" s="311" t="inlineStr"/>
      <c r="K249" s="309" t="inlineStr">
        <is>
          <t>12IN MEDIUM MFM QN</t>
        </is>
      </c>
      <c r="L249" s="310" t="inlineStr">
        <is>
          <t>WA-MMF-12Q-IN</t>
        </is>
      </c>
      <c r="M249" s="311" t="inlineStr">
        <is>
          <t>MIWU00209</t>
        </is>
      </c>
      <c r="N249" s="309" t="inlineStr">
        <is>
          <t>F.MFM.12Q.005.BU</t>
        </is>
      </c>
      <c r="O249" s="306" t="n"/>
      <c r="P249" s="306" t="n"/>
      <c r="Q249" s="312">
        <f>IFERROR(R249/H249, 0)</f>
        <v/>
      </c>
      <c r="R249" s="307" t="n">
        <v>1619.4</v>
      </c>
      <c r="S249" s="308" t="n">
        <v>18062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25</v>
      </c>
      <c r="I250" s="311" t="inlineStr"/>
      <c r="J250" s="311" t="inlineStr"/>
      <c r="K250" s="309" t="inlineStr">
        <is>
          <t>6IN MEDIUM MFM TW</t>
        </is>
      </c>
      <c r="L250" s="310" t="inlineStr">
        <is>
          <t>WA-MMF-6T-IN</t>
        </is>
      </c>
      <c r="M250" s="311" t="inlineStr">
        <is>
          <t>MIWU00209</t>
        </is>
      </c>
      <c r="N250" s="309" t="inlineStr">
        <is>
          <t>F.MFM.06T.002.BU</t>
        </is>
      </c>
      <c r="O250" s="306" t="n"/>
      <c r="P250" s="306" t="n"/>
      <c r="Q250" s="312">
        <f>IFERROR(R250/H250, 0)</f>
        <v/>
      </c>
      <c r="R250" s="307" t="n">
        <v>802.5</v>
      </c>
      <c r="S250" s="308" t="n">
        <v>18062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20</v>
      </c>
      <c r="I251" s="311" t="inlineStr"/>
      <c r="J251" s="311" t="inlineStr"/>
      <c r="K251" s="309" t="inlineStr">
        <is>
          <t>8IN MEDIUM MFM FL</t>
        </is>
      </c>
      <c r="L251" s="310" t="inlineStr">
        <is>
          <t>WA-MMF-8F-IN</t>
        </is>
      </c>
      <c r="M251" s="311" t="inlineStr">
        <is>
          <t>MIWU00209</t>
        </is>
      </c>
      <c r="N251" s="309" t="inlineStr">
        <is>
          <t>F.MFM.08F.005.BU</t>
        </is>
      </c>
      <c r="O251" s="306" t="n"/>
      <c r="P251" s="306" t="n"/>
      <c r="Q251" s="312">
        <f>IFERROR(R251/H251, 0)</f>
        <v/>
      </c>
      <c r="R251" s="307" t="n">
        <v>1042</v>
      </c>
      <c r="S251" s="308" t="n">
        <v>18062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20</v>
      </c>
      <c r="I252" s="311" t="inlineStr"/>
      <c r="J252" s="311" t="inlineStr"/>
      <c r="K252" s="309" t="inlineStr">
        <is>
          <t>8IN MEDIUM MFM TW</t>
        </is>
      </c>
      <c r="L252" s="310" t="inlineStr">
        <is>
          <t>WA-MMF-8T-IN</t>
        </is>
      </c>
      <c r="M252" s="311" t="inlineStr">
        <is>
          <t>MIWU00209</t>
        </is>
      </c>
      <c r="N252" s="309" t="inlineStr">
        <is>
          <t>F.MFM.08T.005.BU</t>
        </is>
      </c>
      <c r="O252" s="306" t="n"/>
      <c r="P252" s="306" t="n"/>
      <c r="Q252" s="312">
        <f>IFERROR(R252/H252, 0)</f>
        <v/>
      </c>
      <c r="R252" s="307" t="n">
        <v>777.6</v>
      </c>
      <c r="S252" s="308" t="n">
        <v>18062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29</v>
      </c>
      <c r="I253" s="311" t="inlineStr"/>
      <c r="J253" s="311" t="inlineStr"/>
      <c r="K253" s="309" t="inlineStr">
        <is>
          <t>10IN PLUSH MFM FL</t>
        </is>
      </c>
      <c r="L253" s="310" t="inlineStr">
        <is>
          <t>WA-PMF-10F-IN</t>
        </is>
      </c>
      <c r="M253" s="311" t="inlineStr">
        <is>
          <t>MIWU00209</t>
        </is>
      </c>
      <c r="N253" s="309" t="inlineStr">
        <is>
          <t>F.MFM.10F.006.BU</t>
        </is>
      </c>
      <c r="O253" s="306" t="n"/>
      <c r="P253" s="306" t="n"/>
      <c r="Q253" s="312">
        <f>IFERROR(R253/H253, 0)</f>
        <v/>
      </c>
      <c r="R253" s="307" t="n">
        <v>1818.3</v>
      </c>
      <c r="S253" s="308" t="n">
        <v>18062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7.1" customHeight="1" s="223">
      <c r="A254" s="325" t="n"/>
      <c r="B254" s="326" t="n"/>
      <c r="C254" s="327" t="n"/>
      <c r="D254" s="327" t="n"/>
      <c r="E254" s="328" t="n"/>
      <c r="F254" s="328" t="n"/>
      <c r="G254" s="328" t="n"/>
      <c r="H254" s="329">
        <f>SUM(H245:H253)</f>
        <v/>
      </c>
      <c r="I254" s="330">
        <f>COUNTA(I245:I253)</f>
        <v/>
      </c>
      <c r="J254" s="329" t="n"/>
      <c r="K254" s="329" t="n"/>
      <c r="L254" s="331" t="n"/>
      <c r="M254" s="329" t="n"/>
      <c r="N254" s="329" t="n"/>
      <c r="O254" s="332">
        <f>SUM(O245:O253)</f>
        <v/>
      </c>
      <c r="P254" s="332">
        <f>SUM(P245:P253)</f>
        <v/>
      </c>
      <c r="Q254" s="333" t="n"/>
      <c r="R254" s="334">
        <f>SUM(R245:R253)</f>
        <v/>
      </c>
      <c r="S254" s="335" t="n"/>
      <c r="T254" s="335">
        <f>SUM(T245:T253)</f>
        <v/>
      </c>
      <c r="U254" s="329" t="n"/>
      <c r="V254" s="336" t="n"/>
      <c r="W254" s="337" t="n"/>
      <c r="X254" s="336" t="n"/>
      <c r="Y254" s="336" t="n"/>
      <c r="Z254" s="336" t="n"/>
    </row>
    <row r="255" ht="16.5" customHeight="1" s="223">
      <c r="A255" s="322" t="n">
        <v>23</v>
      </c>
      <c r="B255" s="324" t="inlineStr">
        <is>
          <t>000030ZIK48020260805000573</t>
        </is>
      </c>
      <c r="C255" s="304" t="n">
        <v>489820</v>
      </c>
      <c r="D255" s="304" t="n">
        <v>489761</v>
      </c>
      <c r="E255" s="317" t="n">
        <v>46240</v>
      </c>
      <c r="F255" s="320" t="inlineStr">
        <is>
          <t>ID2608-8044</t>
        </is>
      </c>
      <c r="G255" s="317" t="n">
        <v>46239</v>
      </c>
      <c r="H255" s="311" t="n">
        <v>75</v>
      </c>
      <c r="I255" s="311" t="inlineStr">
        <is>
          <t>TCLU4449533</t>
        </is>
      </c>
      <c r="J255" s="311" t="inlineStr">
        <is>
          <t>40FT</t>
        </is>
      </c>
      <c r="K255" s="309" t="inlineStr">
        <is>
          <t>10IN MEDIUM MFM FL</t>
        </is>
      </c>
      <c r="L255" s="310" t="inlineStr">
        <is>
          <t>WA-MMF-10F-IN</t>
        </is>
      </c>
      <c r="M255" s="311" t="inlineStr">
        <is>
          <t>MIWU00207</t>
        </is>
      </c>
      <c r="N255" s="309" t="inlineStr">
        <is>
          <t>F.MFM.10F.005.BU</t>
        </is>
      </c>
      <c r="O255" s="306" t="n">
        <v>10332.9</v>
      </c>
      <c r="P255" s="306" t="n">
        <v>9425</v>
      </c>
      <c r="Q255" s="312">
        <f>IFERROR(R255/H255, 0)</f>
        <v/>
      </c>
      <c r="R255" s="307" t="n">
        <v>4528.5</v>
      </c>
      <c r="S255" s="308" t="n">
        <v>18062</v>
      </c>
      <c r="T255" s="308">
        <f>IFERROR(S255*R255, 0)</f>
        <v/>
      </c>
      <c r="U255" s="313" t="inlineStr">
        <is>
          <t>040300/KPPBC</t>
        </is>
      </c>
      <c r="V255" s="315" t="inlineStr">
        <is>
          <t>TG. PRIOK</t>
        </is>
      </c>
      <c r="W255" s="316" t="inlineStr">
        <is>
          <t>TACOMA, US</t>
        </is>
      </c>
      <c r="X255" s="311" t="inlineStr">
        <is>
          <t>MELLOW INC</t>
        </is>
      </c>
      <c r="Y255" s="315" t="inlineStr">
        <is>
          <t>ONEYJKTG57229600</t>
        </is>
      </c>
      <c r="Z255" s="317" t="n">
        <v>46240</v>
      </c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161</v>
      </c>
      <c r="I256" s="311" t="inlineStr"/>
      <c r="J256" s="311" t="inlineStr"/>
      <c r="K256" s="309" t="inlineStr">
        <is>
          <t>10IN MEDIUM MFM QN</t>
        </is>
      </c>
      <c r="L256" s="310" t="inlineStr">
        <is>
          <t>WA-MMF-10Q-IN</t>
        </is>
      </c>
      <c r="M256" s="311" t="inlineStr">
        <is>
          <t>MIWU00207</t>
        </is>
      </c>
      <c r="N256" s="309" t="inlineStr">
        <is>
          <t>F.MFM.10Q.005.BU</t>
        </is>
      </c>
      <c r="O256" s="306" t="n"/>
      <c r="P256" s="306" t="n"/>
      <c r="Q256" s="312">
        <f>IFERROR(R256/H256, 0)</f>
        <v/>
      </c>
      <c r="R256" s="307" t="n">
        <v>11521.16</v>
      </c>
      <c r="S256" s="308" t="n">
        <v>18062</v>
      </c>
      <c r="T256" s="308">
        <f>IFERROR(S256*R256, 0)</f>
        <v/>
      </c>
      <c r="U256" s="313" t="n"/>
      <c r="V256" s="315" t="n"/>
      <c r="W256" s="316" t="inlineStr">
        <is>
          <t>ETD : 13-08-2026</t>
        </is>
      </c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105</v>
      </c>
      <c r="I257" s="311" t="inlineStr"/>
      <c r="J257" s="311" t="inlineStr"/>
      <c r="K257" s="309" t="inlineStr">
        <is>
          <t>10IN MEDIUM MFM TW</t>
        </is>
      </c>
      <c r="L257" s="310" t="inlineStr">
        <is>
          <t>WA-MMF-10T-IN</t>
        </is>
      </c>
      <c r="M257" s="311" t="inlineStr">
        <is>
          <t>MIWU00207</t>
        </is>
      </c>
      <c r="N257" s="309" t="inlineStr">
        <is>
          <t>F.MFM.10T.005.BU</t>
        </is>
      </c>
      <c r="O257" s="306" t="n"/>
      <c r="P257" s="306" t="n"/>
      <c r="Q257" s="312">
        <f>IFERROR(R257/H257, 0)</f>
        <v/>
      </c>
      <c r="R257" s="307" t="n">
        <v>4832.1</v>
      </c>
      <c r="S257" s="308" t="n">
        <v>18062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15</v>
      </c>
      <c r="I258" s="311" t="inlineStr"/>
      <c r="J258" s="311" t="inlineStr"/>
      <c r="K258" s="309" t="inlineStr">
        <is>
          <t>12IN MEDIUM MFM EK</t>
        </is>
      </c>
      <c r="L258" s="310" t="inlineStr">
        <is>
          <t>WA-MMF-12K-IN</t>
        </is>
      </c>
      <c r="M258" s="311" t="inlineStr">
        <is>
          <t>MIWU00207</t>
        </is>
      </c>
      <c r="N258" s="309" t="inlineStr">
        <is>
          <t>F.MFM.12K.005.BU</t>
        </is>
      </c>
      <c r="O258" s="306" t="n"/>
      <c r="P258" s="306" t="n"/>
      <c r="Q258" s="312">
        <f>IFERROR(R258/H258, 0)</f>
        <v/>
      </c>
      <c r="R258" s="307" t="n">
        <v>1482.9</v>
      </c>
      <c r="S258" s="308" t="n">
        <v>18062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20</v>
      </c>
      <c r="I259" s="311" t="inlineStr"/>
      <c r="J259" s="311" t="inlineStr"/>
      <c r="K259" s="309" t="inlineStr">
        <is>
          <t>12IN MEDIUM MFM QN</t>
        </is>
      </c>
      <c r="L259" s="310" t="inlineStr">
        <is>
          <t>WA-MMF-12Q-IN</t>
        </is>
      </c>
      <c r="M259" s="311" t="inlineStr">
        <is>
          <t>MIWU00207</t>
        </is>
      </c>
      <c r="N259" s="309" t="inlineStr">
        <is>
          <t>F.MFM.12Q.005.BU</t>
        </is>
      </c>
      <c r="O259" s="306" t="n"/>
      <c r="P259" s="306" t="n"/>
      <c r="Q259" s="312">
        <f>IFERROR(R259/H259, 0)</f>
        <v/>
      </c>
      <c r="R259" s="307" t="n">
        <v>1619.4</v>
      </c>
      <c r="S259" s="308" t="n">
        <v>18062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25</v>
      </c>
      <c r="I260" s="311" t="inlineStr"/>
      <c r="J260" s="311" t="inlineStr"/>
      <c r="K260" s="309" t="inlineStr">
        <is>
          <t>6IN MEDIUM MFM TW</t>
        </is>
      </c>
      <c r="L260" s="310" t="inlineStr">
        <is>
          <t>WA-MMF-6T-IN</t>
        </is>
      </c>
      <c r="M260" s="311" t="inlineStr">
        <is>
          <t>MIWU00207</t>
        </is>
      </c>
      <c r="N260" s="309" t="inlineStr">
        <is>
          <t>F.MFM.06T.002.BU</t>
        </is>
      </c>
      <c r="O260" s="306" t="n"/>
      <c r="P260" s="306" t="n"/>
      <c r="Q260" s="312">
        <f>IFERROR(R260/H260, 0)</f>
        <v/>
      </c>
      <c r="R260" s="307" t="n">
        <v>802.5</v>
      </c>
      <c r="S260" s="308" t="n">
        <v>18062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20</v>
      </c>
      <c r="I261" s="311" t="inlineStr"/>
      <c r="J261" s="311" t="inlineStr"/>
      <c r="K261" s="309" t="inlineStr">
        <is>
          <t>8IN MEDIUM MFM FL</t>
        </is>
      </c>
      <c r="L261" s="310" t="inlineStr">
        <is>
          <t>WA-MMF-8F-IN</t>
        </is>
      </c>
      <c r="M261" s="311" t="inlineStr">
        <is>
          <t>MIWU00207</t>
        </is>
      </c>
      <c r="N261" s="309" t="inlineStr">
        <is>
          <t>F.MFM.08F.005.BU</t>
        </is>
      </c>
      <c r="O261" s="306" t="n"/>
      <c r="P261" s="306" t="n"/>
      <c r="Q261" s="312">
        <f>IFERROR(R261/H261, 0)</f>
        <v/>
      </c>
      <c r="R261" s="307" t="n">
        <v>1042</v>
      </c>
      <c r="S261" s="308" t="n">
        <v>18062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20</v>
      </c>
      <c r="I262" s="311" t="inlineStr"/>
      <c r="J262" s="311" t="inlineStr"/>
      <c r="K262" s="309" t="inlineStr">
        <is>
          <t>8IN MEDIUM MFM TW</t>
        </is>
      </c>
      <c r="L262" s="310" t="inlineStr">
        <is>
          <t>WA-MMF-8T-IN</t>
        </is>
      </c>
      <c r="M262" s="311" t="inlineStr">
        <is>
          <t>MIWU00207</t>
        </is>
      </c>
      <c r="N262" s="309" t="inlineStr">
        <is>
          <t>F.MFM.08T.005.BU</t>
        </is>
      </c>
      <c r="O262" s="306" t="n"/>
      <c r="P262" s="306" t="n"/>
      <c r="Q262" s="312">
        <f>IFERROR(R262/H262, 0)</f>
        <v/>
      </c>
      <c r="R262" s="307" t="n">
        <v>777.6</v>
      </c>
      <c r="S262" s="308" t="n">
        <v>18062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29</v>
      </c>
      <c r="I263" s="311" t="inlineStr"/>
      <c r="J263" s="311" t="inlineStr"/>
      <c r="K263" s="309" t="inlineStr">
        <is>
          <t>10IN PLUSH MFM FL</t>
        </is>
      </c>
      <c r="L263" s="310" t="inlineStr">
        <is>
          <t>WA-PMF-10F-IN</t>
        </is>
      </c>
      <c r="M263" s="311" t="inlineStr">
        <is>
          <t>MIWU00207</t>
        </is>
      </c>
      <c r="N263" s="309" t="inlineStr">
        <is>
          <t>F.MFM.10F.006.BU</t>
        </is>
      </c>
      <c r="O263" s="306" t="n"/>
      <c r="P263" s="306" t="n"/>
      <c r="Q263" s="312">
        <f>IFERROR(R263/H263, 0)</f>
        <v/>
      </c>
      <c r="R263" s="307" t="n">
        <v>1818.3</v>
      </c>
      <c r="S263" s="308" t="n">
        <v>18062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7.1" customHeight="1" s="223">
      <c r="A264" s="325" t="n"/>
      <c r="B264" s="326" t="n"/>
      <c r="C264" s="327" t="n"/>
      <c r="D264" s="327" t="n"/>
      <c r="E264" s="328" t="n"/>
      <c r="F264" s="328" t="n"/>
      <c r="G264" s="328" t="n"/>
      <c r="H264" s="329">
        <f>SUM(H255:H263)</f>
        <v/>
      </c>
      <c r="I264" s="330">
        <f>COUNTA(I255:I263)</f>
        <v/>
      </c>
      <c r="J264" s="329" t="n"/>
      <c r="K264" s="329" t="n"/>
      <c r="L264" s="331" t="n"/>
      <c r="M264" s="329" t="n"/>
      <c r="N264" s="329" t="n"/>
      <c r="O264" s="332">
        <f>SUM(O255:O263)</f>
        <v/>
      </c>
      <c r="P264" s="332">
        <f>SUM(P255:P263)</f>
        <v/>
      </c>
      <c r="Q264" s="333" t="n"/>
      <c r="R264" s="334">
        <f>SUM(R255:R263)</f>
        <v/>
      </c>
      <c r="S264" s="335" t="n"/>
      <c r="T264" s="335">
        <f>SUM(T255:T263)</f>
        <v/>
      </c>
      <c r="U264" s="329" t="n"/>
      <c r="V264" s="336" t="n"/>
      <c r="W264" s="337" t="n"/>
      <c r="X264" s="336" t="n"/>
      <c r="Y264" s="336" t="n"/>
      <c r="Z264" s="336" t="n"/>
    </row>
    <row r="265" ht="16.5" customHeight="1" s="223">
      <c r="A265" s="322" t="n">
        <v>24</v>
      </c>
      <c r="B265" s="324" t="inlineStr">
        <is>
          <t>000030ZIK48020260805000574</t>
        </is>
      </c>
      <c r="C265" s="304" t="n">
        <v>490010</v>
      </c>
      <c r="D265" s="304" t="n">
        <v>489950</v>
      </c>
      <c r="E265" s="317" t="n">
        <v>46240</v>
      </c>
      <c r="F265" s="320" t="inlineStr">
        <is>
          <t>ID2608-8045</t>
        </is>
      </c>
      <c r="G265" s="317" t="n">
        <v>46239</v>
      </c>
      <c r="H265" s="311" t="n">
        <v>75</v>
      </c>
      <c r="I265" s="311" t="inlineStr">
        <is>
          <t>TCLU4437980</t>
        </is>
      </c>
      <c r="J265" s="311" t="inlineStr">
        <is>
          <t>40FT</t>
        </is>
      </c>
      <c r="K265" s="309" t="inlineStr">
        <is>
          <t>10IN MEDIUM MFM FL</t>
        </is>
      </c>
      <c r="L265" s="310" t="inlineStr">
        <is>
          <t>WA-MMF-10F-IN</t>
        </is>
      </c>
      <c r="M265" s="311" t="inlineStr">
        <is>
          <t>MIWU00208</t>
        </is>
      </c>
      <c r="N265" s="309" t="inlineStr">
        <is>
          <t>F.MFM.10F.005.BU</t>
        </is>
      </c>
      <c r="O265" s="306" t="n">
        <v>10332.9</v>
      </c>
      <c r="P265" s="306" t="n">
        <v>9425</v>
      </c>
      <c r="Q265" s="312">
        <f>IFERROR(R265/H265, 0)</f>
        <v/>
      </c>
      <c r="R265" s="307" t="n">
        <v>4528.5</v>
      </c>
      <c r="S265" s="308" t="n">
        <v>18062</v>
      </c>
      <c r="T265" s="308">
        <f>IFERROR(S265*R265, 0)</f>
        <v/>
      </c>
      <c r="U265" s="313" t="inlineStr">
        <is>
          <t>040300/KPPBC</t>
        </is>
      </c>
      <c r="V265" s="315" t="inlineStr">
        <is>
          <t>TG. PRIOK</t>
        </is>
      </c>
      <c r="W265" s="316" t="inlineStr">
        <is>
          <t>TACOMA, US</t>
        </is>
      </c>
      <c r="X265" s="311" t="inlineStr">
        <is>
          <t>MELLOW INC</t>
        </is>
      </c>
      <c r="Y265" s="315" t="inlineStr">
        <is>
          <t>ONEYJKTG57225900</t>
        </is>
      </c>
      <c r="Z265" s="317" t="n">
        <v>46240</v>
      </c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161</v>
      </c>
      <c r="I266" s="311" t="inlineStr"/>
      <c r="J266" s="311" t="inlineStr"/>
      <c r="K266" s="309" t="inlineStr">
        <is>
          <t>10IN MEDIUM MFM QN</t>
        </is>
      </c>
      <c r="L266" s="310" t="inlineStr">
        <is>
          <t>WA-MMF-10Q-IN</t>
        </is>
      </c>
      <c r="M266" s="311" t="inlineStr">
        <is>
          <t>MIWU00208</t>
        </is>
      </c>
      <c r="N266" s="309" t="inlineStr">
        <is>
          <t>F.MFM.10Q.005.BU</t>
        </is>
      </c>
      <c r="O266" s="306" t="n"/>
      <c r="P266" s="306" t="n"/>
      <c r="Q266" s="312">
        <f>IFERROR(R266/H266, 0)</f>
        <v/>
      </c>
      <c r="R266" s="307" t="n">
        <v>11521.16</v>
      </c>
      <c r="S266" s="308" t="n">
        <v>18062</v>
      </c>
      <c r="T266" s="308">
        <f>IFERROR(S266*R266, 0)</f>
        <v/>
      </c>
      <c r="U266" s="313" t="n"/>
      <c r="V266" s="315" t="n"/>
      <c r="W266" s="316" t="inlineStr">
        <is>
          <t>ETD : 13-08-2026</t>
        </is>
      </c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105</v>
      </c>
      <c r="I267" s="311" t="inlineStr"/>
      <c r="J267" s="311" t="inlineStr"/>
      <c r="K267" s="309" t="inlineStr">
        <is>
          <t>10IN MEDIUM MFM TW</t>
        </is>
      </c>
      <c r="L267" s="310" t="inlineStr">
        <is>
          <t>WA-MMF-10T-IN</t>
        </is>
      </c>
      <c r="M267" s="311" t="inlineStr">
        <is>
          <t>MIWU00208</t>
        </is>
      </c>
      <c r="N267" s="309" t="inlineStr">
        <is>
          <t>F.MFM.10T.005.BU</t>
        </is>
      </c>
      <c r="O267" s="306" t="n"/>
      <c r="P267" s="306" t="n"/>
      <c r="Q267" s="312">
        <f>IFERROR(R267/H267, 0)</f>
        <v/>
      </c>
      <c r="R267" s="307" t="n">
        <v>4832.1</v>
      </c>
      <c r="S267" s="308" t="n">
        <v>18062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15</v>
      </c>
      <c r="I268" s="311" t="inlineStr"/>
      <c r="J268" s="311" t="inlineStr"/>
      <c r="K268" s="309" t="inlineStr">
        <is>
          <t>12IN MEDIUM MFM EK</t>
        </is>
      </c>
      <c r="L268" s="310" t="inlineStr">
        <is>
          <t>WA-MMF-12K-IN</t>
        </is>
      </c>
      <c r="M268" s="311" t="inlineStr">
        <is>
          <t>MIWU00208</t>
        </is>
      </c>
      <c r="N268" s="309" t="inlineStr">
        <is>
          <t>F.MFM.12K.005.BU</t>
        </is>
      </c>
      <c r="O268" s="306" t="n"/>
      <c r="P268" s="306" t="n"/>
      <c r="Q268" s="312">
        <f>IFERROR(R268/H268, 0)</f>
        <v/>
      </c>
      <c r="R268" s="307" t="n">
        <v>1482.9</v>
      </c>
      <c r="S268" s="308" t="n">
        <v>18062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20</v>
      </c>
      <c r="I269" s="311" t="inlineStr"/>
      <c r="J269" s="311" t="inlineStr"/>
      <c r="K269" s="309" t="inlineStr">
        <is>
          <t>12IN MEDIUM MFM QN</t>
        </is>
      </c>
      <c r="L269" s="310" t="inlineStr">
        <is>
          <t>WA-MMF-12Q-IN</t>
        </is>
      </c>
      <c r="M269" s="311" t="inlineStr">
        <is>
          <t>MIWU00208</t>
        </is>
      </c>
      <c r="N269" s="309" t="inlineStr">
        <is>
          <t>F.MFM.12Q.005.BU</t>
        </is>
      </c>
      <c r="O269" s="306" t="n"/>
      <c r="P269" s="306" t="n"/>
      <c r="Q269" s="312">
        <f>IFERROR(R269/H269, 0)</f>
        <v/>
      </c>
      <c r="R269" s="307" t="n">
        <v>1619.4</v>
      </c>
      <c r="S269" s="308" t="n">
        <v>18062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25</v>
      </c>
      <c r="I270" s="311" t="inlineStr"/>
      <c r="J270" s="311" t="inlineStr"/>
      <c r="K270" s="309" t="inlineStr">
        <is>
          <t>6IN MEDIUM MFM TW</t>
        </is>
      </c>
      <c r="L270" s="310" t="inlineStr">
        <is>
          <t>WA-MMF-6T-IN</t>
        </is>
      </c>
      <c r="M270" s="311" t="inlineStr">
        <is>
          <t>MIWU00208</t>
        </is>
      </c>
      <c r="N270" s="309" t="inlineStr">
        <is>
          <t>F.MFM.06T.002.BU</t>
        </is>
      </c>
      <c r="O270" s="306" t="n"/>
      <c r="P270" s="306" t="n"/>
      <c r="Q270" s="312">
        <f>IFERROR(R270/H270, 0)</f>
        <v/>
      </c>
      <c r="R270" s="307" t="n">
        <v>802.5</v>
      </c>
      <c r="S270" s="308" t="n">
        <v>18062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20</v>
      </c>
      <c r="I271" s="311" t="inlineStr"/>
      <c r="J271" s="311" t="inlineStr"/>
      <c r="K271" s="309" t="inlineStr">
        <is>
          <t>8IN MEDIUM MFM FL</t>
        </is>
      </c>
      <c r="L271" s="310" t="inlineStr">
        <is>
          <t>WA-MMF-8F-IN</t>
        </is>
      </c>
      <c r="M271" s="311" t="inlineStr">
        <is>
          <t>MIWU00208</t>
        </is>
      </c>
      <c r="N271" s="309" t="inlineStr">
        <is>
          <t>F.MFM.08F.005.BU</t>
        </is>
      </c>
      <c r="O271" s="306" t="n"/>
      <c r="P271" s="306" t="n"/>
      <c r="Q271" s="312">
        <f>IFERROR(R271/H271, 0)</f>
        <v/>
      </c>
      <c r="R271" s="307" t="n">
        <v>1042</v>
      </c>
      <c r="S271" s="308" t="n">
        <v>18062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20</v>
      </c>
      <c r="I272" s="311" t="inlineStr"/>
      <c r="J272" s="311" t="inlineStr"/>
      <c r="K272" s="309" t="inlineStr">
        <is>
          <t>8IN MEDIUM MFM TW</t>
        </is>
      </c>
      <c r="L272" s="310" t="inlineStr">
        <is>
          <t>WA-MMF-8T-IN</t>
        </is>
      </c>
      <c r="M272" s="311" t="inlineStr">
        <is>
          <t>MIWU00208</t>
        </is>
      </c>
      <c r="N272" s="309" t="inlineStr">
        <is>
          <t>F.MFM.08T.005.BU</t>
        </is>
      </c>
      <c r="O272" s="306" t="n"/>
      <c r="P272" s="306" t="n"/>
      <c r="Q272" s="312">
        <f>IFERROR(R272/H272, 0)</f>
        <v/>
      </c>
      <c r="R272" s="307" t="n">
        <v>777.6</v>
      </c>
      <c r="S272" s="308" t="n">
        <v>18062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29</v>
      </c>
      <c r="I273" s="311" t="inlineStr"/>
      <c r="J273" s="311" t="inlineStr"/>
      <c r="K273" s="309" t="inlineStr">
        <is>
          <t>10IN PLUSH MFM FL</t>
        </is>
      </c>
      <c r="L273" s="310" t="inlineStr">
        <is>
          <t>WA-PMF-10F-IN</t>
        </is>
      </c>
      <c r="M273" s="311" t="inlineStr">
        <is>
          <t>MIWU00208</t>
        </is>
      </c>
      <c r="N273" s="309" t="inlineStr">
        <is>
          <t>F.MFM.10F.006.BU</t>
        </is>
      </c>
      <c r="O273" s="306" t="n"/>
      <c r="P273" s="306" t="n"/>
      <c r="Q273" s="312">
        <f>IFERROR(R273/H273, 0)</f>
        <v/>
      </c>
      <c r="R273" s="307" t="n">
        <v>1818.3</v>
      </c>
      <c r="S273" s="308" t="n">
        <v>18062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7.1" customHeight="1" s="223">
      <c r="A274" s="325" t="n"/>
      <c r="B274" s="326" t="n"/>
      <c r="C274" s="327" t="n"/>
      <c r="D274" s="327" t="n"/>
      <c r="E274" s="328" t="n"/>
      <c r="F274" s="328" t="n"/>
      <c r="G274" s="328" t="n"/>
      <c r="H274" s="329">
        <f>SUM(H265:H273)</f>
        <v/>
      </c>
      <c r="I274" s="330">
        <f>COUNTA(I265:I273)</f>
        <v/>
      </c>
      <c r="J274" s="329" t="n"/>
      <c r="K274" s="329" t="n"/>
      <c r="L274" s="331" t="n"/>
      <c r="M274" s="329" t="n"/>
      <c r="N274" s="329" t="n"/>
      <c r="O274" s="332">
        <f>SUM(O265:O273)</f>
        <v/>
      </c>
      <c r="P274" s="332">
        <f>SUM(P265:P273)</f>
        <v/>
      </c>
      <c r="Q274" s="333" t="n"/>
      <c r="R274" s="334">
        <f>SUM(R265:R273)</f>
        <v/>
      </c>
      <c r="S274" s="335" t="n"/>
      <c r="T274" s="335">
        <f>SUM(T265:T273)</f>
        <v/>
      </c>
      <c r="U274" s="329" t="n"/>
      <c r="V274" s="336" t="n"/>
      <c r="W274" s="337" t="n"/>
      <c r="X274" s="336" t="n"/>
      <c r="Y274" s="336" t="n"/>
      <c r="Z274" s="336" t="n"/>
    </row>
    <row r="275" ht="16.5" customHeight="1" s="223">
      <c r="A275" s="322" t="n">
        <v>25</v>
      </c>
      <c r="B275" s="324" t="inlineStr">
        <is>
          <t>000030ZIK48020260805000575</t>
        </is>
      </c>
      <c r="C275" s="304" t="n">
        <v>490212</v>
      </c>
      <c r="D275" s="304" t="n">
        <v>490152</v>
      </c>
      <c r="E275" s="317" t="n">
        <v>46240</v>
      </c>
      <c r="F275" s="320" t="inlineStr">
        <is>
          <t>ID2608-8046</t>
        </is>
      </c>
      <c r="G275" s="317" t="n">
        <v>46239</v>
      </c>
      <c r="H275" s="311" t="n">
        <v>25</v>
      </c>
      <c r="I275" s="311" t="inlineStr">
        <is>
          <t>FFAU3686983</t>
        </is>
      </c>
      <c r="J275" s="311" t="inlineStr">
        <is>
          <t>40FT</t>
        </is>
      </c>
      <c r="K275" s="309" t="inlineStr">
        <is>
          <t>12IN FIRM MF MATTRESS QN</t>
        </is>
      </c>
      <c r="L275" s="310" t="inlineStr">
        <is>
          <t>WA-FMF-12Q</t>
        </is>
      </c>
      <c r="M275" s="311" t="inlineStr">
        <is>
          <t>MIWU00200</t>
        </is>
      </c>
      <c r="N275" s="309" t="inlineStr">
        <is>
          <t>F.MFM.12Q.000.BU</t>
        </is>
      </c>
      <c r="O275" s="306" t="n">
        <v>12535.25</v>
      </c>
      <c r="P275" s="306" t="n">
        <v>11310.65</v>
      </c>
      <c r="Q275" s="312">
        <f>IFERROR(R275/H275, 0)</f>
        <v/>
      </c>
      <c r="R275" s="307" t="n">
        <v>2055</v>
      </c>
      <c r="S275" s="308" t="n">
        <v>18062</v>
      </c>
      <c r="T275" s="308">
        <f>IFERROR(S275*R275, 0)</f>
        <v/>
      </c>
      <c r="U275" s="313" t="inlineStr">
        <is>
          <t>040300/KPPBC</t>
        </is>
      </c>
      <c r="V275" s="315" t="inlineStr">
        <is>
          <t>TG. PRIOK</t>
        </is>
      </c>
      <c r="W275" s="316" t="inlineStr">
        <is>
          <t>NEW YORK, US</t>
        </is>
      </c>
      <c r="X275" s="311" t="inlineStr">
        <is>
          <t>MELLOW INC</t>
        </is>
      </c>
      <c r="Y275" s="315" t="inlineStr">
        <is>
          <t>ONEYJKTG56482600</t>
        </is>
      </c>
      <c r="Z275" s="317" t="n">
        <v>46240</v>
      </c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20</v>
      </c>
      <c r="I276" s="311" t="inlineStr"/>
      <c r="J276" s="311" t="inlineStr"/>
      <c r="K276" s="309" t="inlineStr">
        <is>
          <t>8IN FIRM MF MATTRESS FL</t>
        </is>
      </c>
      <c r="L276" s="310" t="inlineStr">
        <is>
          <t>WA-FMF-8F</t>
        </is>
      </c>
      <c r="M276" s="311" t="inlineStr">
        <is>
          <t>MIWU00200</t>
        </is>
      </c>
      <c r="N276" s="309" t="inlineStr">
        <is>
          <t>F.MFM.08F.000.BU</t>
        </is>
      </c>
      <c r="O276" s="306" t="n"/>
      <c r="P276" s="306" t="n"/>
      <c r="Q276" s="312">
        <f>IFERROR(R276/H276, 0)</f>
        <v/>
      </c>
      <c r="R276" s="307" t="n">
        <v>1064</v>
      </c>
      <c r="S276" s="308" t="n">
        <v>18062</v>
      </c>
      <c r="T276" s="308">
        <f>IFERROR(S276*R276, 0)</f>
        <v/>
      </c>
      <c r="U276" s="313" t="n"/>
      <c r="V276" s="315" t="n"/>
      <c r="W276" s="316" t="inlineStr">
        <is>
          <t>ETD : 13-08-2026</t>
        </is>
      </c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70</v>
      </c>
      <c r="I277" s="311" t="inlineStr"/>
      <c r="J277" s="311" t="inlineStr"/>
      <c r="K277" s="309" t="inlineStr">
        <is>
          <t>10IN MEDIUM MFM FL</t>
        </is>
      </c>
      <c r="L277" s="310" t="inlineStr">
        <is>
          <t>WA-MMF-10F-IN</t>
        </is>
      </c>
      <c r="M277" s="311" t="inlineStr">
        <is>
          <t>MIWU00200</t>
        </is>
      </c>
      <c r="N277" s="309" t="inlineStr">
        <is>
          <t>F.MFM.10F.005.BU</t>
        </is>
      </c>
      <c r="O277" s="306" t="n"/>
      <c r="P277" s="306" t="n"/>
      <c r="Q277" s="312">
        <f>IFERROR(R277/H277, 0)</f>
        <v/>
      </c>
      <c r="R277" s="307" t="n">
        <v>4226.6</v>
      </c>
      <c r="S277" s="308" t="n">
        <v>18062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95</v>
      </c>
      <c r="I278" s="311" t="inlineStr"/>
      <c r="J278" s="311" t="inlineStr"/>
      <c r="K278" s="309" t="inlineStr">
        <is>
          <t>10IN MEDIUM MFM QN</t>
        </is>
      </c>
      <c r="L278" s="310" t="inlineStr">
        <is>
          <t>WA-MMF-10Q-IN</t>
        </is>
      </c>
      <c r="M278" s="311" t="inlineStr">
        <is>
          <t>MIWU00200</t>
        </is>
      </c>
      <c r="N278" s="309" t="inlineStr">
        <is>
          <t>F.MFM.10Q.005.BU</t>
        </is>
      </c>
      <c r="O278" s="306" t="n"/>
      <c r="P278" s="306" t="n"/>
      <c r="Q278" s="312">
        <f>IFERROR(R278/H278, 0)</f>
        <v/>
      </c>
      <c r="R278" s="307" t="n">
        <v>6798.2</v>
      </c>
      <c r="S278" s="308" t="n">
        <v>18062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78</v>
      </c>
      <c r="I279" s="311" t="inlineStr"/>
      <c r="J279" s="311" t="inlineStr"/>
      <c r="K279" s="309" t="inlineStr">
        <is>
          <t>10IN MEDIUM MFM TW</t>
        </is>
      </c>
      <c r="L279" s="310" t="inlineStr">
        <is>
          <t>WA-MMF-10T-IN</t>
        </is>
      </c>
      <c r="M279" s="311" t="inlineStr">
        <is>
          <t>MIWU00200</t>
        </is>
      </c>
      <c r="N279" s="309" t="inlineStr">
        <is>
          <t>F.MFM.10T.005.BU</t>
        </is>
      </c>
      <c r="O279" s="306" t="n"/>
      <c r="P279" s="306" t="n"/>
      <c r="Q279" s="312">
        <f>IFERROR(R279/H279, 0)</f>
        <v/>
      </c>
      <c r="R279" s="307" t="n">
        <v>3589.56</v>
      </c>
      <c r="S279" s="308" t="n">
        <v>18062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>
        <v>38</v>
      </c>
      <c r="I280" s="311" t="inlineStr"/>
      <c r="J280" s="311" t="inlineStr"/>
      <c r="K280" s="309" t="inlineStr">
        <is>
          <t>12IN MEDIUM MFM QN</t>
        </is>
      </c>
      <c r="L280" s="310" t="inlineStr">
        <is>
          <t>WA-MMF-12Q-IN</t>
        </is>
      </c>
      <c r="M280" s="311" t="inlineStr">
        <is>
          <t>MIWU00200</t>
        </is>
      </c>
      <c r="N280" s="309" t="inlineStr">
        <is>
          <t>F.MFM.12Q.005.BU</t>
        </is>
      </c>
      <c r="O280" s="306" t="n"/>
      <c r="P280" s="306" t="n"/>
      <c r="Q280" s="312">
        <f>IFERROR(R280/H280, 0)</f>
        <v/>
      </c>
      <c r="R280" s="307" t="n">
        <v>3076.86</v>
      </c>
      <c r="S280" s="308" t="n">
        <v>18062</v>
      </c>
      <c r="T280" s="308">
        <f>IFERROR(S280*R280, 0)</f>
        <v/>
      </c>
      <c r="U280" s="313" t="n"/>
      <c r="V280" s="315" t="n"/>
      <c r="W280" s="316" t="n"/>
      <c r="X280" s="311" t="n"/>
      <c r="Y280" s="315" t="n"/>
      <c r="Z280" s="317" t="n"/>
    </row>
    <row r="281" ht="16.5" customHeight="1" s="223">
      <c r="A281" s="322" t="n"/>
      <c r="B281" s="324" t="n"/>
      <c r="C281" s="304" t="n"/>
      <c r="D281" s="304" t="n"/>
      <c r="E281" s="317" t="n"/>
      <c r="F281" s="320" t="n"/>
      <c r="G281" s="317" t="n"/>
      <c r="H281" s="311" t="n">
        <v>20</v>
      </c>
      <c r="I281" s="311" t="inlineStr"/>
      <c r="J281" s="311" t="inlineStr"/>
      <c r="K281" s="309" t="inlineStr">
        <is>
          <t>14IN MEDIUM MFM QN</t>
        </is>
      </c>
      <c r="L281" s="310" t="inlineStr">
        <is>
          <t>WA-MMF-14Q-IN</t>
        </is>
      </c>
      <c r="M281" s="311" t="inlineStr">
        <is>
          <t>MIWU00200</t>
        </is>
      </c>
      <c r="N281" s="309" t="inlineStr">
        <is>
          <t>F.MFM.14Q.000.BU</t>
        </is>
      </c>
      <c r="O281" s="306" t="n"/>
      <c r="P281" s="306" t="n"/>
      <c r="Q281" s="312">
        <f>IFERROR(R281/H281, 0)</f>
        <v/>
      </c>
      <c r="R281" s="307" t="n">
        <v>1813.4</v>
      </c>
      <c r="S281" s="308" t="n">
        <v>18062</v>
      </c>
      <c r="T281" s="308">
        <f>IFERROR(S281*R281, 0)</f>
        <v/>
      </c>
      <c r="U281" s="313" t="n"/>
      <c r="V281" s="315" t="n"/>
      <c r="W281" s="316" t="n"/>
      <c r="X281" s="311" t="n"/>
      <c r="Y281" s="315" t="n"/>
      <c r="Z281" s="317" t="n"/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>
        <v>65</v>
      </c>
      <c r="I282" s="311" t="inlineStr"/>
      <c r="J282" s="311" t="inlineStr"/>
      <c r="K282" s="309" t="inlineStr">
        <is>
          <t>6IN MEDIUM MFM TW</t>
        </is>
      </c>
      <c r="L282" s="310" t="inlineStr">
        <is>
          <t>WA-MMF-6T-IN</t>
        </is>
      </c>
      <c r="M282" s="311" t="inlineStr">
        <is>
          <t>MIWU00200</t>
        </is>
      </c>
      <c r="N282" s="309" t="inlineStr">
        <is>
          <t>F.MFM.06T.002.BU</t>
        </is>
      </c>
      <c r="O282" s="306" t="n"/>
      <c r="P282" s="306" t="n"/>
      <c r="Q282" s="312">
        <f>IFERROR(R282/H282, 0)</f>
        <v/>
      </c>
      <c r="R282" s="307" t="n">
        <v>2086.5</v>
      </c>
      <c r="S282" s="308" t="n">
        <v>18062</v>
      </c>
      <c r="T282" s="308">
        <f>IFERROR(S282*R282, 0)</f>
        <v/>
      </c>
      <c r="U282" s="313" t="n"/>
      <c r="V282" s="315" t="n"/>
      <c r="W282" s="316" t="n"/>
      <c r="X282" s="311" t="n"/>
      <c r="Y282" s="315" t="n"/>
      <c r="Z282" s="317" t="n"/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>
        <v>70</v>
      </c>
      <c r="I283" s="311" t="inlineStr"/>
      <c r="J283" s="311" t="inlineStr"/>
      <c r="K283" s="309" t="inlineStr">
        <is>
          <t>8IN MEDIUM MFM TW</t>
        </is>
      </c>
      <c r="L283" s="310" t="inlineStr">
        <is>
          <t>WA-MMF-8T-IN</t>
        </is>
      </c>
      <c r="M283" s="311" t="inlineStr">
        <is>
          <t>MIWU00200</t>
        </is>
      </c>
      <c r="N283" s="309" t="inlineStr">
        <is>
          <t>F.MFM.08T.005.BU</t>
        </is>
      </c>
      <c r="O283" s="306" t="n"/>
      <c r="P283" s="306" t="n"/>
      <c r="Q283" s="312">
        <f>IFERROR(R283/H283, 0)</f>
        <v/>
      </c>
      <c r="R283" s="307" t="n">
        <v>2721.6</v>
      </c>
      <c r="S283" s="308" t="n">
        <v>18062</v>
      </c>
      <c r="T283" s="308">
        <f>IFERROR(S283*R283, 0)</f>
        <v/>
      </c>
      <c r="U283" s="313" t="n"/>
      <c r="V283" s="315" t="n"/>
      <c r="W283" s="316" t="n"/>
      <c r="X283" s="311" t="n"/>
      <c r="Y283" s="315" t="n"/>
      <c r="Z283" s="317" t="n"/>
    </row>
    <row r="284" ht="16.5" customHeight="1" s="223">
      <c r="A284" s="322" t="n"/>
      <c r="B284" s="324" t="n"/>
      <c r="C284" s="304" t="n"/>
      <c r="D284" s="304" t="n"/>
      <c r="E284" s="317" t="n"/>
      <c r="F284" s="320" t="n"/>
      <c r="G284" s="317" t="n"/>
      <c r="H284" s="311" t="n">
        <v>20</v>
      </c>
      <c r="I284" s="311" t="inlineStr"/>
      <c r="J284" s="311" t="inlineStr"/>
      <c r="K284" s="309" t="inlineStr">
        <is>
          <t>10IN PLUSH MFM TW</t>
        </is>
      </c>
      <c r="L284" s="310" t="inlineStr">
        <is>
          <t>WA-PMF-10T-IN</t>
        </is>
      </c>
      <c r="M284" s="311" t="inlineStr">
        <is>
          <t>MIWU00200</t>
        </is>
      </c>
      <c r="N284" s="309" t="inlineStr">
        <is>
          <t>F.MFM.10T.006.BU</t>
        </is>
      </c>
      <c r="O284" s="306" t="n"/>
      <c r="P284" s="306" t="n"/>
      <c r="Q284" s="312">
        <f>IFERROR(R284/H284, 0)</f>
        <v/>
      </c>
      <c r="R284" s="307" t="n">
        <v>961.4</v>
      </c>
      <c r="S284" s="308" t="n">
        <v>18062</v>
      </c>
      <c r="T284" s="308">
        <f>IFERROR(S284*R284, 0)</f>
        <v/>
      </c>
      <c r="U284" s="313" t="n"/>
      <c r="V284" s="315" t="n"/>
      <c r="W284" s="316" t="n"/>
      <c r="X284" s="311" t="n"/>
      <c r="Y284" s="315" t="n"/>
      <c r="Z284" s="317" t="n"/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>
        <v>20</v>
      </c>
      <c r="I285" s="311" t="inlineStr"/>
      <c r="J285" s="311" t="inlineStr"/>
      <c r="K285" s="309" t="inlineStr">
        <is>
          <t>12IN PLUSH MFM EK</t>
        </is>
      </c>
      <c r="L285" s="310" t="inlineStr">
        <is>
          <t>WA-PMF-12K-IN</t>
        </is>
      </c>
      <c r="M285" s="311" t="inlineStr">
        <is>
          <t>MIWU00200</t>
        </is>
      </c>
      <c r="N285" s="309" t="inlineStr">
        <is>
          <t>F.MFM.12K.006.BU</t>
        </is>
      </c>
      <c r="O285" s="306" t="n"/>
      <c r="P285" s="306" t="n"/>
      <c r="Q285" s="312">
        <f>IFERROR(R285/H285, 0)</f>
        <v/>
      </c>
      <c r="R285" s="307" t="n">
        <v>2096.2</v>
      </c>
      <c r="S285" s="308" t="n">
        <v>18062</v>
      </c>
      <c r="T285" s="308">
        <f>IFERROR(S285*R285, 0)</f>
        <v/>
      </c>
      <c r="U285" s="313" t="n"/>
      <c r="V285" s="315" t="n"/>
      <c r="W285" s="316" t="n"/>
      <c r="X285" s="311" t="n"/>
      <c r="Y285" s="315" t="n"/>
      <c r="Z285" s="317" t="n"/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>
        <v>20</v>
      </c>
      <c r="I286" s="311" t="inlineStr"/>
      <c r="J286" s="311" t="inlineStr"/>
      <c r="K286" s="309" t="inlineStr">
        <is>
          <t>12IN PLUSH MFM QN</t>
        </is>
      </c>
      <c r="L286" s="310" t="inlineStr">
        <is>
          <t>WA-PMF-12Q-IN</t>
        </is>
      </c>
      <c r="M286" s="311" t="inlineStr">
        <is>
          <t>MIWU00200</t>
        </is>
      </c>
      <c r="N286" s="309" t="inlineStr">
        <is>
          <t>F.MFM.12Q.006.BU</t>
        </is>
      </c>
      <c r="O286" s="306" t="n"/>
      <c r="P286" s="306" t="n"/>
      <c r="Q286" s="312">
        <f>IFERROR(R286/H286, 0)</f>
        <v/>
      </c>
      <c r="R286" s="307" t="n">
        <v>1712.4</v>
      </c>
      <c r="S286" s="308" t="n">
        <v>18062</v>
      </c>
      <c r="T286" s="308">
        <f>IFERROR(S286*R286, 0)</f>
        <v/>
      </c>
      <c r="U286" s="313" t="n"/>
      <c r="V286" s="315" t="n"/>
      <c r="W286" s="316" t="n"/>
      <c r="X286" s="311" t="n"/>
      <c r="Y286" s="315" t="n"/>
      <c r="Z286" s="317" t="n"/>
    </row>
    <row r="287" ht="16.5" customHeight="1" s="223">
      <c r="A287" s="322" t="n"/>
      <c r="B287" s="324" t="n"/>
      <c r="C287" s="304" t="n"/>
      <c r="D287" s="304" t="n"/>
      <c r="E287" s="317" t="n"/>
      <c r="F287" s="320" t="n"/>
      <c r="G287" s="317" t="n"/>
      <c r="H287" s="311" t="n">
        <v>20</v>
      </c>
      <c r="I287" s="311" t="inlineStr"/>
      <c r="J287" s="311" t="inlineStr"/>
      <c r="K287" s="309" t="inlineStr">
        <is>
          <t>12IN PLUSH MFM TW</t>
        </is>
      </c>
      <c r="L287" s="310" t="inlineStr">
        <is>
          <t>WA-PMF-12T-IN</t>
        </is>
      </c>
      <c r="M287" s="311" t="inlineStr">
        <is>
          <t>MIWU00200</t>
        </is>
      </c>
      <c r="N287" s="309" t="inlineStr">
        <is>
          <t>F.MFM.12T.006.BU</t>
        </is>
      </c>
      <c r="O287" s="306" t="n"/>
      <c r="P287" s="306" t="n"/>
      <c r="Q287" s="312">
        <f>IFERROR(R287/H287, 0)</f>
        <v/>
      </c>
      <c r="R287" s="307" t="n">
        <v>1114.4</v>
      </c>
      <c r="S287" s="308" t="n">
        <v>18062</v>
      </c>
      <c r="T287" s="308">
        <f>IFERROR(S287*R287, 0)</f>
        <v/>
      </c>
      <c r="U287" s="313" t="n"/>
      <c r="V287" s="315" t="n"/>
      <c r="W287" s="316" t="n"/>
      <c r="X287" s="311" t="n"/>
      <c r="Y287" s="315" t="n"/>
      <c r="Z287" s="317" t="n"/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>
        <v>20</v>
      </c>
      <c r="I288" s="311" t="inlineStr"/>
      <c r="J288" s="311" t="inlineStr"/>
      <c r="K288" s="309" t="inlineStr">
        <is>
          <t>8IN PLUSH MFM FL</t>
        </is>
      </c>
      <c r="L288" s="310" t="inlineStr">
        <is>
          <t>WA-PMF-8F-IN</t>
        </is>
      </c>
      <c r="M288" s="311" t="inlineStr">
        <is>
          <t>MIWU00200</t>
        </is>
      </c>
      <c r="N288" s="309" t="inlineStr">
        <is>
          <t>F.MFM.08F.006.BU</t>
        </is>
      </c>
      <c r="O288" s="306" t="n"/>
      <c r="P288" s="306" t="n"/>
      <c r="Q288" s="312">
        <f>IFERROR(R288/H288, 0)</f>
        <v/>
      </c>
      <c r="R288" s="307" t="n">
        <v>956.4</v>
      </c>
      <c r="S288" s="308" t="n">
        <v>18062</v>
      </c>
      <c r="T288" s="308">
        <f>IFERROR(S288*R288, 0)</f>
        <v/>
      </c>
      <c r="U288" s="313" t="n"/>
      <c r="V288" s="315" t="n"/>
      <c r="W288" s="316" t="n"/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SUM(H275:H288)</f>
        <v/>
      </c>
      <c r="I289" s="330">
        <f>COUNTA(I275:I288)</f>
        <v/>
      </c>
      <c r="J289" s="329" t="n"/>
      <c r="K289" s="329" t="n"/>
      <c r="L289" s="331" t="n"/>
      <c r="M289" s="329" t="n"/>
      <c r="N289" s="329" t="n"/>
      <c r="O289" s="332">
        <f>SUM(O275:O288)</f>
        <v/>
      </c>
      <c r="P289" s="332">
        <f>SUM(P275:P288)</f>
        <v/>
      </c>
      <c r="Q289" s="333" t="n"/>
      <c r="R289" s="334">
        <f>SUM(R275:R288)</f>
        <v/>
      </c>
      <c r="S289" s="335" t="n"/>
      <c r="T289" s="335">
        <f>SUM(T275:T288)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26</v>
      </c>
      <c r="B290" s="324" t="inlineStr">
        <is>
          <t>000030ZIK48020260805000576</t>
        </is>
      </c>
      <c r="C290" s="304" t="n">
        <v>490247</v>
      </c>
      <c r="D290" s="304" t="n">
        <v>490187</v>
      </c>
      <c r="E290" s="317" t="n">
        <v>46240</v>
      </c>
      <c r="F290" s="320" t="inlineStr">
        <is>
          <t>ID2608-8047</t>
        </is>
      </c>
      <c r="G290" s="317" t="n">
        <v>46239</v>
      </c>
      <c r="H290" s="311" t="n">
        <v>25</v>
      </c>
      <c r="I290" s="311" t="inlineStr">
        <is>
          <t>TCKU7926669</t>
        </is>
      </c>
      <c r="J290" s="311" t="inlineStr">
        <is>
          <t>40FT</t>
        </is>
      </c>
      <c r="K290" s="309" t="inlineStr">
        <is>
          <t>12IN FIRM MF MATTRESS QN</t>
        </is>
      </c>
      <c r="L290" s="310" t="inlineStr">
        <is>
          <t>WA-FMF-12Q</t>
        </is>
      </c>
      <c r="M290" s="311" t="inlineStr">
        <is>
          <t>MIWU00202</t>
        </is>
      </c>
      <c r="N290" s="309" t="inlineStr">
        <is>
          <t>F.MFM.12Q.000.BU</t>
        </is>
      </c>
      <c r="O290" s="306" t="n">
        <v>12535.25</v>
      </c>
      <c r="P290" s="306" t="n">
        <v>11310.65</v>
      </c>
      <c r="Q290" s="312">
        <f>IFERROR(R290/H290, 0)</f>
        <v/>
      </c>
      <c r="R290" s="307" t="n">
        <v>2055</v>
      </c>
      <c r="S290" s="308" t="n">
        <v>18062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NEW YORK, US</t>
        </is>
      </c>
      <c r="X290" s="311" t="inlineStr">
        <is>
          <t>MELLOW INC</t>
        </is>
      </c>
      <c r="Y290" s="315" t="inlineStr">
        <is>
          <t>ONEYJKTG56499700</t>
        </is>
      </c>
      <c r="Z290" s="317" t="n">
        <v>46240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>
        <v>20</v>
      </c>
      <c r="I291" s="311" t="inlineStr"/>
      <c r="J291" s="311" t="inlineStr"/>
      <c r="K291" s="309" t="inlineStr">
        <is>
          <t>8IN FIRM MF MATTRESS FL</t>
        </is>
      </c>
      <c r="L291" s="310" t="inlineStr">
        <is>
          <t>WA-FMF-8F</t>
        </is>
      </c>
      <c r="M291" s="311" t="inlineStr">
        <is>
          <t>MIWU00202</t>
        </is>
      </c>
      <c r="N291" s="309" t="inlineStr">
        <is>
          <t>F.MFM.08F.000.BU</t>
        </is>
      </c>
      <c r="O291" s="306" t="n"/>
      <c r="P291" s="306" t="n"/>
      <c r="Q291" s="312">
        <f>IFERROR(R291/H291, 0)</f>
        <v/>
      </c>
      <c r="R291" s="307" t="n">
        <v>1064</v>
      </c>
      <c r="S291" s="308" t="n">
        <v>18062</v>
      </c>
      <c r="T291" s="308">
        <f>IFERROR(S291*R291, 0)</f>
        <v/>
      </c>
      <c r="U291" s="313" t="n"/>
      <c r="V291" s="315" t="n"/>
      <c r="W291" s="316" t="inlineStr">
        <is>
          <t>ETD : 13-08-2026</t>
        </is>
      </c>
      <c r="X291" s="311" t="n"/>
      <c r="Y291" s="315" t="n"/>
      <c r="Z291" s="317" t="n"/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70</v>
      </c>
      <c r="I292" s="311" t="inlineStr"/>
      <c r="J292" s="311" t="inlineStr"/>
      <c r="K292" s="309" t="inlineStr">
        <is>
          <t>10IN MEDIUM MFM FL</t>
        </is>
      </c>
      <c r="L292" s="310" t="inlineStr">
        <is>
          <t>WA-MMF-10F-IN</t>
        </is>
      </c>
      <c r="M292" s="311" t="inlineStr">
        <is>
          <t>MIWU00202</t>
        </is>
      </c>
      <c r="N292" s="309" t="inlineStr">
        <is>
          <t>F.MFM.10F.005.BU</t>
        </is>
      </c>
      <c r="O292" s="306" t="n"/>
      <c r="P292" s="306" t="n"/>
      <c r="Q292" s="312">
        <f>IFERROR(R292/H292, 0)</f>
        <v/>
      </c>
      <c r="R292" s="307" t="n">
        <v>4226.6</v>
      </c>
      <c r="S292" s="308" t="n">
        <v>18062</v>
      </c>
      <c r="T292" s="308">
        <f>IFERROR(S292*R292, 0)</f>
        <v/>
      </c>
      <c r="U292" s="313" t="n"/>
      <c r="V292" s="315" t="n"/>
      <c r="W292" s="316" t="n"/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95</v>
      </c>
      <c r="I293" s="311" t="inlineStr"/>
      <c r="J293" s="311" t="inlineStr"/>
      <c r="K293" s="309" t="inlineStr">
        <is>
          <t>10IN MEDIUM MFM QN</t>
        </is>
      </c>
      <c r="L293" s="310" t="inlineStr">
        <is>
          <t>WA-MMF-10Q-IN</t>
        </is>
      </c>
      <c r="M293" s="311" t="inlineStr">
        <is>
          <t>MIWU00202</t>
        </is>
      </c>
      <c r="N293" s="309" t="inlineStr">
        <is>
          <t>F.MFM.10Q.005.BU</t>
        </is>
      </c>
      <c r="O293" s="306" t="n"/>
      <c r="P293" s="306" t="n"/>
      <c r="Q293" s="312">
        <f>IFERROR(R293/H293, 0)</f>
        <v/>
      </c>
      <c r="R293" s="307" t="n">
        <v>6798.2</v>
      </c>
      <c r="S293" s="308" t="n">
        <v>18062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78</v>
      </c>
      <c r="I294" s="311" t="inlineStr"/>
      <c r="J294" s="311" t="inlineStr"/>
      <c r="K294" s="309" t="inlineStr">
        <is>
          <t>10IN MEDIUM MFM TW</t>
        </is>
      </c>
      <c r="L294" s="310" t="inlineStr">
        <is>
          <t>WA-MMF-10T-IN</t>
        </is>
      </c>
      <c r="M294" s="311" t="inlineStr">
        <is>
          <t>MIWU00202</t>
        </is>
      </c>
      <c r="N294" s="309" t="inlineStr">
        <is>
          <t>F.MFM.10T.005.BU</t>
        </is>
      </c>
      <c r="O294" s="306" t="n"/>
      <c r="P294" s="306" t="n"/>
      <c r="Q294" s="312">
        <f>IFERROR(R294/H294, 0)</f>
        <v/>
      </c>
      <c r="R294" s="307" t="n">
        <v>3589.56</v>
      </c>
      <c r="S294" s="308" t="n">
        <v>18062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38</v>
      </c>
      <c r="I295" s="311" t="inlineStr"/>
      <c r="J295" s="311" t="inlineStr"/>
      <c r="K295" s="309" t="inlineStr">
        <is>
          <t>12IN MEDIUM MFM QN</t>
        </is>
      </c>
      <c r="L295" s="310" t="inlineStr">
        <is>
          <t>WA-MMF-12Q-IN</t>
        </is>
      </c>
      <c r="M295" s="311" t="inlineStr">
        <is>
          <t>MIWU00202</t>
        </is>
      </c>
      <c r="N295" s="309" t="inlineStr">
        <is>
          <t>F.MFM.12Q.005.BU</t>
        </is>
      </c>
      <c r="O295" s="306" t="n"/>
      <c r="P295" s="306" t="n"/>
      <c r="Q295" s="312">
        <f>IFERROR(R295/H295, 0)</f>
        <v/>
      </c>
      <c r="R295" s="307" t="n">
        <v>3076.86</v>
      </c>
      <c r="S295" s="308" t="n">
        <v>18062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20</v>
      </c>
      <c r="I296" s="311" t="inlineStr"/>
      <c r="J296" s="311" t="inlineStr"/>
      <c r="K296" s="309" t="inlineStr">
        <is>
          <t>14IN MEDIUM MFM QN</t>
        </is>
      </c>
      <c r="L296" s="310" t="inlineStr">
        <is>
          <t>WA-MMF-14Q-IN</t>
        </is>
      </c>
      <c r="M296" s="311" t="inlineStr">
        <is>
          <t>MIWU00202</t>
        </is>
      </c>
      <c r="N296" s="309" t="inlineStr">
        <is>
          <t>F.MFM.14Q.000.BU</t>
        </is>
      </c>
      <c r="O296" s="306" t="n"/>
      <c r="P296" s="306" t="n"/>
      <c r="Q296" s="312">
        <f>IFERROR(R296/H296, 0)</f>
        <v/>
      </c>
      <c r="R296" s="307" t="n">
        <v>1813.4</v>
      </c>
      <c r="S296" s="308" t="n">
        <v>18062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65</v>
      </c>
      <c r="I297" s="311" t="inlineStr"/>
      <c r="J297" s="311" t="inlineStr"/>
      <c r="K297" s="309" t="inlineStr">
        <is>
          <t>6IN MEDIUM MFM TW</t>
        </is>
      </c>
      <c r="L297" s="310" t="inlineStr">
        <is>
          <t>WA-MMF-6T-IN</t>
        </is>
      </c>
      <c r="M297" s="311" t="inlineStr">
        <is>
          <t>MIWU00202</t>
        </is>
      </c>
      <c r="N297" s="309" t="inlineStr">
        <is>
          <t>F.MFM.06T.002.BU</t>
        </is>
      </c>
      <c r="O297" s="306" t="n"/>
      <c r="P297" s="306" t="n"/>
      <c r="Q297" s="312">
        <f>IFERROR(R297/H297, 0)</f>
        <v/>
      </c>
      <c r="R297" s="307" t="n">
        <v>2086.5</v>
      </c>
      <c r="S297" s="308" t="n">
        <v>18062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70</v>
      </c>
      <c r="I298" s="311" t="inlineStr"/>
      <c r="J298" s="311" t="inlineStr"/>
      <c r="K298" s="309" t="inlineStr">
        <is>
          <t>8IN MEDIUM MFM TW</t>
        </is>
      </c>
      <c r="L298" s="310" t="inlineStr">
        <is>
          <t>WA-MMF-8T-IN</t>
        </is>
      </c>
      <c r="M298" s="311" t="inlineStr">
        <is>
          <t>MIWU00202</t>
        </is>
      </c>
      <c r="N298" s="309" t="inlineStr">
        <is>
          <t>F.MFM.08T.005.BU</t>
        </is>
      </c>
      <c r="O298" s="306" t="n"/>
      <c r="P298" s="306" t="n"/>
      <c r="Q298" s="312">
        <f>IFERROR(R298/H298, 0)</f>
        <v/>
      </c>
      <c r="R298" s="307" t="n">
        <v>2721.6</v>
      </c>
      <c r="S298" s="308" t="n">
        <v>18062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20</v>
      </c>
      <c r="I299" s="311" t="inlineStr"/>
      <c r="J299" s="311" t="inlineStr"/>
      <c r="K299" s="309" t="inlineStr">
        <is>
          <t>10IN PLUSH MFM TW</t>
        </is>
      </c>
      <c r="L299" s="310" t="inlineStr">
        <is>
          <t>WA-PMF-10T-IN</t>
        </is>
      </c>
      <c r="M299" s="311" t="inlineStr">
        <is>
          <t>MIWU00202</t>
        </is>
      </c>
      <c r="N299" s="309" t="inlineStr">
        <is>
          <t>F.MFM.10T.006.BU</t>
        </is>
      </c>
      <c r="O299" s="306" t="n"/>
      <c r="P299" s="306" t="n"/>
      <c r="Q299" s="312">
        <f>IFERROR(R299/H299, 0)</f>
        <v/>
      </c>
      <c r="R299" s="307" t="n">
        <v>961.4</v>
      </c>
      <c r="S299" s="308" t="n">
        <v>18062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20</v>
      </c>
      <c r="I300" s="311" t="inlineStr"/>
      <c r="J300" s="311" t="inlineStr"/>
      <c r="K300" s="309" t="inlineStr">
        <is>
          <t>12IN PLUSH MFM EK</t>
        </is>
      </c>
      <c r="L300" s="310" t="inlineStr">
        <is>
          <t>WA-PMF-12K-IN</t>
        </is>
      </c>
      <c r="M300" s="311" t="inlineStr">
        <is>
          <t>MIWU00202</t>
        </is>
      </c>
      <c r="N300" s="309" t="inlineStr">
        <is>
          <t>F.MFM.12K.006.BU</t>
        </is>
      </c>
      <c r="O300" s="306" t="n"/>
      <c r="P300" s="306" t="n"/>
      <c r="Q300" s="312">
        <f>IFERROR(R300/H300, 0)</f>
        <v/>
      </c>
      <c r="R300" s="307" t="n">
        <v>2096.2</v>
      </c>
      <c r="S300" s="308" t="n">
        <v>18062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20</v>
      </c>
      <c r="I301" s="311" t="inlineStr"/>
      <c r="J301" s="311" t="inlineStr"/>
      <c r="K301" s="309" t="inlineStr">
        <is>
          <t>12IN PLUSH MFM QN</t>
        </is>
      </c>
      <c r="L301" s="310" t="inlineStr">
        <is>
          <t>WA-PMF-12Q-IN</t>
        </is>
      </c>
      <c r="M301" s="311" t="inlineStr">
        <is>
          <t>MIWU00202</t>
        </is>
      </c>
      <c r="N301" s="309" t="inlineStr">
        <is>
          <t>F.MFM.12Q.006.BU</t>
        </is>
      </c>
      <c r="O301" s="306" t="n"/>
      <c r="P301" s="306" t="n"/>
      <c r="Q301" s="312">
        <f>IFERROR(R301/H301, 0)</f>
        <v/>
      </c>
      <c r="R301" s="307" t="n">
        <v>1712.4</v>
      </c>
      <c r="S301" s="308" t="n">
        <v>18062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20</v>
      </c>
      <c r="I302" s="311" t="inlineStr"/>
      <c r="J302" s="311" t="inlineStr"/>
      <c r="K302" s="309" t="inlineStr">
        <is>
          <t>12IN PLUSH MFM TW</t>
        </is>
      </c>
      <c r="L302" s="310" t="inlineStr">
        <is>
          <t>WA-PMF-12T-IN</t>
        </is>
      </c>
      <c r="M302" s="311" t="inlineStr">
        <is>
          <t>MIWU00202</t>
        </is>
      </c>
      <c r="N302" s="309" t="inlineStr">
        <is>
          <t>F.MFM.12T.006.BU</t>
        </is>
      </c>
      <c r="O302" s="306" t="n"/>
      <c r="P302" s="306" t="n"/>
      <c r="Q302" s="312">
        <f>IFERROR(R302/H302, 0)</f>
        <v/>
      </c>
      <c r="R302" s="307" t="n">
        <v>1114.4</v>
      </c>
      <c r="S302" s="308" t="n">
        <v>18062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20</v>
      </c>
      <c r="I303" s="311" t="inlineStr"/>
      <c r="J303" s="311" t="inlineStr"/>
      <c r="K303" s="309" t="inlineStr">
        <is>
          <t>8IN PLUSH MFM FL</t>
        </is>
      </c>
      <c r="L303" s="310" t="inlineStr">
        <is>
          <t>WA-PMF-8F-IN</t>
        </is>
      </c>
      <c r="M303" s="311" t="inlineStr">
        <is>
          <t>MIWU00202</t>
        </is>
      </c>
      <c r="N303" s="309" t="inlineStr">
        <is>
          <t>F.MFM.08F.006.BU</t>
        </is>
      </c>
      <c r="O303" s="306" t="n"/>
      <c r="P303" s="306" t="n"/>
      <c r="Q303" s="312">
        <f>IFERROR(R303/H303, 0)</f>
        <v/>
      </c>
      <c r="R303" s="307" t="n">
        <v>956.4</v>
      </c>
      <c r="S303" s="308" t="n">
        <v>18062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7.1" customHeight="1" s="223">
      <c r="A304" s="325" t="n"/>
      <c r="B304" s="326" t="n"/>
      <c r="C304" s="327" t="n"/>
      <c r="D304" s="327" t="n"/>
      <c r="E304" s="328" t="n"/>
      <c r="F304" s="328" t="n"/>
      <c r="G304" s="328" t="n"/>
      <c r="H304" s="329">
        <f>SUM(H290:H303)</f>
        <v/>
      </c>
      <c r="I304" s="330">
        <f>COUNTA(I290:I303)</f>
        <v/>
      </c>
      <c r="J304" s="329" t="n"/>
      <c r="K304" s="329" t="n"/>
      <c r="L304" s="331" t="n"/>
      <c r="M304" s="329" t="n"/>
      <c r="N304" s="329" t="n"/>
      <c r="O304" s="332">
        <f>SUM(O290:O303)</f>
        <v/>
      </c>
      <c r="P304" s="332">
        <f>SUM(P290:P303)</f>
        <v/>
      </c>
      <c r="Q304" s="333" t="n"/>
      <c r="R304" s="334">
        <f>SUM(R290:R303)</f>
        <v/>
      </c>
      <c r="S304" s="335" t="n"/>
      <c r="T304" s="335">
        <f>SUM(T290:T303)</f>
        <v/>
      </c>
      <c r="U304" s="329" t="n"/>
      <c r="V304" s="336" t="n"/>
      <c r="W304" s="337" t="n"/>
      <c r="X304" s="336" t="n"/>
      <c r="Y304" s="336" t="n"/>
      <c r="Z304" s="336" t="n"/>
    </row>
    <row r="305" ht="16.5" customHeight="1" s="223">
      <c r="A305" s="322" t="n">
        <v>27</v>
      </c>
      <c r="B305" s="324" t="inlineStr">
        <is>
          <t>000030ZIK48020260805000577</t>
        </is>
      </c>
      <c r="C305" s="304" t="n">
        <v>490132</v>
      </c>
      <c r="D305" s="304" t="n">
        <v>490072</v>
      </c>
      <c r="E305" s="317" t="n">
        <v>46240</v>
      </c>
      <c r="F305" s="320" t="inlineStr">
        <is>
          <t>ID2608-8048</t>
        </is>
      </c>
      <c r="G305" s="317" t="n">
        <v>46239</v>
      </c>
      <c r="H305" s="311" t="n">
        <v>25</v>
      </c>
      <c r="I305" s="311" t="inlineStr">
        <is>
          <t>GCXU5499174</t>
        </is>
      </c>
      <c r="J305" s="311" t="inlineStr">
        <is>
          <t>40FT</t>
        </is>
      </c>
      <c r="K305" s="309" t="inlineStr">
        <is>
          <t>12IN FIRM MF MATTRESS QN</t>
        </is>
      </c>
      <c r="L305" s="310" t="inlineStr">
        <is>
          <t>WA-FMF-12Q</t>
        </is>
      </c>
      <c r="M305" s="311" t="inlineStr">
        <is>
          <t>MIWU00203</t>
        </is>
      </c>
      <c r="N305" s="309" t="inlineStr">
        <is>
          <t>F.MFM.12Q.000.BU</t>
        </is>
      </c>
      <c r="O305" s="306" t="n">
        <v>12535.25</v>
      </c>
      <c r="P305" s="306" t="n">
        <v>11310.65</v>
      </c>
      <c r="Q305" s="312">
        <f>IFERROR(R305/H305, 0)</f>
        <v/>
      </c>
      <c r="R305" s="307" t="n">
        <v>2055</v>
      </c>
      <c r="S305" s="308" t="n">
        <v>18062</v>
      </c>
      <c r="T305" s="308">
        <f>IFERROR(S305*R305, 0)</f>
        <v/>
      </c>
      <c r="U305" s="313" t="inlineStr">
        <is>
          <t>040300/KPPBC</t>
        </is>
      </c>
      <c r="V305" s="315" t="inlineStr">
        <is>
          <t>TG. PRIOK</t>
        </is>
      </c>
      <c r="W305" s="316" t="inlineStr">
        <is>
          <t>NEW YORK, US</t>
        </is>
      </c>
      <c r="X305" s="311" t="inlineStr">
        <is>
          <t>MELLOW INC</t>
        </is>
      </c>
      <c r="Y305" s="315" t="inlineStr">
        <is>
          <t>ONEYJKTG56475800</t>
        </is>
      </c>
      <c r="Z305" s="317" t="n">
        <v>46240</v>
      </c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20</v>
      </c>
      <c r="I306" s="311" t="inlineStr"/>
      <c r="J306" s="311" t="inlineStr"/>
      <c r="K306" s="309" t="inlineStr">
        <is>
          <t>8IN FIRM MF MATTRESS FL</t>
        </is>
      </c>
      <c r="L306" s="310" t="inlineStr">
        <is>
          <t>WA-FMF-8F</t>
        </is>
      </c>
      <c r="M306" s="311" t="inlineStr">
        <is>
          <t>MIWU00203</t>
        </is>
      </c>
      <c r="N306" s="309" t="inlineStr">
        <is>
          <t>F.MFM.08F.000.BU</t>
        </is>
      </c>
      <c r="O306" s="306" t="n"/>
      <c r="P306" s="306" t="n"/>
      <c r="Q306" s="312">
        <f>IFERROR(R306/H306, 0)</f>
        <v/>
      </c>
      <c r="R306" s="307" t="n">
        <v>1064</v>
      </c>
      <c r="S306" s="308" t="n">
        <v>18062</v>
      </c>
      <c r="T306" s="308">
        <f>IFERROR(S306*R306, 0)</f>
        <v/>
      </c>
      <c r="U306" s="313" t="n"/>
      <c r="V306" s="315" t="n"/>
      <c r="W306" s="316" t="inlineStr">
        <is>
          <t>ETD : 13-08-2026</t>
        </is>
      </c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70</v>
      </c>
      <c r="I307" s="311" t="inlineStr"/>
      <c r="J307" s="311" t="inlineStr"/>
      <c r="K307" s="309" t="inlineStr">
        <is>
          <t>10IN MEDIUM MFM FL</t>
        </is>
      </c>
      <c r="L307" s="310" t="inlineStr">
        <is>
          <t>WA-MMF-10F-IN</t>
        </is>
      </c>
      <c r="M307" s="311" t="inlineStr">
        <is>
          <t>MIWU00203</t>
        </is>
      </c>
      <c r="N307" s="309" t="inlineStr">
        <is>
          <t>F.MFM.10F.005.BU</t>
        </is>
      </c>
      <c r="O307" s="306" t="n"/>
      <c r="P307" s="306" t="n"/>
      <c r="Q307" s="312">
        <f>IFERROR(R307/H307, 0)</f>
        <v/>
      </c>
      <c r="R307" s="307" t="n">
        <v>4226.6</v>
      </c>
      <c r="S307" s="308" t="n">
        <v>18062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95</v>
      </c>
      <c r="I308" s="311" t="inlineStr"/>
      <c r="J308" s="311" t="inlineStr"/>
      <c r="K308" s="309" t="inlineStr">
        <is>
          <t>10IN MEDIUM MFM QN</t>
        </is>
      </c>
      <c r="L308" s="310" t="inlineStr">
        <is>
          <t>WA-MMF-10Q-IN</t>
        </is>
      </c>
      <c r="M308" s="311" t="inlineStr">
        <is>
          <t>MIWU00203</t>
        </is>
      </c>
      <c r="N308" s="309" t="inlineStr">
        <is>
          <t>F.MFM.10Q.005.BU</t>
        </is>
      </c>
      <c r="O308" s="306" t="n"/>
      <c r="P308" s="306" t="n"/>
      <c r="Q308" s="312">
        <f>IFERROR(R308/H308, 0)</f>
        <v/>
      </c>
      <c r="R308" s="307" t="n">
        <v>6798.2</v>
      </c>
      <c r="S308" s="308" t="n">
        <v>18062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78</v>
      </c>
      <c r="I309" s="311" t="inlineStr"/>
      <c r="J309" s="311" t="inlineStr"/>
      <c r="K309" s="309" t="inlineStr">
        <is>
          <t>10IN MEDIUM MFM TW</t>
        </is>
      </c>
      <c r="L309" s="310" t="inlineStr">
        <is>
          <t>WA-MMF-10T-IN</t>
        </is>
      </c>
      <c r="M309" s="311" t="inlineStr">
        <is>
          <t>MIWU00203</t>
        </is>
      </c>
      <c r="N309" s="309" t="inlineStr">
        <is>
          <t>F.MFM.10T.005.BU</t>
        </is>
      </c>
      <c r="O309" s="306" t="n"/>
      <c r="P309" s="306" t="n"/>
      <c r="Q309" s="312">
        <f>IFERROR(R309/H309, 0)</f>
        <v/>
      </c>
      <c r="R309" s="307" t="n">
        <v>3589.56</v>
      </c>
      <c r="S309" s="308" t="n">
        <v>18062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38</v>
      </c>
      <c r="I310" s="311" t="inlineStr"/>
      <c r="J310" s="311" t="inlineStr"/>
      <c r="K310" s="309" t="inlineStr">
        <is>
          <t>12IN MEDIUM MFM QN</t>
        </is>
      </c>
      <c r="L310" s="310" t="inlineStr">
        <is>
          <t>WA-MMF-12Q-IN</t>
        </is>
      </c>
      <c r="M310" s="311" t="inlineStr">
        <is>
          <t>MIWU00203</t>
        </is>
      </c>
      <c r="N310" s="309" t="inlineStr">
        <is>
          <t>F.MFM.12Q.005.BU</t>
        </is>
      </c>
      <c r="O310" s="306" t="n"/>
      <c r="P310" s="306" t="n"/>
      <c r="Q310" s="312">
        <f>IFERROR(R310/H310, 0)</f>
        <v/>
      </c>
      <c r="R310" s="307" t="n">
        <v>3076.86</v>
      </c>
      <c r="S310" s="308" t="n">
        <v>18062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20</v>
      </c>
      <c r="I311" s="311" t="inlineStr"/>
      <c r="J311" s="311" t="inlineStr"/>
      <c r="K311" s="309" t="inlineStr">
        <is>
          <t>14IN MEDIUM MFM QN</t>
        </is>
      </c>
      <c r="L311" s="310" t="inlineStr">
        <is>
          <t>WA-MMF-14Q-IN</t>
        </is>
      </c>
      <c r="M311" s="311" t="inlineStr">
        <is>
          <t>MIWU00203</t>
        </is>
      </c>
      <c r="N311" s="309" t="inlineStr">
        <is>
          <t>F.MFM.14Q.000.BU</t>
        </is>
      </c>
      <c r="O311" s="306" t="n"/>
      <c r="P311" s="306" t="n"/>
      <c r="Q311" s="312">
        <f>IFERROR(R311/H311, 0)</f>
        <v/>
      </c>
      <c r="R311" s="307" t="n">
        <v>1813.4</v>
      </c>
      <c r="S311" s="308" t="n">
        <v>18062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65</v>
      </c>
      <c r="I312" s="311" t="inlineStr"/>
      <c r="J312" s="311" t="inlineStr"/>
      <c r="K312" s="309" t="inlineStr">
        <is>
          <t>6IN MEDIUM MFM TW</t>
        </is>
      </c>
      <c r="L312" s="310" t="inlineStr">
        <is>
          <t>WA-MMF-6T-IN</t>
        </is>
      </c>
      <c r="M312" s="311" t="inlineStr">
        <is>
          <t>MIWU00203</t>
        </is>
      </c>
      <c r="N312" s="309" t="inlineStr">
        <is>
          <t>F.MFM.06T.002.BU</t>
        </is>
      </c>
      <c r="O312" s="306" t="n"/>
      <c r="P312" s="306" t="n"/>
      <c r="Q312" s="312">
        <f>IFERROR(R312/H312, 0)</f>
        <v/>
      </c>
      <c r="R312" s="307" t="n">
        <v>2086.5</v>
      </c>
      <c r="S312" s="308" t="n">
        <v>18062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70</v>
      </c>
      <c r="I313" s="311" t="inlineStr"/>
      <c r="J313" s="311" t="inlineStr"/>
      <c r="K313" s="309" t="inlineStr">
        <is>
          <t>8IN MEDIUM MFM TW</t>
        </is>
      </c>
      <c r="L313" s="310" t="inlineStr">
        <is>
          <t>WA-MMF-8T-IN</t>
        </is>
      </c>
      <c r="M313" s="311" t="inlineStr">
        <is>
          <t>MIWU00203</t>
        </is>
      </c>
      <c r="N313" s="309" t="inlineStr">
        <is>
          <t>F.MFM.08T.005.BU</t>
        </is>
      </c>
      <c r="O313" s="306" t="n"/>
      <c r="P313" s="306" t="n"/>
      <c r="Q313" s="312">
        <f>IFERROR(R313/H313, 0)</f>
        <v/>
      </c>
      <c r="R313" s="307" t="n">
        <v>2721.6</v>
      </c>
      <c r="S313" s="308" t="n">
        <v>18062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20</v>
      </c>
      <c r="I314" s="311" t="inlineStr"/>
      <c r="J314" s="311" t="inlineStr"/>
      <c r="K314" s="309" t="inlineStr">
        <is>
          <t>10IN PLUSH MFM TW</t>
        </is>
      </c>
      <c r="L314" s="310" t="inlineStr">
        <is>
          <t>WA-PMF-10T-IN</t>
        </is>
      </c>
      <c r="M314" s="311" t="inlineStr">
        <is>
          <t>MIWU00203</t>
        </is>
      </c>
      <c r="N314" s="309" t="inlineStr">
        <is>
          <t>F.MFM.10T.006.BU</t>
        </is>
      </c>
      <c r="O314" s="306" t="n"/>
      <c r="P314" s="306" t="n"/>
      <c r="Q314" s="312">
        <f>IFERROR(R314/H314, 0)</f>
        <v/>
      </c>
      <c r="R314" s="307" t="n">
        <v>961.4</v>
      </c>
      <c r="S314" s="308" t="n">
        <v>18062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20</v>
      </c>
      <c r="I315" s="311" t="inlineStr"/>
      <c r="J315" s="311" t="inlineStr"/>
      <c r="K315" s="309" t="inlineStr">
        <is>
          <t>12IN PLUSH MFM EK</t>
        </is>
      </c>
      <c r="L315" s="310" t="inlineStr">
        <is>
          <t>WA-PMF-12K-IN</t>
        </is>
      </c>
      <c r="M315" s="311" t="inlineStr">
        <is>
          <t>MIWU00203</t>
        </is>
      </c>
      <c r="N315" s="309" t="inlineStr">
        <is>
          <t>F.MFM.12K.006.BU</t>
        </is>
      </c>
      <c r="O315" s="306" t="n"/>
      <c r="P315" s="306" t="n"/>
      <c r="Q315" s="312">
        <f>IFERROR(R315/H315, 0)</f>
        <v/>
      </c>
      <c r="R315" s="307" t="n">
        <v>2096.2</v>
      </c>
      <c r="S315" s="308" t="n">
        <v>18062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20</v>
      </c>
      <c r="I316" s="311" t="inlineStr"/>
      <c r="J316" s="311" t="inlineStr"/>
      <c r="K316" s="309" t="inlineStr">
        <is>
          <t>12IN PLUSH MFM QN</t>
        </is>
      </c>
      <c r="L316" s="310" t="inlineStr">
        <is>
          <t>WA-PMF-12Q-IN</t>
        </is>
      </c>
      <c r="M316" s="311" t="inlineStr">
        <is>
          <t>MIWU00203</t>
        </is>
      </c>
      <c r="N316" s="309" t="inlineStr">
        <is>
          <t>F.MFM.12Q.006.BU</t>
        </is>
      </c>
      <c r="O316" s="306" t="n"/>
      <c r="P316" s="306" t="n"/>
      <c r="Q316" s="312">
        <f>IFERROR(R316/H316, 0)</f>
        <v/>
      </c>
      <c r="R316" s="307" t="n">
        <v>1712.4</v>
      </c>
      <c r="S316" s="308" t="n">
        <v>18062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20</v>
      </c>
      <c r="I317" s="311" t="inlineStr"/>
      <c r="J317" s="311" t="inlineStr"/>
      <c r="K317" s="309" t="inlineStr">
        <is>
          <t>12IN PLUSH MFM TW</t>
        </is>
      </c>
      <c r="L317" s="310" t="inlineStr">
        <is>
          <t>WA-PMF-12T-IN</t>
        </is>
      </c>
      <c r="M317" s="311" t="inlineStr">
        <is>
          <t>MIWU00203</t>
        </is>
      </c>
      <c r="N317" s="309" t="inlineStr">
        <is>
          <t>F.MFM.12T.006.BU</t>
        </is>
      </c>
      <c r="O317" s="306" t="n"/>
      <c r="P317" s="306" t="n"/>
      <c r="Q317" s="312">
        <f>IFERROR(R317/H317, 0)</f>
        <v/>
      </c>
      <c r="R317" s="307" t="n">
        <v>1114.4</v>
      </c>
      <c r="S317" s="308" t="n">
        <v>18062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20</v>
      </c>
      <c r="I318" s="311" t="inlineStr"/>
      <c r="J318" s="311" t="inlineStr"/>
      <c r="K318" s="309" t="inlineStr">
        <is>
          <t>8IN PLUSH MFM FL</t>
        </is>
      </c>
      <c r="L318" s="310" t="inlineStr">
        <is>
          <t>WA-PMF-8F-IN</t>
        </is>
      </c>
      <c r="M318" s="311" t="inlineStr">
        <is>
          <t>MIWU00203</t>
        </is>
      </c>
      <c r="N318" s="309" t="inlineStr">
        <is>
          <t>F.MFM.08F.006.BU</t>
        </is>
      </c>
      <c r="O318" s="306" t="n"/>
      <c r="P318" s="306" t="n"/>
      <c r="Q318" s="312">
        <f>IFERROR(R318/H318, 0)</f>
        <v/>
      </c>
      <c r="R318" s="307" t="n">
        <v>956.4</v>
      </c>
      <c r="S318" s="308" t="n">
        <v>18062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7.1" customHeight="1" s="223">
      <c r="A319" s="325" t="n"/>
      <c r="B319" s="326" t="n"/>
      <c r="C319" s="327" t="n"/>
      <c r="D319" s="327" t="n"/>
      <c r="E319" s="328" t="n"/>
      <c r="F319" s="328" t="n"/>
      <c r="G319" s="328" t="n"/>
      <c r="H319" s="329">
        <f>SUM(H305:H318)</f>
        <v/>
      </c>
      <c r="I319" s="330">
        <f>COUNTA(I305:I318)</f>
        <v/>
      </c>
      <c r="J319" s="329" t="n"/>
      <c r="K319" s="329" t="n"/>
      <c r="L319" s="331" t="n"/>
      <c r="M319" s="329" t="n"/>
      <c r="N319" s="329" t="n"/>
      <c r="O319" s="332">
        <f>SUM(O305:O318)</f>
        <v/>
      </c>
      <c r="P319" s="332">
        <f>SUM(P305:P318)</f>
        <v/>
      </c>
      <c r="Q319" s="333" t="n"/>
      <c r="R319" s="334">
        <f>SUM(R305:R318)</f>
        <v/>
      </c>
      <c r="S319" s="335" t="n"/>
      <c r="T319" s="335">
        <f>SUM(T305:T318)</f>
        <v/>
      </c>
      <c r="U319" s="329" t="n"/>
      <c r="V319" s="336" t="n"/>
      <c r="W319" s="337" t="n"/>
      <c r="X319" s="336" t="n"/>
      <c r="Y319" s="336" t="n"/>
      <c r="Z319" s="336" t="n"/>
    </row>
    <row r="320" ht="16.5" customHeight="1" s="223">
      <c r="A320" s="322" t="n">
        <v>28</v>
      </c>
      <c r="B320" s="324" t="inlineStr">
        <is>
          <t>000030ZIK48020260805000578</t>
        </is>
      </c>
      <c r="C320" s="304" t="n">
        <v>489968</v>
      </c>
      <c r="D320" s="304" t="n">
        <v>489908</v>
      </c>
      <c r="E320" s="317" t="n">
        <v>46240</v>
      </c>
      <c r="F320" s="320" t="inlineStr">
        <is>
          <t>ID2608-8049</t>
        </is>
      </c>
      <c r="G320" s="317" t="n">
        <v>46239</v>
      </c>
      <c r="H320" s="311" t="n">
        <v>25</v>
      </c>
      <c r="I320" s="311" t="inlineStr">
        <is>
          <t>NYKU4893235</t>
        </is>
      </c>
      <c r="J320" s="311" t="inlineStr">
        <is>
          <t>40FT</t>
        </is>
      </c>
      <c r="K320" s="309" t="inlineStr">
        <is>
          <t>12IN FIRM MF MATTRESS QN</t>
        </is>
      </c>
      <c r="L320" s="310" t="inlineStr">
        <is>
          <t>WA-FMF-12Q</t>
        </is>
      </c>
      <c r="M320" s="311" t="inlineStr">
        <is>
          <t>MIWU00204</t>
        </is>
      </c>
      <c r="N320" s="309" t="inlineStr">
        <is>
          <t>F.MFM.12Q.000.BU</t>
        </is>
      </c>
      <c r="O320" s="306" t="n">
        <v>12535.25</v>
      </c>
      <c r="P320" s="306" t="n">
        <v>11310.65</v>
      </c>
      <c r="Q320" s="312">
        <f>IFERROR(R320/H320, 0)</f>
        <v/>
      </c>
      <c r="R320" s="307" t="n">
        <v>2055</v>
      </c>
      <c r="S320" s="308" t="n">
        <v>18062</v>
      </c>
      <c r="T320" s="308">
        <f>IFERROR(S320*R320, 0)</f>
        <v/>
      </c>
      <c r="U320" s="313" t="inlineStr">
        <is>
          <t>040300/KPPBC</t>
        </is>
      </c>
      <c r="V320" s="315" t="inlineStr">
        <is>
          <t>TG. PRIOK</t>
        </is>
      </c>
      <c r="W320" s="316" t="inlineStr">
        <is>
          <t>NEW YORK, US</t>
        </is>
      </c>
      <c r="X320" s="311" t="inlineStr">
        <is>
          <t>MELLOW INC</t>
        </is>
      </c>
      <c r="Y320" s="315" t="inlineStr">
        <is>
          <t>ONEYJKTG56476900</t>
        </is>
      </c>
      <c r="Z320" s="317" t="n">
        <v>46240</v>
      </c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20</v>
      </c>
      <c r="I321" s="311" t="inlineStr"/>
      <c r="J321" s="311" t="inlineStr"/>
      <c r="K321" s="309" t="inlineStr">
        <is>
          <t>8IN FIRM MF MATTRESS FL</t>
        </is>
      </c>
      <c r="L321" s="310" t="inlineStr">
        <is>
          <t>WA-FMF-8F</t>
        </is>
      </c>
      <c r="M321" s="311" t="inlineStr">
        <is>
          <t>MIWU00204</t>
        </is>
      </c>
      <c r="N321" s="309" t="inlineStr">
        <is>
          <t>F.MFM.08F.000.BU</t>
        </is>
      </c>
      <c r="O321" s="306" t="n"/>
      <c r="P321" s="306" t="n"/>
      <c r="Q321" s="312">
        <f>IFERROR(R321/H321, 0)</f>
        <v/>
      </c>
      <c r="R321" s="307" t="n">
        <v>1064</v>
      </c>
      <c r="S321" s="308" t="n">
        <v>18062</v>
      </c>
      <c r="T321" s="308">
        <f>IFERROR(S321*R321, 0)</f>
        <v/>
      </c>
      <c r="U321" s="313" t="n"/>
      <c r="V321" s="315" t="n"/>
      <c r="W321" s="316" t="inlineStr">
        <is>
          <t>ETD : 13-08-2026</t>
        </is>
      </c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70</v>
      </c>
      <c r="I322" s="311" t="inlineStr"/>
      <c r="J322" s="311" t="inlineStr"/>
      <c r="K322" s="309" t="inlineStr">
        <is>
          <t>10IN MEDIUM MFM FL</t>
        </is>
      </c>
      <c r="L322" s="310" t="inlineStr">
        <is>
          <t>WA-MMF-10F-IN</t>
        </is>
      </c>
      <c r="M322" s="311" t="inlineStr">
        <is>
          <t>MIWU00204</t>
        </is>
      </c>
      <c r="N322" s="309" t="inlineStr">
        <is>
          <t>F.MFM.10F.005.BU</t>
        </is>
      </c>
      <c r="O322" s="306" t="n"/>
      <c r="P322" s="306" t="n"/>
      <c r="Q322" s="312">
        <f>IFERROR(R322/H322, 0)</f>
        <v/>
      </c>
      <c r="R322" s="307" t="n">
        <v>4226.6</v>
      </c>
      <c r="S322" s="308" t="n">
        <v>18062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95</v>
      </c>
      <c r="I323" s="311" t="inlineStr"/>
      <c r="J323" s="311" t="inlineStr"/>
      <c r="K323" s="309" t="inlineStr">
        <is>
          <t>10IN MEDIUM MFM QN</t>
        </is>
      </c>
      <c r="L323" s="310" t="inlineStr">
        <is>
          <t>WA-MMF-10Q-IN</t>
        </is>
      </c>
      <c r="M323" s="311" t="inlineStr">
        <is>
          <t>MIWU00204</t>
        </is>
      </c>
      <c r="N323" s="309" t="inlineStr">
        <is>
          <t>F.MFM.10Q.005.BU</t>
        </is>
      </c>
      <c r="O323" s="306" t="n"/>
      <c r="P323" s="306" t="n"/>
      <c r="Q323" s="312">
        <f>IFERROR(R323/H323, 0)</f>
        <v/>
      </c>
      <c r="R323" s="307" t="n">
        <v>6798.2</v>
      </c>
      <c r="S323" s="308" t="n">
        <v>18062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78</v>
      </c>
      <c r="I324" s="311" t="inlineStr"/>
      <c r="J324" s="311" t="inlineStr"/>
      <c r="K324" s="309" t="inlineStr">
        <is>
          <t>10IN MEDIUM MFM TW</t>
        </is>
      </c>
      <c r="L324" s="310" t="inlineStr">
        <is>
          <t>WA-MMF-10T-IN</t>
        </is>
      </c>
      <c r="M324" s="311" t="inlineStr">
        <is>
          <t>MIWU00204</t>
        </is>
      </c>
      <c r="N324" s="309" t="inlineStr">
        <is>
          <t>F.MFM.10T.005.BU</t>
        </is>
      </c>
      <c r="O324" s="306" t="n"/>
      <c r="P324" s="306" t="n"/>
      <c r="Q324" s="312">
        <f>IFERROR(R324/H324, 0)</f>
        <v/>
      </c>
      <c r="R324" s="307" t="n">
        <v>3589.56</v>
      </c>
      <c r="S324" s="308" t="n">
        <v>18062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38</v>
      </c>
      <c r="I325" s="311" t="inlineStr"/>
      <c r="J325" s="311" t="inlineStr"/>
      <c r="K325" s="309" t="inlineStr">
        <is>
          <t>12IN MEDIUM MFM QN</t>
        </is>
      </c>
      <c r="L325" s="310" t="inlineStr">
        <is>
          <t>WA-MMF-12Q-IN</t>
        </is>
      </c>
      <c r="M325" s="311" t="inlineStr">
        <is>
          <t>MIWU00204</t>
        </is>
      </c>
      <c r="N325" s="309" t="inlineStr">
        <is>
          <t>F.MFM.12Q.005.BU</t>
        </is>
      </c>
      <c r="O325" s="306" t="n"/>
      <c r="P325" s="306" t="n"/>
      <c r="Q325" s="312">
        <f>IFERROR(R325/H325, 0)</f>
        <v/>
      </c>
      <c r="R325" s="307" t="n">
        <v>3076.86</v>
      </c>
      <c r="S325" s="308" t="n">
        <v>18062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20</v>
      </c>
      <c r="I326" s="311" t="inlineStr"/>
      <c r="J326" s="311" t="inlineStr"/>
      <c r="K326" s="309" t="inlineStr">
        <is>
          <t>14IN MEDIUM MFM QN</t>
        </is>
      </c>
      <c r="L326" s="310" t="inlineStr">
        <is>
          <t>WA-MMF-14Q-IN</t>
        </is>
      </c>
      <c r="M326" s="311" t="inlineStr">
        <is>
          <t>MIWU00204</t>
        </is>
      </c>
      <c r="N326" s="309" t="inlineStr">
        <is>
          <t>F.MFM.14Q.000.BU</t>
        </is>
      </c>
      <c r="O326" s="306" t="n"/>
      <c r="P326" s="306" t="n"/>
      <c r="Q326" s="312">
        <f>IFERROR(R326/H326, 0)</f>
        <v/>
      </c>
      <c r="R326" s="307" t="n">
        <v>1813.4</v>
      </c>
      <c r="S326" s="308" t="n">
        <v>18062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65</v>
      </c>
      <c r="I327" s="311" t="inlineStr"/>
      <c r="J327" s="311" t="inlineStr"/>
      <c r="K327" s="309" t="inlineStr">
        <is>
          <t>6IN MEDIUM MFM TW</t>
        </is>
      </c>
      <c r="L327" s="310" t="inlineStr">
        <is>
          <t>WA-MMF-6T-IN</t>
        </is>
      </c>
      <c r="M327" s="311" t="inlineStr">
        <is>
          <t>MIWU00204</t>
        </is>
      </c>
      <c r="N327" s="309" t="inlineStr">
        <is>
          <t>F.MFM.06T.002.BU</t>
        </is>
      </c>
      <c r="O327" s="306" t="n"/>
      <c r="P327" s="306" t="n"/>
      <c r="Q327" s="312">
        <f>IFERROR(R327/H327, 0)</f>
        <v/>
      </c>
      <c r="R327" s="307" t="n">
        <v>2086.5</v>
      </c>
      <c r="S327" s="308" t="n">
        <v>18062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70</v>
      </c>
      <c r="I328" s="311" t="inlineStr"/>
      <c r="J328" s="311" t="inlineStr"/>
      <c r="K328" s="309" t="inlineStr">
        <is>
          <t>8IN MEDIUM MFM TW</t>
        </is>
      </c>
      <c r="L328" s="310" t="inlineStr">
        <is>
          <t>WA-MMF-8T-IN</t>
        </is>
      </c>
      <c r="M328" s="311" t="inlineStr">
        <is>
          <t>MIWU00204</t>
        </is>
      </c>
      <c r="N328" s="309" t="inlineStr">
        <is>
          <t>F.MFM.08T.005.BU</t>
        </is>
      </c>
      <c r="O328" s="306" t="n"/>
      <c r="P328" s="306" t="n"/>
      <c r="Q328" s="312">
        <f>IFERROR(R328/H328, 0)</f>
        <v/>
      </c>
      <c r="R328" s="307" t="n">
        <v>2721.6</v>
      </c>
      <c r="S328" s="308" t="n">
        <v>18062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20</v>
      </c>
      <c r="I329" s="311" t="inlineStr"/>
      <c r="J329" s="311" t="inlineStr"/>
      <c r="K329" s="309" t="inlineStr">
        <is>
          <t>10IN PLUSH MFM TW</t>
        </is>
      </c>
      <c r="L329" s="310" t="inlineStr">
        <is>
          <t>WA-PMF-10T-IN</t>
        </is>
      </c>
      <c r="M329" s="311" t="inlineStr">
        <is>
          <t>MIWU00204</t>
        </is>
      </c>
      <c r="N329" s="309" t="inlineStr">
        <is>
          <t>F.MFM.10T.006.BU</t>
        </is>
      </c>
      <c r="O329" s="306" t="n"/>
      <c r="P329" s="306" t="n"/>
      <c r="Q329" s="312">
        <f>IFERROR(R329/H329, 0)</f>
        <v/>
      </c>
      <c r="R329" s="307" t="n">
        <v>961.4</v>
      </c>
      <c r="S329" s="308" t="n">
        <v>18062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20</v>
      </c>
      <c r="I330" s="311" t="inlineStr"/>
      <c r="J330" s="311" t="inlineStr"/>
      <c r="K330" s="309" t="inlineStr">
        <is>
          <t>12IN PLUSH MFM EK</t>
        </is>
      </c>
      <c r="L330" s="310" t="inlineStr">
        <is>
          <t>WA-PMF-12K-IN</t>
        </is>
      </c>
      <c r="M330" s="311" t="inlineStr">
        <is>
          <t>MIWU00204</t>
        </is>
      </c>
      <c r="N330" s="309" t="inlineStr">
        <is>
          <t>F.MFM.12K.006.BU</t>
        </is>
      </c>
      <c r="O330" s="306" t="n"/>
      <c r="P330" s="306" t="n"/>
      <c r="Q330" s="312">
        <f>IFERROR(R330/H330, 0)</f>
        <v/>
      </c>
      <c r="R330" s="307" t="n">
        <v>2096.2</v>
      </c>
      <c r="S330" s="308" t="n">
        <v>18062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20</v>
      </c>
      <c r="I331" s="311" t="inlineStr"/>
      <c r="J331" s="311" t="inlineStr"/>
      <c r="K331" s="309" t="inlineStr">
        <is>
          <t>12IN PLUSH MFM QN</t>
        </is>
      </c>
      <c r="L331" s="310" t="inlineStr">
        <is>
          <t>WA-PMF-12Q-IN</t>
        </is>
      </c>
      <c r="M331" s="311" t="inlineStr">
        <is>
          <t>MIWU00204</t>
        </is>
      </c>
      <c r="N331" s="309" t="inlineStr">
        <is>
          <t>F.MFM.12Q.006.BU</t>
        </is>
      </c>
      <c r="O331" s="306" t="n"/>
      <c r="P331" s="306" t="n"/>
      <c r="Q331" s="312">
        <f>IFERROR(R331/H331, 0)</f>
        <v/>
      </c>
      <c r="R331" s="307" t="n">
        <v>1712.4</v>
      </c>
      <c r="S331" s="308" t="n">
        <v>18062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20</v>
      </c>
      <c r="I332" s="311" t="inlineStr"/>
      <c r="J332" s="311" t="inlineStr"/>
      <c r="K332" s="309" t="inlineStr">
        <is>
          <t>12IN PLUSH MFM TW</t>
        </is>
      </c>
      <c r="L332" s="310" t="inlineStr">
        <is>
          <t>WA-PMF-12T-IN</t>
        </is>
      </c>
      <c r="M332" s="311" t="inlineStr">
        <is>
          <t>MIWU00204</t>
        </is>
      </c>
      <c r="N332" s="309" t="inlineStr">
        <is>
          <t>F.MFM.12T.006.BU</t>
        </is>
      </c>
      <c r="O332" s="306" t="n"/>
      <c r="P332" s="306" t="n"/>
      <c r="Q332" s="312">
        <f>IFERROR(R332/H332, 0)</f>
        <v/>
      </c>
      <c r="R332" s="307" t="n">
        <v>1114.4</v>
      </c>
      <c r="S332" s="308" t="n">
        <v>18062</v>
      </c>
      <c r="T332" s="308">
        <f>IFERROR(S332*R332, 0)</f>
        <v/>
      </c>
      <c r="U332" s="313" t="n"/>
      <c r="V332" s="315" t="n"/>
      <c r="W332" s="316" t="n"/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79" t="n"/>
      <c r="F333" s="296" t="n"/>
      <c r="G333" s="279" t="n"/>
      <c r="H333" s="51" t="n">
        <v>20</v>
      </c>
      <c r="I333" s="51" t="inlineStr"/>
      <c r="J333" s="51" t="inlineStr"/>
      <c r="K333" s="284" t="inlineStr">
        <is>
          <t>8IN PLUSH MFM FL</t>
        </is>
      </c>
      <c r="L333" s="285" t="inlineStr">
        <is>
          <t>WA-PMF-8F-IN</t>
        </is>
      </c>
      <c r="M333" s="51" t="inlineStr">
        <is>
          <t>MIWU00204</t>
        </is>
      </c>
      <c r="N333" s="284" t="inlineStr">
        <is>
          <t>F.MFM.08F.006.BU</t>
        </is>
      </c>
      <c r="O333" s="86" t="n"/>
      <c r="P333" s="86" t="n"/>
      <c r="Q333" s="318">
        <f>IFERROR(R333/H333, 0)</f>
        <v/>
      </c>
      <c r="R333" s="260" t="n">
        <v>956.4</v>
      </c>
      <c r="S333" s="261" t="n">
        <v>18062</v>
      </c>
      <c r="T333" s="261">
        <f>IFERROR(S333*R333, 0)</f>
        <v/>
      </c>
      <c r="U333" s="314" t="n"/>
      <c r="V333" s="278" t="n"/>
      <c r="W333" s="323" t="n"/>
      <c r="X333" s="51" t="n"/>
      <c r="Y333" s="278" t="n"/>
      <c r="Z333" s="279" t="n"/>
    </row>
    <row r="334" ht="17.1" customHeight="1" s="223">
      <c r="A334" s="325" t="n"/>
      <c r="B334" s="326" t="n"/>
      <c r="C334" s="327" t="n"/>
      <c r="D334" s="327" t="n"/>
      <c r="E334" s="328" t="n"/>
      <c r="F334" s="328" t="n"/>
      <c r="G334" s="328" t="n"/>
      <c r="H334" s="329">
        <f>SUM(H320:H333)</f>
        <v/>
      </c>
      <c r="I334" s="330">
        <f>COUNTA(I320:I333)</f>
        <v/>
      </c>
      <c r="J334" s="329" t="n"/>
      <c r="K334" s="329" t="n"/>
      <c r="L334" s="331" t="n"/>
      <c r="M334" s="329" t="n"/>
      <c r="N334" s="329" t="n"/>
      <c r="O334" s="332">
        <f>SUM(O320:O333)</f>
        <v/>
      </c>
      <c r="P334" s="332">
        <f>SUM(P320:P333)</f>
        <v/>
      </c>
      <c r="Q334" s="333" t="n"/>
      <c r="R334" s="334">
        <f>SUM(R320:R333)</f>
        <v/>
      </c>
      <c r="S334" s="335" t="n"/>
      <c r="T334" s="335">
        <f>SUM(T320:T333)</f>
        <v/>
      </c>
      <c r="U334" s="329" t="n"/>
      <c r="V334" s="336" t="n"/>
      <c r="W334" s="337" t="n"/>
      <c r="X334" s="336" t="n"/>
      <c r="Y334" s="336" t="n"/>
      <c r="Z334" s="336" t="n"/>
    </row>
    <row r="335" ht="16.5" customHeight="1" s="223">
      <c r="A335" s="322" t="n">
        <v>29</v>
      </c>
      <c r="B335" s="324" t="inlineStr">
        <is>
          <t>000030ZIK48020260805000579</t>
        </is>
      </c>
      <c r="C335" s="304" t="n">
        <v>490180</v>
      </c>
      <c r="D335" s="304" t="n">
        <v>490120</v>
      </c>
      <c r="E335" s="317" t="n">
        <v>46240</v>
      </c>
      <c r="F335" s="320" t="inlineStr">
        <is>
          <t>ID2608-8050</t>
        </is>
      </c>
      <c r="G335" s="317" t="n">
        <v>46239</v>
      </c>
      <c r="H335" s="311" t="n">
        <v>81</v>
      </c>
      <c r="I335" s="311" t="inlineStr">
        <is>
          <t>TRHU4606567</t>
        </is>
      </c>
      <c r="J335" s="311" t="inlineStr">
        <is>
          <t>40FT</t>
        </is>
      </c>
      <c r="K335" s="309" t="inlineStr">
        <is>
          <t>10IN MEDIUM MFM FL</t>
        </is>
      </c>
      <c r="L335" s="310" t="inlineStr">
        <is>
          <t>WA-MMF-10F-IN</t>
        </is>
      </c>
      <c r="M335" s="311" t="inlineStr">
        <is>
          <t>MIWU00194</t>
        </is>
      </c>
      <c r="N335" s="309" t="inlineStr">
        <is>
          <t>F.MFM.10F.005.BU</t>
        </is>
      </c>
      <c r="O335" s="306" t="n">
        <v>12046.7</v>
      </c>
      <c r="P335" s="306" t="n">
        <v>10876.8</v>
      </c>
      <c r="Q335" s="312">
        <f>IFERROR(R335/H335, 0)</f>
        <v/>
      </c>
      <c r="R335" s="307" t="n">
        <v>4890.78</v>
      </c>
      <c r="S335" s="308" t="n">
        <v>18062</v>
      </c>
      <c r="T335" s="308">
        <f>IFERROR(S335*R335, 0)</f>
        <v/>
      </c>
      <c r="U335" s="313" t="inlineStr">
        <is>
          <t>040300/KPPBC</t>
        </is>
      </c>
      <c r="V335" s="315" t="inlineStr">
        <is>
          <t>TG. PRIOK</t>
        </is>
      </c>
      <c r="W335" s="316" t="inlineStr">
        <is>
          <t>NEW YORK, US</t>
        </is>
      </c>
      <c r="X335" s="311" t="inlineStr">
        <is>
          <t>MELLOW INC</t>
        </is>
      </c>
      <c r="Y335" s="315" t="inlineStr">
        <is>
          <t>ONEYJKTG63472300</t>
        </is>
      </c>
      <c r="Z335" s="317" t="n">
        <v>46240</v>
      </c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42</v>
      </c>
      <c r="I336" s="311" t="inlineStr"/>
      <c r="J336" s="311" t="inlineStr"/>
      <c r="K336" s="309" t="inlineStr">
        <is>
          <t>10IN MEDIUM MFM EK</t>
        </is>
      </c>
      <c r="L336" s="310" t="inlineStr">
        <is>
          <t>WA-MMF-10K-IN</t>
        </is>
      </c>
      <c r="M336" s="311" t="inlineStr">
        <is>
          <t>MIWU00194</t>
        </is>
      </c>
      <c r="N336" s="309" t="inlineStr">
        <is>
          <t>F.MFM.10K.005.BU</t>
        </is>
      </c>
      <c r="O336" s="306" t="n"/>
      <c r="P336" s="306" t="n"/>
      <c r="Q336" s="312">
        <f>IFERROR(R336/H336, 0)</f>
        <v/>
      </c>
      <c r="R336" s="307" t="n">
        <v>3673.74</v>
      </c>
      <c r="S336" s="308" t="n">
        <v>18062</v>
      </c>
      <c r="T336" s="308">
        <f>IFERROR(S336*R336, 0)</f>
        <v/>
      </c>
      <c r="U336" s="313" t="n"/>
      <c r="V336" s="315" t="n"/>
      <c r="W336" s="316" t="inlineStr">
        <is>
          <t>ETD : 13-08-2026</t>
        </is>
      </c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65</v>
      </c>
      <c r="I337" s="311" t="inlineStr"/>
      <c r="J337" s="311" t="inlineStr"/>
      <c r="K337" s="309" t="inlineStr">
        <is>
          <t>10IN MEDIUM MFM QN</t>
        </is>
      </c>
      <c r="L337" s="310" t="inlineStr">
        <is>
          <t>WA-MMF-10Q-IN</t>
        </is>
      </c>
      <c r="M337" s="311" t="inlineStr">
        <is>
          <t>MIWU00194</t>
        </is>
      </c>
      <c r="N337" s="309" t="inlineStr">
        <is>
          <t>F.MFM.10Q.005.BU</t>
        </is>
      </c>
      <c r="O337" s="306" t="n"/>
      <c r="P337" s="306" t="n"/>
      <c r="Q337" s="312">
        <f>IFERROR(R337/H337, 0)</f>
        <v/>
      </c>
      <c r="R337" s="307" t="n">
        <v>4651.4</v>
      </c>
      <c r="S337" s="308" t="n">
        <v>18062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51</v>
      </c>
      <c r="I338" s="311" t="inlineStr"/>
      <c r="J338" s="311" t="inlineStr"/>
      <c r="K338" s="309" t="inlineStr">
        <is>
          <t>10IN MEDIUM MFM TW</t>
        </is>
      </c>
      <c r="L338" s="310" t="inlineStr">
        <is>
          <t>WA-MMF-10T-IN</t>
        </is>
      </c>
      <c r="M338" s="311" t="inlineStr">
        <is>
          <t>MIWU00194</t>
        </is>
      </c>
      <c r="N338" s="309" t="inlineStr">
        <is>
          <t>F.MFM.10T.005.BU</t>
        </is>
      </c>
      <c r="O338" s="306" t="n"/>
      <c r="P338" s="306" t="n"/>
      <c r="Q338" s="312">
        <f>IFERROR(R338/H338, 0)</f>
        <v/>
      </c>
      <c r="R338" s="307" t="n">
        <v>2347.02</v>
      </c>
      <c r="S338" s="308" t="n">
        <v>18062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6.5" customHeight="1" s="223">
      <c r="A339" s="322" t="n"/>
      <c r="B339" s="324" t="n"/>
      <c r="C339" s="304" t="n"/>
      <c r="D339" s="304" t="n"/>
      <c r="E339" s="317" t="n"/>
      <c r="F339" s="320" t="n"/>
      <c r="G339" s="317" t="n"/>
      <c r="H339" s="311" t="n">
        <v>31</v>
      </c>
      <c r="I339" s="311" t="inlineStr"/>
      <c r="J339" s="311" t="inlineStr"/>
      <c r="K339" s="309" t="inlineStr">
        <is>
          <t>12IN MEDIUM MFM FL</t>
        </is>
      </c>
      <c r="L339" s="310" t="inlineStr">
        <is>
          <t>WA-MMF-12F-IN</t>
        </is>
      </c>
      <c r="M339" s="311" t="inlineStr">
        <is>
          <t>MIWU00194</t>
        </is>
      </c>
      <c r="N339" s="309" t="inlineStr">
        <is>
          <t>F.MFM.12F.005.BU</t>
        </is>
      </c>
      <c r="O339" s="306" t="n"/>
      <c r="P339" s="306" t="n"/>
      <c r="Q339" s="312">
        <f>IFERROR(R339/H339, 0)</f>
        <v/>
      </c>
      <c r="R339" s="307" t="n">
        <v>2159.15</v>
      </c>
      <c r="S339" s="308" t="n">
        <v>18062</v>
      </c>
      <c r="T339" s="308">
        <f>IFERROR(S339*R339, 0)</f>
        <v/>
      </c>
      <c r="U339" s="313" t="n"/>
      <c r="V339" s="315" t="n"/>
      <c r="W339" s="316" t="n"/>
      <c r="X339" s="311" t="n"/>
      <c r="Y339" s="315" t="n"/>
      <c r="Z339" s="317" t="n"/>
    </row>
    <row r="340" ht="16.5" customHeight="1" s="223">
      <c r="A340" s="322" t="n"/>
      <c r="B340" s="324" t="n"/>
      <c r="C340" s="304" t="n"/>
      <c r="D340" s="304" t="n"/>
      <c r="E340" s="317" t="n"/>
      <c r="F340" s="320" t="n"/>
      <c r="G340" s="317" t="n"/>
      <c r="H340" s="311" t="n">
        <v>24</v>
      </c>
      <c r="I340" s="311" t="inlineStr"/>
      <c r="J340" s="311" t="inlineStr"/>
      <c r="K340" s="309" t="inlineStr">
        <is>
          <t>12IN MEDIUM MFM EK</t>
        </is>
      </c>
      <c r="L340" s="310" t="inlineStr">
        <is>
          <t>WA-MMF-12K-IN</t>
        </is>
      </c>
      <c r="M340" s="311" t="inlineStr">
        <is>
          <t>MIWU00194</t>
        </is>
      </c>
      <c r="N340" s="309" t="inlineStr">
        <is>
          <t>F.MFM.12K.005.BU</t>
        </is>
      </c>
      <c r="O340" s="306" t="n"/>
      <c r="P340" s="306" t="n"/>
      <c r="Q340" s="312">
        <f>IFERROR(R340/H340, 0)</f>
        <v/>
      </c>
      <c r="R340" s="307" t="n">
        <v>2372.64</v>
      </c>
      <c r="S340" s="308" t="n">
        <v>18062</v>
      </c>
      <c r="T340" s="308">
        <f>IFERROR(S340*R340, 0)</f>
        <v/>
      </c>
      <c r="U340" s="313" t="n"/>
      <c r="V340" s="315" t="n"/>
      <c r="W340" s="316" t="n"/>
      <c r="X340" s="311" t="n"/>
      <c r="Y340" s="315" t="n"/>
      <c r="Z340" s="317" t="n"/>
    </row>
    <row r="341" ht="16.5" customHeight="1" s="223">
      <c r="A341" s="322" t="n"/>
      <c r="B341" s="324" t="n"/>
      <c r="C341" s="304" t="n"/>
      <c r="D341" s="304" t="n"/>
      <c r="E341" s="317" t="n"/>
      <c r="F341" s="320" t="n"/>
      <c r="G341" s="317" t="n"/>
      <c r="H341" s="311" t="n">
        <v>70</v>
      </c>
      <c r="I341" s="311" t="inlineStr"/>
      <c r="J341" s="311" t="inlineStr"/>
      <c r="K341" s="309" t="inlineStr">
        <is>
          <t>6IN MEDIUM MFM FL</t>
        </is>
      </c>
      <c r="L341" s="310" t="inlineStr">
        <is>
          <t>WA-MMF-6F-IN</t>
        </is>
      </c>
      <c r="M341" s="311" t="inlineStr">
        <is>
          <t>MIWU00194</t>
        </is>
      </c>
      <c r="N341" s="309" t="inlineStr">
        <is>
          <t>F.MFM.06F.002.BU</t>
        </is>
      </c>
      <c r="O341" s="306" t="n"/>
      <c r="P341" s="306" t="n"/>
      <c r="Q341" s="312">
        <f>IFERROR(R341/H341, 0)</f>
        <v/>
      </c>
      <c r="R341" s="307" t="n">
        <v>2983.4</v>
      </c>
      <c r="S341" s="308" t="n">
        <v>18062</v>
      </c>
      <c r="T341" s="308">
        <f>IFERROR(S341*R341, 0)</f>
        <v/>
      </c>
      <c r="U341" s="313" t="n"/>
      <c r="V341" s="315" t="n"/>
      <c r="W341" s="316" t="n"/>
      <c r="X341" s="311" t="n"/>
      <c r="Y341" s="315" t="n"/>
      <c r="Z341" s="317" t="n"/>
    </row>
    <row r="342" ht="16.5" customHeight="1" s="223">
      <c r="A342" s="322" t="n"/>
      <c r="B342" s="324" t="n"/>
      <c r="C342" s="304" t="n"/>
      <c r="D342" s="304" t="n"/>
      <c r="E342" s="317" t="n"/>
      <c r="F342" s="320" t="n"/>
      <c r="G342" s="317" t="n"/>
      <c r="H342" s="311" t="n">
        <v>77</v>
      </c>
      <c r="I342" s="311" t="inlineStr"/>
      <c r="J342" s="311" t="inlineStr"/>
      <c r="K342" s="309" t="inlineStr">
        <is>
          <t>6IN MEDIUM MFM TW</t>
        </is>
      </c>
      <c r="L342" s="310" t="inlineStr">
        <is>
          <t>WA-MMF-6T-IN</t>
        </is>
      </c>
      <c r="M342" s="311" t="inlineStr">
        <is>
          <t>MIWU00194</t>
        </is>
      </c>
      <c r="N342" s="309" t="inlineStr">
        <is>
          <t>F.MFM.06T.002.BU</t>
        </is>
      </c>
      <c r="O342" s="306" t="n"/>
      <c r="P342" s="306" t="n"/>
      <c r="Q342" s="312">
        <f>IFERROR(R342/H342, 0)</f>
        <v/>
      </c>
      <c r="R342" s="307" t="n">
        <v>2471.7</v>
      </c>
      <c r="S342" s="308" t="n">
        <v>18062</v>
      </c>
      <c r="T342" s="308">
        <f>IFERROR(S342*R342, 0)</f>
        <v/>
      </c>
      <c r="U342" s="313" t="n"/>
      <c r="V342" s="315" t="n"/>
      <c r="W342" s="316" t="n"/>
      <c r="X342" s="311" t="n"/>
      <c r="Y342" s="315" t="n"/>
      <c r="Z342" s="317" t="n"/>
    </row>
    <row r="343" ht="16.5" customHeight="1" s="223">
      <c r="A343" s="322" t="n"/>
      <c r="B343" s="324" t="n"/>
      <c r="C343" s="304" t="n"/>
      <c r="D343" s="304" t="n"/>
      <c r="E343" s="317" t="n"/>
      <c r="F343" s="320" t="n"/>
      <c r="G343" s="317" t="n"/>
      <c r="H343" s="311" t="n">
        <v>20</v>
      </c>
      <c r="I343" s="311" t="inlineStr"/>
      <c r="J343" s="311" t="inlineStr"/>
      <c r="K343" s="309" t="inlineStr">
        <is>
          <t>6IN MEDIUM MFM TX</t>
        </is>
      </c>
      <c r="L343" s="310" t="inlineStr">
        <is>
          <t>WA-MMF-6TXL-IN</t>
        </is>
      </c>
      <c r="M343" s="311" t="inlineStr">
        <is>
          <t>MIWU00194</t>
        </is>
      </c>
      <c r="N343" s="309" t="inlineStr">
        <is>
          <t>F.MFM.06X.002.BU</t>
        </is>
      </c>
      <c r="O343" s="306" t="n"/>
      <c r="P343" s="306" t="n"/>
      <c r="Q343" s="312">
        <f>IFERROR(R343/H343, 0)</f>
        <v/>
      </c>
      <c r="R343" s="307" t="n">
        <v>680.2</v>
      </c>
      <c r="S343" s="308" t="n">
        <v>18062</v>
      </c>
      <c r="T343" s="308">
        <f>IFERROR(S343*R343, 0)</f>
        <v/>
      </c>
      <c r="U343" s="313" t="n"/>
      <c r="V343" s="315" t="n"/>
      <c r="W343" s="316" t="n"/>
      <c r="X343" s="311" t="n"/>
      <c r="Y343" s="315" t="n"/>
      <c r="Z343" s="317" t="n"/>
    </row>
    <row r="344" ht="16.5" customHeight="1" s="223">
      <c r="A344" s="322" t="n"/>
      <c r="B344" s="324" t="n"/>
      <c r="C344" s="304" t="n"/>
      <c r="D344" s="304" t="n"/>
      <c r="E344" s="317" t="n"/>
      <c r="F344" s="320" t="n"/>
      <c r="G344" s="317" t="n"/>
      <c r="H344" s="311" t="n">
        <v>50</v>
      </c>
      <c r="I344" s="311" t="inlineStr"/>
      <c r="J344" s="311" t="inlineStr"/>
      <c r="K344" s="309" t="inlineStr">
        <is>
          <t>8IN MEDIUM MFM FL</t>
        </is>
      </c>
      <c r="L344" s="310" t="inlineStr">
        <is>
          <t>WA-MMF-8F-IN</t>
        </is>
      </c>
      <c r="M344" s="311" t="inlineStr">
        <is>
          <t>MIWU00194</t>
        </is>
      </c>
      <c r="N344" s="309" t="inlineStr">
        <is>
          <t>F.MFM.08F.005.BU</t>
        </is>
      </c>
      <c r="O344" s="306" t="n"/>
      <c r="P344" s="306" t="n"/>
      <c r="Q344" s="312">
        <f>IFERROR(R344/H344, 0)</f>
        <v/>
      </c>
      <c r="R344" s="307" t="n">
        <v>2605</v>
      </c>
      <c r="S344" s="308" t="n">
        <v>18062</v>
      </c>
      <c r="T344" s="308">
        <f>IFERROR(S344*R344, 0)</f>
        <v/>
      </c>
      <c r="U344" s="313" t="n"/>
      <c r="V344" s="315" t="n"/>
      <c r="W344" s="316" t="n"/>
      <c r="X344" s="311" t="n"/>
      <c r="Y344" s="315" t="n"/>
      <c r="Z344" s="317" t="n"/>
    </row>
    <row r="345" ht="16.5" customHeight="1" s="223">
      <c r="A345" s="322" t="n"/>
      <c r="B345" s="324" t="n"/>
      <c r="C345" s="304" t="n"/>
      <c r="D345" s="304" t="n"/>
      <c r="E345" s="317" t="n"/>
      <c r="F345" s="320" t="n"/>
      <c r="G345" s="317" t="n"/>
      <c r="H345" s="311" t="n">
        <v>22</v>
      </c>
      <c r="I345" s="311" t="inlineStr"/>
      <c r="J345" s="311" t="inlineStr"/>
      <c r="K345" s="309" t="inlineStr">
        <is>
          <t>8IN MEDIUM MFM QN</t>
        </is>
      </c>
      <c r="L345" s="310" t="inlineStr">
        <is>
          <t>WA-MMF-8Q-IN</t>
        </is>
      </c>
      <c r="M345" s="311" t="inlineStr">
        <is>
          <t>MIWU00194</t>
        </is>
      </c>
      <c r="N345" s="309" t="inlineStr">
        <is>
          <t>F.MFM.08Q.005.BU</t>
        </is>
      </c>
      <c r="O345" s="306" t="n"/>
      <c r="P345" s="306" t="n"/>
      <c r="Q345" s="312">
        <f>IFERROR(R345/H345, 0)</f>
        <v/>
      </c>
      <c r="R345" s="307" t="n">
        <v>1357.18</v>
      </c>
      <c r="S345" s="308" t="n">
        <v>18062</v>
      </c>
      <c r="T345" s="308">
        <f>IFERROR(S345*R345, 0)</f>
        <v/>
      </c>
      <c r="U345" s="313" t="n"/>
      <c r="V345" s="315" t="n"/>
      <c r="W345" s="316" t="n"/>
      <c r="X345" s="311" t="n"/>
      <c r="Y345" s="315" t="n"/>
      <c r="Z345" s="317" t="n"/>
    </row>
    <row r="346" ht="16.5" customHeight="1" s="223">
      <c r="A346" s="322" t="n"/>
      <c r="B346" s="324" t="n"/>
      <c r="C346" s="304" t="n"/>
      <c r="D346" s="304" t="n"/>
      <c r="E346" s="317" t="n"/>
      <c r="F346" s="320" t="n"/>
      <c r="G346" s="317" t="n"/>
      <c r="H346" s="311" t="n">
        <v>81</v>
      </c>
      <c r="I346" s="311" t="inlineStr"/>
      <c r="J346" s="311" t="inlineStr"/>
      <c r="K346" s="309" t="inlineStr">
        <is>
          <t>8IN MEDIUM MFM TW</t>
        </is>
      </c>
      <c r="L346" s="310" t="inlineStr">
        <is>
          <t>WA-MMF-8T-IN</t>
        </is>
      </c>
      <c r="M346" s="311" t="inlineStr">
        <is>
          <t>MIWU00194</t>
        </is>
      </c>
      <c r="N346" s="309" t="inlineStr">
        <is>
          <t>F.MFM.08T.005.BU</t>
        </is>
      </c>
      <c r="O346" s="306" t="n"/>
      <c r="P346" s="306" t="n"/>
      <c r="Q346" s="312">
        <f>IFERROR(R346/H346, 0)</f>
        <v/>
      </c>
      <c r="R346" s="307" t="n">
        <v>3149.28</v>
      </c>
      <c r="S346" s="308" t="n">
        <v>18062</v>
      </c>
      <c r="T346" s="308">
        <f>IFERROR(S346*R346, 0)</f>
        <v/>
      </c>
      <c r="U346" s="313" t="n"/>
      <c r="V346" s="315" t="n"/>
      <c r="W346" s="316" t="n"/>
      <c r="X346" s="311" t="n"/>
      <c r="Y346" s="315" t="n"/>
      <c r="Z346" s="317" t="n"/>
    </row>
    <row r="347" ht="17.1" customHeight="1" s="223">
      <c r="A347" s="325" t="n"/>
      <c r="B347" s="326" t="n"/>
      <c r="C347" s="327" t="n"/>
      <c r="D347" s="327" t="n"/>
      <c r="E347" s="328" t="n"/>
      <c r="F347" s="328" t="n"/>
      <c r="G347" s="328" t="n"/>
      <c r="H347" s="329">
        <f>SUM(H335:H346)</f>
        <v/>
      </c>
      <c r="I347" s="330">
        <f>COUNTA(I335:I346)</f>
        <v/>
      </c>
      <c r="J347" s="329" t="n"/>
      <c r="K347" s="329" t="n"/>
      <c r="L347" s="331" t="n"/>
      <c r="M347" s="329" t="n"/>
      <c r="N347" s="329" t="n"/>
      <c r="O347" s="332">
        <f>SUM(O335:O346)</f>
        <v/>
      </c>
      <c r="P347" s="332">
        <f>SUM(P335:P346)</f>
        <v/>
      </c>
      <c r="Q347" s="333" t="n"/>
      <c r="R347" s="334">
        <f>SUM(R335:R346)</f>
        <v/>
      </c>
      <c r="S347" s="335" t="n"/>
      <c r="T347" s="335">
        <f>SUM(T335:T346)</f>
        <v/>
      </c>
      <c r="U347" s="329" t="n"/>
      <c r="V347" s="336" t="n"/>
      <c r="W347" s="337" t="n"/>
      <c r="X347" s="336" t="n"/>
      <c r="Y347" s="336" t="n"/>
      <c r="Z347" s="336" t="n"/>
    </row>
    <row r="348" ht="16.5" customHeight="1" s="223">
      <c r="A348" s="322" t="n">
        <v>30</v>
      </c>
      <c r="B348" s="324" t="inlineStr">
        <is>
          <t>000030ZIK48020260806000580</t>
        </is>
      </c>
      <c r="C348" s="304" t="n">
        <v>495292</v>
      </c>
      <c r="D348" s="304" t="n">
        <v>495235</v>
      </c>
      <c r="E348" s="317" t="n">
        <v>46241</v>
      </c>
      <c r="F348" s="320" t="inlineStr">
        <is>
          <t>ID2608-8054</t>
        </is>
      </c>
      <c r="G348" s="317" t="n">
        <v>46240</v>
      </c>
      <c r="H348" s="311" t="n">
        <v>450</v>
      </c>
      <c r="I348" s="311" t="inlineStr">
        <is>
          <t>FFAU3294350</t>
        </is>
      </c>
      <c r="J348" s="311" t="inlineStr">
        <is>
          <t>40FT</t>
        </is>
      </c>
      <c r="K348" s="309" t="inlineStr">
        <is>
          <t>8IN GREEN TEA MF MATTRESS QN</t>
        </is>
      </c>
      <c r="L348" s="310" t="inlineStr">
        <is>
          <t>SCF-STR-800Q</t>
        </is>
      </c>
      <c r="M348" s="311" t="inlineStr">
        <is>
          <t>0993631229</t>
        </is>
      </c>
      <c r="N348" s="309" t="inlineStr">
        <is>
          <t>F.MFM.08Q.000.WS</t>
        </is>
      </c>
      <c r="O348" s="306" t="n">
        <v>10755</v>
      </c>
      <c r="P348" s="306" t="n">
        <v>9594</v>
      </c>
      <c r="Q348" s="312">
        <f>IFERROR(R348/H348, 0)</f>
        <v/>
      </c>
      <c r="R348" s="307" t="n">
        <v>42286.5</v>
      </c>
      <c r="S348" s="308" t="n">
        <v>18062</v>
      </c>
      <c r="T348" s="308">
        <f>IFERROR(S348*R348, 0)</f>
        <v/>
      </c>
      <c r="U348" s="313" t="inlineStr">
        <is>
          <t>040300/KPPBC</t>
        </is>
      </c>
      <c r="V348" s="315" t="inlineStr">
        <is>
          <t>TG. PRIOK</t>
        </is>
      </c>
      <c r="W348" s="316" t="inlineStr">
        <is>
          <t>SAVANNAH, US</t>
        </is>
      </c>
      <c r="X348" s="311" t="inlineStr">
        <is>
          <t>WALMART, INC.</t>
        </is>
      </c>
      <c r="Y348" s="315" t="inlineStr">
        <is>
          <t>COSU6509262090</t>
        </is>
      </c>
      <c r="Z348" s="317" t="n">
        <v>46241</v>
      </c>
    </row>
    <row r="349" ht="16.5" customHeight="1" s="223">
      <c r="A349" s="322" t="n"/>
      <c r="B349" s="324" t="n"/>
      <c r="C349" s="304" t="n"/>
      <c r="D349" s="304" t="n"/>
      <c r="E349" s="317" t="n"/>
      <c r="F349" s="320" t="n"/>
      <c r="G349" s="317" t="n"/>
      <c r="H349" s="311" t="n"/>
      <c r="I349" s="311" t="n"/>
      <c r="J349" s="311" t="n"/>
      <c r="K349" s="309" t="n"/>
      <c r="L349" s="310" t="n"/>
      <c r="M349" s="311" t="n"/>
      <c r="N349" s="309" t="n"/>
      <c r="O349" s="306" t="n"/>
      <c r="P349" s="306" t="n"/>
      <c r="Q349" s="312" t="n"/>
      <c r="R349" s="307" t="n"/>
      <c r="S349" s="308" t="n"/>
      <c r="T349" s="308" t="n"/>
      <c r="U349" s="313" t="n"/>
      <c r="V349" s="315" t="n"/>
      <c r="W349" s="316" t="inlineStr">
        <is>
          <t>ETD : 12-08-2026</t>
        </is>
      </c>
      <c r="X349" s="311" t="n"/>
      <c r="Y349" s="315" t="n"/>
      <c r="Z349" s="317" t="n"/>
    </row>
    <row r="350" ht="17.1" customHeight="1" s="223">
      <c r="A350" s="325" t="n"/>
      <c r="B350" s="326" t="n"/>
      <c r="C350" s="327" t="n"/>
      <c r="D350" s="327" t="n"/>
      <c r="E350" s="328" t="n"/>
      <c r="F350" s="328" t="n"/>
      <c r="G350" s="328" t="n"/>
      <c r="H350" s="329">
        <f>SUM(H348:H349)</f>
        <v/>
      </c>
      <c r="I350" s="330">
        <f>COUNTA(I348:I349)</f>
        <v/>
      </c>
      <c r="J350" s="329" t="n"/>
      <c r="K350" s="329" t="n"/>
      <c r="L350" s="331" t="n"/>
      <c r="M350" s="329" t="n"/>
      <c r="N350" s="329" t="n"/>
      <c r="O350" s="332">
        <f>SUM(O348:O349)</f>
        <v/>
      </c>
      <c r="P350" s="332">
        <f>SUM(P348:P349)</f>
        <v/>
      </c>
      <c r="Q350" s="333" t="n"/>
      <c r="R350" s="334">
        <f>SUM(R348:R349)</f>
        <v/>
      </c>
      <c r="S350" s="335" t="n"/>
      <c r="T350" s="335">
        <f>SUM(T348:T349)</f>
        <v/>
      </c>
      <c r="U350" s="329" t="n"/>
      <c r="V350" s="336" t="n"/>
      <c r="W350" s="337" t="n"/>
      <c r="X350" s="336" t="n"/>
      <c r="Y350" s="336" t="n"/>
      <c r="Z350" s="336" t="n"/>
    </row>
    <row r="351" ht="16.5" customHeight="1" s="223">
      <c r="A351" s="322" t="n">
        <v>31</v>
      </c>
      <c r="B351" s="324" t="inlineStr">
        <is>
          <t>000030ZIK48020260806000581</t>
        </is>
      </c>
      <c r="C351" s="304" t="n">
        <v>495284</v>
      </c>
      <c r="D351" s="304" t="n">
        <v>495227</v>
      </c>
      <c r="E351" s="317" t="n">
        <v>46241</v>
      </c>
      <c r="F351" s="320" t="inlineStr">
        <is>
          <t>ID2608-8053</t>
        </is>
      </c>
      <c r="G351" s="317" t="n">
        <v>46240</v>
      </c>
      <c r="H351" s="311" t="n">
        <v>693</v>
      </c>
      <c r="I351" s="311" t="inlineStr">
        <is>
          <t>CSGU7450124</t>
        </is>
      </c>
      <c r="J351" s="311" t="inlineStr">
        <is>
          <t>40FT</t>
        </is>
      </c>
      <c r="K351" s="309" t="inlineStr">
        <is>
          <t>8IN GREEN TEA MF MATTRESS TW</t>
        </is>
      </c>
      <c r="L351" s="310" t="inlineStr">
        <is>
          <t>SCF-STR-800T</t>
        </is>
      </c>
      <c r="M351" s="311" t="inlineStr">
        <is>
          <t>0993631234</t>
        </is>
      </c>
      <c r="N351" s="309" t="inlineStr">
        <is>
          <t>F.MFM.08T.000.WS</t>
        </is>
      </c>
      <c r="O351" s="306" t="n">
        <v>10526.67</v>
      </c>
      <c r="P351" s="306" t="n">
        <v>9140.67</v>
      </c>
      <c r="Q351" s="312">
        <f>IFERROR(R351/H351, 0)</f>
        <v/>
      </c>
      <c r="R351" s="307" t="n">
        <v>42619.5</v>
      </c>
      <c r="S351" s="308" t="n">
        <v>18062</v>
      </c>
      <c r="T351" s="308">
        <f>IFERROR(S351*R351, 0)</f>
        <v/>
      </c>
      <c r="U351" s="313" t="inlineStr">
        <is>
          <t>040300/KPPBC</t>
        </is>
      </c>
      <c r="V351" s="315" t="inlineStr">
        <is>
          <t>TG. PRIOK</t>
        </is>
      </c>
      <c r="W351" s="316" t="inlineStr">
        <is>
          <t>SAVANNAH, US</t>
        </is>
      </c>
      <c r="X351" s="311" t="inlineStr">
        <is>
          <t>WALMART, INC.</t>
        </is>
      </c>
      <c r="Y351" s="315" t="inlineStr">
        <is>
          <t>COSU6509262080</t>
        </is>
      </c>
      <c r="Z351" s="317" t="n">
        <v>46241</v>
      </c>
    </row>
    <row r="352" ht="16.5" customHeight="1" s="223">
      <c r="A352" s="322" t="n"/>
      <c r="B352" s="324" t="n"/>
      <c r="C352" s="304" t="n"/>
      <c r="D352" s="304" t="n"/>
      <c r="E352" s="317" t="n"/>
      <c r="F352" s="320" t="n"/>
      <c r="G352" s="317" t="n"/>
      <c r="H352" s="311" t="n"/>
      <c r="I352" s="311" t="n"/>
      <c r="J352" s="311" t="n"/>
      <c r="K352" s="309" t="n"/>
      <c r="L352" s="310" t="n"/>
      <c r="M352" s="311" t="n"/>
      <c r="N352" s="309" t="n"/>
      <c r="O352" s="306" t="n"/>
      <c r="P352" s="306" t="n"/>
      <c r="Q352" s="312" t="n"/>
      <c r="R352" s="307" t="n"/>
      <c r="S352" s="308" t="n"/>
      <c r="T352" s="308" t="n"/>
      <c r="U352" s="313" t="n"/>
      <c r="V352" s="315" t="n"/>
      <c r="W352" s="316" t="inlineStr">
        <is>
          <t>ETD : 12-08-2026</t>
        </is>
      </c>
      <c r="X352" s="311" t="n"/>
      <c r="Y352" s="315" t="n"/>
      <c r="Z352" s="317" t="n"/>
    </row>
    <row r="353" ht="17.1" customHeight="1" s="223">
      <c r="A353" s="325" t="n"/>
      <c r="B353" s="326" t="n"/>
      <c r="C353" s="327" t="n"/>
      <c r="D353" s="327" t="n"/>
      <c r="E353" s="328" t="n"/>
      <c r="F353" s="328" t="n"/>
      <c r="G353" s="328" t="n"/>
      <c r="H353" s="329">
        <f>SUM(H351:H352)</f>
        <v/>
      </c>
      <c r="I353" s="330">
        <f>COUNTA(I351:I352)</f>
        <v/>
      </c>
      <c r="J353" s="329" t="n"/>
      <c r="K353" s="329" t="n"/>
      <c r="L353" s="331" t="n"/>
      <c r="M353" s="329" t="n"/>
      <c r="N353" s="329" t="n"/>
      <c r="O353" s="332">
        <f>SUM(O351:O352)</f>
        <v/>
      </c>
      <c r="P353" s="332">
        <f>SUM(P351:P352)</f>
        <v/>
      </c>
      <c r="Q353" s="333" t="n"/>
      <c r="R353" s="334">
        <f>SUM(R351:R352)</f>
        <v/>
      </c>
      <c r="S353" s="335" t="n"/>
      <c r="T353" s="335">
        <f>SUM(T351:T352)</f>
        <v/>
      </c>
      <c r="U353" s="329" t="n"/>
      <c r="V353" s="336" t="n"/>
      <c r="W353" s="337" t="n"/>
      <c r="X353" s="336" t="n"/>
      <c r="Y353" s="336" t="n"/>
      <c r="Z353" s="336" t="n"/>
    </row>
    <row r="354" ht="16.5" customHeight="1" s="223">
      <c r="A354" s="322" t="n">
        <v>32</v>
      </c>
      <c r="B354" s="324" t="inlineStr">
        <is>
          <t>000030ZIK48020260806000582</t>
        </is>
      </c>
      <c r="C354" s="304" t="n">
        <v>494882</v>
      </c>
      <c r="D354" s="304" t="n">
        <v>494824</v>
      </c>
      <c r="E354" s="317" t="n">
        <v>46241</v>
      </c>
      <c r="F354" s="320" t="inlineStr">
        <is>
          <t>ID2608-8055</t>
        </is>
      </c>
      <c r="G354" s="317" t="n">
        <v>46240</v>
      </c>
      <c r="H354" s="311" t="n">
        <v>900</v>
      </c>
      <c r="I354" s="311" t="inlineStr">
        <is>
          <t>WHSU6241742</t>
        </is>
      </c>
      <c r="J354" s="311" t="inlineStr">
        <is>
          <t>40FT</t>
        </is>
      </c>
      <c r="K354" s="309" t="inlineStr">
        <is>
          <t>8IN GREEN TEA MF MATTRESS QN</t>
        </is>
      </c>
      <c r="L354" s="310" t="inlineStr">
        <is>
          <t>SCF-STR-800Q</t>
        </is>
      </c>
      <c r="M354" s="311" t="inlineStr">
        <is>
          <t>0993630949</t>
        </is>
      </c>
      <c r="N354" s="309" t="inlineStr">
        <is>
          <t>F.MFM.08Q.000.WS</t>
        </is>
      </c>
      <c r="O354" s="306" t="n">
        <v>21510</v>
      </c>
      <c r="P354" s="306" t="n">
        <v>19188</v>
      </c>
      <c r="Q354" s="312">
        <f>IFERROR(R354/H354, 0)</f>
        <v/>
      </c>
      <c r="R354" s="307" t="n">
        <v>84573</v>
      </c>
      <c r="S354" s="308" t="n">
        <v>18062</v>
      </c>
      <c r="T354" s="308">
        <f>IFERROR(S354*R354, 0)</f>
        <v/>
      </c>
      <c r="U354" s="313" t="inlineStr">
        <is>
          <t>040300/KPPBC</t>
        </is>
      </c>
      <c r="V354" s="315" t="inlineStr">
        <is>
          <t>TG. PRIOK</t>
        </is>
      </c>
      <c r="W354" s="316" t="inlineStr">
        <is>
          <t>NORFOLK, US</t>
        </is>
      </c>
      <c r="X354" s="311" t="inlineStr">
        <is>
          <t>WALMART, INC.</t>
        </is>
      </c>
      <c r="Y354" s="315" t="inlineStr">
        <is>
          <t>WHL049GX08376</t>
        </is>
      </c>
      <c r="Z354" s="317" t="n">
        <v>46241</v>
      </c>
    </row>
    <row r="355" ht="16.5" customHeight="1" s="223">
      <c r="A355" s="322" t="n"/>
      <c r="B355" s="324" t="n"/>
      <c r="C355" s="304" t="n"/>
      <c r="D355" s="304" t="n"/>
      <c r="E355" s="317" t="n"/>
      <c r="F355" s="320" t="n"/>
      <c r="G355" s="317" t="n"/>
      <c r="H355" s="311" t="n"/>
      <c r="I355" s="311" t="inlineStr">
        <is>
          <t>WHSU5788545</t>
        </is>
      </c>
      <c r="J355" s="311" t="inlineStr">
        <is>
          <t>40FT</t>
        </is>
      </c>
      <c r="K355" s="309" t="n"/>
      <c r="L355" s="310" t="n"/>
      <c r="M355" s="311" t="n"/>
      <c r="N355" s="309" t="n"/>
      <c r="O355" s="306" t="n"/>
      <c r="P355" s="306" t="n"/>
      <c r="Q355" s="312" t="n"/>
      <c r="R355" s="307" t="n"/>
      <c r="S355" s="308" t="n"/>
      <c r="T355" s="308" t="n"/>
      <c r="U355" s="313" t="n"/>
      <c r="V355" s="315" t="n"/>
      <c r="W355" s="316" t="inlineStr">
        <is>
          <t>ETD : 14-08-2026</t>
        </is>
      </c>
      <c r="X355" s="311" t="n"/>
      <c r="Y355" s="315" t="n"/>
      <c r="Z355" s="317" t="n"/>
    </row>
    <row r="356" ht="17.1" customHeight="1" s="223">
      <c r="A356" s="325" t="n"/>
      <c r="B356" s="326" t="n"/>
      <c r="C356" s="327" t="n"/>
      <c r="D356" s="327" t="n"/>
      <c r="E356" s="328" t="n"/>
      <c r="F356" s="328" t="n"/>
      <c r="G356" s="328" t="n"/>
      <c r="H356" s="329">
        <f>SUM(H354:H355)</f>
        <v/>
      </c>
      <c r="I356" s="330">
        <f>COUNTA(I354:I355)</f>
        <v/>
      </c>
      <c r="J356" s="329" t="n"/>
      <c r="K356" s="329" t="n"/>
      <c r="L356" s="331" t="n"/>
      <c r="M356" s="329" t="n"/>
      <c r="N356" s="329" t="n"/>
      <c r="O356" s="332">
        <f>SUM(O354:O355)</f>
        <v/>
      </c>
      <c r="P356" s="332">
        <f>SUM(P354:P355)</f>
        <v/>
      </c>
      <c r="Q356" s="333" t="n"/>
      <c r="R356" s="334">
        <f>SUM(R354:R355)</f>
        <v/>
      </c>
      <c r="S356" s="335" t="n"/>
      <c r="T356" s="335">
        <f>SUM(T354:T355)</f>
        <v/>
      </c>
      <c r="U356" s="329" t="n"/>
      <c r="V356" s="336" t="n"/>
      <c r="W356" s="337" t="n"/>
      <c r="X356" s="336" t="n"/>
      <c r="Y356" s="336" t="n"/>
      <c r="Z356" s="336" t="n"/>
    </row>
    <row r="357" ht="16.5" customHeight="1" s="223">
      <c r="A357" s="322" t="n">
        <v>33</v>
      </c>
      <c r="B357" s="324" t="inlineStr">
        <is>
          <t>000030ZIK48020260806000583</t>
        </is>
      </c>
      <c r="C357" s="304" t="n">
        <v>494890</v>
      </c>
      <c r="D357" s="304" t="n">
        <v>494832</v>
      </c>
      <c r="E357" s="317" t="n">
        <v>46241</v>
      </c>
      <c r="F357" s="320" t="inlineStr">
        <is>
          <t>ID2608-8056</t>
        </is>
      </c>
      <c r="G357" s="317" t="n">
        <v>46240</v>
      </c>
      <c r="H357" s="311" t="n">
        <v>85</v>
      </c>
      <c r="I357" s="311" t="inlineStr">
        <is>
          <t>WHSU6602779</t>
        </is>
      </c>
      <c r="J357" s="311" t="inlineStr">
        <is>
          <t>40FT</t>
        </is>
      </c>
      <c r="K357" s="309" t="inlineStr">
        <is>
          <t>10IN MEDIUM MFM FL</t>
        </is>
      </c>
      <c r="L357" s="310" t="inlineStr">
        <is>
          <t>WA-MMF-10F-IN</t>
        </is>
      </c>
      <c r="M357" s="311" t="inlineStr">
        <is>
          <t>MIWU00197</t>
        </is>
      </c>
      <c r="N357" s="309" t="inlineStr">
        <is>
          <t>F.MFM.10F.005.BU</t>
        </is>
      </c>
      <c r="O357" s="306" t="n">
        <v>12481.8</v>
      </c>
      <c r="P357" s="306" t="n">
        <v>11286.5</v>
      </c>
      <c r="Q357" s="312">
        <f>IFERROR(R357/H357, 0)</f>
        <v/>
      </c>
      <c r="R357" s="307" t="n">
        <v>5132.3</v>
      </c>
      <c r="S357" s="308" t="n">
        <v>18062</v>
      </c>
      <c r="T357" s="308">
        <f>IFERROR(S357*R357, 0)</f>
        <v/>
      </c>
      <c r="U357" s="313" t="inlineStr">
        <is>
          <t>040300/KPPBC</t>
        </is>
      </c>
      <c r="V357" s="315" t="inlineStr">
        <is>
          <t>TG. PRIOK</t>
        </is>
      </c>
      <c r="W357" s="316" t="inlineStr">
        <is>
          <t>NEW YORK, US</t>
        </is>
      </c>
      <c r="X357" s="311" t="inlineStr">
        <is>
          <t>MELLOW INC</t>
        </is>
      </c>
      <c r="Y357" s="315" t="inlineStr">
        <is>
          <t>WHLC049GX08378</t>
        </is>
      </c>
      <c r="Z357" s="317" t="n">
        <v>46241</v>
      </c>
    </row>
    <row r="358" ht="16.5" customHeight="1" s="223">
      <c r="A358" s="322" t="n"/>
      <c r="B358" s="324" t="n"/>
      <c r="C358" s="304" t="n"/>
      <c r="D358" s="304" t="n"/>
      <c r="E358" s="317" t="n"/>
      <c r="F358" s="320" t="n"/>
      <c r="G358" s="317" t="n"/>
      <c r="H358" s="311" t="n">
        <v>60</v>
      </c>
      <c r="I358" s="311" t="inlineStr"/>
      <c r="J358" s="311" t="inlineStr"/>
      <c r="K358" s="309" t="inlineStr">
        <is>
          <t>10IN MEDIUM MFM EK</t>
        </is>
      </c>
      <c r="L358" s="310" t="inlineStr">
        <is>
          <t>WA-MMF-10K-IN</t>
        </is>
      </c>
      <c r="M358" s="311" t="inlineStr">
        <is>
          <t>MIWU00197</t>
        </is>
      </c>
      <c r="N358" s="309" t="inlineStr">
        <is>
          <t>F.MFM.10K.005.BU</t>
        </is>
      </c>
      <c r="O358" s="306" t="n"/>
      <c r="P358" s="306" t="n"/>
      <c r="Q358" s="312">
        <f>IFERROR(R358/H358, 0)</f>
        <v/>
      </c>
      <c r="R358" s="307" t="n">
        <v>5248.2</v>
      </c>
      <c r="S358" s="308" t="n">
        <v>18062</v>
      </c>
      <c r="T358" s="308">
        <f>IFERROR(S358*R358, 0)</f>
        <v/>
      </c>
      <c r="U358" s="313" t="n"/>
      <c r="V358" s="315" t="n"/>
      <c r="W358" s="316" t="inlineStr">
        <is>
          <t>ETD : 14-08-2026</t>
        </is>
      </c>
      <c r="X358" s="311" t="n"/>
      <c r="Y358" s="315" t="n"/>
      <c r="Z358" s="317" t="n"/>
    </row>
    <row r="359" ht="16.5" customHeight="1" s="223">
      <c r="A359" s="322" t="n"/>
      <c r="B359" s="324" t="n"/>
      <c r="C359" s="304" t="n"/>
      <c r="D359" s="304" t="n"/>
      <c r="E359" s="317" t="n"/>
      <c r="F359" s="320" t="n"/>
      <c r="G359" s="317" t="n"/>
      <c r="H359" s="311" t="n">
        <v>82</v>
      </c>
      <c r="I359" s="311" t="inlineStr"/>
      <c r="J359" s="311" t="inlineStr"/>
      <c r="K359" s="309" t="inlineStr">
        <is>
          <t>10IN MEDIUM MFM QN</t>
        </is>
      </c>
      <c r="L359" s="310" t="inlineStr">
        <is>
          <t>WA-MMF-10Q-IN</t>
        </is>
      </c>
      <c r="M359" s="311" t="inlineStr">
        <is>
          <t>MIWU00197</t>
        </is>
      </c>
      <c r="N359" s="309" t="inlineStr">
        <is>
          <t>F.MFM.10Q.005.BU</t>
        </is>
      </c>
      <c r="O359" s="306" t="n"/>
      <c r="P359" s="306" t="n"/>
      <c r="Q359" s="312">
        <f>IFERROR(R359/H359, 0)</f>
        <v/>
      </c>
      <c r="R359" s="307" t="n">
        <v>5867.92</v>
      </c>
      <c r="S359" s="308" t="n">
        <v>18062</v>
      </c>
      <c r="T359" s="308">
        <f>IFERROR(S359*R359, 0)</f>
        <v/>
      </c>
      <c r="U359" s="313" t="n"/>
      <c r="V359" s="315" t="n"/>
      <c r="W359" s="316" t="n"/>
      <c r="X359" s="311" t="n"/>
      <c r="Y359" s="315" t="n"/>
      <c r="Z359" s="317" t="n"/>
    </row>
    <row r="360" ht="16.5" customHeight="1" s="223">
      <c r="A360" s="322" t="n"/>
      <c r="B360" s="324" t="n"/>
      <c r="C360" s="304" t="n"/>
      <c r="D360" s="304" t="n"/>
      <c r="E360" s="317" t="n"/>
      <c r="F360" s="320" t="n"/>
      <c r="G360" s="317" t="n"/>
      <c r="H360" s="311" t="n">
        <v>72</v>
      </c>
      <c r="I360" s="311" t="inlineStr"/>
      <c r="J360" s="311" t="inlineStr"/>
      <c r="K360" s="309" t="inlineStr">
        <is>
          <t>10IN MEDIUM MFM TW</t>
        </is>
      </c>
      <c r="L360" s="310" t="inlineStr">
        <is>
          <t>WA-MMF-10T-IN</t>
        </is>
      </c>
      <c r="M360" s="311" t="inlineStr">
        <is>
          <t>MIWU00197</t>
        </is>
      </c>
      <c r="N360" s="309" t="inlineStr">
        <is>
          <t>F.MFM.10T.005.BU</t>
        </is>
      </c>
      <c r="O360" s="306" t="n"/>
      <c r="P360" s="306" t="n"/>
      <c r="Q360" s="312">
        <f>IFERROR(R360/H360, 0)</f>
        <v/>
      </c>
      <c r="R360" s="307" t="n">
        <v>3313.44</v>
      </c>
      <c r="S360" s="308" t="n">
        <v>18062</v>
      </c>
      <c r="T360" s="308">
        <f>IFERROR(S360*R360, 0)</f>
        <v/>
      </c>
      <c r="U360" s="313" t="n"/>
      <c r="V360" s="315" t="n"/>
      <c r="W360" s="316" t="n"/>
      <c r="X360" s="311" t="n"/>
      <c r="Y360" s="315" t="n"/>
      <c r="Z360" s="317" t="n"/>
    </row>
    <row r="361" ht="16.5" customHeight="1" s="223">
      <c r="A361" s="322" t="n"/>
      <c r="B361" s="324" t="n"/>
      <c r="C361" s="304" t="n"/>
      <c r="D361" s="304" t="n"/>
      <c r="E361" s="317" t="n"/>
      <c r="F361" s="320" t="n"/>
      <c r="G361" s="317" t="n"/>
      <c r="H361" s="311" t="n">
        <v>20</v>
      </c>
      <c r="I361" s="311" t="inlineStr"/>
      <c r="J361" s="311" t="inlineStr"/>
      <c r="K361" s="309" t="inlineStr">
        <is>
          <t>12IN MEDIUM MFM FL</t>
        </is>
      </c>
      <c r="L361" s="310" t="inlineStr">
        <is>
          <t>WA-MMF-12F-IN</t>
        </is>
      </c>
      <c r="M361" s="311" t="inlineStr">
        <is>
          <t>MIWU00197</t>
        </is>
      </c>
      <c r="N361" s="309" t="inlineStr">
        <is>
          <t>F.MFM.12F.005.BU</t>
        </is>
      </c>
      <c r="O361" s="306" t="n"/>
      <c r="P361" s="306" t="n"/>
      <c r="Q361" s="312">
        <f>IFERROR(R361/H361, 0)</f>
        <v/>
      </c>
      <c r="R361" s="307" t="n">
        <v>1393</v>
      </c>
      <c r="S361" s="308" t="n">
        <v>18062</v>
      </c>
      <c r="T361" s="308">
        <f>IFERROR(S361*R361, 0)</f>
        <v/>
      </c>
      <c r="U361" s="313" t="n"/>
      <c r="V361" s="315" t="n"/>
      <c r="W361" s="316" t="n"/>
      <c r="X361" s="311" t="n"/>
      <c r="Y361" s="315" t="n"/>
      <c r="Z361" s="317" t="n"/>
    </row>
    <row r="362" ht="16.5" customHeight="1" s="223">
      <c r="A362" s="322" t="n"/>
      <c r="B362" s="324" t="n"/>
      <c r="C362" s="304" t="n"/>
      <c r="D362" s="304" t="n"/>
      <c r="E362" s="317" t="n"/>
      <c r="F362" s="320" t="n"/>
      <c r="G362" s="317" t="n"/>
      <c r="H362" s="311" t="n">
        <v>52</v>
      </c>
      <c r="I362" s="311" t="inlineStr"/>
      <c r="J362" s="311" t="inlineStr"/>
      <c r="K362" s="309" t="inlineStr">
        <is>
          <t>12IN MEDIUM MFM QN</t>
        </is>
      </c>
      <c r="L362" s="310" t="inlineStr">
        <is>
          <t>WA-MMF-12Q-IN</t>
        </is>
      </c>
      <c r="M362" s="311" t="inlineStr">
        <is>
          <t>MIWU00197</t>
        </is>
      </c>
      <c r="N362" s="309" t="inlineStr">
        <is>
          <t>F.MFM.12Q.005.BU</t>
        </is>
      </c>
      <c r="O362" s="306" t="n"/>
      <c r="P362" s="306" t="n"/>
      <c r="Q362" s="312">
        <f>IFERROR(R362/H362, 0)</f>
        <v/>
      </c>
      <c r="R362" s="307" t="n">
        <v>4210.44</v>
      </c>
      <c r="S362" s="308" t="n">
        <v>18062</v>
      </c>
      <c r="T362" s="308">
        <f>IFERROR(S362*R362, 0)</f>
        <v/>
      </c>
      <c r="U362" s="313" t="n"/>
      <c r="V362" s="315" t="n"/>
      <c r="W362" s="316" t="n"/>
      <c r="X362" s="311" t="n"/>
      <c r="Y362" s="315" t="n"/>
      <c r="Z362" s="317" t="n"/>
    </row>
    <row r="363" ht="16.5" customHeight="1" s="223">
      <c r="A363" s="322" t="n"/>
      <c r="B363" s="324" t="n"/>
      <c r="C363" s="304" t="n"/>
      <c r="D363" s="304" t="n"/>
      <c r="E363" s="317" t="n"/>
      <c r="F363" s="320" t="n"/>
      <c r="G363" s="317" t="n"/>
      <c r="H363" s="311" t="n">
        <v>50</v>
      </c>
      <c r="I363" s="311" t="inlineStr"/>
      <c r="J363" s="311" t="inlineStr"/>
      <c r="K363" s="309" t="inlineStr">
        <is>
          <t>12IN MEDIUM MFM TW</t>
        </is>
      </c>
      <c r="L363" s="310" t="inlineStr">
        <is>
          <t>WA-MMF-12T-IN</t>
        </is>
      </c>
      <c r="M363" s="311" t="inlineStr">
        <is>
          <t>MIWU00197</t>
        </is>
      </c>
      <c r="N363" s="309" t="inlineStr">
        <is>
          <t>F.MFM.12T.005.BU</t>
        </is>
      </c>
      <c r="O363" s="306" t="n"/>
      <c r="P363" s="306" t="n"/>
      <c r="Q363" s="312">
        <f>IFERROR(R363/H363, 0)</f>
        <v/>
      </c>
      <c r="R363" s="307" t="n">
        <v>2605</v>
      </c>
      <c r="S363" s="308" t="n">
        <v>18062</v>
      </c>
      <c r="T363" s="308">
        <f>IFERROR(S363*R363, 0)</f>
        <v/>
      </c>
      <c r="U363" s="313" t="n"/>
      <c r="V363" s="315" t="n"/>
      <c r="W363" s="316" t="n"/>
      <c r="X363" s="311" t="n"/>
      <c r="Y363" s="315" t="n"/>
      <c r="Z363" s="317" t="n"/>
    </row>
    <row r="364" ht="16.5" customHeight="1" s="223">
      <c r="A364" s="322" t="n"/>
      <c r="B364" s="324" t="n"/>
      <c r="C364" s="304" t="n"/>
      <c r="D364" s="304" t="n"/>
      <c r="E364" s="317" t="n"/>
      <c r="F364" s="320" t="n"/>
      <c r="G364" s="317" t="n"/>
      <c r="H364" s="311" t="n">
        <v>20</v>
      </c>
      <c r="I364" s="311" t="inlineStr"/>
      <c r="J364" s="311" t="inlineStr"/>
      <c r="K364" s="309" t="inlineStr">
        <is>
          <t>14IN MEDIUM MFM FL</t>
        </is>
      </c>
      <c r="L364" s="310" t="inlineStr">
        <is>
          <t>WA-MMF-14F-IN</t>
        </is>
      </c>
      <c r="M364" s="311" t="inlineStr">
        <is>
          <t>MIWU00197</t>
        </is>
      </c>
      <c r="N364" s="309" t="inlineStr">
        <is>
          <t>F.MFM.14F.000.BU</t>
        </is>
      </c>
      <c r="O364" s="306" t="n"/>
      <c r="P364" s="306" t="n"/>
      <c r="Q364" s="312">
        <f>IFERROR(R364/H364, 0)</f>
        <v/>
      </c>
      <c r="R364" s="307" t="n">
        <v>1559.2</v>
      </c>
      <c r="S364" s="308" t="n">
        <v>18062</v>
      </c>
      <c r="T364" s="308">
        <f>IFERROR(S364*R364, 0)</f>
        <v/>
      </c>
      <c r="U364" s="313" t="n"/>
      <c r="V364" s="315" t="n"/>
      <c r="W364" s="316" t="n"/>
      <c r="X364" s="311" t="n"/>
      <c r="Y364" s="315" t="n"/>
      <c r="Z364" s="317" t="n"/>
    </row>
    <row r="365" ht="16.5" customHeight="1" s="223">
      <c r="A365" s="322" t="n"/>
      <c r="B365" s="324" t="n"/>
      <c r="C365" s="304" t="n"/>
      <c r="D365" s="304" t="n"/>
      <c r="E365" s="317" t="n"/>
      <c r="F365" s="320" t="n"/>
      <c r="G365" s="317" t="n"/>
      <c r="H365" s="311" t="n">
        <v>65</v>
      </c>
      <c r="I365" s="311" t="inlineStr"/>
      <c r="J365" s="311" t="inlineStr"/>
      <c r="K365" s="309" t="inlineStr">
        <is>
          <t>6IN MEDIUM MFM TW</t>
        </is>
      </c>
      <c r="L365" s="310" t="inlineStr">
        <is>
          <t>WA-MMF-6T-IN</t>
        </is>
      </c>
      <c r="M365" s="311" t="inlineStr">
        <is>
          <t>MIWU00197</t>
        </is>
      </c>
      <c r="N365" s="309" t="inlineStr">
        <is>
          <t>F.MFM.06T.002.BU</t>
        </is>
      </c>
      <c r="O365" s="306" t="n"/>
      <c r="P365" s="306" t="n"/>
      <c r="Q365" s="312">
        <f>IFERROR(R365/H365, 0)</f>
        <v/>
      </c>
      <c r="R365" s="307" t="n">
        <v>2086.5</v>
      </c>
      <c r="S365" s="308" t="n">
        <v>18062</v>
      </c>
      <c r="T365" s="308">
        <f>IFERROR(S365*R365, 0)</f>
        <v/>
      </c>
      <c r="U365" s="313" t="n"/>
      <c r="V365" s="315" t="n"/>
      <c r="W365" s="316" t="n"/>
      <c r="X365" s="311" t="n"/>
      <c r="Y365" s="315" t="n"/>
      <c r="Z365" s="317" t="n"/>
    </row>
    <row r="366" ht="16.5" customHeight="1" s="223">
      <c r="A366" s="322" t="n"/>
      <c r="B366" s="324" t="n"/>
      <c r="C366" s="304" t="n"/>
      <c r="D366" s="304" t="n"/>
      <c r="E366" s="317" t="n"/>
      <c r="F366" s="320" t="n"/>
      <c r="G366" s="317" t="n"/>
      <c r="H366" s="311" t="n">
        <v>70</v>
      </c>
      <c r="I366" s="311" t="inlineStr"/>
      <c r="J366" s="311" t="inlineStr"/>
      <c r="K366" s="309" t="inlineStr">
        <is>
          <t>8IN MEDIUM MFM TW</t>
        </is>
      </c>
      <c r="L366" s="310" t="inlineStr">
        <is>
          <t>WA-MMF-8T-IN</t>
        </is>
      </c>
      <c r="M366" s="311" t="inlineStr">
        <is>
          <t>MIWU00197</t>
        </is>
      </c>
      <c r="N366" s="309" t="inlineStr">
        <is>
          <t>F.MFM.08T.005.BU</t>
        </is>
      </c>
      <c r="O366" s="306" t="n"/>
      <c r="P366" s="306" t="n"/>
      <c r="Q366" s="312">
        <f>IFERROR(R366/H366, 0)</f>
        <v/>
      </c>
      <c r="R366" s="307" t="n">
        <v>2721.6</v>
      </c>
      <c r="S366" s="308" t="n">
        <v>18062</v>
      </c>
      <c r="T366" s="308">
        <f>IFERROR(S366*R366, 0)</f>
        <v/>
      </c>
      <c r="U366" s="313" t="n"/>
      <c r="V366" s="315" t="n"/>
      <c r="W366" s="316" t="n"/>
      <c r="X366" s="311" t="n"/>
      <c r="Y366" s="315" t="n"/>
      <c r="Z366" s="317" t="n"/>
    </row>
    <row r="367" ht="17.1" customHeight="1" s="223">
      <c r="A367" s="325" t="n"/>
      <c r="B367" s="326" t="n"/>
      <c r="C367" s="327" t="n"/>
      <c r="D367" s="327" t="n"/>
      <c r="E367" s="328" t="n"/>
      <c r="F367" s="328" t="n"/>
      <c r="G367" s="328" t="n"/>
      <c r="H367" s="329">
        <f>SUM(H357:H366)</f>
        <v/>
      </c>
      <c r="I367" s="330">
        <f>COUNTA(I357:I366)</f>
        <v/>
      </c>
      <c r="J367" s="329" t="n"/>
      <c r="K367" s="329" t="n"/>
      <c r="L367" s="331" t="n"/>
      <c r="M367" s="329" t="n"/>
      <c r="N367" s="329" t="n"/>
      <c r="O367" s="332">
        <f>SUM(O357:O366)</f>
        <v/>
      </c>
      <c r="P367" s="332">
        <f>SUM(P357:P366)</f>
        <v/>
      </c>
      <c r="Q367" s="333" t="n"/>
      <c r="R367" s="334">
        <f>SUM(R357:R366)</f>
        <v/>
      </c>
      <c r="S367" s="335" t="n"/>
      <c r="T367" s="335">
        <f>SUM(T357:T366)</f>
        <v/>
      </c>
      <c r="U367" s="329" t="n"/>
      <c r="V367" s="336" t="n"/>
      <c r="W367" s="337" t="n"/>
      <c r="X367" s="336" t="n"/>
      <c r="Y367" s="336" t="n"/>
      <c r="Z367" s="336" t="n"/>
    </row>
    <row r="368" ht="16.5" customHeight="1" s="223">
      <c r="A368" s="322" t="n">
        <v>34</v>
      </c>
      <c r="B368" s="324" t="inlineStr">
        <is>
          <t>000030ZIK48020260806000584</t>
        </is>
      </c>
      <c r="C368" s="304" t="n">
        <v>495853</v>
      </c>
      <c r="D368" s="304" t="n">
        <v>495797</v>
      </c>
      <c r="E368" s="317" t="n">
        <v>46241</v>
      </c>
      <c r="F368" s="320" t="inlineStr">
        <is>
          <t>ID2608-8057</t>
        </is>
      </c>
      <c r="G368" s="317" t="n">
        <v>46240</v>
      </c>
      <c r="H368" s="311" t="n">
        <v>85</v>
      </c>
      <c r="I368" s="311" t="inlineStr">
        <is>
          <t>WHSU6740485</t>
        </is>
      </c>
      <c r="J368" s="311" t="inlineStr">
        <is>
          <t>40FT</t>
        </is>
      </c>
      <c r="K368" s="309" t="inlineStr">
        <is>
          <t>10IN MEDIUM MFM FL</t>
        </is>
      </c>
      <c r="L368" s="310" t="inlineStr">
        <is>
          <t>WA-MMF-10F-IN</t>
        </is>
      </c>
      <c r="M368" s="311" t="inlineStr">
        <is>
          <t>MIWU00198</t>
        </is>
      </c>
      <c r="N368" s="309" t="inlineStr">
        <is>
          <t>F.MFM.10F.005.BU</t>
        </is>
      </c>
      <c r="O368" s="306" t="n">
        <v>12481.8</v>
      </c>
      <c r="P368" s="306" t="n">
        <v>11286.5</v>
      </c>
      <c r="Q368" s="312">
        <f>IFERROR(R368/H368, 0)</f>
        <v/>
      </c>
      <c r="R368" s="307" t="n">
        <v>5132.3</v>
      </c>
      <c r="S368" s="308" t="n">
        <v>18062</v>
      </c>
      <c r="T368" s="308">
        <f>IFERROR(S368*R368, 0)</f>
        <v/>
      </c>
      <c r="U368" s="313" t="inlineStr">
        <is>
          <t>040300/KPPBC</t>
        </is>
      </c>
      <c r="V368" s="315" t="inlineStr">
        <is>
          <t>TG. PRIOK</t>
        </is>
      </c>
      <c r="W368" s="316" t="inlineStr">
        <is>
          <t>NEW YORK, US</t>
        </is>
      </c>
      <c r="X368" s="311" t="inlineStr">
        <is>
          <t>MELLOW INC</t>
        </is>
      </c>
      <c r="Y368" s="315" t="inlineStr">
        <is>
          <t>WHLC049GX08377</t>
        </is>
      </c>
      <c r="Z368" s="317" t="n">
        <v>46241</v>
      </c>
    </row>
    <row r="369" ht="16.5" customHeight="1" s="223">
      <c r="A369" s="322" t="n"/>
      <c r="B369" s="324" t="n"/>
      <c r="C369" s="304" t="n"/>
      <c r="D369" s="304" t="n"/>
      <c r="E369" s="317" t="n"/>
      <c r="F369" s="320" t="n"/>
      <c r="G369" s="317" t="n"/>
      <c r="H369" s="311" t="n">
        <v>60</v>
      </c>
      <c r="I369" s="311" t="inlineStr"/>
      <c r="J369" s="311" t="inlineStr"/>
      <c r="K369" s="309" t="inlineStr">
        <is>
          <t>10IN MEDIUM MFM EK</t>
        </is>
      </c>
      <c r="L369" s="310" t="inlineStr">
        <is>
          <t>WA-MMF-10K-IN</t>
        </is>
      </c>
      <c r="M369" s="311" t="inlineStr">
        <is>
          <t>MIWU00198</t>
        </is>
      </c>
      <c r="N369" s="309" t="inlineStr">
        <is>
          <t>F.MFM.10K.005.BU</t>
        </is>
      </c>
      <c r="O369" s="306" t="n"/>
      <c r="P369" s="306" t="n"/>
      <c r="Q369" s="312">
        <f>IFERROR(R369/H369, 0)</f>
        <v/>
      </c>
      <c r="R369" s="307" t="n">
        <v>5248.2</v>
      </c>
      <c r="S369" s="308" t="n">
        <v>18062</v>
      </c>
      <c r="T369" s="308">
        <f>IFERROR(S369*R369, 0)</f>
        <v/>
      </c>
      <c r="U369" s="313" t="n"/>
      <c r="V369" s="315" t="n"/>
      <c r="W369" s="316" t="inlineStr">
        <is>
          <t>ETD : 14-08-2026</t>
        </is>
      </c>
      <c r="X369" s="311" t="n"/>
      <c r="Y369" s="315" t="n"/>
      <c r="Z369" s="317" t="n"/>
    </row>
    <row r="370" ht="16.5" customHeight="1" s="223">
      <c r="A370" s="322" t="n"/>
      <c r="B370" s="324" t="n"/>
      <c r="C370" s="304" t="n"/>
      <c r="D370" s="304" t="n"/>
      <c r="E370" s="317" t="n"/>
      <c r="F370" s="320" t="n"/>
      <c r="G370" s="317" t="n"/>
      <c r="H370" s="311" t="n">
        <v>82</v>
      </c>
      <c r="I370" s="311" t="inlineStr"/>
      <c r="J370" s="311" t="inlineStr"/>
      <c r="K370" s="309" t="inlineStr">
        <is>
          <t>10IN MEDIUM MFM QN</t>
        </is>
      </c>
      <c r="L370" s="310" t="inlineStr">
        <is>
          <t>WA-MMF-10Q-IN</t>
        </is>
      </c>
      <c r="M370" s="311" t="inlineStr">
        <is>
          <t>MIWU00198</t>
        </is>
      </c>
      <c r="N370" s="309" t="inlineStr">
        <is>
          <t>F.MFM.10Q.005.BU</t>
        </is>
      </c>
      <c r="O370" s="306" t="n"/>
      <c r="P370" s="306" t="n"/>
      <c r="Q370" s="312">
        <f>IFERROR(R370/H370, 0)</f>
        <v/>
      </c>
      <c r="R370" s="307" t="n">
        <v>5867.92</v>
      </c>
      <c r="S370" s="308" t="n">
        <v>18062</v>
      </c>
      <c r="T370" s="308">
        <f>IFERROR(S370*R370, 0)</f>
        <v/>
      </c>
      <c r="U370" s="313" t="n"/>
      <c r="V370" s="315" t="n"/>
      <c r="W370" s="316" t="n"/>
      <c r="X370" s="311" t="n"/>
      <c r="Y370" s="315" t="n"/>
      <c r="Z370" s="317" t="n"/>
    </row>
    <row r="371" ht="16.5" customHeight="1" s="223">
      <c r="A371" s="322" t="n"/>
      <c r="B371" s="324" t="n"/>
      <c r="C371" s="304" t="n"/>
      <c r="D371" s="304" t="n"/>
      <c r="E371" s="317" t="n"/>
      <c r="F371" s="320" t="n"/>
      <c r="G371" s="317" t="n"/>
      <c r="H371" s="311" t="n">
        <v>72</v>
      </c>
      <c r="I371" s="311" t="inlineStr"/>
      <c r="J371" s="311" t="inlineStr"/>
      <c r="K371" s="309" t="inlineStr">
        <is>
          <t>10IN MEDIUM MFM TW</t>
        </is>
      </c>
      <c r="L371" s="310" t="inlineStr">
        <is>
          <t>WA-MMF-10T-IN</t>
        </is>
      </c>
      <c r="M371" s="311" t="inlineStr">
        <is>
          <t>MIWU00198</t>
        </is>
      </c>
      <c r="N371" s="309" t="inlineStr">
        <is>
          <t>F.MFM.10T.005.BU</t>
        </is>
      </c>
      <c r="O371" s="306" t="n"/>
      <c r="P371" s="306" t="n"/>
      <c r="Q371" s="312">
        <f>IFERROR(R371/H371, 0)</f>
        <v/>
      </c>
      <c r="R371" s="307" t="n">
        <v>3313.44</v>
      </c>
      <c r="S371" s="308" t="n">
        <v>18062</v>
      </c>
      <c r="T371" s="308">
        <f>IFERROR(S371*R371, 0)</f>
        <v/>
      </c>
      <c r="U371" s="313" t="n"/>
      <c r="V371" s="315" t="n"/>
      <c r="W371" s="316" t="n"/>
      <c r="X371" s="311" t="n"/>
      <c r="Y371" s="315" t="n"/>
      <c r="Z371" s="317" t="n"/>
    </row>
    <row r="372" ht="16.5" customHeight="1" s="223">
      <c r="A372" s="322" t="n"/>
      <c r="B372" s="324" t="n"/>
      <c r="C372" s="304" t="n"/>
      <c r="D372" s="304" t="n"/>
      <c r="E372" s="317" t="n"/>
      <c r="F372" s="320" t="n"/>
      <c r="G372" s="317" t="n"/>
      <c r="H372" s="311" t="n">
        <v>20</v>
      </c>
      <c r="I372" s="311" t="inlineStr"/>
      <c r="J372" s="311" t="inlineStr"/>
      <c r="K372" s="309" t="inlineStr">
        <is>
          <t>12IN MEDIUM MFM FL</t>
        </is>
      </c>
      <c r="L372" s="310" t="inlineStr">
        <is>
          <t>WA-MMF-12F-IN</t>
        </is>
      </c>
      <c r="M372" s="311" t="inlineStr">
        <is>
          <t>MIWU00198</t>
        </is>
      </c>
      <c r="N372" s="309" t="inlineStr">
        <is>
          <t>F.MFM.12F.005.BU</t>
        </is>
      </c>
      <c r="O372" s="306" t="n"/>
      <c r="P372" s="306" t="n"/>
      <c r="Q372" s="312">
        <f>IFERROR(R372/H372, 0)</f>
        <v/>
      </c>
      <c r="R372" s="307" t="n">
        <v>1393</v>
      </c>
      <c r="S372" s="308" t="n">
        <v>18062</v>
      </c>
      <c r="T372" s="308">
        <f>IFERROR(S372*R372, 0)</f>
        <v/>
      </c>
      <c r="U372" s="313" t="n"/>
      <c r="V372" s="315" t="n"/>
      <c r="W372" s="316" t="n"/>
      <c r="X372" s="311" t="n"/>
      <c r="Y372" s="315" t="n"/>
      <c r="Z372" s="317" t="n"/>
    </row>
    <row r="373" ht="16.5" customHeight="1" s="223">
      <c r="A373" s="322" t="n"/>
      <c r="B373" s="324" t="n"/>
      <c r="C373" s="304" t="n"/>
      <c r="D373" s="304" t="n"/>
      <c r="E373" s="317" t="n"/>
      <c r="F373" s="320" t="n"/>
      <c r="G373" s="317" t="n"/>
      <c r="H373" s="311" t="n">
        <v>52</v>
      </c>
      <c r="I373" s="311" t="inlineStr"/>
      <c r="J373" s="311" t="inlineStr"/>
      <c r="K373" s="309" t="inlineStr">
        <is>
          <t>12IN MEDIUM MFM QN</t>
        </is>
      </c>
      <c r="L373" s="310" t="inlineStr">
        <is>
          <t>WA-MMF-12Q-IN</t>
        </is>
      </c>
      <c r="M373" s="311" t="inlineStr">
        <is>
          <t>MIWU00198</t>
        </is>
      </c>
      <c r="N373" s="309" t="inlineStr">
        <is>
          <t>F.MFM.12Q.005.BU</t>
        </is>
      </c>
      <c r="O373" s="306" t="n"/>
      <c r="P373" s="306" t="n"/>
      <c r="Q373" s="312">
        <f>IFERROR(R373/H373, 0)</f>
        <v/>
      </c>
      <c r="R373" s="307" t="n">
        <v>4210.44</v>
      </c>
      <c r="S373" s="308" t="n">
        <v>18062</v>
      </c>
      <c r="T373" s="308">
        <f>IFERROR(S373*R373, 0)</f>
        <v/>
      </c>
      <c r="U373" s="313" t="n"/>
      <c r="V373" s="315" t="n"/>
      <c r="W373" s="316" t="n"/>
      <c r="X373" s="311" t="n"/>
      <c r="Y373" s="315" t="n"/>
      <c r="Z373" s="317" t="n"/>
    </row>
    <row r="374" ht="16.5" customHeight="1" s="223">
      <c r="A374" s="322" t="n"/>
      <c r="B374" s="324" t="n"/>
      <c r="C374" s="304" t="n"/>
      <c r="D374" s="304" t="n"/>
      <c r="E374" s="317" t="n"/>
      <c r="F374" s="320" t="n"/>
      <c r="G374" s="317" t="n"/>
      <c r="H374" s="311" t="n">
        <v>50</v>
      </c>
      <c r="I374" s="311" t="inlineStr"/>
      <c r="J374" s="311" t="inlineStr"/>
      <c r="K374" s="309" t="inlineStr">
        <is>
          <t>12IN MEDIUM MFM TW</t>
        </is>
      </c>
      <c r="L374" s="310" t="inlineStr">
        <is>
          <t>WA-MMF-12T-IN</t>
        </is>
      </c>
      <c r="M374" s="311" t="inlineStr">
        <is>
          <t>MIWU00198</t>
        </is>
      </c>
      <c r="N374" s="309" t="inlineStr">
        <is>
          <t>F.MFM.12T.005.BU</t>
        </is>
      </c>
      <c r="O374" s="306" t="n"/>
      <c r="P374" s="306" t="n"/>
      <c r="Q374" s="312">
        <f>IFERROR(R374/H374, 0)</f>
        <v/>
      </c>
      <c r="R374" s="307" t="n">
        <v>2605</v>
      </c>
      <c r="S374" s="308" t="n">
        <v>18062</v>
      </c>
      <c r="T374" s="308">
        <f>IFERROR(S374*R374, 0)</f>
        <v/>
      </c>
      <c r="U374" s="313" t="n"/>
      <c r="V374" s="315" t="n"/>
      <c r="W374" s="316" t="n"/>
      <c r="X374" s="311" t="n"/>
      <c r="Y374" s="315" t="n"/>
      <c r="Z374" s="317" t="n"/>
    </row>
    <row r="375" ht="16.5" customHeight="1" s="223">
      <c r="A375" s="322" t="n"/>
      <c r="B375" s="324" t="n"/>
      <c r="C375" s="304" t="n"/>
      <c r="D375" s="304" t="n"/>
      <c r="E375" s="317" t="n"/>
      <c r="F375" s="320" t="n"/>
      <c r="G375" s="317" t="n"/>
      <c r="H375" s="311" t="n">
        <v>20</v>
      </c>
      <c r="I375" s="311" t="inlineStr"/>
      <c r="J375" s="311" t="inlineStr"/>
      <c r="K375" s="309" t="inlineStr">
        <is>
          <t>14IN MEDIUM MFM FL</t>
        </is>
      </c>
      <c r="L375" s="310" t="inlineStr">
        <is>
          <t>WA-MMF-14F-IN</t>
        </is>
      </c>
      <c r="M375" s="311" t="inlineStr">
        <is>
          <t>MIWU00198</t>
        </is>
      </c>
      <c r="N375" s="309" t="inlineStr">
        <is>
          <t>F.MFM.14F.000.BU</t>
        </is>
      </c>
      <c r="O375" s="306" t="n"/>
      <c r="P375" s="306" t="n"/>
      <c r="Q375" s="312">
        <f>IFERROR(R375/H375, 0)</f>
        <v/>
      </c>
      <c r="R375" s="307" t="n">
        <v>1559.2</v>
      </c>
      <c r="S375" s="308" t="n">
        <v>18062</v>
      </c>
      <c r="T375" s="308">
        <f>IFERROR(S375*R375, 0)</f>
        <v/>
      </c>
      <c r="U375" s="313" t="n"/>
      <c r="V375" s="315" t="n"/>
      <c r="W375" s="316" t="n"/>
      <c r="X375" s="311" t="n"/>
      <c r="Y375" s="315" t="n"/>
      <c r="Z375" s="317" t="n"/>
    </row>
    <row r="376" ht="16.5" customHeight="1" s="223">
      <c r="A376" s="322" t="n"/>
      <c r="B376" s="324" t="n"/>
      <c r="C376" s="304" t="n"/>
      <c r="D376" s="304" t="n"/>
      <c r="E376" s="317" t="n"/>
      <c r="F376" s="320" t="n"/>
      <c r="G376" s="317" t="n"/>
      <c r="H376" s="311" t="n">
        <v>65</v>
      </c>
      <c r="I376" s="311" t="inlineStr"/>
      <c r="J376" s="311" t="inlineStr"/>
      <c r="K376" s="309" t="inlineStr">
        <is>
          <t>6IN MEDIUM MFM TW</t>
        </is>
      </c>
      <c r="L376" s="310" t="inlineStr">
        <is>
          <t>WA-MMF-6T-IN</t>
        </is>
      </c>
      <c r="M376" s="311" t="inlineStr">
        <is>
          <t>MIWU00198</t>
        </is>
      </c>
      <c r="N376" s="309" t="inlineStr">
        <is>
          <t>F.MFM.06T.002.BU</t>
        </is>
      </c>
      <c r="O376" s="306" t="n"/>
      <c r="P376" s="306" t="n"/>
      <c r="Q376" s="312">
        <f>IFERROR(R376/H376, 0)</f>
        <v/>
      </c>
      <c r="R376" s="307" t="n">
        <v>2086.5</v>
      </c>
      <c r="S376" s="308" t="n">
        <v>18062</v>
      </c>
      <c r="T376" s="308">
        <f>IFERROR(S376*R376, 0)</f>
        <v/>
      </c>
      <c r="U376" s="313" t="n"/>
      <c r="V376" s="315" t="n"/>
      <c r="W376" s="316" t="n"/>
      <c r="X376" s="311" t="n"/>
      <c r="Y376" s="315" t="n"/>
      <c r="Z376" s="317" t="n"/>
    </row>
    <row r="377" ht="16.5" customHeight="1" s="223">
      <c r="A377" s="322" t="n"/>
      <c r="B377" s="324" t="n"/>
      <c r="C377" s="304" t="n"/>
      <c r="D377" s="304" t="n"/>
      <c r="E377" s="317" t="n"/>
      <c r="F377" s="320" t="n"/>
      <c r="G377" s="317" t="n"/>
      <c r="H377" s="311" t="n">
        <v>70</v>
      </c>
      <c r="I377" s="311" t="inlineStr"/>
      <c r="J377" s="311" t="inlineStr"/>
      <c r="K377" s="309" t="inlineStr">
        <is>
          <t>8IN MEDIUM MFM TW</t>
        </is>
      </c>
      <c r="L377" s="310" t="inlineStr">
        <is>
          <t>WA-MMF-8T-IN</t>
        </is>
      </c>
      <c r="M377" s="311" t="inlineStr">
        <is>
          <t>MIWU00198</t>
        </is>
      </c>
      <c r="N377" s="309" t="inlineStr">
        <is>
          <t>F.MFM.08T.005.BU</t>
        </is>
      </c>
      <c r="O377" s="306" t="n"/>
      <c r="P377" s="306" t="n"/>
      <c r="Q377" s="312">
        <f>IFERROR(R377/H377, 0)</f>
        <v/>
      </c>
      <c r="R377" s="307" t="n">
        <v>2721.6</v>
      </c>
      <c r="S377" s="308" t="n">
        <v>18062</v>
      </c>
      <c r="T377" s="308">
        <f>IFERROR(S377*R377, 0)</f>
        <v/>
      </c>
      <c r="U377" s="313" t="n"/>
      <c r="V377" s="315" t="n"/>
      <c r="W377" s="316" t="n"/>
      <c r="X377" s="311" t="n"/>
      <c r="Y377" s="315" t="n"/>
      <c r="Z377" s="317" t="n"/>
    </row>
    <row r="378" ht="17.1" customHeight="1" s="223">
      <c r="A378" s="325" t="n"/>
      <c r="B378" s="326" t="n"/>
      <c r="C378" s="327" t="n"/>
      <c r="D378" s="327" t="n"/>
      <c r="E378" s="328" t="n"/>
      <c r="F378" s="328" t="n"/>
      <c r="G378" s="328" t="n"/>
      <c r="H378" s="329">
        <f>SUM(H368:H377)</f>
        <v/>
      </c>
      <c r="I378" s="330">
        <f>COUNTA(I368:I377)</f>
        <v/>
      </c>
      <c r="J378" s="329" t="n"/>
      <c r="K378" s="329" t="n"/>
      <c r="L378" s="331" t="n"/>
      <c r="M378" s="329" t="n"/>
      <c r="N378" s="329" t="n"/>
      <c r="O378" s="332">
        <f>SUM(O368:O377)</f>
        <v/>
      </c>
      <c r="P378" s="332">
        <f>SUM(P368:P377)</f>
        <v/>
      </c>
      <c r="Q378" s="333" t="n"/>
      <c r="R378" s="334">
        <f>SUM(R368:R377)</f>
        <v/>
      </c>
      <c r="S378" s="335" t="n"/>
      <c r="T378" s="335">
        <f>SUM(T368:T377)</f>
        <v/>
      </c>
      <c r="U378" s="329" t="n"/>
      <c r="V378" s="336" t="n"/>
      <c r="W378" s="337" t="n"/>
      <c r="X378" s="336" t="n"/>
      <c r="Y378" s="336" t="n"/>
      <c r="Z378" s="336" t="n"/>
    </row>
    <row r="379" ht="16.5" customHeight="1" s="223">
      <c r="A379" s="322" t="n">
        <v>35</v>
      </c>
      <c r="B379" s="324" t="inlineStr">
        <is>
          <t>000030ZIK48020260806000585</t>
        </is>
      </c>
      <c r="C379" s="304" t="n">
        <v>494918</v>
      </c>
      <c r="D379" s="304" t="n">
        <v>494860</v>
      </c>
      <c r="E379" s="317" t="n">
        <v>46241</v>
      </c>
      <c r="F379" s="320" t="inlineStr">
        <is>
          <t>ID2608-8058</t>
        </is>
      </c>
      <c r="G379" s="317" t="n">
        <v>46240</v>
      </c>
      <c r="H379" s="311" t="n">
        <v>81</v>
      </c>
      <c r="I379" s="311" t="inlineStr">
        <is>
          <t>WHSU8472150</t>
        </is>
      </c>
      <c r="J379" s="311" t="inlineStr">
        <is>
          <t>40FT</t>
        </is>
      </c>
      <c r="K379" s="309" t="inlineStr">
        <is>
          <t>10IN MEDIUM MFM FL</t>
        </is>
      </c>
      <c r="L379" s="310" t="inlineStr">
        <is>
          <t>WA-MMF-10F-IN</t>
        </is>
      </c>
      <c r="M379" s="311" t="inlineStr">
        <is>
          <t>MIWU00192</t>
        </is>
      </c>
      <c r="N379" s="309" t="inlineStr">
        <is>
          <t>F.MFM.10F.005.BU</t>
        </is>
      </c>
      <c r="O379" s="306" t="n">
        <v>12046.7</v>
      </c>
      <c r="P379" s="306" t="n">
        <v>10876.8</v>
      </c>
      <c r="Q379" s="312">
        <f>IFERROR(R379/H379, 0)</f>
        <v/>
      </c>
      <c r="R379" s="307" t="n">
        <v>4890.78</v>
      </c>
      <c r="S379" s="308" t="n">
        <v>18062</v>
      </c>
      <c r="T379" s="308">
        <f>IFERROR(S379*R379, 0)</f>
        <v/>
      </c>
      <c r="U379" s="313" t="inlineStr">
        <is>
          <t>040300/KPPBC</t>
        </is>
      </c>
      <c r="V379" s="315" t="inlineStr">
        <is>
          <t>TG. PRIOK</t>
        </is>
      </c>
      <c r="W379" s="316" t="inlineStr">
        <is>
          <t>SAVANNAH, US</t>
        </is>
      </c>
      <c r="X379" s="311" t="inlineStr">
        <is>
          <t>MELLOW INC</t>
        </is>
      </c>
      <c r="Y379" s="315" t="inlineStr">
        <is>
          <t>WHLC049GX08381</t>
        </is>
      </c>
      <c r="Z379" s="317" t="n">
        <v>46241</v>
      </c>
    </row>
    <row r="380" ht="16.5" customHeight="1" s="223">
      <c r="A380" s="322" t="n"/>
      <c r="B380" s="324" t="n"/>
      <c r="C380" s="304" t="n"/>
      <c r="D380" s="304" t="n"/>
      <c r="E380" s="317" t="n"/>
      <c r="F380" s="320" t="n"/>
      <c r="G380" s="317" t="n"/>
      <c r="H380" s="311" t="n">
        <v>42</v>
      </c>
      <c r="I380" s="311" t="inlineStr"/>
      <c r="J380" s="311" t="inlineStr"/>
      <c r="K380" s="309" t="inlineStr">
        <is>
          <t>10IN MEDIUM MFM EK</t>
        </is>
      </c>
      <c r="L380" s="310" t="inlineStr">
        <is>
          <t>WA-MMF-10K-IN</t>
        </is>
      </c>
      <c r="M380" s="311" t="inlineStr">
        <is>
          <t>MIWU00192</t>
        </is>
      </c>
      <c r="N380" s="309" t="inlineStr">
        <is>
          <t>F.MFM.10K.005.BU</t>
        </is>
      </c>
      <c r="O380" s="306" t="n"/>
      <c r="P380" s="306" t="n"/>
      <c r="Q380" s="312">
        <f>IFERROR(R380/H380, 0)</f>
        <v/>
      </c>
      <c r="R380" s="307" t="n">
        <v>3673.74</v>
      </c>
      <c r="S380" s="308" t="n">
        <v>18062</v>
      </c>
      <c r="T380" s="308">
        <f>IFERROR(S380*R380, 0)</f>
        <v/>
      </c>
      <c r="U380" s="313" t="n"/>
      <c r="V380" s="315" t="n"/>
      <c r="W380" s="316" t="inlineStr">
        <is>
          <t>ETD : 14-08-2026</t>
        </is>
      </c>
      <c r="X380" s="311" t="n"/>
      <c r="Y380" s="315" t="n"/>
      <c r="Z380" s="317" t="n"/>
    </row>
    <row r="381" ht="16.5" customHeight="1" s="223">
      <c r="A381" s="322" t="n"/>
      <c r="B381" s="324" t="n"/>
      <c r="C381" s="304" t="n"/>
      <c r="D381" s="304" t="n"/>
      <c r="E381" s="317" t="n"/>
      <c r="F381" s="320" t="n"/>
      <c r="G381" s="317" t="n"/>
      <c r="H381" s="311" t="n">
        <v>65</v>
      </c>
      <c r="I381" s="311" t="inlineStr"/>
      <c r="J381" s="311" t="inlineStr"/>
      <c r="K381" s="309" t="inlineStr">
        <is>
          <t>10IN MEDIUM MFM QN</t>
        </is>
      </c>
      <c r="L381" s="310" t="inlineStr">
        <is>
          <t>WA-MMF-10Q-IN</t>
        </is>
      </c>
      <c r="M381" s="311" t="inlineStr">
        <is>
          <t>MIWU00192</t>
        </is>
      </c>
      <c r="N381" s="309" t="inlineStr">
        <is>
          <t>F.MFM.10Q.005.BU</t>
        </is>
      </c>
      <c r="O381" s="306" t="n"/>
      <c r="P381" s="306" t="n"/>
      <c r="Q381" s="312">
        <f>IFERROR(R381/H381, 0)</f>
        <v/>
      </c>
      <c r="R381" s="307" t="n">
        <v>4651.4</v>
      </c>
      <c r="S381" s="308" t="n">
        <v>18062</v>
      </c>
      <c r="T381" s="308">
        <f>IFERROR(S381*R381, 0)</f>
        <v/>
      </c>
      <c r="U381" s="313" t="n"/>
      <c r="V381" s="315" t="n"/>
      <c r="W381" s="316" t="n"/>
      <c r="X381" s="311" t="n"/>
      <c r="Y381" s="315" t="n"/>
      <c r="Z381" s="317" t="n"/>
    </row>
    <row r="382" ht="16.5" customHeight="1" s="223">
      <c r="A382" s="322" t="n"/>
      <c r="B382" s="324" t="n"/>
      <c r="C382" s="304" t="n"/>
      <c r="D382" s="304" t="n"/>
      <c r="E382" s="317" t="n"/>
      <c r="F382" s="320" t="n"/>
      <c r="G382" s="317" t="n"/>
      <c r="H382" s="311" t="n">
        <v>51</v>
      </c>
      <c r="I382" s="311" t="inlineStr"/>
      <c r="J382" s="311" t="inlineStr"/>
      <c r="K382" s="309" t="inlineStr">
        <is>
          <t>10IN MEDIUM MFM TW</t>
        </is>
      </c>
      <c r="L382" s="310" t="inlineStr">
        <is>
          <t>WA-MMF-10T-IN</t>
        </is>
      </c>
      <c r="M382" s="311" t="inlineStr">
        <is>
          <t>MIWU00192</t>
        </is>
      </c>
      <c r="N382" s="309" t="inlineStr">
        <is>
          <t>F.MFM.10T.005.BU</t>
        </is>
      </c>
      <c r="O382" s="306" t="n"/>
      <c r="P382" s="306" t="n"/>
      <c r="Q382" s="312">
        <f>IFERROR(R382/H382, 0)</f>
        <v/>
      </c>
      <c r="R382" s="307" t="n">
        <v>2347.02</v>
      </c>
      <c r="S382" s="308" t="n">
        <v>18062</v>
      </c>
      <c r="T382" s="308">
        <f>IFERROR(S382*R382, 0)</f>
        <v/>
      </c>
      <c r="U382" s="313" t="n"/>
      <c r="V382" s="315" t="n"/>
      <c r="W382" s="316" t="n"/>
      <c r="X382" s="311" t="n"/>
      <c r="Y382" s="315" t="n"/>
      <c r="Z382" s="317" t="n"/>
    </row>
    <row r="383" ht="16.5" customHeight="1" s="223">
      <c r="A383" s="322" t="n"/>
      <c r="B383" s="324" t="n"/>
      <c r="C383" s="304" t="n"/>
      <c r="D383" s="304" t="n"/>
      <c r="E383" s="317" t="n"/>
      <c r="F383" s="320" t="n"/>
      <c r="G383" s="317" t="n"/>
      <c r="H383" s="311" t="n">
        <v>31</v>
      </c>
      <c r="I383" s="311" t="inlineStr"/>
      <c r="J383" s="311" t="inlineStr"/>
      <c r="K383" s="309" t="inlineStr">
        <is>
          <t>12IN MEDIUM MFM FL</t>
        </is>
      </c>
      <c r="L383" s="310" t="inlineStr">
        <is>
          <t>WA-MMF-12F-IN</t>
        </is>
      </c>
      <c r="M383" s="311" t="inlineStr">
        <is>
          <t>MIWU00192</t>
        </is>
      </c>
      <c r="N383" s="309" t="inlineStr">
        <is>
          <t>F.MFM.12F.005.BU</t>
        </is>
      </c>
      <c r="O383" s="306" t="n"/>
      <c r="P383" s="306" t="n"/>
      <c r="Q383" s="312">
        <f>IFERROR(R383/H383, 0)</f>
        <v/>
      </c>
      <c r="R383" s="307" t="n">
        <v>2159.15</v>
      </c>
      <c r="S383" s="308" t="n">
        <v>18062</v>
      </c>
      <c r="T383" s="308">
        <f>IFERROR(S383*R383, 0)</f>
        <v/>
      </c>
      <c r="U383" s="313" t="n"/>
      <c r="V383" s="315" t="n"/>
      <c r="W383" s="316" t="n"/>
      <c r="X383" s="311" t="n"/>
      <c r="Y383" s="315" t="n"/>
      <c r="Z383" s="317" t="n"/>
    </row>
    <row r="384" ht="16.5" customHeight="1" s="223">
      <c r="A384" s="322" t="n"/>
      <c r="B384" s="324" t="n"/>
      <c r="C384" s="304" t="n"/>
      <c r="D384" s="304" t="n"/>
      <c r="E384" s="317" t="n"/>
      <c r="F384" s="320" t="n"/>
      <c r="G384" s="317" t="n"/>
      <c r="H384" s="311" t="n">
        <v>24</v>
      </c>
      <c r="I384" s="311" t="inlineStr"/>
      <c r="J384" s="311" t="inlineStr"/>
      <c r="K384" s="309" t="inlineStr">
        <is>
          <t>12IN MEDIUM MFM EK</t>
        </is>
      </c>
      <c r="L384" s="310" t="inlineStr">
        <is>
          <t>WA-MMF-12K-IN</t>
        </is>
      </c>
      <c r="M384" s="311" t="inlineStr">
        <is>
          <t>MIWU00192</t>
        </is>
      </c>
      <c r="N384" s="309" t="inlineStr">
        <is>
          <t>F.MFM.12K.005.BU</t>
        </is>
      </c>
      <c r="O384" s="306" t="n"/>
      <c r="P384" s="306" t="n"/>
      <c r="Q384" s="312">
        <f>IFERROR(R384/H384, 0)</f>
        <v/>
      </c>
      <c r="R384" s="307" t="n">
        <v>2372.64</v>
      </c>
      <c r="S384" s="308" t="n">
        <v>18062</v>
      </c>
      <c r="T384" s="308">
        <f>IFERROR(S384*R384, 0)</f>
        <v/>
      </c>
      <c r="U384" s="313" t="n"/>
      <c r="V384" s="315" t="n"/>
      <c r="W384" s="316" t="n"/>
      <c r="X384" s="311" t="n"/>
      <c r="Y384" s="315" t="n"/>
      <c r="Z384" s="317" t="n"/>
    </row>
    <row r="385" ht="16.5" customHeight="1" s="223">
      <c r="A385" s="322" t="n"/>
      <c r="B385" s="324" t="n"/>
      <c r="C385" s="304" t="n"/>
      <c r="D385" s="304" t="n"/>
      <c r="E385" s="317" t="n"/>
      <c r="F385" s="320" t="n"/>
      <c r="G385" s="317" t="n"/>
      <c r="H385" s="311" t="n">
        <v>70</v>
      </c>
      <c r="I385" s="311" t="inlineStr"/>
      <c r="J385" s="311" t="inlineStr"/>
      <c r="K385" s="309" t="inlineStr">
        <is>
          <t>6IN MEDIUM MFM FL</t>
        </is>
      </c>
      <c r="L385" s="310" t="inlineStr">
        <is>
          <t>WA-MMF-6F-IN</t>
        </is>
      </c>
      <c r="M385" s="311" t="inlineStr">
        <is>
          <t>MIWU00192</t>
        </is>
      </c>
      <c r="N385" s="309" t="inlineStr">
        <is>
          <t>F.MFM.06F.002.BU</t>
        </is>
      </c>
      <c r="O385" s="306" t="n"/>
      <c r="P385" s="306" t="n"/>
      <c r="Q385" s="312">
        <f>IFERROR(R385/H385, 0)</f>
        <v/>
      </c>
      <c r="R385" s="307" t="n">
        <v>2983.4</v>
      </c>
      <c r="S385" s="308" t="n">
        <v>18062</v>
      </c>
      <c r="T385" s="308">
        <f>IFERROR(S385*R385, 0)</f>
        <v/>
      </c>
      <c r="U385" s="313" t="n"/>
      <c r="V385" s="315" t="n"/>
      <c r="W385" s="316" t="n"/>
      <c r="X385" s="311" t="n"/>
      <c r="Y385" s="315" t="n"/>
      <c r="Z385" s="317" t="n"/>
    </row>
    <row r="386" ht="16.5" customHeight="1" s="223">
      <c r="A386" s="322" t="n"/>
      <c r="B386" s="324" t="n"/>
      <c r="C386" s="304" t="n"/>
      <c r="D386" s="304" t="n"/>
      <c r="E386" s="317" t="n"/>
      <c r="F386" s="320" t="n"/>
      <c r="G386" s="317" t="n"/>
      <c r="H386" s="311" t="n">
        <v>77</v>
      </c>
      <c r="I386" s="311" t="inlineStr"/>
      <c r="J386" s="311" t="inlineStr"/>
      <c r="K386" s="309" t="inlineStr">
        <is>
          <t>6IN MEDIUM MFM TW</t>
        </is>
      </c>
      <c r="L386" s="310" t="inlineStr">
        <is>
          <t>WA-MMF-6T-IN</t>
        </is>
      </c>
      <c r="M386" s="311" t="inlineStr">
        <is>
          <t>MIWU00192</t>
        </is>
      </c>
      <c r="N386" s="309" t="inlineStr">
        <is>
          <t>F.MFM.06T.002.BU</t>
        </is>
      </c>
      <c r="O386" s="306" t="n"/>
      <c r="P386" s="306" t="n"/>
      <c r="Q386" s="312">
        <f>IFERROR(R386/H386, 0)</f>
        <v/>
      </c>
      <c r="R386" s="307" t="n">
        <v>2471.7</v>
      </c>
      <c r="S386" s="308" t="n">
        <v>18062</v>
      </c>
      <c r="T386" s="308">
        <f>IFERROR(S386*R386, 0)</f>
        <v/>
      </c>
      <c r="U386" s="313" t="n"/>
      <c r="V386" s="315" t="n"/>
      <c r="W386" s="316" t="n"/>
      <c r="X386" s="311" t="n"/>
      <c r="Y386" s="315" t="n"/>
      <c r="Z386" s="317" t="n"/>
    </row>
    <row r="387" ht="16.5" customHeight="1" s="223">
      <c r="A387" s="322" t="n"/>
      <c r="B387" s="324" t="n"/>
      <c r="C387" s="304" t="n"/>
      <c r="D387" s="304" t="n"/>
      <c r="E387" s="317" t="n"/>
      <c r="F387" s="320" t="n"/>
      <c r="G387" s="317" t="n"/>
      <c r="H387" s="311" t="n">
        <v>20</v>
      </c>
      <c r="I387" s="311" t="inlineStr"/>
      <c r="J387" s="311" t="inlineStr"/>
      <c r="K387" s="309" t="inlineStr">
        <is>
          <t>6IN MEDIUM MFM TX</t>
        </is>
      </c>
      <c r="L387" s="310" t="inlineStr">
        <is>
          <t>WA-MMF-6TXL-IN</t>
        </is>
      </c>
      <c r="M387" s="311" t="inlineStr">
        <is>
          <t>MIWU00192</t>
        </is>
      </c>
      <c r="N387" s="309" t="inlineStr">
        <is>
          <t>F.MFM.06X.002.BU</t>
        </is>
      </c>
      <c r="O387" s="306" t="n"/>
      <c r="P387" s="306" t="n"/>
      <c r="Q387" s="312">
        <f>IFERROR(R387/H387, 0)</f>
        <v/>
      </c>
      <c r="R387" s="307" t="n">
        <v>680.2</v>
      </c>
      <c r="S387" s="308" t="n">
        <v>18062</v>
      </c>
      <c r="T387" s="308">
        <f>IFERROR(S387*R387, 0)</f>
        <v/>
      </c>
      <c r="U387" s="313" t="n"/>
      <c r="V387" s="315" t="n"/>
      <c r="W387" s="316" t="n"/>
      <c r="X387" s="311" t="n"/>
      <c r="Y387" s="315" t="n"/>
      <c r="Z387" s="317" t="n"/>
    </row>
    <row r="388" ht="16.5" customHeight="1" s="223">
      <c r="A388" s="322" t="n"/>
      <c r="B388" s="324" t="n"/>
      <c r="C388" s="304" t="n"/>
      <c r="D388" s="304" t="n"/>
      <c r="E388" s="317" t="n"/>
      <c r="F388" s="320" t="n"/>
      <c r="G388" s="317" t="n"/>
      <c r="H388" s="311" t="n">
        <v>50</v>
      </c>
      <c r="I388" s="311" t="inlineStr"/>
      <c r="J388" s="311" t="inlineStr"/>
      <c r="K388" s="309" t="inlineStr">
        <is>
          <t>8IN MEDIUM MFM FL</t>
        </is>
      </c>
      <c r="L388" s="310" t="inlineStr">
        <is>
          <t>WA-MMF-8F-IN</t>
        </is>
      </c>
      <c r="M388" s="311" t="inlineStr">
        <is>
          <t>MIWU00192</t>
        </is>
      </c>
      <c r="N388" s="309" t="inlineStr">
        <is>
          <t>F.MFM.08F.005.BU</t>
        </is>
      </c>
      <c r="O388" s="306" t="n"/>
      <c r="P388" s="306" t="n"/>
      <c r="Q388" s="312">
        <f>IFERROR(R388/H388, 0)</f>
        <v/>
      </c>
      <c r="R388" s="307" t="n">
        <v>2605</v>
      </c>
      <c r="S388" s="308" t="n">
        <v>18062</v>
      </c>
      <c r="T388" s="308">
        <f>IFERROR(S388*R388, 0)</f>
        <v/>
      </c>
      <c r="U388" s="313" t="n"/>
      <c r="V388" s="315" t="n"/>
      <c r="W388" s="316" t="n"/>
      <c r="X388" s="311" t="n"/>
      <c r="Y388" s="315" t="n"/>
      <c r="Z388" s="317" t="n"/>
    </row>
    <row r="389" ht="16.5" customHeight="1" s="223">
      <c r="A389" s="322" t="n"/>
      <c r="B389" s="324" t="n"/>
      <c r="C389" s="304" t="n"/>
      <c r="D389" s="304" t="n"/>
      <c r="E389" s="317" t="n"/>
      <c r="F389" s="320" t="n"/>
      <c r="G389" s="317" t="n"/>
      <c r="H389" s="311" t="n">
        <v>22</v>
      </c>
      <c r="I389" s="311" t="inlineStr"/>
      <c r="J389" s="311" t="inlineStr"/>
      <c r="K389" s="309" t="inlineStr">
        <is>
          <t>8IN MEDIUM MFM QN</t>
        </is>
      </c>
      <c r="L389" s="310" t="inlineStr">
        <is>
          <t>WA-MMF-8Q-IN</t>
        </is>
      </c>
      <c r="M389" s="311" t="inlineStr">
        <is>
          <t>MIWU00192</t>
        </is>
      </c>
      <c r="N389" s="309" t="inlineStr">
        <is>
          <t>F.MFM.08Q.005.BU</t>
        </is>
      </c>
      <c r="O389" s="306" t="n"/>
      <c r="P389" s="306" t="n"/>
      <c r="Q389" s="312">
        <f>IFERROR(R389/H389, 0)</f>
        <v/>
      </c>
      <c r="R389" s="307" t="n">
        <v>1357.18</v>
      </c>
      <c r="S389" s="308" t="n">
        <v>18062</v>
      </c>
      <c r="T389" s="308">
        <f>IFERROR(S389*R389, 0)</f>
        <v/>
      </c>
      <c r="U389" s="313" t="n"/>
      <c r="V389" s="315" t="n"/>
      <c r="W389" s="316" t="n"/>
      <c r="X389" s="311" t="n"/>
      <c r="Y389" s="315" t="n"/>
      <c r="Z389" s="317" t="n"/>
    </row>
    <row r="390" ht="16.5" customHeight="1" s="223">
      <c r="A390" s="322" t="n"/>
      <c r="B390" s="324" t="n"/>
      <c r="C390" s="304" t="n"/>
      <c r="D390" s="304" t="n"/>
      <c r="E390" s="317" t="n"/>
      <c r="F390" s="320" t="n"/>
      <c r="G390" s="317" t="n"/>
      <c r="H390" s="311" t="n">
        <v>81</v>
      </c>
      <c r="I390" s="311" t="inlineStr"/>
      <c r="J390" s="311" t="inlineStr"/>
      <c r="K390" s="309" t="inlineStr">
        <is>
          <t>8IN MEDIUM MFM TW</t>
        </is>
      </c>
      <c r="L390" s="310" t="inlineStr">
        <is>
          <t>WA-MMF-8T-IN</t>
        </is>
      </c>
      <c r="M390" s="311" t="inlineStr">
        <is>
          <t>MIWU00192</t>
        </is>
      </c>
      <c r="N390" s="309" t="inlineStr">
        <is>
          <t>F.MFM.08T.005.BU</t>
        </is>
      </c>
      <c r="O390" s="306" t="n"/>
      <c r="P390" s="306" t="n"/>
      <c r="Q390" s="312">
        <f>IFERROR(R390/H390, 0)</f>
        <v/>
      </c>
      <c r="R390" s="307" t="n">
        <v>3149.28</v>
      </c>
      <c r="S390" s="308" t="n">
        <v>18062</v>
      </c>
      <c r="T390" s="308">
        <f>IFERROR(S390*R390, 0)</f>
        <v/>
      </c>
      <c r="U390" s="313" t="n"/>
      <c r="V390" s="315" t="n"/>
      <c r="W390" s="316" t="n"/>
      <c r="X390" s="311" t="n"/>
      <c r="Y390" s="315" t="n"/>
      <c r="Z390" s="317" t="n"/>
    </row>
    <row r="391" ht="17.1" customHeight="1" s="223">
      <c r="A391" s="325" t="n"/>
      <c r="B391" s="326" t="n"/>
      <c r="C391" s="327" t="n"/>
      <c r="D391" s="327" t="n"/>
      <c r="E391" s="328" t="n"/>
      <c r="F391" s="328" t="n"/>
      <c r="G391" s="328" t="n"/>
      <c r="H391" s="329">
        <f>SUM(H379:H390)</f>
        <v/>
      </c>
      <c r="I391" s="330">
        <f>COUNTA(I379:I390)</f>
        <v/>
      </c>
      <c r="J391" s="329" t="n"/>
      <c r="K391" s="329" t="n"/>
      <c r="L391" s="331" t="n"/>
      <c r="M391" s="329" t="n"/>
      <c r="N391" s="329" t="n"/>
      <c r="O391" s="332">
        <f>SUM(O379:O390)</f>
        <v/>
      </c>
      <c r="P391" s="332">
        <f>SUM(P379:P390)</f>
        <v/>
      </c>
      <c r="Q391" s="333" t="n"/>
      <c r="R391" s="334">
        <f>SUM(R379:R390)</f>
        <v/>
      </c>
      <c r="S391" s="335" t="n"/>
      <c r="T391" s="335">
        <f>SUM(T379:T390)</f>
        <v/>
      </c>
      <c r="U391" s="329" t="n"/>
      <c r="V391" s="336" t="n"/>
      <c r="W391" s="337" t="n"/>
      <c r="X391" s="336" t="n"/>
      <c r="Y391" s="336" t="n"/>
      <c r="Z391" s="336" t="n"/>
    </row>
    <row r="392" ht="16.5" customHeight="1" s="223">
      <c r="A392" s="322" t="n">
        <v>36</v>
      </c>
      <c r="B392" s="324" t="inlineStr">
        <is>
          <t>000030ZIK48020260806000586</t>
        </is>
      </c>
      <c r="C392" s="304" t="n">
        <v>494930</v>
      </c>
      <c r="D392" s="304" t="n">
        <v>494872</v>
      </c>
      <c r="E392" s="317" t="n">
        <v>46241</v>
      </c>
      <c r="F392" s="320" t="inlineStr">
        <is>
          <t>ID2608-8059</t>
        </is>
      </c>
      <c r="G392" s="317" t="n">
        <v>46240</v>
      </c>
      <c r="H392" s="311" t="n">
        <v>85</v>
      </c>
      <c r="I392" s="311" t="inlineStr">
        <is>
          <t>WHSU6883090</t>
        </is>
      </c>
      <c r="J392" s="311" t="inlineStr">
        <is>
          <t>40FT</t>
        </is>
      </c>
      <c r="K392" s="309" t="inlineStr">
        <is>
          <t>10IN MEDIUM MFM FL</t>
        </is>
      </c>
      <c r="L392" s="310" t="inlineStr">
        <is>
          <t>WA-MMF-10F-IN</t>
        </is>
      </c>
      <c r="M392" s="311" t="inlineStr">
        <is>
          <t>MIWU00196</t>
        </is>
      </c>
      <c r="N392" s="309" t="inlineStr">
        <is>
          <t>F.MFM.10F.005.BU</t>
        </is>
      </c>
      <c r="O392" s="306" t="n">
        <v>12481.8</v>
      </c>
      <c r="P392" s="306" t="n">
        <v>11286.5</v>
      </c>
      <c r="Q392" s="312">
        <f>IFERROR(R392/H392, 0)</f>
        <v/>
      </c>
      <c r="R392" s="307" t="n">
        <v>5132.3</v>
      </c>
      <c r="S392" s="308" t="n">
        <v>18062</v>
      </c>
      <c r="T392" s="308">
        <f>IFERROR(S392*R392, 0)</f>
        <v/>
      </c>
      <c r="U392" s="313" t="inlineStr">
        <is>
          <t>040300/KPPBC</t>
        </is>
      </c>
      <c r="V392" s="315" t="inlineStr">
        <is>
          <t>TG. PRIOK</t>
        </is>
      </c>
      <c r="W392" s="316" t="inlineStr">
        <is>
          <t>SAVANNAH, US</t>
        </is>
      </c>
      <c r="X392" s="311" t="inlineStr">
        <is>
          <t>MELLOW INC</t>
        </is>
      </c>
      <c r="Y392" s="315" t="inlineStr">
        <is>
          <t>WHLC049GX08380</t>
        </is>
      </c>
      <c r="Z392" s="317" t="n">
        <v>46241</v>
      </c>
    </row>
    <row r="393" ht="16.5" customHeight="1" s="223">
      <c r="A393" s="322" t="n"/>
      <c r="B393" s="324" t="n"/>
      <c r="C393" s="304" t="n"/>
      <c r="D393" s="304" t="n"/>
      <c r="E393" s="317" t="n"/>
      <c r="F393" s="320" t="n"/>
      <c r="G393" s="317" t="n"/>
      <c r="H393" s="311" t="n">
        <v>60</v>
      </c>
      <c r="I393" s="311" t="inlineStr"/>
      <c r="J393" s="311" t="inlineStr"/>
      <c r="K393" s="309" t="inlineStr">
        <is>
          <t>10IN MEDIUM MFM EK</t>
        </is>
      </c>
      <c r="L393" s="310" t="inlineStr">
        <is>
          <t>WA-MMF-10K-IN</t>
        </is>
      </c>
      <c r="M393" s="311" t="inlineStr">
        <is>
          <t>MIWU00196</t>
        </is>
      </c>
      <c r="N393" s="309" t="inlineStr">
        <is>
          <t>F.MFM.10K.005.BU</t>
        </is>
      </c>
      <c r="O393" s="306" t="n"/>
      <c r="P393" s="306" t="n"/>
      <c r="Q393" s="312">
        <f>IFERROR(R393/H393, 0)</f>
        <v/>
      </c>
      <c r="R393" s="307" t="n">
        <v>5248.2</v>
      </c>
      <c r="S393" s="308" t="n">
        <v>18062</v>
      </c>
      <c r="T393" s="308">
        <f>IFERROR(S393*R393, 0)</f>
        <v/>
      </c>
      <c r="U393" s="313" t="n"/>
      <c r="V393" s="315" t="n"/>
      <c r="W393" s="316" t="inlineStr">
        <is>
          <t>ETD : 14-08-2026</t>
        </is>
      </c>
      <c r="X393" s="311" t="n"/>
      <c r="Y393" s="315" t="n"/>
      <c r="Z393" s="317" t="n"/>
    </row>
    <row r="394" ht="16.5" customHeight="1" s="223">
      <c r="A394" s="322" t="n"/>
      <c r="B394" s="324" t="n"/>
      <c r="C394" s="304" t="n"/>
      <c r="D394" s="304" t="n"/>
      <c r="E394" s="317" t="n"/>
      <c r="F394" s="320" t="n"/>
      <c r="G394" s="317" t="n"/>
      <c r="H394" s="311" t="n">
        <v>82</v>
      </c>
      <c r="I394" s="311" t="inlineStr"/>
      <c r="J394" s="311" t="inlineStr"/>
      <c r="K394" s="309" t="inlineStr">
        <is>
          <t>10IN MEDIUM MFM QN</t>
        </is>
      </c>
      <c r="L394" s="310" t="inlineStr">
        <is>
          <t>WA-MMF-10Q-IN</t>
        </is>
      </c>
      <c r="M394" s="311" t="inlineStr">
        <is>
          <t>MIWU00196</t>
        </is>
      </c>
      <c r="N394" s="309" t="inlineStr">
        <is>
          <t>F.MFM.10Q.005.BU</t>
        </is>
      </c>
      <c r="O394" s="306" t="n"/>
      <c r="P394" s="306" t="n"/>
      <c r="Q394" s="312">
        <f>IFERROR(R394/H394, 0)</f>
        <v/>
      </c>
      <c r="R394" s="307" t="n">
        <v>5867.92</v>
      </c>
      <c r="S394" s="308" t="n">
        <v>18062</v>
      </c>
      <c r="T394" s="308">
        <f>IFERROR(S394*R394, 0)</f>
        <v/>
      </c>
      <c r="U394" s="313" t="n"/>
      <c r="V394" s="315" t="n"/>
      <c r="W394" s="316" t="n"/>
      <c r="X394" s="311" t="n"/>
      <c r="Y394" s="315" t="n"/>
      <c r="Z394" s="317" t="n"/>
    </row>
    <row r="395" ht="16.5" customHeight="1" s="223">
      <c r="A395" s="322" t="n"/>
      <c r="B395" s="324" t="n"/>
      <c r="C395" s="304" t="n"/>
      <c r="D395" s="304" t="n"/>
      <c r="E395" s="317" t="n"/>
      <c r="F395" s="320" t="n"/>
      <c r="G395" s="317" t="n"/>
      <c r="H395" s="311" t="n">
        <v>72</v>
      </c>
      <c r="I395" s="311" t="inlineStr"/>
      <c r="J395" s="311" t="inlineStr"/>
      <c r="K395" s="309" t="inlineStr">
        <is>
          <t>10IN MEDIUM MFM TW</t>
        </is>
      </c>
      <c r="L395" s="310" t="inlineStr">
        <is>
          <t>WA-MMF-10T-IN</t>
        </is>
      </c>
      <c r="M395" s="311" t="inlineStr">
        <is>
          <t>MIWU00196</t>
        </is>
      </c>
      <c r="N395" s="309" t="inlineStr">
        <is>
          <t>F.MFM.10T.005.BU</t>
        </is>
      </c>
      <c r="O395" s="306" t="n"/>
      <c r="P395" s="306" t="n"/>
      <c r="Q395" s="312">
        <f>IFERROR(R395/H395, 0)</f>
        <v/>
      </c>
      <c r="R395" s="307" t="n">
        <v>3313.44</v>
      </c>
      <c r="S395" s="308" t="n">
        <v>18062</v>
      </c>
      <c r="T395" s="308">
        <f>IFERROR(S395*R395, 0)</f>
        <v/>
      </c>
      <c r="U395" s="313" t="n"/>
      <c r="V395" s="315" t="n"/>
      <c r="W395" s="316" t="n"/>
      <c r="X395" s="311" t="n"/>
      <c r="Y395" s="315" t="n"/>
      <c r="Z395" s="317" t="n"/>
    </row>
    <row r="396" ht="16.5" customHeight="1" s="223">
      <c r="A396" s="322" t="n"/>
      <c r="B396" s="324" t="n"/>
      <c r="C396" s="304" t="n"/>
      <c r="D396" s="304" t="n"/>
      <c r="E396" s="317" t="n"/>
      <c r="F396" s="320" t="n"/>
      <c r="G396" s="317" t="n"/>
      <c r="H396" s="311" t="n">
        <v>20</v>
      </c>
      <c r="I396" s="311" t="inlineStr"/>
      <c r="J396" s="311" t="inlineStr"/>
      <c r="K396" s="309" t="inlineStr">
        <is>
          <t>12IN MEDIUM MFM FL</t>
        </is>
      </c>
      <c r="L396" s="310" t="inlineStr">
        <is>
          <t>WA-MMF-12F-IN</t>
        </is>
      </c>
      <c r="M396" s="311" t="inlineStr">
        <is>
          <t>MIWU00196</t>
        </is>
      </c>
      <c r="N396" s="309" t="inlineStr">
        <is>
          <t>F.MFM.12F.005.BU</t>
        </is>
      </c>
      <c r="O396" s="306" t="n"/>
      <c r="P396" s="306" t="n"/>
      <c r="Q396" s="312">
        <f>IFERROR(R396/H396, 0)</f>
        <v/>
      </c>
      <c r="R396" s="307" t="n">
        <v>1393</v>
      </c>
      <c r="S396" s="308" t="n">
        <v>18062</v>
      </c>
      <c r="T396" s="308">
        <f>IFERROR(S396*R396, 0)</f>
        <v/>
      </c>
      <c r="U396" s="313" t="n"/>
      <c r="V396" s="315" t="n"/>
      <c r="W396" s="316" t="n"/>
      <c r="X396" s="311" t="n"/>
      <c r="Y396" s="315" t="n"/>
      <c r="Z396" s="317" t="n"/>
    </row>
    <row r="397" ht="16.5" customHeight="1" s="223">
      <c r="A397" s="322" t="n"/>
      <c r="B397" s="324" t="n"/>
      <c r="C397" s="304" t="n"/>
      <c r="D397" s="304" t="n"/>
      <c r="E397" s="317" t="n"/>
      <c r="F397" s="320" t="n"/>
      <c r="G397" s="317" t="n"/>
      <c r="H397" s="311" t="n">
        <v>52</v>
      </c>
      <c r="I397" s="311" t="inlineStr"/>
      <c r="J397" s="311" t="inlineStr"/>
      <c r="K397" s="309" t="inlineStr">
        <is>
          <t>12IN MEDIUM MFM QN</t>
        </is>
      </c>
      <c r="L397" s="310" t="inlineStr">
        <is>
          <t>WA-MMF-12Q-IN</t>
        </is>
      </c>
      <c r="M397" s="311" t="inlineStr">
        <is>
          <t>MIWU00196</t>
        </is>
      </c>
      <c r="N397" s="309" t="inlineStr">
        <is>
          <t>F.MFM.12Q.005.BU</t>
        </is>
      </c>
      <c r="O397" s="306" t="n"/>
      <c r="P397" s="306" t="n"/>
      <c r="Q397" s="312">
        <f>IFERROR(R397/H397, 0)</f>
        <v/>
      </c>
      <c r="R397" s="307" t="n">
        <v>4210.44</v>
      </c>
      <c r="S397" s="308" t="n">
        <v>18062</v>
      </c>
      <c r="T397" s="308">
        <f>IFERROR(S397*R397, 0)</f>
        <v/>
      </c>
      <c r="U397" s="313" t="n"/>
      <c r="V397" s="315" t="n"/>
      <c r="W397" s="316" t="n"/>
      <c r="X397" s="311" t="n"/>
      <c r="Y397" s="315" t="n"/>
      <c r="Z397" s="317" t="n"/>
    </row>
    <row r="398" ht="16.5" customHeight="1" s="223">
      <c r="A398" s="322" t="n"/>
      <c r="B398" s="324" t="n"/>
      <c r="C398" s="304" t="n"/>
      <c r="D398" s="304" t="n"/>
      <c r="E398" s="317" t="n"/>
      <c r="F398" s="320" t="n"/>
      <c r="G398" s="317" t="n"/>
      <c r="H398" s="311" t="n">
        <v>50</v>
      </c>
      <c r="I398" s="311" t="inlineStr"/>
      <c r="J398" s="311" t="inlineStr"/>
      <c r="K398" s="309" t="inlineStr">
        <is>
          <t>12IN MEDIUM MFM TW</t>
        </is>
      </c>
      <c r="L398" s="310" t="inlineStr">
        <is>
          <t>WA-MMF-12T-IN</t>
        </is>
      </c>
      <c r="M398" s="311" t="inlineStr">
        <is>
          <t>MIWU00196</t>
        </is>
      </c>
      <c r="N398" s="309" t="inlineStr">
        <is>
          <t>F.MFM.12T.005.BU</t>
        </is>
      </c>
      <c r="O398" s="306" t="n"/>
      <c r="P398" s="306" t="n"/>
      <c r="Q398" s="312">
        <f>IFERROR(R398/H398, 0)</f>
        <v/>
      </c>
      <c r="R398" s="307" t="n">
        <v>2605</v>
      </c>
      <c r="S398" s="308" t="n">
        <v>18062</v>
      </c>
      <c r="T398" s="308">
        <f>IFERROR(S398*R398, 0)</f>
        <v/>
      </c>
      <c r="U398" s="313" t="n"/>
      <c r="V398" s="315" t="n"/>
      <c r="W398" s="316" t="n"/>
      <c r="X398" s="311" t="n"/>
      <c r="Y398" s="315" t="n"/>
      <c r="Z398" s="317" t="n"/>
    </row>
    <row r="399" ht="16.5" customHeight="1" s="223">
      <c r="A399" s="322" t="n"/>
      <c r="B399" s="324" t="n"/>
      <c r="C399" s="304" t="n"/>
      <c r="D399" s="304" t="n"/>
      <c r="E399" s="317" t="n"/>
      <c r="F399" s="320" t="n"/>
      <c r="G399" s="317" t="n"/>
      <c r="H399" s="311" t="n">
        <v>20</v>
      </c>
      <c r="I399" s="311" t="inlineStr"/>
      <c r="J399" s="311" t="inlineStr"/>
      <c r="K399" s="309" t="inlineStr">
        <is>
          <t>14IN MEDIUM MFM FL</t>
        </is>
      </c>
      <c r="L399" s="310" t="inlineStr">
        <is>
          <t>WA-MMF-14F-IN</t>
        </is>
      </c>
      <c r="M399" s="311" t="inlineStr">
        <is>
          <t>MIWU00196</t>
        </is>
      </c>
      <c r="N399" s="309" t="inlineStr">
        <is>
          <t>F.MFM.14F.000.BU</t>
        </is>
      </c>
      <c r="O399" s="306" t="n"/>
      <c r="P399" s="306" t="n"/>
      <c r="Q399" s="312">
        <f>IFERROR(R399/H399, 0)</f>
        <v/>
      </c>
      <c r="R399" s="307" t="n">
        <v>1559.2</v>
      </c>
      <c r="S399" s="308" t="n">
        <v>18062</v>
      </c>
      <c r="T399" s="308">
        <f>IFERROR(S399*R399, 0)</f>
        <v/>
      </c>
      <c r="U399" s="313" t="n"/>
      <c r="V399" s="315" t="n"/>
      <c r="W399" s="316" t="n"/>
      <c r="X399" s="311" t="n"/>
      <c r="Y399" s="315" t="n"/>
      <c r="Z399" s="317" t="n"/>
    </row>
    <row r="400" ht="16.5" customHeight="1" s="223">
      <c r="A400" s="322" t="n"/>
      <c r="B400" s="324" t="n"/>
      <c r="C400" s="304" t="n"/>
      <c r="D400" s="304" t="n"/>
      <c r="E400" s="317" t="n"/>
      <c r="F400" s="320" t="n"/>
      <c r="G400" s="317" t="n"/>
      <c r="H400" s="311" t="n">
        <v>65</v>
      </c>
      <c r="I400" s="311" t="inlineStr"/>
      <c r="J400" s="311" t="inlineStr"/>
      <c r="K400" s="309" t="inlineStr">
        <is>
          <t>6IN MEDIUM MFM TW</t>
        </is>
      </c>
      <c r="L400" s="310" t="inlineStr">
        <is>
          <t>WA-MMF-6T-IN</t>
        </is>
      </c>
      <c r="M400" s="311" t="inlineStr">
        <is>
          <t>MIWU00196</t>
        </is>
      </c>
      <c r="N400" s="309" t="inlineStr">
        <is>
          <t>F.MFM.06T.002.BU</t>
        </is>
      </c>
      <c r="O400" s="306" t="n"/>
      <c r="P400" s="306" t="n"/>
      <c r="Q400" s="312">
        <f>IFERROR(R400/H400, 0)</f>
        <v/>
      </c>
      <c r="R400" s="307" t="n">
        <v>2086.5</v>
      </c>
      <c r="S400" s="308" t="n">
        <v>18062</v>
      </c>
      <c r="T400" s="308">
        <f>IFERROR(S400*R400, 0)</f>
        <v/>
      </c>
      <c r="U400" s="313" t="n"/>
      <c r="V400" s="315" t="n"/>
      <c r="W400" s="316" t="n"/>
      <c r="X400" s="311" t="n"/>
      <c r="Y400" s="315" t="n"/>
      <c r="Z400" s="317" t="n"/>
    </row>
    <row r="401" ht="16.5" customHeight="1" s="223">
      <c r="A401" s="322" t="n"/>
      <c r="B401" s="324" t="n"/>
      <c r="C401" s="304" t="n"/>
      <c r="D401" s="304" t="n"/>
      <c r="E401" s="317" t="n"/>
      <c r="F401" s="320" t="n"/>
      <c r="G401" s="317" t="n"/>
      <c r="H401" s="311" t="n">
        <v>70</v>
      </c>
      <c r="I401" s="311" t="inlineStr"/>
      <c r="J401" s="311" t="inlineStr"/>
      <c r="K401" s="309" t="inlineStr">
        <is>
          <t>8IN MEDIUM MFM TW</t>
        </is>
      </c>
      <c r="L401" s="310" t="inlineStr">
        <is>
          <t>WA-MMF-8T-IN</t>
        </is>
      </c>
      <c r="M401" s="311" t="inlineStr">
        <is>
          <t>MIWU00196</t>
        </is>
      </c>
      <c r="N401" s="309" t="inlineStr">
        <is>
          <t>F.MFM.08T.005.BU</t>
        </is>
      </c>
      <c r="O401" s="306" t="n"/>
      <c r="P401" s="306" t="n"/>
      <c r="Q401" s="312">
        <f>IFERROR(R401/H401, 0)</f>
        <v/>
      </c>
      <c r="R401" s="307" t="n">
        <v>2721.6</v>
      </c>
      <c r="S401" s="308" t="n">
        <v>18062</v>
      </c>
      <c r="T401" s="308">
        <f>IFERROR(S401*R401, 0)</f>
        <v/>
      </c>
      <c r="U401" s="313" t="n"/>
      <c r="V401" s="315" t="n"/>
      <c r="W401" s="316" t="n"/>
      <c r="X401" s="311" t="n"/>
      <c r="Y401" s="315" t="n"/>
      <c r="Z401" s="317" t="n"/>
    </row>
    <row r="402" ht="17.1" customHeight="1" s="223">
      <c r="A402" s="325" t="n"/>
      <c r="B402" s="326" t="n"/>
      <c r="C402" s="327" t="n"/>
      <c r="D402" s="327" t="n"/>
      <c r="E402" s="328" t="n"/>
      <c r="F402" s="328" t="n"/>
      <c r="G402" s="328" t="n"/>
      <c r="H402" s="329">
        <f>SUM(H392:H401)</f>
        <v/>
      </c>
      <c r="I402" s="330">
        <f>COUNTA(I392:I401)</f>
        <v/>
      </c>
      <c r="J402" s="329" t="n"/>
      <c r="K402" s="329" t="n"/>
      <c r="L402" s="331" t="n"/>
      <c r="M402" s="329" t="n"/>
      <c r="N402" s="329" t="n"/>
      <c r="O402" s="332">
        <f>SUM(O392:O401)</f>
        <v/>
      </c>
      <c r="P402" s="332">
        <f>SUM(P392:P401)</f>
        <v/>
      </c>
      <c r="Q402" s="333" t="n"/>
      <c r="R402" s="334">
        <f>SUM(R392:R401)</f>
        <v/>
      </c>
      <c r="S402" s="335" t="n"/>
      <c r="T402" s="335">
        <f>SUM(T392:T401)</f>
        <v/>
      </c>
      <c r="U402" s="329" t="n"/>
      <c r="V402" s="336" t="n"/>
      <c r="W402" s="337" t="n"/>
      <c r="X402" s="336" t="n"/>
      <c r="Y402" s="336" t="n"/>
      <c r="Z402" s="336" t="n"/>
    </row>
    <row r="403" ht="16.5" customHeight="1" s="223">
      <c r="A403" s="322" t="n">
        <v>37</v>
      </c>
      <c r="B403" s="324" t="inlineStr">
        <is>
          <t>000030ZIK48020260807000587</t>
        </is>
      </c>
      <c r="C403" s="304" t="n">
        <v>495522</v>
      </c>
      <c r="D403" s="304" t="n">
        <v>495466</v>
      </c>
      <c r="E403" s="317" t="n">
        <v>46241</v>
      </c>
      <c r="F403" s="320" t="inlineStr">
        <is>
          <t>ID2608-8064</t>
        </is>
      </c>
      <c r="G403" s="317" t="n">
        <v>46241</v>
      </c>
      <c r="H403" s="311" t="n">
        <v>50</v>
      </c>
      <c r="I403" s="311" t="inlineStr">
        <is>
          <t>EITU1785329</t>
        </is>
      </c>
      <c r="J403" s="311" t="inlineStr">
        <is>
          <t>40FT</t>
        </is>
      </c>
      <c r="K403" s="309" t="inlineStr">
        <is>
          <t>12IN MYGEL FOAM MATTRESS EK</t>
        </is>
      </c>
      <c r="L403" s="310" t="inlineStr">
        <is>
          <t>ZU-MFGNSWZU-12K</t>
        </is>
      </c>
      <c r="M403" s="311" t="inlineStr">
        <is>
          <t>CIN60203</t>
        </is>
      </c>
      <c r="N403" s="309" t="inlineStr">
        <is>
          <t>F.MFG.12K.000.ZU</t>
        </is>
      </c>
      <c r="O403" s="306" t="n">
        <v>11120.5</v>
      </c>
      <c r="P403" s="306" t="n">
        <v>9312.5</v>
      </c>
      <c r="Q403" s="312">
        <f>IFERROR(R403/H403, 0)</f>
        <v/>
      </c>
      <c r="R403" s="307" t="n">
        <v>6088.5</v>
      </c>
      <c r="S403" s="308" t="n">
        <v>18062</v>
      </c>
      <c r="T403" s="308">
        <f>IFERROR(S403*R403, 0)</f>
        <v/>
      </c>
      <c r="U403" s="313" t="inlineStr">
        <is>
          <t>040300/KPPBC</t>
        </is>
      </c>
      <c r="V403" s="315" t="inlineStr">
        <is>
          <t>TG. PRIOK</t>
        </is>
      </c>
      <c r="W403" s="316" t="inlineStr">
        <is>
          <t>CHARLESTON, US</t>
        </is>
      </c>
      <c r="X403" s="311" t="inlineStr">
        <is>
          <t>ZINUS INC.</t>
        </is>
      </c>
      <c r="Y403" s="315" t="inlineStr">
        <is>
          <t>EGLV080600392902</t>
        </is>
      </c>
      <c r="Z403" s="317" t="n">
        <v>46241</v>
      </c>
    </row>
    <row r="404" ht="16.5" customHeight="1" s="223">
      <c r="A404" s="322" t="n"/>
      <c r="B404" s="324" t="n"/>
      <c r="C404" s="304" t="n"/>
      <c r="D404" s="304" t="n"/>
      <c r="E404" s="317" t="n"/>
      <c r="F404" s="320" t="n"/>
      <c r="G404" s="317" t="n"/>
      <c r="H404" s="311" t="n">
        <v>50</v>
      </c>
      <c r="I404" s="311" t="inlineStr"/>
      <c r="J404" s="311" t="inlineStr"/>
      <c r="K404" s="309" t="inlineStr">
        <is>
          <t>6IN TRI FOLD MF MATTRESS QN</t>
        </is>
      </c>
      <c r="L404" s="310" t="inlineStr">
        <is>
          <t>ZU-MFMA1HZI-06Q</t>
        </is>
      </c>
      <c r="M404" s="311" t="inlineStr">
        <is>
          <t>CIN60203</t>
        </is>
      </c>
      <c r="N404" s="309" t="inlineStr">
        <is>
          <t>F.MFM.06Q.009.ZU</t>
        </is>
      </c>
      <c r="O404" s="306" t="n"/>
      <c r="P404" s="306" t="n"/>
      <c r="Q404" s="312">
        <f>IFERROR(R404/H404, 0)</f>
        <v/>
      </c>
      <c r="R404" s="307" t="n">
        <v>2985.5</v>
      </c>
      <c r="S404" s="308" t="n">
        <v>18062</v>
      </c>
      <c r="T404" s="308">
        <f>IFERROR(S404*R404, 0)</f>
        <v/>
      </c>
      <c r="U404" s="313" t="n"/>
      <c r="V404" s="315" t="n"/>
      <c r="W404" s="316" t="inlineStr">
        <is>
          <t>ETD : 14-08-2026</t>
        </is>
      </c>
      <c r="X404" s="311" t="n"/>
      <c r="Y404" s="315" t="n"/>
      <c r="Z404" s="317" t="n"/>
    </row>
    <row r="405" ht="16.5" customHeight="1" s="223">
      <c r="A405" s="322" t="n"/>
      <c r="B405" s="324" t="n"/>
      <c r="C405" s="304" t="n"/>
      <c r="D405" s="304" t="n"/>
      <c r="E405" s="317" t="n"/>
      <c r="F405" s="320" t="n"/>
      <c r="G405" s="317" t="n"/>
      <c r="H405" s="311" t="n">
        <v>50</v>
      </c>
      <c r="I405" s="311" t="inlineStr"/>
      <c r="J405" s="311" t="inlineStr"/>
      <c r="K405" s="309" t="inlineStr">
        <is>
          <t>8IN PRESSURE RELIEF MF MATT FL</t>
        </is>
      </c>
      <c r="L405" s="310" t="inlineStr">
        <is>
          <t>ZU-MFMAPRZU-08F</t>
        </is>
      </c>
      <c r="M405" s="311" t="inlineStr">
        <is>
          <t>CIN60203</t>
        </is>
      </c>
      <c r="N405" s="309" t="inlineStr">
        <is>
          <t>F.MFM.08F.000.ZU</t>
        </is>
      </c>
      <c r="O405" s="306" t="n"/>
      <c r="P405" s="306" t="n"/>
      <c r="Q405" s="312">
        <f>IFERROR(R405/H405, 0)</f>
        <v/>
      </c>
      <c r="R405" s="307" t="n">
        <v>3069.5</v>
      </c>
      <c r="S405" s="308" t="n">
        <v>18062</v>
      </c>
      <c r="T405" s="308">
        <f>IFERROR(S405*R405, 0)</f>
        <v/>
      </c>
      <c r="U405" s="313" t="n"/>
      <c r="V405" s="315" t="n"/>
      <c r="W405" s="316" t="n"/>
      <c r="X405" s="311" t="n"/>
      <c r="Y405" s="315" t="n"/>
      <c r="Z405" s="317" t="n"/>
    </row>
    <row r="406" ht="16.5" customHeight="1" s="223">
      <c r="A406" s="322" t="n"/>
      <c r="B406" s="324" t="n"/>
      <c r="C406" s="304" t="n"/>
      <c r="D406" s="304" t="n"/>
      <c r="E406" s="317" t="n"/>
      <c r="F406" s="320" t="n"/>
      <c r="G406" s="317" t="n"/>
      <c r="H406" s="311" t="n">
        <v>50</v>
      </c>
      <c r="I406" s="311" t="inlineStr"/>
      <c r="J406" s="311" t="inlineStr"/>
      <c r="K406" s="309" t="inlineStr">
        <is>
          <t>8IN PRESSURE RELIEF MF MATT QN</t>
        </is>
      </c>
      <c r="L406" s="310" t="inlineStr">
        <is>
          <t>ZU-MFMAPRZU-08Q</t>
        </is>
      </c>
      <c r="M406" s="311" t="inlineStr">
        <is>
          <t>CIN60203</t>
        </is>
      </c>
      <c r="N406" s="309" t="inlineStr">
        <is>
          <t>F.MFM.08Q.000.ZU</t>
        </is>
      </c>
      <c r="O406" s="306" t="n"/>
      <c r="P406" s="306" t="n"/>
      <c r="Q406" s="312">
        <f>IFERROR(R406/H406, 0)</f>
        <v/>
      </c>
      <c r="R406" s="307" t="n">
        <v>3607</v>
      </c>
      <c r="S406" s="308" t="n">
        <v>18062</v>
      </c>
      <c r="T406" s="308">
        <f>IFERROR(S406*R406, 0)</f>
        <v/>
      </c>
      <c r="U406" s="313" t="n"/>
      <c r="V406" s="315" t="n"/>
      <c r="W406" s="316" t="n"/>
      <c r="X406" s="311" t="n"/>
      <c r="Y406" s="315" t="n"/>
      <c r="Z406" s="317" t="n"/>
    </row>
    <row r="407" ht="16.5" customHeight="1" s="223">
      <c r="A407" s="322" t="n"/>
      <c r="B407" s="324" t="n"/>
      <c r="C407" s="304" t="n"/>
      <c r="D407" s="304" t="n"/>
      <c r="E407" s="317" t="n"/>
      <c r="F407" s="320" t="n"/>
      <c r="G407" s="317" t="n"/>
      <c r="H407" s="311" t="n">
        <v>50</v>
      </c>
      <c r="I407" s="311" t="inlineStr"/>
      <c r="J407" s="311" t="inlineStr"/>
      <c r="K407" s="309" t="inlineStr">
        <is>
          <t>8IN PRESSURE RELIEF MF MATT TW</t>
        </is>
      </c>
      <c r="L407" s="310" t="inlineStr">
        <is>
          <t>ZU-MFMAPRZU-08T</t>
        </is>
      </c>
      <c r="M407" s="311" t="inlineStr">
        <is>
          <t>CIN60203</t>
        </is>
      </c>
      <c r="N407" s="309" t="inlineStr">
        <is>
          <t>F.MFM.08T.000.ZU</t>
        </is>
      </c>
      <c r="O407" s="306" t="n"/>
      <c r="P407" s="306" t="n"/>
      <c r="Q407" s="312">
        <f>IFERROR(R407/H407, 0)</f>
        <v/>
      </c>
      <c r="R407" s="307" t="n">
        <v>2303.5</v>
      </c>
      <c r="S407" s="308" t="n">
        <v>18062</v>
      </c>
      <c r="T407" s="308">
        <f>IFERROR(S407*R407, 0)</f>
        <v/>
      </c>
      <c r="U407" s="313" t="n"/>
      <c r="V407" s="315" t="n"/>
      <c r="W407" s="316" t="n"/>
      <c r="X407" s="311" t="n"/>
      <c r="Y407" s="315" t="n"/>
      <c r="Z407" s="317" t="n"/>
    </row>
    <row r="408" ht="16.5" customHeight="1" s="223">
      <c r="A408" s="322" t="n"/>
      <c r="B408" s="324" t="n"/>
      <c r="C408" s="304" t="n"/>
      <c r="D408" s="304" t="n"/>
      <c r="E408" s="317" t="n"/>
      <c r="F408" s="320" t="n"/>
      <c r="G408" s="317" t="n"/>
      <c r="H408" s="311" t="n">
        <v>50</v>
      </c>
      <c r="I408" s="311" t="inlineStr"/>
      <c r="J408" s="311" t="inlineStr"/>
      <c r="K408" s="309" t="inlineStr">
        <is>
          <t>8IN UL MSS FL</t>
        </is>
      </c>
      <c r="L408" s="310" t="inlineStr">
        <is>
          <t>SC-SMT-8F</t>
        </is>
      </c>
      <c r="M408" s="311" t="inlineStr">
        <is>
          <t>CIN60203</t>
        </is>
      </c>
      <c r="N408" s="309" t="inlineStr">
        <is>
          <t>F.MSS.08F.001.ZU</t>
        </is>
      </c>
      <c r="O408" s="306" t="n"/>
      <c r="P408" s="306" t="n"/>
      <c r="Q408" s="312">
        <f>IFERROR(R408/H408, 0)</f>
        <v/>
      </c>
      <c r="R408" s="307" t="n">
        <v>3528</v>
      </c>
      <c r="S408" s="308" t="n">
        <v>18062</v>
      </c>
      <c r="T408" s="308">
        <f>IFERROR(S408*R408, 0)</f>
        <v/>
      </c>
      <c r="U408" s="313" t="n"/>
      <c r="V408" s="315" t="n"/>
      <c r="W408" s="316" t="n"/>
      <c r="X408" s="311" t="n"/>
      <c r="Y408" s="315" t="n"/>
      <c r="Z408" s="317" t="n"/>
    </row>
    <row r="409" ht="16.5" customHeight="1" s="223">
      <c r="A409" s="322" t="n"/>
      <c r="B409" s="324" t="n"/>
      <c r="C409" s="304" t="n"/>
      <c r="D409" s="304" t="n"/>
      <c r="E409" s="317" t="n"/>
      <c r="F409" s="320" t="n"/>
      <c r="G409" s="317" t="n"/>
      <c r="H409" s="311" t="n">
        <v>50</v>
      </c>
      <c r="I409" s="311" t="inlineStr"/>
      <c r="J409" s="311" t="inlineStr"/>
      <c r="K409" s="309" t="inlineStr">
        <is>
          <t>8IN UL MSS TW</t>
        </is>
      </c>
      <c r="L409" s="310" t="inlineStr">
        <is>
          <t>SC-SMT-8T</t>
        </is>
      </c>
      <c r="M409" s="311" t="inlineStr">
        <is>
          <t>CIN60203</t>
        </is>
      </c>
      <c r="N409" s="309" t="inlineStr">
        <is>
          <t>F.MSS.08T.001.ZU</t>
        </is>
      </c>
      <c r="O409" s="306" t="n"/>
      <c r="P409" s="306" t="n"/>
      <c r="Q409" s="312">
        <f>IFERROR(R409/H409, 0)</f>
        <v/>
      </c>
      <c r="R409" s="307" t="n">
        <v>2680</v>
      </c>
      <c r="S409" s="308" t="n">
        <v>18062</v>
      </c>
      <c r="T409" s="308">
        <f>IFERROR(S409*R409, 0)</f>
        <v/>
      </c>
      <c r="U409" s="313" t="n"/>
      <c r="V409" s="315" t="n"/>
      <c r="W409" s="316" t="n"/>
      <c r="X409" s="311" t="n"/>
      <c r="Y409" s="315" t="n"/>
      <c r="Z409" s="317" t="n"/>
    </row>
    <row r="410" ht="16.5" customHeight="1" s="223">
      <c r="A410" s="322" t="n"/>
      <c r="B410" s="324" t="n"/>
      <c r="C410" s="304" t="n"/>
      <c r="D410" s="304" t="n"/>
      <c r="E410" s="317" t="n"/>
      <c r="F410" s="320" t="n"/>
      <c r="G410" s="317" t="n"/>
      <c r="H410" s="311" t="n">
        <v>100</v>
      </c>
      <c r="I410" s="311" t="inlineStr"/>
      <c r="J410" s="311" t="inlineStr"/>
      <c r="K410" s="309" t="inlineStr">
        <is>
          <t>3IN GEL MF TOPPER W/ COVER EK</t>
        </is>
      </c>
      <c r="L410" s="310" t="inlineStr">
        <is>
          <t>MF-TGTNM1ZI-03K</t>
        </is>
      </c>
      <c r="M410" s="311" t="inlineStr">
        <is>
          <t>CIN60203</t>
        </is>
      </c>
      <c r="N410" s="309" t="inlineStr">
        <is>
          <t>F.TGT.03K.001.ZU</t>
        </is>
      </c>
      <c r="O410" s="306" t="n"/>
      <c r="P410" s="306" t="n"/>
      <c r="Q410" s="312">
        <f>IFERROR(R410/H410, 0)</f>
        <v/>
      </c>
      <c r="R410" s="307" t="n">
        <v>4652</v>
      </c>
      <c r="S410" s="308" t="n">
        <v>18062</v>
      </c>
      <c r="T410" s="308">
        <f>IFERROR(S410*R410, 0)</f>
        <v/>
      </c>
      <c r="U410" s="313" t="n"/>
      <c r="V410" s="315" t="n"/>
      <c r="W410" s="316" t="n"/>
      <c r="X410" s="311" t="n"/>
      <c r="Y410" s="315" t="n"/>
      <c r="Z410" s="317" t="n"/>
    </row>
    <row r="411" ht="16.5" customHeight="1" s="223">
      <c r="A411" s="322" t="n"/>
      <c r="B411" s="324" t="n"/>
      <c r="C411" s="304" t="n"/>
      <c r="D411" s="304" t="n"/>
      <c r="E411" s="317" t="n"/>
      <c r="F411" s="320" t="n"/>
      <c r="G411" s="317" t="n"/>
      <c r="H411" s="311" t="n">
        <v>100</v>
      </c>
      <c r="I411" s="311" t="inlineStr"/>
      <c r="J411" s="311" t="inlineStr"/>
      <c r="K411" s="309" t="inlineStr">
        <is>
          <t>3IN GEL MF TOPPER W/ COVER TW</t>
        </is>
      </c>
      <c r="L411" s="310" t="inlineStr">
        <is>
          <t>MF-TGTNM1ZI-03T</t>
        </is>
      </c>
      <c r="M411" s="311" t="inlineStr">
        <is>
          <t>CIN60203</t>
        </is>
      </c>
      <c r="N411" s="309" t="inlineStr">
        <is>
          <t>F.TGT.03T.001.ZU</t>
        </is>
      </c>
      <c r="O411" s="306" t="n"/>
      <c r="P411" s="306" t="n"/>
      <c r="Q411" s="312">
        <f>IFERROR(R411/H411, 0)</f>
        <v/>
      </c>
      <c r="R411" s="307" t="n">
        <v>2642</v>
      </c>
      <c r="S411" s="308" t="n">
        <v>18062</v>
      </c>
      <c r="T411" s="308">
        <f>IFERROR(S411*R411, 0)</f>
        <v/>
      </c>
      <c r="U411" s="313" t="n"/>
      <c r="V411" s="315" t="n"/>
      <c r="W411" s="316" t="n"/>
      <c r="X411" s="311" t="n"/>
      <c r="Y411" s="315" t="n"/>
      <c r="Z411" s="317" t="n"/>
    </row>
    <row r="412" ht="17.1" customHeight="1" s="223">
      <c r="A412" s="325" t="n"/>
      <c r="B412" s="326" t="n"/>
      <c r="C412" s="327" t="n"/>
      <c r="D412" s="327" t="n"/>
      <c r="E412" s="328" t="n"/>
      <c r="F412" s="328" t="n"/>
      <c r="G412" s="328" t="n"/>
      <c r="H412" s="329">
        <f>SUM(H403:H411)</f>
        <v/>
      </c>
      <c r="I412" s="330">
        <f>COUNTA(I403:I411)</f>
        <v/>
      </c>
      <c r="J412" s="329" t="n"/>
      <c r="K412" s="329" t="n"/>
      <c r="L412" s="331" t="n"/>
      <c r="M412" s="329" t="n"/>
      <c r="N412" s="329" t="n"/>
      <c r="O412" s="332">
        <f>SUM(O403:O411)</f>
        <v/>
      </c>
      <c r="P412" s="332">
        <f>SUM(P403:P411)</f>
        <v/>
      </c>
      <c r="Q412" s="333" t="n"/>
      <c r="R412" s="334">
        <f>SUM(R403:R411)</f>
        <v/>
      </c>
      <c r="S412" s="335" t="n"/>
      <c r="T412" s="335">
        <f>SUM(T403:T411)</f>
        <v/>
      </c>
      <c r="U412" s="329" t="n"/>
      <c r="V412" s="336" t="n"/>
      <c r="W412" s="337" t="n"/>
      <c r="X412" s="336" t="n"/>
      <c r="Y412" s="336" t="n"/>
      <c r="Z412" s="336" t="n"/>
    </row>
    <row r="413" ht="16.5" customHeight="1" s="223">
      <c r="A413" s="322">
        <f>COUNT(A12:A412)</f>
        <v/>
      </c>
      <c r="B413" s="324" t="n"/>
      <c r="C413" s="304" t="n"/>
      <c r="D413" s="304" t="n"/>
      <c r="E413" s="317" t="n"/>
      <c r="F413" s="320" t="n"/>
      <c r="G413" s="317" t="n"/>
      <c r="H413" s="311">
        <f>SUM(H15,H18,H21,H44,H49,H53,H66,H69,H72,H76,H178,H184,H189,H204,H218,H221,H224,H227,H230,H233,H244,H254,H264,H274,H289,H304,H319,H334,H347,H350,H353,H356,H367,H378,H391,H402,H412)</f>
        <v/>
      </c>
      <c r="I413" s="311">
        <f>SUM(I15,I18,I21,I44,I49,I53,I66,I69,I72,I76,I178,I184,I189,I204,I218,I221,I224,I227,I230,I233,I244,I254,I264,I274,I289,I304,I319,I334,I347,I350,I353,I356,I367,I378,I391,I402,I412)</f>
        <v/>
      </c>
      <c r="J413" s="311" t="n"/>
      <c r="K413" s="309" t="n"/>
      <c r="L413" s="310" t="n"/>
      <c r="M413" s="311" t="n"/>
      <c r="N413" s="309" t="n"/>
      <c r="O413" s="306">
        <f>SUM(O15,O18,O21,O44,O49,O53,O66,O69,O72,O76,O178,O184,O189,O204,O218,O221,O224,O227,O230,O233,O244,O254,O264,O274,O289,O304,O319,O334,O347,O350,O353,O356,O367,O378,O391,O402,O412)</f>
        <v/>
      </c>
      <c r="P413" s="306">
        <f>SUM(P15,P18,P21,P44,P49,P53,P66,P69,P72,P76,P178,P184,P189,P204,P218,P221,P224,P227,P230,P233,P244,P254,P264,P274,P289,P304,P319,P334,P347,P350,P353,P356,P367,P378,P391,P402,P412)</f>
        <v/>
      </c>
      <c r="Q413" s="312" t="n"/>
      <c r="R413" s="307">
        <f>SUM(R15,R18,R21,R44,R49,R53,R66,R69,R72,R76,R178,R184,R189,R204,R218,R221,R224,R227,R230,R233,R244,R254,R264,R274,R289,R304,R319,R334,R347,R350,R353,R356,R367,R378,R391,R402,R412)</f>
        <v/>
      </c>
      <c r="S413" s="308" t="n"/>
      <c r="T413" s="308">
        <f>SUM(T15,T18,T21,T44,T49,T53,T66,T69,T72,T76,T178,T184,T189,T204,T218,T221,T224,T227,T230,T233,T244,T254,T264,T274,T289,T304,T319,T334,T347,T350,T353,T356,T367,T378,T391,T402,T412)</f>
        <v/>
      </c>
      <c r="U413" s="313" t="n"/>
      <c r="V413" s="315" t="n"/>
      <c r="W413" s="316" t="n"/>
      <c r="X413" s="311" t="n"/>
      <c r="Y413" s="315" t="n"/>
      <c r="Z413" s="317" t="n"/>
    </row>
    <row r="415" ht="20" customHeight="1" s="223">
      <c r="B415" s="339" t="inlineStr">
        <is>
          <t>Total Qty Export :</t>
        </is>
      </c>
      <c r="C415" s="340">
        <f>H413-C416</f>
        <v/>
      </c>
    </row>
    <row r="416" ht="20" customHeight="1" s="223">
      <c r="B416" s="341" t="inlineStr">
        <is>
          <t>Total Qty Export Sample :</t>
        </is>
      </c>
      <c r="C416" s="342" t="n">
        <v>0</v>
      </c>
    </row>
    <row r="418" ht="20" customHeight="1" s="223">
      <c r="U418" s="341" t="inlineStr">
        <is>
          <t>Tangerang, 11 August 2026</t>
        </is>
      </c>
    </row>
    <row r="419" ht="20" customHeight="1" s="223">
      <c r="A419" s="343" t="inlineStr">
        <is>
          <t>Total Document</t>
        </is>
      </c>
      <c r="C419" s="343">
        <f>A413</f>
        <v/>
      </c>
      <c r="U419" s="341" t="inlineStr">
        <is>
          <t>Kasubsi Hanggar Pabean dan Cukai</t>
        </is>
      </c>
    </row>
    <row r="420" ht="20" customHeight="1" s="223">
      <c r="A420" s="343" t="inlineStr">
        <is>
          <t>Gross Weight</t>
        </is>
      </c>
      <c r="C420" s="343">
        <f>O413</f>
        <v/>
      </c>
    </row>
    <row r="421" ht="20" customHeight="1" s="223">
      <c r="A421" s="343" t="inlineStr">
        <is>
          <t>Nett Weight</t>
        </is>
      </c>
      <c r="C421" s="343">
        <f>P413</f>
        <v/>
      </c>
    </row>
    <row r="422" ht="20" customHeight="1" s="223">
      <c r="A422" s="343" t="inlineStr">
        <is>
          <t>Amount</t>
        </is>
      </c>
      <c r="C422" s="343">
        <f>R413</f>
        <v/>
      </c>
    </row>
    <row r="423" ht="20" customHeight="1" s="223">
      <c r="A423" s="343" t="inlineStr">
        <is>
          <t>Jumlah Container</t>
        </is>
      </c>
      <c r="C423" s="343">
        <f>I413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2026-08-11T13:38:01Z</dcterms:modified>
  <cp:lastModifiedBy>Chiswa Dian Hermansyah(ZINUS ZDI)</cp:lastModifiedBy>
</cp:coreProperties>
</file>