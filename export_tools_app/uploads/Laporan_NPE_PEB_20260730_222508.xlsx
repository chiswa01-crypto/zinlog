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0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9" fillId="2" borderId="15" applyAlignment="1" pivotButton="0" quotePrefix="0" xfId="4">
      <alignment horizontal="center" vertical="center" wrapText="1"/>
    </xf>
    <xf numFmtId="49" fontId="9" fillId="2" borderId="15" applyAlignment="1" pivotButton="0" quotePrefix="0" xfId="4">
      <alignment horizontal="center" vertical="center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14" fontId="9" fillId="2" borderId="15" applyAlignment="1" pivotButton="0" quotePrefix="1" xfId="4">
      <alignment horizontal="center" vertical="center"/>
    </xf>
    <xf numFmtId="0" fontId="9" fillId="2" borderId="15" applyAlignment="1" pivotButton="0" quotePrefix="0" xfId="4">
      <alignment horizontal="center" vertical="center"/>
    </xf>
    <xf numFmtId="0" fontId="9" fillId="2" borderId="16" applyAlignment="1" pivotButton="0" quotePrefix="0" xfId="4">
      <alignment horizontal="center"/>
    </xf>
    <xf numFmtId="0" fontId="9" fillId="2" borderId="15" applyAlignment="1" pivotButton="0" quotePrefix="0" xfId="0">
      <alignment horizontal="center" vertical="center"/>
    </xf>
    <xf numFmtId="14" fontId="13" fillId="2" borderId="15" applyAlignment="1" pivotButton="0" quotePrefix="0" xfId="4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4">
      <alignment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1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4" fontId="4" fillId="0" borderId="12" applyAlignment="1" pivotButton="0" quotePrefix="0" xfId="0">
      <alignment horizontal="center" vertical="center" wrapText="1"/>
    </xf>
    <xf numFmtId="178" fontId="21" fillId="0" borderId="23" applyAlignment="1" pivotButton="0" quotePrefix="0" xfId="4">
      <alignment horizontal="left" vertical="center"/>
    </xf>
    <xf numFmtId="41" fontId="4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9" fontId="24" fillId="6" borderId="0" applyAlignment="1" pivotButton="0" quotePrefix="0" xfId="4">
      <alignment horizontal="left" vertical="center"/>
    </xf>
    <xf numFmtId="173" fontId="25" fillId="6" borderId="23" applyAlignment="1" pivotButton="0" quotePrefix="0" xfId="4">
      <alignment horizontal="right" vertical="center"/>
    </xf>
    <xf numFmtId="49" fontId="24" fillId="0" borderId="0" applyAlignment="1" pivotButton="0" quotePrefix="0" xfId="4">
      <alignment horizontal="left" vertical="center"/>
    </xf>
    <xf numFmtId="174" fontId="25" fillId="0" borderId="23" applyAlignment="1" pivotButton="0" quotePrefix="0" xfId="4">
      <alignment horizontal="righ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0" fontId="24" fillId="0" borderId="0" applyAlignment="1" pivotButton="0" quotePrefix="0" xfId="0">
      <alignment horizontal="left" vertical="center"/>
    </xf>
    <xf numFmtId="1" fontId="25" fillId="0" borderId="24" applyAlignment="1" pivotButton="0" quotePrefix="0" xfId="4">
      <alignment horizontal="center" vertical="center"/>
    </xf>
    <xf numFmtId="164" fontId="25" fillId="0" borderId="25" applyAlignment="1" pivotButton="0" quotePrefix="0" xfId="4">
      <alignment horizontal="center" vertical="center"/>
    </xf>
    <xf numFmtId="0" fontId="25" fillId="0" borderId="0" pivotButton="0" quotePrefix="0" xfId="0"/>
    <xf numFmtId="164" fontId="25" fillId="0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000030ZIK48020260724000510</t>
        </is>
      </c>
      <c r="C12" s="81" t="n">
        <v>461504</v>
      </c>
      <c r="D12" s="81" t="n">
        <v>461467</v>
      </c>
      <c r="E12" s="258" t="n">
        <v>46228</v>
      </c>
      <c r="F12" s="82" t="inlineStr">
        <is>
          <t>ID2607-7889</t>
        </is>
      </c>
      <c r="G12" s="258" t="n">
        <v>46226</v>
      </c>
      <c r="H12" s="83" t="n">
        <v>128</v>
      </c>
      <c r="I12" s="42" t="inlineStr">
        <is>
          <t>MIEU0007328</t>
        </is>
      </c>
      <c r="J12" s="42" t="inlineStr">
        <is>
          <t>40FT</t>
        </is>
      </c>
      <c r="K12" s="44" t="inlineStr">
        <is>
          <t>3.5IN TRIFOLD GREENTEA MATT.TW</t>
        </is>
      </c>
      <c r="L12" s="84" t="inlineStr">
        <is>
          <t>CA-MFMTRI-35T</t>
        </is>
      </c>
      <c r="M12" s="85" t="inlineStr">
        <is>
          <t>1004596929</t>
        </is>
      </c>
      <c r="N12" s="44" t="inlineStr">
        <is>
          <t>F.MFM.03T.002.WN</t>
        </is>
      </c>
      <c r="O12" s="86" t="n">
        <v>73910</v>
      </c>
      <c r="P12" s="86" t="n">
        <v>61096.51</v>
      </c>
      <c r="Q12" s="259">
        <f>IFERROR(R12/H12, 0)</f>
        <v/>
      </c>
      <c r="R12" s="260" t="n">
        <v>2663.68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VANCOUVER</t>
        </is>
      </c>
      <c r="X12" s="51" t="inlineStr">
        <is>
          <t>WAL-MART CANADA CORP</t>
        </is>
      </c>
      <c r="Y12" s="52" t="inlineStr">
        <is>
          <t>MAEU272837411</t>
        </is>
      </c>
      <c r="Z12" s="258" t="n">
        <v>46228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543</v>
      </c>
      <c r="I13" s="42" t="inlineStr">
        <is>
          <t>MRKU2900920</t>
        </is>
      </c>
      <c r="J13" s="42" t="inlineStr">
        <is>
          <t>40FT</t>
        </is>
      </c>
      <c r="K13" s="44" t="inlineStr">
        <is>
          <t>6IN GREEN TEA MF MATTRESS FL</t>
        </is>
      </c>
      <c r="L13" s="84" t="inlineStr">
        <is>
          <t>WCA-FMS-6F</t>
        </is>
      </c>
      <c r="M13" s="85" t="inlineStr">
        <is>
          <t>1004596929</t>
        </is>
      </c>
      <c r="N13" s="44" t="inlineStr">
        <is>
          <t>F.MFM.06F.000.WN</t>
        </is>
      </c>
      <c r="O13" s="86" t="n"/>
      <c r="P13" s="86" t="n"/>
      <c r="Q13" s="259">
        <f>IFERROR(R13/H13, 0)</f>
        <v/>
      </c>
      <c r="R13" s="260" t="n">
        <v>20894.64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825</v>
      </c>
      <c r="I14" s="42" t="inlineStr">
        <is>
          <t>MRSU3614441</t>
        </is>
      </c>
      <c r="J14" s="42" t="inlineStr">
        <is>
          <t>40FT</t>
        </is>
      </c>
      <c r="K14" s="44" t="inlineStr">
        <is>
          <t>6IN GREEN TEA MF MATTRESS QN</t>
        </is>
      </c>
      <c r="L14" s="84" t="inlineStr">
        <is>
          <t>WCA-FMS-6Q</t>
        </is>
      </c>
      <c r="M14" s="85" t="inlineStr">
        <is>
          <t>1004596929</t>
        </is>
      </c>
      <c r="N14" s="44" t="inlineStr">
        <is>
          <t>F.MFM.06Q.000.WN</t>
        </is>
      </c>
      <c r="O14" s="86" t="n"/>
      <c r="P14" s="86" t="n"/>
      <c r="Q14" s="259">
        <f>IFERROR(R14/H14, 0)</f>
        <v/>
      </c>
      <c r="R14" s="260" t="n">
        <v>37092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669</v>
      </c>
      <c r="I15" s="42" t="inlineStr">
        <is>
          <t>MRKU3682612</t>
        </is>
      </c>
      <c r="J15" s="42" t="inlineStr">
        <is>
          <t>40FT</t>
        </is>
      </c>
      <c r="K15" s="44" t="inlineStr">
        <is>
          <t>6IN GREEN TEA MF MATTRESS TW</t>
        </is>
      </c>
      <c r="L15" s="84" t="inlineStr">
        <is>
          <t>WCA-FMS-6T</t>
        </is>
      </c>
      <c r="M15" s="85" t="inlineStr">
        <is>
          <t>1004596929</t>
        </is>
      </c>
      <c r="N15" s="44" t="inlineStr">
        <is>
          <t>F.MFM.06T.000.WN</t>
        </is>
      </c>
      <c r="O15" s="86" t="n"/>
      <c r="P15" s="86" t="n"/>
      <c r="Q15" s="259">
        <f>IFERROR(R15/H15, 0)</f>
        <v/>
      </c>
      <c r="R15" s="260" t="n">
        <v>19615.08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1014</v>
      </c>
      <c r="I16" s="42" t="inlineStr">
        <is>
          <t>MRKU4171047</t>
        </is>
      </c>
      <c r="J16" s="42" t="inlineStr">
        <is>
          <t>40FT</t>
        </is>
      </c>
      <c r="K16" s="44" t="inlineStr">
        <is>
          <t>6IN SP TT MSS TW</t>
        </is>
      </c>
      <c r="L16" s="84" t="inlineStr">
        <is>
          <t>WMC-BLBN-6T</t>
        </is>
      </c>
      <c r="M16" s="85" t="inlineStr">
        <is>
          <t>1004596929</t>
        </is>
      </c>
      <c r="N16" s="44" t="inlineStr">
        <is>
          <t>F.MSS.06T.002.WN</t>
        </is>
      </c>
      <c r="O16" s="86" t="n"/>
      <c r="P16" s="86" t="n"/>
      <c r="Q16" s="259">
        <f>IFERROR(R16/H16, 0)</f>
        <v/>
      </c>
      <c r="R16" s="260" t="n">
        <v>27195.48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137</v>
      </c>
      <c r="I17" s="42" t="inlineStr"/>
      <c r="J17" s="42" t="inlineStr"/>
      <c r="K17" s="44" t="inlineStr">
        <is>
          <t>8IN TIGHT TOP POCKET FL</t>
        </is>
      </c>
      <c r="L17" s="266" t="inlineStr">
        <is>
          <t>WMC-SMT-8F</t>
        </is>
      </c>
      <c r="M17" s="42" t="inlineStr">
        <is>
          <t>1004596929</t>
        </is>
      </c>
      <c r="N17" s="44" t="inlineStr">
        <is>
          <t>F.MSS.08F.002.WN</t>
        </is>
      </c>
      <c r="O17" s="86" t="n"/>
      <c r="P17" s="86" t="n"/>
      <c r="Q17" s="259">
        <f>IFERROR(R17/H17, 0)</f>
        <v/>
      </c>
      <c r="R17" s="260" t="n">
        <v>6506.13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572</v>
      </c>
      <c r="I18" s="42" t="inlineStr"/>
      <c r="J18" s="42" t="inlineStr"/>
      <c r="K18" s="44" t="inlineStr">
        <is>
          <t>8IN TIGHT TOP POCKET QN</t>
        </is>
      </c>
      <c r="L18" s="84" t="inlineStr">
        <is>
          <t>WMC-SMT-8Q</t>
        </is>
      </c>
      <c r="M18" s="85" t="inlineStr">
        <is>
          <t>1004596929</t>
        </is>
      </c>
      <c r="N18" s="44" t="inlineStr">
        <is>
          <t>F.MSS.08Q.002.WN</t>
        </is>
      </c>
      <c r="O18" s="86" t="n"/>
      <c r="P18" s="86" t="n"/>
      <c r="Q18" s="259">
        <f>IFERROR(R18/H18, 0)</f>
        <v/>
      </c>
      <c r="R18" s="260" t="n">
        <v>30413.24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50</v>
      </c>
      <c r="I19" s="42" t="inlineStr"/>
      <c r="J19" s="42" t="inlineStr"/>
      <c r="K19" s="44" t="inlineStr">
        <is>
          <t>8IN TIGHT TOP POCKET TW</t>
        </is>
      </c>
      <c r="L19" s="84" t="inlineStr">
        <is>
          <t>WMC-SMT-8T</t>
        </is>
      </c>
      <c r="M19" s="85" t="inlineStr">
        <is>
          <t>1004596929</t>
        </is>
      </c>
      <c r="N19" s="44" t="inlineStr">
        <is>
          <t>F.MSS.08T.002.WN</t>
        </is>
      </c>
      <c r="O19" s="86" t="n"/>
      <c r="P19" s="86" t="n"/>
      <c r="Q19" s="259">
        <f>IFERROR(R19/H19, 0)</f>
        <v/>
      </c>
      <c r="R19" s="260" t="n">
        <v>1789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7.1" customFormat="1" customHeight="1" s="257">
      <c r="A20" s="64" t="n"/>
      <c r="B20" s="65" t="n"/>
      <c r="C20" s="269" t="n"/>
      <c r="D20" s="269" t="n"/>
      <c r="E20" s="270" t="n"/>
      <c r="F20" s="270" t="n"/>
      <c r="G20" s="270" t="n"/>
      <c r="H20" s="271">
        <f>SUM(H12:H19)</f>
        <v/>
      </c>
      <c r="I20" s="69">
        <f>COUNTA(I12:I19)</f>
        <v/>
      </c>
      <c r="J20" s="68" t="n"/>
      <c r="K20" s="68" t="n"/>
      <c r="L20" s="272" t="n"/>
      <c r="M20" s="273" t="n"/>
      <c r="N20" s="68" t="n"/>
      <c r="O20" s="274">
        <f>SUM(O12:O19)</f>
        <v/>
      </c>
      <c r="P20" s="274">
        <f>SUM(P12:P19)</f>
        <v/>
      </c>
      <c r="Q20" s="275" t="n"/>
      <c r="R20" s="276">
        <f>SUM(R12:R19)</f>
        <v/>
      </c>
      <c r="S20" s="277" t="n"/>
      <c r="T20" s="277">
        <f>SUM(T12:T19)</f>
        <v/>
      </c>
      <c r="U20" s="68" t="n"/>
      <c r="V20" s="75" t="n"/>
      <c r="W20" s="76" t="n"/>
      <c r="X20" s="77" t="n"/>
      <c r="Y20" s="278" t="n"/>
      <c r="Z20" s="279" t="n"/>
    </row>
    <row r="21" ht="16.5" customFormat="1" customHeight="1" s="257">
      <c r="A21" s="79" t="n">
        <v>2</v>
      </c>
      <c r="B21" s="80" t="inlineStr">
        <is>
          <t>000030ZIK48020260729000543</t>
        </is>
      </c>
      <c r="C21" s="81" t="n">
        <v>474106</v>
      </c>
      <c r="D21" s="81" t="n">
        <v>474066</v>
      </c>
      <c r="E21" s="258" t="n">
        <v>46233</v>
      </c>
      <c r="F21" s="82" t="inlineStr">
        <is>
          <t>ID2607-7925</t>
        </is>
      </c>
      <c r="G21" s="258" t="n">
        <v>46230</v>
      </c>
      <c r="H21" s="83" t="n">
        <v>2080</v>
      </c>
      <c r="I21" s="42" t="inlineStr">
        <is>
          <t>CMAU6824516</t>
        </is>
      </c>
      <c r="J21" s="42" t="inlineStr">
        <is>
          <t>40FT</t>
        </is>
      </c>
      <c r="K21" s="44" t="inlineStr">
        <is>
          <t>8IN GREEN TEA MF MATTRESS FL</t>
        </is>
      </c>
      <c r="L21" s="84" t="inlineStr">
        <is>
          <t>SCF-STR-800F</t>
        </is>
      </c>
      <c r="M21" s="85" t="inlineStr">
        <is>
          <t>0993630570</t>
        </is>
      </c>
      <c r="N21" s="44" t="inlineStr">
        <is>
          <t>F.MFM.08F.000.WS</t>
        </is>
      </c>
      <c r="O21" s="86" t="n">
        <v>42473.6</v>
      </c>
      <c r="P21" s="86" t="n">
        <v>37481.6</v>
      </c>
      <c r="Q21" s="259">
        <f>IFERROR(R21/H21, 0)</f>
        <v/>
      </c>
      <c r="R21" s="260" t="n">
        <v>165921.6</v>
      </c>
      <c r="S21" s="261" t="n">
        <v>18056</v>
      </c>
      <c r="T21" s="261">
        <f>IFERROR(S21*R21, 0)</f>
        <v/>
      </c>
      <c r="U21" s="48" t="inlineStr">
        <is>
          <t>040300/KPPBC</t>
        </is>
      </c>
      <c r="V21" s="49" t="inlineStr">
        <is>
          <t>TG. PRIOK</t>
        </is>
      </c>
      <c r="W21" s="50" t="inlineStr">
        <is>
          <t>LOS ANGELES</t>
        </is>
      </c>
      <c r="X21" s="51" t="inlineStr">
        <is>
          <t>WALMART, INC.</t>
        </is>
      </c>
      <c r="Y21" s="52" t="inlineStr">
        <is>
          <t>CMDUDJA1502419</t>
        </is>
      </c>
      <c r="Z21" s="258" t="n">
        <v>46233</v>
      </c>
    </row>
    <row r="22" ht="16.5" customFormat="1" customHeight="1" s="257">
      <c r="A22" s="79" t="n"/>
      <c r="B22" s="80" t="n"/>
      <c r="C22" s="81" t="n"/>
      <c r="D22" s="81" t="n"/>
      <c r="E22" s="258" t="n"/>
      <c r="F22" s="82" t="n"/>
      <c r="G22" s="258" t="n"/>
      <c r="H22" s="83" t="n"/>
      <c r="I22" s="42" t="n"/>
      <c r="J22" s="42" t="n"/>
      <c r="K22" s="44" t="n"/>
      <c r="L22" s="84" t="n"/>
      <c r="M22" s="85" t="n"/>
      <c r="N22" s="44" t="n"/>
      <c r="O22" s="86" t="n"/>
      <c r="P22" s="86" t="n"/>
      <c r="Q22" s="259" t="n"/>
      <c r="R22" s="260" t="n"/>
      <c r="S22" s="261" t="n"/>
      <c r="T22" s="261" t="n"/>
      <c r="U22" s="48" t="n"/>
      <c r="V22" s="49" t="n"/>
      <c r="W22" s="50" t="inlineStr">
        <is>
          <t>ETD : 27-07-2026</t>
        </is>
      </c>
      <c r="X22" s="51" t="n"/>
      <c r="Y22" s="52" t="n"/>
      <c r="Z22" s="258" t="n"/>
    </row>
    <row r="23" ht="17.1" customFormat="1" customHeight="1" s="262">
      <c r="A23" s="64" t="n"/>
      <c r="B23" s="65" t="n"/>
      <c r="C23" s="66" t="n"/>
      <c r="D23" s="66" t="n"/>
      <c r="E23" s="67" t="n"/>
      <c r="F23" s="67" t="n"/>
      <c r="G23" s="67" t="n"/>
      <c r="H23" s="68">
        <f>SUM(H21:H22)</f>
        <v/>
      </c>
      <c r="I23" s="69">
        <f>COUNTA(I21:I22)</f>
        <v/>
      </c>
      <c r="J23" s="68" t="n"/>
      <c r="K23" s="68" t="n"/>
      <c r="L23" s="70" t="n"/>
      <c r="M23" s="68" t="n"/>
      <c r="N23" s="68" t="n"/>
      <c r="O23" s="274">
        <f>SUM(O21:O22)</f>
        <v/>
      </c>
      <c r="P23" s="274">
        <f>SUM(P21:P22)</f>
        <v/>
      </c>
      <c r="Q23" s="275" t="n"/>
      <c r="R23" s="276">
        <f>SUM(R21:R22)</f>
        <v/>
      </c>
      <c r="S23" s="277" t="n"/>
      <c r="T23" s="277">
        <f>SUM(T21:T22)</f>
        <v/>
      </c>
      <c r="U23" s="68" t="n"/>
      <c r="V23" s="75" t="n"/>
      <c r="W23" s="76" t="n"/>
      <c r="X23" s="77" t="n"/>
      <c r="Y23" s="77" t="n"/>
      <c r="Z23" s="77" t="n"/>
    </row>
    <row r="24" ht="16.5" customFormat="1" customHeight="1" s="262">
      <c r="A24" s="79" t="n">
        <v>3</v>
      </c>
      <c r="B24" s="80" t="inlineStr">
        <is>
          <t>000030ZIK48020260729000545</t>
        </is>
      </c>
      <c r="C24" s="81" t="n">
        <v>474193</v>
      </c>
      <c r="D24" s="81" t="n">
        <v>474153</v>
      </c>
      <c r="E24" s="258" t="n">
        <v>46233</v>
      </c>
      <c r="F24" s="82" t="inlineStr">
        <is>
          <t>ID2607-7944</t>
        </is>
      </c>
      <c r="G24" s="258" t="n">
        <v>46231</v>
      </c>
      <c r="H24" s="83" t="n">
        <v>2</v>
      </c>
      <c r="I24" s="42" t="inlineStr">
        <is>
          <t>SEGU6357822</t>
        </is>
      </c>
      <c r="J24" s="42" t="inlineStr">
        <is>
          <t>40FT</t>
        </is>
      </c>
      <c r="K24" s="44" t="inlineStr">
        <is>
          <t>10IN GREEN TEA MF MATTRESS TW</t>
        </is>
      </c>
      <c r="L24" s="84" t="inlineStr">
        <is>
          <t>ZU-MFMA1ZZI-10T</t>
        </is>
      </c>
      <c r="M24" s="42" t="inlineStr">
        <is>
          <t>12PKXJ7P</t>
        </is>
      </c>
      <c r="N24" s="44" t="inlineStr">
        <is>
          <t>F.MFM.10T.007.AD</t>
        </is>
      </c>
      <c r="O24" s="86" t="n">
        <v>67790.33</v>
      </c>
      <c r="P24" s="86" t="n">
        <v>55726.63</v>
      </c>
      <c r="Q24" s="259">
        <f>IFERROR(R24/H24, 0)</f>
        <v/>
      </c>
      <c r="R24" s="260" t="n">
        <v>110.48</v>
      </c>
      <c r="S24" s="261" t="n">
        <v>18056</v>
      </c>
      <c r="T24" s="261">
        <f>IFERROR(S24*R24, 0)</f>
        <v/>
      </c>
      <c r="U24" s="48" t="inlineStr">
        <is>
          <t>040300/KPPBC</t>
        </is>
      </c>
      <c r="V24" s="49" t="inlineStr">
        <is>
          <t>TG. PRIOK</t>
        </is>
      </c>
      <c r="W24" s="50" t="inlineStr">
        <is>
          <t>LOS ANGELES</t>
        </is>
      </c>
      <c r="X24" s="51" t="inlineStr">
        <is>
          <t>AMAZON.COM SERVICES LLC</t>
        </is>
      </c>
      <c r="Y24" s="52" t="inlineStr">
        <is>
          <t>CMDUDJA1507203</t>
        </is>
      </c>
      <c r="Z24" s="258" t="n">
        <v>46233</v>
      </c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218</v>
      </c>
      <c r="I25" s="51" t="inlineStr">
        <is>
          <t>SEKU5494701</t>
        </is>
      </c>
      <c r="J25" s="51" t="inlineStr">
        <is>
          <t>40FT</t>
        </is>
      </c>
      <c r="K25" s="284" t="inlineStr">
        <is>
          <t>10IN GREEN TEA MF MATTRESS TW</t>
        </is>
      </c>
      <c r="L25" s="285" t="inlineStr">
        <is>
          <t>ZU-MFMA1ZZI-10T</t>
        </is>
      </c>
      <c r="M25" s="51" t="inlineStr">
        <is>
          <t>191UHIYO</t>
        </is>
      </c>
      <c r="N25" s="284" t="inlineStr">
        <is>
          <t>F.MFM.10T.007.AD</t>
        </is>
      </c>
      <c r="O25" s="286" t="n"/>
      <c r="P25" s="286" t="n"/>
      <c r="Q25" s="287">
        <f>IFERROR(R25/H25, 0)</f>
        <v/>
      </c>
      <c r="R25" s="288" t="n">
        <v>12042.32</v>
      </c>
      <c r="S25" s="289" t="n">
        <v>18056</v>
      </c>
      <c r="T25" s="289">
        <f>IFERROR(S25*R25, 0)</f>
        <v/>
      </c>
      <c r="U25" s="290" t="n"/>
      <c r="V25" s="52" t="n"/>
      <c r="W25" s="291" t="inlineStr">
        <is>
          <t>ETD : 27-07-2026</t>
        </is>
      </c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1096</v>
      </c>
      <c r="I26" s="297" t="inlineStr">
        <is>
          <t>CXDU1716623</t>
        </is>
      </c>
      <c r="J26" s="51" t="inlineStr">
        <is>
          <t>40FT</t>
        </is>
      </c>
      <c r="K26" s="284" t="inlineStr">
        <is>
          <t>6IN GREEN TEA MF MATTRESS TW</t>
        </is>
      </c>
      <c r="L26" s="285" t="inlineStr">
        <is>
          <t>ZU-MFMA1ZZI-06T</t>
        </is>
      </c>
      <c r="M26" s="51" t="inlineStr">
        <is>
          <t>1E4WOYSE</t>
        </is>
      </c>
      <c r="N26" s="284" t="inlineStr">
        <is>
          <t>F.MFM.06T.007.AD</t>
        </is>
      </c>
      <c r="O26" s="298" t="n"/>
      <c r="P26" s="298" t="n"/>
      <c r="Q26" s="299">
        <f>IFERROR(R26/H26, 0)</f>
        <v/>
      </c>
      <c r="R26" s="300" t="n">
        <v>33438.96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1085</v>
      </c>
      <c r="I27" s="305" t="inlineStr">
        <is>
          <t>TLLU4494926</t>
        </is>
      </c>
      <c r="J27" s="305" t="inlineStr">
        <is>
          <t>40FT</t>
        </is>
      </c>
      <c r="K27" s="284" t="inlineStr">
        <is>
          <t>6IN GREEN TEA MF MATTRESS TW</t>
        </is>
      </c>
      <c r="L27" s="285" t="inlineStr">
        <is>
          <t>ZU-MFMA1ZZI-06T</t>
        </is>
      </c>
      <c r="M27" s="51" t="inlineStr">
        <is>
          <t>2C8RWRTA</t>
        </is>
      </c>
      <c r="N27" s="284" t="inlineStr">
        <is>
          <t>F.MFM.06T.007.AD</t>
        </is>
      </c>
      <c r="O27" s="306" t="n"/>
      <c r="P27" s="306" t="n"/>
      <c r="Q27" s="299">
        <f>IFERROR(R27/H27, 0)</f>
        <v/>
      </c>
      <c r="R27" s="307" t="n">
        <v>33103.35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924</v>
      </c>
      <c r="I28" s="305" t="inlineStr">
        <is>
          <t>CMAU7341702</t>
        </is>
      </c>
      <c r="J28" s="305" t="inlineStr">
        <is>
          <t>40FT</t>
        </is>
      </c>
      <c r="K28" s="284" t="inlineStr">
        <is>
          <t>6IN GREEN TEA MF MATTRESS FL</t>
        </is>
      </c>
      <c r="L28" s="285" t="inlineStr">
        <is>
          <t>ZU-MFMA1ZZI-06F</t>
        </is>
      </c>
      <c r="M28" s="51" t="inlineStr">
        <is>
          <t>2SQ6VO9F</t>
        </is>
      </c>
      <c r="N28" s="284" t="inlineStr">
        <is>
          <t>F.MFM.06F.007.AD</t>
        </is>
      </c>
      <c r="O28" s="306" t="n"/>
      <c r="P28" s="306" t="n"/>
      <c r="Q28" s="299">
        <f>IFERROR(R28/H28, 0)</f>
        <v/>
      </c>
      <c r="R28" s="307" t="n">
        <v>35416.92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1053</v>
      </c>
      <c r="I29" s="305" t="inlineStr">
        <is>
          <t>BEAU4667241</t>
        </is>
      </c>
      <c r="J29" s="305" t="inlineStr">
        <is>
          <t>40FT</t>
        </is>
      </c>
      <c r="K29" s="309" t="inlineStr">
        <is>
          <t>6IN GREEN TEA MF MATTRESS TW</t>
        </is>
      </c>
      <c r="L29" s="310" t="inlineStr">
        <is>
          <t>ZU-MFMA1ZZI-06T</t>
        </is>
      </c>
      <c r="M29" s="311" t="inlineStr">
        <is>
          <t>2WVWORPM</t>
        </is>
      </c>
      <c r="N29" s="309" t="inlineStr">
        <is>
          <t>F.MFM.06T.007.AD</t>
        </is>
      </c>
      <c r="O29" s="306" t="n"/>
      <c r="P29" s="306" t="n"/>
      <c r="Q29" s="312">
        <f>IFERROR(R29/H29, 0)</f>
        <v/>
      </c>
      <c r="R29" s="307" t="n">
        <v>32127.03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1</v>
      </c>
      <c r="I30" s="305" t="inlineStr"/>
      <c r="J30" s="305" t="inlineStr"/>
      <c r="K30" s="284" t="inlineStr">
        <is>
          <t>12IN GREEN TEA MF MATTRESS EK</t>
        </is>
      </c>
      <c r="L30" s="285" t="inlineStr">
        <is>
          <t>ZU-MFMA1ZZI-12K</t>
        </is>
      </c>
      <c r="M30" s="51" t="inlineStr">
        <is>
          <t>2WVWORPM</t>
        </is>
      </c>
      <c r="N30" s="309" t="inlineStr">
        <is>
          <t>F.MFM.12K.006.AD</t>
        </is>
      </c>
      <c r="O30" s="306" t="n"/>
      <c r="P30" s="306" t="n"/>
      <c r="Q30" s="312">
        <f>IFERROR(R30/H30, 0)</f>
        <v/>
      </c>
      <c r="R30" s="260" t="n">
        <v>101.97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1130</v>
      </c>
      <c r="I31" s="51" t="inlineStr"/>
      <c r="J31" s="311" t="inlineStr"/>
      <c r="K31" s="284" t="inlineStr">
        <is>
          <t>6IN GREEN TEA MF MATTRESS TW</t>
        </is>
      </c>
      <c r="L31" s="285" t="inlineStr">
        <is>
          <t>ZU-MFMA1ZZI-06T</t>
        </is>
      </c>
      <c r="M31" s="51" t="inlineStr">
        <is>
          <t>8PX5Z4YR</t>
        </is>
      </c>
      <c r="N31" s="284" t="inlineStr">
        <is>
          <t>F.MFM.06T.007.AD</t>
        </is>
      </c>
      <c r="O31" s="306" t="n"/>
      <c r="P31" s="86" t="n"/>
      <c r="Q31" s="318">
        <f>IFERROR(R31/H31, 0)</f>
        <v/>
      </c>
      <c r="R31" s="260" t="n">
        <v>34476.3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7.1" customHeight="1" s="223">
      <c r="A32" s="319" t="n"/>
      <c r="B32" s="65" t="n"/>
      <c r="C32" s="320" t="n"/>
      <c r="D32" s="321" t="n"/>
      <c r="E32" s="322" t="n"/>
      <c r="F32" s="322" t="n"/>
      <c r="G32" s="323" t="n"/>
      <c r="H32" s="324">
        <f>SUM(H24:H31)</f>
        <v/>
      </c>
      <c r="I32" s="325">
        <f>COUNTA(I24:I31)</f>
        <v/>
      </c>
      <c r="J32" s="326" t="n"/>
      <c r="K32" s="324" t="n"/>
      <c r="L32" s="327" t="n"/>
      <c r="M32" s="324" t="n"/>
      <c r="N32" s="324" t="n"/>
      <c r="O32" s="328">
        <f>SUM(O24:O31)</f>
        <v/>
      </c>
      <c r="P32" s="274">
        <f>SUM(P24:P31)</f>
        <v/>
      </c>
      <c r="Q32" s="329" t="n"/>
      <c r="R32" s="276">
        <f>SUM(R24:R31)</f>
        <v/>
      </c>
      <c r="S32" s="277" t="n"/>
      <c r="T32" s="277">
        <f>SUM(T24:T31)</f>
        <v/>
      </c>
      <c r="U32" s="324" t="n"/>
      <c r="V32" s="330" t="n"/>
      <c r="W32" s="331" t="n"/>
      <c r="X32" s="330" t="n"/>
      <c r="Y32" s="330" t="n"/>
      <c r="Z32" s="330" t="n"/>
    </row>
    <row r="33" ht="16.5" customHeight="1" s="223">
      <c r="A33" s="332">
        <f>COUNT(A12:A32)</f>
        <v/>
      </c>
      <c r="B33" s="333" t="n"/>
      <c r="C33" s="295" t="n"/>
      <c r="D33" s="304" t="n"/>
      <c r="E33" s="317" t="n"/>
      <c r="F33" s="334" t="n"/>
      <c r="G33" s="317" t="n"/>
      <c r="H33" s="51">
        <f>SUM(H20,H23,H32)</f>
        <v/>
      </c>
      <c r="I33" s="51">
        <f>SUM(I20,I23,I32)</f>
        <v/>
      </c>
      <c r="J33" s="311" t="n"/>
      <c r="K33" s="284" t="n"/>
      <c r="L33" s="285" t="n"/>
      <c r="M33" s="51" t="n"/>
      <c r="N33" s="284" t="n"/>
      <c r="O33" s="306">
        <f>SUM(O20,O23,O32)</f>
        <v/>
      </c>
      <c r="P33" s="86">
        <f>SUM(P20,P23,P32)</f>
        <v/>
      </c>
      <c r="Q33" s="318" t="n"/>
      <c r="R33" s="260">
        <f>SUM(R20,R23,R32)</f>
        <v/>
      </c>
      <c r="S33" s="261" t="n"/>
      <c r="T33" s="261">
        <f>SUM(T20,T23,T32)</f>
        <v/>
      </c>
      <c r="U33" s="314" t="n"/>
      <c r="V33" s="315" t="n"/>
      <c r="W33" s="316" t="n"/>
      <c r="X33" s="311" t="n"/>
      <c r="Y33" s="315" t="n"/>
      <c r="Z33" s="317" t="n"/>
    </row>
    <row r="34" ht="17.1" customHeight="1" s="223">
      <c r="A34" s="149" t="n"/>
      <c r="B34" s="152" t="n"/>
      <c r="C34" s="335" t="n"/>
      <c r="K34" s="221" t="n"/>
      <c r="L34" s="221" t="n"/>
      <c r="M34" s="221" t="n"/>
      <c r="N34" s="336" t="n"/>
      <c r="P34" s="337" t="n"/>
      <c r="Q34" s="338" t="n"/>
      <c r="R34" s="339" t="n"/>
      <c r="S34" s="340" t="n"/>
      <c r="T34" s="340" t="n"/>
      <c r="U34" s="4" t="n"/>
    </row>
    <row r="35" ht="20" customHeight="1" s="223">
      <c r="A35" s="149" t="n"/>
      <c r="B35" s="341" t="inlineStr">
        <is>
          <t>Total Qty Export :</t>
        </is>
      </c>
      <c r="C35" s="342">
        <f>H33-C36</f>
        <v/>
      </c>
      <c r="K35" s="221" t="n"/>
      <c r="L35" s="221" t="n"/>
      <c r="M35" s="221" t="n"/>
      <c r="N35" s="336" t="n"/>
      <c r="P35" s="337" t="n"/>
      <c r="Q35" s="338" t="n"/>
      <c r="R35" s="339" t="n"/>
      <c r="S35" s="340" t="n"/>
      <c r="T35" s="340" t="n"/>
      <c r="U35" s="159" t="n"/>
    </row>
    <row r="36" ht="20" customHeight="1" s="223">
      <c r="A36" s="149" t="n"/>
      <c r="B36" s="343" t="inlineStr">
        <is>
          <t>Total Qty Export Sample :</t>
        </is>
      </c>
      <c r="C36" s="344" t="n">
        <v>0</v>
      </c>
      <c r="K36" s="221" t="n"/>
      <c r="L36" s="221" t="n"/>
      <c r="M36" s="221" t="n"/>
      <c r="N36" s="336" t="n"/>
      <c r="P36" s="337" t="n"/>
      <c r="Q36" s="338" t="n"/>
      <c r="R36" s="339" t="n"/>
      <c r="S36" s="340" t="n"/>
      <c r="T36" s="340" t="n"/>
      <c r="U36" s="148" t="n"/>
    </row>
    <row r="37" ht="17.1" customHeight="1" s="223">
      <c r="A37" s="149" t="n"/>
      <c r="B37" s="152" t="n"/>
      <c r="C37" s="345" t="n"/>
      <c r="K37" s="221" t="n"/>
      <c r="L37" s="221" t="n"/>
      <c r="M37" s="221" t="n"/>
      <c r="N37" s="336" t="n"/>
      <c r="P37" s="337" t="n"/>
      <c r="Q37" s="338" t="n"/>
      <c r="R37" s="339" t="n"/>
      <c r="S37" s="340" t="n"/>
      <c r="T37" s="340" t="n"/>
      <c r="U37" s="148" t="n"/>
    </row>
    <row r="38" ht="20" customHeight="1" s="223">
      <c r="A38" s="160" t="n"/>
      <c r="B38" s="152" t="n"/>
      <c r="C38" s="346" t="n"/>
      <c r="K38" s="221" t="n"/>
      <c r="L38" s="221" t="n"/>
      <c r="M38" s="221" t="n"/>
      <c r="N38" s="336" t="n"/>
      <c r="U38" s="347" t="inlineStr">
        <is>
          <t>Tangerang, 30 July 2026</t>
        </is>
      </c>
    </row>
    <row r="39" ht="20" customHeight="1" s="223" thickBot="1">
      <c r="A39" s="348" t="inlineStr">
        <is>
          <t>Total Document</t>
        </is>
      </c>
      <c r="B39" s="162" t="n"/>
      <c r="C39" s="349">
        <f>A33</f>
        <v/>
      </c>
      <c r="D39" s="164" t="n"/>
      <c r="U39" s="347" t="inlineStr">
        <is>
          <t>Kasubsi Hanggar Pabean dan Cukai</t>
        </is>
      </c>
    </row>
    <row r="40" ht="20" customFormat="1" customHeight="1" s="17" thickTop="1">
      <c r="A40" s="350" t="inlineStr">
        <is>
          <t>Gross Weight</t>
        </is>
      </c>
      <c r="B40" s="6" t="n"/>
      <c r="C40" s="351">
        <f>O33</f>
        <v/>
      </c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20" customHeight="1" s="223">
      <c r="A41" s="350" t="inlineStr">
        <is>
          <t>Nett Weight</t>
        </is>
      </c>
      <c r="C41" s="350">
        <f>P33</f>
        <v/>
      </c>
    </row>
    <row r="42" ht="20" customHeight="1" s="223">
      <c r="A42" s="350" t="inlineStr">
        <is>
          <t>Amount</t>
        </is>
      </c>
      <c r="C42" s="350">
        <f>R33</f>
        <v/>
      </c>
    </row>
    <row r="43" ht="20" customHeight="1" s="223">
      <c r="A43" s="350" t="inlineStr">
        <is>
          <t>Jumlah Container</t>
        </is>
      </c>
      <c r="C43" s="350">
        <f>I33</f>
        <v/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2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53" t="n"/>
      <c r="L333" s="353" t="n"/>
      <c r="M333" s="353" t="n"/>
      <c r="N333" s="354" t="n"/>
      <c r="O333" s="355" t="n"/>
      <c r="P333" s="355" t="n"/>
      <c r="Q333" s="356" t="n"/>
      <c r="R333" s="357" t="n"/>
      <c r="S333" s="358" t="n"/>
      <c r="T333" s="358" t="n"/>
      <c r="U333" s="359" t="n"/>
      <c r="V333" s="359" t="n"/>
      <c r="W333" s="359" t="n"/>
      <c r="X333" s="359" t="n"/>
      <c r="Y333" s="359" t="n"/>
      <c r="Z333" s="359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2026-07-30T15:25:08Z</dcterms:modified>
  <cp:lastModifiedBy>Chiswa Dian Hermansyah(ZINUS ZDI)</cp:lastModifiedBy>
</cp:coreProperties>
</file>