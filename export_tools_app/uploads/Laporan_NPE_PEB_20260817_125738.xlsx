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64" fontId="3" fillId="3" borderId="1" applyAlignment="1" pivotButton="0" quotePrefix="1" xfId="5">
      <alignment horizontal="center" vertical="center" wrapText="1"/>
    </xf>
    <xf numFmtId="164" fontId="14" fillId="3" borderId="1" applyAlignment="1" pivotButton="0" quotePrefix="1" xfId="5">
      <alignment horizontal="center" vertical="center"/>
    </xf>
    <xf numFmtId="171" fontId="3" fillId="3" borderId="1" applyAlignment="1" pivotButton="0" quotePrefix="1" xfId="5">
      <alignment horizontal="center" vertical="center" wrapText="1"/>
    </xf>
    <xf numFmtId="171" fontId="3" fillId="3" borderId="1" applyAlignment="1" pivotButton="0" quotePrefix="1" xfId="5">
      <alignment horizontal="left" vertical="center" wrapText="1"/>
    </xf>
    <xf numFmtId="0" fontId="3" fillId="0" borderId="1" applyAlignment="1" pivotButton="0" quotePrefix="0" xfId="7">
      <alignment horizontal="center" vertical="center"/>
    </xf>
    <xf numFmtId="49" fontId="3" fillId="0" borderId="1" applyAlignment="1" pivotButton="0" quotePrefix="0" xfId="5">
      <alignment horizontal="center" vertical="center"/>
    </xf>
    <xf numFmtId="41" fontId="3" fillId="0" borderId="1" applyAlignment="1" pivotButton="0" quotePrefix="0" xfId="5">
      <alignment horizontal="center" vertical="center"/>
    </xf>
    <xf numFmtId="41" fontId="3" fillId="0" borderId="1" applyAlignment="1" pivotButton="0" quotePrefix="1" xfId="5">
      <alignment horizontal="center" vertical="center"/>
    </xf>
    <xf numFmtId="41" fontId="4" fillId="0" borderId="1" applyAlignment="1" pivotButton="0" quotePrefix="0" xfId="5">
      <alignment horizontal="center" vertical="center"/>
    </xf>
    <xf numFmtId="165" fontId="3" fillId="3" borderId="1" applyAlignment="1" pivotButton="0" quotePrefix="0" xfId="2">
      <alignment horizontal="right" vertical="center" wrapText="1"/>
    </xf>
    <xf numFmtId="166" fontId="3" fillId="3" borderId="1" applyAlignment="1" pivotButton="0" quotePrefix="0" xfId="1">
      <alignment horizontal="right" vertical="center" wrapText="1"/>
    </xf>
    <xf numFmtId="167" fontId="3" fillId="3" borderId="1" applyAlignment="1" pivotButton="0" quotePrefix="0" xfId="3">
      <alignment horizontal="right" vertical="center" wrapText="1"/>
    </xf>
    <xf numFmtId="168" fontId="3" fillId="3" borderId="1" applyAlignment="1" pivotButton="0" quotePrefix="0" xfId="3">
      <alignment horizontal="right" vertical="center" wrapText="1"/>
    </xf>
    <xf numFmtId="43" fontId="3" fillId="3" borderId="1" applyAlignment="1" pivotButton="0" quotePrefix="0" xfId="5">
      <alignment horizontal="center" vertical="center" wrapText="1"/>
    </xf>
    <xf numFmtId="4" fontId="3" fillId="0" borderId="10" applyAlignment="1" pivotButton="0" quotePrefix="0" xfId="4">
      <alignment horizontal="center" vertical="center"/>
    </xf>
    <xf numFmtId="4" fontId="3" fillId="0" borderId="0" applyAlignment="1" pivotButton="0" quotePrefix="1" xfId="4">
      <alignment horizontal="center" vertical="center"/>
    </xf>
    <xf numFmtId="4" fontId="3" fillId="0" borderId="0" applyAlignment="1" pivotButton="0" quotePrefix="1" xfId="5">
      <alignment horizontal="center" vertical="center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" applyAlignment="1" pivotButton="0" quotePrefix="1" xfId="4">
      <alignment horizontal="left" vertical="center"/>
    </xf>
    <xf numFmtId="164" fontId="25" fillId="3" borderId="1" applyAlignment="1" pivotButton="0" quotePrefix="1" xfId="8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3" fontId="25" fillId="4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4" fontId="25" fillId="0" borderId="0" applyAlignment="1" pivotButton="0" quotePrefix="1" xfId="4">
      <alignment horizontal="center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" fontId="25" fillId="0" borderId="22" applyAlignment="1" pivotButton="0" quotePrefix="0" xfId="4">
      <alignment vertical="center"/>
    </xf>
    <xf numFmtId="177" fontId="25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L38" sqref="L3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02" min="11" max="11"/>
    <col width="28" customWidth="1" style="202" min="12" max="12"/>
    <col width="16.5546875" customWidth="1" style="202" min="13" max="13"/>
    <col width="21.5546875" customWidth="1" style="203" min="14" max="14"/>
    <col width="16.33203125" customWidth="1" style="204" min="15" max="16"/>
    <col width="13.88671875" customWidth="1" style="205" min="17" max="17"/>
    <col width="20.33203125" customWidth="1" style="206" min="18" max="18"/>
    <col width="15.5546875" customWidth="1" style="207" min="19" max="19"/>
    <col width="28.44140625" customWidth="1" style="207" min="20" max="20"/>
    <col width="22.33203125" customWidth="1" style="208" min="21" max="21"/>
    <col width="18.6640625" customWidth="1" style="208" min="22" max="22"/>
    <col width="33.5546875" customWidth="1" style="208" min="23" max="23"/>
    <col width="64" customWidth="1" style="208" min="24" max="24"/>
    <col width="26.6640625" customWidth="1" style="208" min="25" max="25"/>
    <col width="22.5546875" customWidth="1" style="208" min="26" max="26"/>
    <col width="9.109375" customWidth="1" style="209" min="27" max="289"/>
    <col width="24.88671875" bestFit="1" customWidth="1" style="209" min="290" max="290"/>
    <col width="9.109375" customWidth="1" style="209" min="291" max="16384"/>
  </cols>
  <sheetData>
    <row r="1" hidden="1" ht="18" customHeight="1" s="210">
      <c r="A1" s="1" t="inlineStr">
        <is>
          <t>KEMENTERIAN KEUANGAN REPUBLIK INDONESIA</t>
        </is>
      </c>
      <c r="B1" s="2" t="n"/>
    </row>
    <row r="2" hidden="1" ht="18" customHeight="1" s="210">
      <c r="A2" s="1" t="inlineStr">
        <is>
          <t>DIREKTORAT JENDERAL BEA DAN CUKAI</t>
        </is>
      </c>
      <c r="B2" s="2" t="n"/>
    </row>
    <row r="3" hidden="1" ht="18" customHeight="1" s="210">
      <c r="A3" s="15" t="inlineStr">
        <is>
          <t>KANTOR WILAYAH DJBC BANTEN</t>
        </is>
      </c>
      <c r="B3" s="16" t="n"/>
    </row>
    <row r="4" hidden="1" ht="18" customHeight="1" s="210">
      <c r="A4" s="15" t="inlineStr">
        <is>
          <t>KANTOR PENGAWASAN DAN PELAYANAN BEA DAN CUKAI TIPE MADYA PABEAN A TANGERANG</t>
        </is>
      </c>
      <c r="B4" s="16" t="n"/>
    </row>
    <row r="5" ht="14.25" customHeight="1" s="210"/>
    <row r="6" ht="24.75" customHeight="1" s="210">
      <c r="A6" s="211" t="inlineStr">
        <is>
          <t>LAPORAN BULANAN  EKSPOR (BC 3.0)</t>
        </is>
      </c>
    </row>
    <row r="7" ht="24.75" customHeight="1" s="210">
      <c r="A7" s="211" t="inlineStr">
        <is>
          <t>PT. ZINUS DREAM INDONESIA</t>
        </is>
      </c>
    </row>
    <row r="8" ht="24.75" customHeight="1" s="210">
      <c r="A8" s="192" t="inlineStr">
        <is>
          <t>BULAN : AUGUST 2026</t>
        </is>
      </c>
    </row>
    <row r="9" ht="14.25" customHeight="1" s="210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95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79" t="n">
        <v>1</v>
      </c>
      <c r="B12" s="80" t="inlineStr">
        <is>
          <t>000040ZIK48020260814002720</t>
        </is>
      </c>
      <c r="C12" s="81" t="inlineStr"/>
      <c r="D12" s="81" t="inlineStr"/>
      <c r="E12" s="245" t="n">
        <v>46248</v>
      </c>
      <c r="F12" s="82" t="inlineStr">
        <is>
          <t>08-2026-10006</t>
        </is>
      </c>
      <c r="G12" s="245" t="inlineStr"/>
      <c r="H12" s="83" t="n"/>
      <c r="I12" s="42" t="n"/>
      <c r="J12" s="42" t="n"/>
      <c r="K12" s="44" t="n"/>
      <c r="L12" s="84" t="n"/>
      <c r="M12" s="85" t="n"/>
      <c r="N12" s="44" t="n"/>
      <c r="O12" s="86" t="inlineStr"/>
      <c r="P12" s="86" t="inlineStr"/>
      <c r="Q12" s="246">
        <f>IFERROR(R12/H12, 0)</f>
        <v/>
      </c>
      <c r="R12" s="247" t="n"/>
      <c r="S12" s="248" t="n"/>
      <c r="T12" s="248">
        <f>IFERROR(S12*R12, 0)</f>
        <v/>
      </c>
      <c r="U12" s="48" t="inlineStr">
        <is>
          <t>KPPBC TMP A TANGERANG F. KOLOM KHUSUS BEA DAN CUKAI</t>
        </is>
      </c>
      <c r="V12" s="49" t="inlineStr"/>
      <c r="W12" s="50" t="inlineStr">
        <is>
          <t>US</t>
        </is>
      </c>
      <c r="X12" s="51" t="inlineStr"/>
      <c r="Y12" s="52" t="inlineStr"/>
      <c r="Z12" s="245" t="inlineStr"/>
    </row>
    <row r="13" ht="16.5" customFormat="1" customHeight="1" s="244">
      <c r="A13" s="79" t="n"/>
      <c r="B13" s="80" t="n"/>
      <c r="C13" s="81" t="n"/>
      <c r="D13" s="81" t="n"/>
      <c r="E13" s="245" t="n"/>
      <c r="F13" s="82" t="n"/>
      <c r="G13" s="245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46" t="n"/>
      <c r="R13" s="247" t="n"/>
      <c r="S13" s="248" t="n"/>
      <c r="T13" s="248" t="n"/>
      <c r="U13" s="48" t="n"/>
      <c r="V13" s="49" t="n"/>
      <c r="W13" s="50" t="inlineStr"/>
      <c r="X13" s="51" t="n"/>
      <c r="Y13" s="52" t="n"/>
      <c r="Z13" s="245" t="n"/>
    </row>
    <row r="14" ht="17.1" customFormat="1" customHeight="1" s="244">
      <c r="A14" s="64" t="n"/>
      <c r="B14" s="65" t="n"/>
      <c r="C14" s="249" t="n"/>
      <c r="D14" s="249" t="n"/>
      <c r="E14" s="250" t="n"/>
      <c r="F14" s="250" t="n"/>
      <c r="G14" s="250" t="n"/>
      <c r="H14" s="251">
        <f>SUM(H12:H13)</f>
        <v/>
      </c>
      <c r="I14" s="69">
        <f>COUNTA(I12:I13)</f>
        <v/>
      </c>
      <c r="J14" s="68" t="n"/>
      <c r="K14" s="68" t="n"/>
      <c r="L14" s="252" t="n"/>
      <c r="M14" s="253" t="n"/>
      <c r="N14" s="68" t="n"/>
      <c r="O14" s="254">
        <f>SUM(O12:O13)</f>
        <v/>
      </c>
      <c r="P14" s="254">
        <f>SUM(P12:P13)</f>
        <v/>
      </c>
      <c r="Q14" s="255" t="n"/>
      <c r="R14" s="256">
        <f>SUM(R12:R13)</f>
        <v/>
      </c>
      <c r="S14" s="257" t="n"/>
      <c r="T14" s="257">
        <f>SUM(T12:T13)</f>
        <v/>
      </c>
      <c r="U14" s="68" t="n"/>
      <c r="V14" s="75" t="n"/>
      <c r="W14" s="76" t="n"/>
      <c r="X14" s="77" t="n"/>
      <c r="Y14" s="258" t="n"/>
      <c r="Z14" s="259" t="n"/>
    </row>
    <row r="15" ht="8.1" customFormat="1" customHeight="1" s="244">
      <c r="A15" s="89">
        <f>COUNT(A12:A14)</f>
        <v/>
      </c>
      <c r="B15" s="90" t="n"/>
      <c r="C15" s="260" t="n"/>
      <c r="D15" s="261" t="n"/>
      <c r="E15" s="262" t="n"/>
      <c r="F15" s="263" t="n"/>
      <c r="G15" s="263" t="n"/>
      <c r="H15" s="264">
        <f>SUM(H14)</f>
        <v/>
      </c>
      <c r="I15" s="265">
        <f>SUM(I14)</f>
        <v/>
      </c>
      <c r="J15" s="265" t="n"/>
      <c r="K15" s="266" t="n"/>
      <c r="L15" s="266" t="n"/>
      <c r="M15" s="267" t="n"/>
      <c r="N15" s="268" t="n"/>
      <c r="O15" s="269">
        <f>SUM(O14)</f>
        <v/>
      </c>
      <c r="P15" s="269">
        <f>SUM(P14)</f>
        <v/>
      </c>
      <c r="Q15" s="270" t="n"/>
      <c r="R15" s="271">
        <f>SUM(R14)</f>
        <v/>
      </c>
      <c r="S15" s="272" t="n"/>
      <c r="T15" s="272">
        <f>SUM(T14)</f>
        <v/>
      </c>
      <c r="U15" s="273" t="n"/>
      <c r="V15" s="273" t="n"/>
      <c r="W15" s="273" t="n"/>
      <c r="X15" s="274" t="n"/>
      <c r="Y15" s="275" t="n"/>
      <c r="Z15" s="276" t="n"/>
    </row>
    <row r="16" ht="16.5" customFormat="1" customHeight="1" s="244">
      <c r="A16" s="54" t="n"/>
      <c r="B16" s="55" t="n"/>
      <c r="C16" s="56" t="n"/>
      <c r="D16" s="56" t="n"/>
      <c r="E16" s="277" t="n"/>
      <c r="F16" s="58" t="n"/>
      <c r="G16" s="277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46" t="n"/>
      <c r="R16" s="278" t="n"/>
      <c r="S16" s="248" t="n"/>
      <c r="T16" s="248" t="n"/>
      <c r="U16" s="48" t="n"/>
      <c r="V16" s="49" t="n"/>
      <c r="W16" s="50" t="n"/>
      <c r="X16" s="62" t="n"/>
      <c r="Y16" s="63" t="n"/>
      <c r="Z16" s="277" t="n"/>
    </row>
    <row r="17" ht="20" customFormat="1" customHeight="1" s="279">
      <c r="A17" s="64" t="n"/>
      <c r="B17" s="280" t="inlineStr">
        <is>
          <t>Total Qty Export :</t>
        </is>
      </c>
      <c r="C17" s="281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54" t="n"/>
      <c r="P17" s="254" t="n"/>
      <c r="Q17" s="255" t="n"/>
      <c r="R17" s="256" t="n"/>
      <c r="S17" s="257" t="n"/>
      <c r="T17" s="257" t="n"/>
      <c r="U17" s="68" t="n"/>
      <c r="V17" s="75" t="n"/>
      <c r="W17" s="76" t="n"/>
      <c r="X17" s="77" t="n"/>
      <c r="Y17" s="77" t="n"/>
      <c r="Z17" s="77" t="n"/>
    </row>
    <row r="18" ht="20" customHeight="1" s="210" thickBot="1">
      <c r="A18" s="89" t="n"/>
      <c r="B18" s="282" t="inlineStr">
        <is>
          <t>Total Qty Export Sample :</t>
        </is>
      </c>
      <c r="C18" s="283" t="n">
        <v>0</v>
      </c>
      <c r="D18" s="92" t="n"/>
      <c r="E18" s="284" t="n"/>
      <c r="F18" s="285" t="n"/>
      <c r="G18" s="285" t="n"/>
      <c r="H18" s="95" t="n"/>
      <c r="I18" s="19" t="n"/>
      <c r="J18" s="19" t="n"/>
      <c r="K18" s="212" t="n"/>
      <c r="L18" s="212" t="n"/>
      <c r="M18" s="212" t="n"/>
      <c r="N18" s="213" t="n"/>
      <c r="O18" s="286" t="n"/>
      <c r="P18" s="286" t="n"/>
      <c r="Q18" s="287" t="n"/>
      <c r="R18" s="288" t="n"/>
      <c r="S18" s="289" t="n"/>
      <c r="T18" s="289" t="n"/>
      <c r="U18" s="290" t="n"/>
      <c r="V18" s="290" t="n"/>
      <c r="W18" s="290" t="n"/>
      <c r="X18" s="101" t="n"/>
      <c r="Y18" s="129" t="n"/>
      <c r="Z18" s="129" t="n"/>
    </row>
    <row r="19" ht="20.1" customFormat="1" customHeight="1" s="218" thickBot="1">
      <c r="A19" s="103" t="n"/>
      <c r="B19" s="104" t="n"/>
      <c r="C19" s="291" t="n"/>
      <c r="D19" s="292" t="n"/>
      <c r="E19" s="292" t="n"/>
      <c r="F19" s="292" t="n"/>
      <c r="G19" s="292" t="n"/>
      <c r="H19" s="107" t="n"/>
      <c r="I19" s="107" t="n"/>
      <c r="J19" s="108" t="n"/>
      <c r="K19" s="293" t="n"/>
      <c r="L19" s="294" t="n"/>
      <c r="M19" s="295" t="n"/>
      <c r="N19" s="296" t="n"/>
      <c r="O19" s="113" t="n"/>
      <c r="P19" s="113" t="n"/>
      <c r="Q19" s="297" t="n"/>
      <c r="R19" s="298" t="n"/>
      <c r="S19" s="299" t="n"/>
      <c r="T19" s="300" t="n"/>
      <c r="U19" s="118" t="n"/>
      <c r="V19" s="118" t="n"/>
      <c r="W19" s="118" t="n"/>
      <c r="X19" s="118" t="n"/>
      <c r="Y19" s="119" t="n"/>
      <c r="Z19" s="119" t="n"/>
    </row>
    <row r="20" ht="20" customHeight="1" s="210">
      <c r="A20" s="120" t="n"/>
      <c r="B20" s="121" t="n"/>
      <c r="C20" s="122" t="n"/>
      <c r="E20" s="123" t="n"/>
      <c r="F20" s="124" t="n"/>
      <c r="G20" s="124" t="n"/>
      <c r="H20" s="301" t="n"/>
      <c r="I20" s="301" t="n"/>
      <c r="J20" s="302" t="n"/>
      <c r="K20" s="208" t="n"/>
      <c r="L20" s="208" t="n"/>
      <c r="M20" s="208" t="n"/>
      <c r="N20" s="303" t="n"/>
      <c r="Q20" s="304" t="n"/>
      <c r="U20" s="305" t="inlineStr">
        <is>
          <t>Tangerang, 17 August 2026</t>
        </is>
      </c>
      <c r="V20" s="129" t="n"/>
      <c r="W20" s="129" t="n"/>
      <c r="X20" s="129" t="n"/>
      <c r="Y20" s="129" t="n"/>
      <c r="Z20" s="129" t="n"/>
    </row>
    <row r="21" ht="20" customHeight="1" s="210">
      <c r="A21" s="306" t="inlineStr">
        <is>
          <t>Total Document</t>
        </is>
      </c>
      <c r="B21" s="130" t="n"/>
      <c r="C21" s="307">
        <f>A15</f>
        <v/>
      </c>
      <c r="E21" s="123" t="n"/>
      <c r="F21" s="124" t="n"/>
      <c r="G21" s="124" t="n"/>
      <c r="H21" s="302" t="n"/>
      <c r="I21" s="302" t="n"/>
      <c r="J21" s="302" t="n"/>
      <c r="K21" s="208" t="n"/>
      <c r="L21" s="208" t="n"/>
      <c r="M21" s="208" t="n"/>
      <c r="N21" s="303" t="n"/>
      <c r="Q21" s="304" t="n"/>
      <c r="U21" s="305" t="inlineStr">
        <is>
          <t>Kasubsi Hanggar Pabean dan Cukai</t>
        </is>
      </c>
      <c r="V21" s="129" t="n"/>
      <c r="W21" s="129" t="n"/>
      <c r="X21" s="129" t="n"/>
      <c r="Y21" s="129" t="n"/>
      <c r="Z21" s="129" t="n"/>
    </row>
    <row r="22" ht="20" customHeight="1" s="210">
      <c r="A22" s="306" t="inlineStr">
        <is>
          <t>Gross Weight</t>
        </is>
      </c>
      <c r="B22" s="132" t="n"/>
      <c r="C22" s="308">
        <f>O15</f>
        <v/>
      </c>
      <c r="E22" s="123" t="n"/>
      <c r="F22" s="124" t="n"/>
      <c r="G22" s="124" t="n"/>
      <c r="H22" s="309" t="n"/>
      <c r="I22" s="309" t="n"/>
      <c r="J22" s="302" t="n"/>
      <c r="T22" s="310" t="n"/>
      <c r="V22" s="129" t="n"/>
      <c r="W22" s="129" t="n"/>
      <c r="X22" s="129" t="n"/>
      <c r="Y22" s="129" t="n"/>
      <c r="Z22" s="129" t="n"/>
    </row>
    <row r="23" ht="20" customHeight="1" s="210" thickBot="1">
      <c r="A23" s="306" t="inlineStr">
        <is>
          <t>Nett Weight</t>
        </is>
      </c>
      <c r="B23" s="136" t="n"/>
      <c r="C23" s="311">
        <f>P15</f>
        <v/>
      </c>
      <c r="D23" s="122" t="n"/>
      <c r="E23" s="123" t="n"/>
      <c r="F23" s="124" t="n"/>
      <c r="G23" s="124" t="n"/>
      <c r="H23" s="302" t="n"/>
      <c r="I23" s="302" t="n"/>
      <c r="J23" s="302" t="n"/>
      <c r="K23" s="208" t="n"/>
      <c r="L23" s="208" t="n"/>
      <c r="M23" s="208" t="n"/>
      <c r="R23" s="312" t="n"/>
      <c r="S23" s="310" t="n"/>
      <c r="U23" s="138" t="n"/>
    </row>
    <row r="24" ht="20" customHeight="1" s="210" thickTop="1">
      <c r="A24" s="313" t="inlineStr">
        <is>
          <t>Amount</t>
        </is>
      </c>
      <c r="B24" s="140" t="n"/>
      <c r="C24" s="314">
        <f>R15</f>
        <v/>
      </c>
      <c r="D24" s="142" t="n"/>
      <c r="E24" s="143" t="n"/>
      <c r="F24" s="144" t="n"/>
      <c r="G24" s="144" t="n"/>
      <c r="H24" s="145" t="n"/>
      <c r="I24" s="145" t="n"/>
      <c r="K24" s="208" t="n"/>
      <c r="L24" s="208" t="n"/>
      <c r="M24" s="208" t="n"/>
      <c r="N24" s="303" t="n"/>
      <c r="P24" s="315" t="n"/>
      <c r="Q24" s="316" t="n"/>
      <c r="R24" s="312" t="n"/>
      <c r="S24" s="310" t="n"/>
      <c r="T24" s="310" t="n"/>
      <c r="U24" s="148" t="n"/>
    </row>
    <row r="25" ht="20" customHeight="1" s="210">
      <c r="A25" s="317" t="inlineStr">
        <is>
          <t>Jumlah Container</t>
        </is>
      </c>
      <c r="B25" s="150" t="n"/>
      <c r="C25" s="318">
        <f>I15</f>
        <v/>
      </c>
      <c r="G25" s="144" t="n"/>
      <c r="H25" s="151" t="n"/>
      <c r="I25" s="151" t="n"/>
      <c r="K25" s="208" t="n"/>
      <c r="L25" s="208" t="n"/>
      <c r="M25" s="208" t="n"/>
      <c r="N25" s="303" t="n"/>
      <c r="P25" s="315" t="n"/>
      <c r="Q25" s="316" t="n"/>
      <c r="R25" s="312" t="n"/>
      <c r="S25" s="310" t="n"/>
      <c r="T25" s="310" t="n"/>
      <c r="U25" s="148" t="n"/>
    </row>
    <row r="26" ht="17.1" customHeight="1" s="210">
      <c r="A26" s="149" t="n"/>
      <c r="B26" s="152" t="n"/>
      <c r="C26" s="319" t="n"/>
      <c r="H26" s="153" t="n"/>
      <c r="I26" s="154" t="n"/>
      <c r="K26" s="208" t="n"/>
      <c r="L26" s="208" t="n"/>
      <c r="M26" s="208" t="n"/>
      <c r="N26" s="303" t="n"/>
      <c r="P26" s="320" t="n"/>
      <c r="Q26" s="321" t="n"/>
      <c r="R26" s="322" t="n"/>
      <c r="S26" s="323" t="n"/>
      <c r="T26" s="323" t="n"/>
      <c r="U26" s="4" t="n"/>
    </row>
    <row r="27" ht="17.1" customHeight="1" s="210">
      <c r="A27" s="149" t="n"/>
      <c r="B27" s="152" t="n"/>
      <c r="C27" s="319" t="n"/>
      <c r="K27" s="208" t="n"/>
      <c r="L27" s="208" t="n"/>
      <c r="M27" s="208" t="n"/>
      <c r="N27" s="303" t="n"/>
      <c r="P27" s="320" t="n"/>
      <c r="Q27" s="321" t="n"/>
      <c r="R27" s="322" t="n"/>
      <c r="S27" s="323" t="n"/>
      <c r="T27" s="323" t="n"/>
      <c r="U27" s="4" t="n"/>
    </row>
    <row r="28" ht="17.1" customHeight="1" s="210">
      <c r="A28" s="149" t="n"/>
      <c r="B28" s="152" t="n"/>
      <c r="C28" s="324" t="n"/>
      <c r="K28" s="208" t="n"/>
      <c r="L28" s="208" t="n"/>
      <c r="M28" s="208" t="n"/>
      <c r="N28" s="303" t="n"/>
      <c r="P28" s="320" t="n"/>
      <c r="Q28" s="321" t="n"/>
      <c r="R28" s="322" t="n"/>
      <c r="S28" s="323" t="n"/>
      <c r="T28" s="323" t="n"/>
      <c r="U28" s="159" t="n"/>
    </row>
    <row r="29" ht="17.1" customHeight="1" s="210">
      <c r="A29" s="149" t="n"/>
      <c r="B29" s="152" t="n"/>
      <c r="C29" s="325" t="n"/>
      <c r="K29" s="208" t="n"/>
      <c r="L29" s="208" t="n"/>
      <c r="M29" s="208" t="n"/>
      <c r="N29" s="303" t="n"/>
      <c r="P29" s="320" t="n"/>
      <c r="Q29" s="321" t="n"/>
      <c r="R29" s="322" t="n"/>
      <c r="S29" s="323" t="n"/>
      <c r="T29" s="323" t="n"/>
      <c r="U29" s="148" t="n"/>
    </row>
    <row r="30" ht="17.1" customHeight="1" s="210">
      <c r="A30" s="149" t="n"/>
      <c r="B30" s="152" t="n"/>
      <c r="C30" s="326" t="n"/>
      <c r="K30" s="208" t="n"/>
      <c r="L30" s="208" t="n"/>
      <c r="M30" s="208" t="n"/>
      <c r="N30" s="303" t="n"/>
      <c r="P30" s="320" t="n"/>
      <c r="Q30" s="321" t="n"/>
      <c r="R30" s="322" t="n"/>
      <c r="S30" s="323" t="n"/>
      <c r="T30" s="323" t="n"/>
      <c r="U30" s="148" t="n"/>
    </row>
    <row r="31" ht="17.1" customHeight="1" s="210">
      <c r="A31" s="160" t="n"/>
      <c r="B31" s="152" t="n"/>
      <c r="C31" s="327" t="n"/>
      <c r="K31" s="208" t="n"/>
      <c r="L31" s="208" t="n"/>
      <c r="M31" s="208" t="n"/>
      <c r="N31" s="303" t="n"/>
    </row>
    <row r="32" ht="16.2" customHeight="1" s="210" thickBot="1">
      <c r="A32" s="161" t="n"/>
      <c r="B32" s="162" t="n"/>
      <c r="C32" s="163" t="n"/>
      <c r="D32" s="164" t="n"/>
    </row>
    <row r="33" ht="16.2" customFormat="1" customHeight="1" s="17" thickTop="1">
      <c r="B33" s="6" t="n"/>
      <c r="C33" s="3" t="n"/>
      <c r="D33" s="3" t="n"/>
      <c r="E33" s="4" t="n"/>
      <c r="F33" s="5" t="n"/>
      <c r="G33" s="5" t="n"/>
      <c r="H33" s="6" t="n"/>
      <c r="I33" s="6" t="n"/>
      <c r="J33" s="6" t="n"/>
      <c r="K33" s="202" t="n"/>
      <c r="L33" s="202" t="n"/>
      <c r="M33" s="202" t="n"/>
      <c r="N33" s="203" t="n"/>
      <c r="O33" s="204" t="n"/>
      <c r="P33" s="204" t="n"/>
      <c r="Q33" s="205" t="n"/>
      <c r="R33" s="206" t="n"/>
      <c r="S33" s="207" t="n"/>
      <c r="T33" s="207" t="n"/>
      <c r="U33" s="208" t="n"/>
      <c r="V33" s="208" t="n"/>
      <c r="W33" s="208" t="n"/>
      <c r="X33" s="208" t="n"/>
      <c r="Y33" s="208" t="n"/>
      <c r="Z33" s="208" t="n"/>
      <c r="AA33" s="209" t="n"/>
      <c r="AB33" s="209" t="n"/>
      <c r="AC33" s="209" t="n"/>
      <c r="AD33" s="209" t="n"/>
      <c r="AE33" s="209" t="n"/>
      <c r="AF33" s="209" t="n"/>
      <c r="AG33" s="209" t="n"/>
      <c r="AH33" s="209" t="n"/>
      <c r="AI33" s="209" t="n"/>
      <c r="AJ33" s="209" t="n"/>
      <c r="AK33" s="209" t="n"/>
      <c r="AL33" s="209" t="n"/>
      <c r="AM33" s="209" t="n"/>
      <c r="AN33" s="209" t="n"/>
      <c r="AO33" s="209" t="n"/>
      <c r="AP33" s="209" t="n"/>
      <c r="AQ33" s="209" t="n"/>
      <c r="AR33" s="209" t="n"/>
      <c r="AS33" s="209" t="n"/>
      <c r="AT33" s="209" t="n"/>
      <c r="AU33" s="209" t="n"/>
      <c r="AV33" s="209" t="n"/>
      <c r="AW33" s="209" t="n"/>
      <c r="AX33" s="209" t="n"/>
      <c r="AY33" s="209" t="n"/>
      <c r="AZ33" s="209" t="n"/>
      <c r="BA33" s="209" t="n"/>
      <c r="BB33" s="209" t="n"/>
      <c r="BC33" s="209" t="n"/>
      <c r="BD33" s="209" t="n"/>
      <c r="BE33" s="209" t="n"/>
      <c r="BF33" s="209" t="n"/>
      <c r="BG33" s="209" t="n"/>
      <c r="BH33" s="209" t="n"/>
      <c r="BI33" s="209" t="n"/>
      <c r="BJ33" s="209" t="n"/>
      <c r="BK33" s="209" t="n"/>
      <c r="BL33" s="209" t="n"/>
      <c r="BM33" s="209" t="n"/>
      <c r="BN33" s="209" t="n"/>
      <c r="BO33" s="209" t="n"/>
      <c r="BP33" s="209" t="n"/>
      <c r="BQ33" s="209" t="n"/>
      <c r="BR33" s="209" t="n"/>
      <c r="BS33" s="209" t="n"/>
      <c r="BT33" s="209" t="n"/>
      <c r="BU33" s="209" t="n"/>
      <c r="BV33" s="209" t="n"/>
      <c r="BW33" s="209" t="n"/>
      <c r="BX33" s="209" t="n"/>
      <c r="BY33" s="209" t="n"/>
      <c r="BZ33" s="209" t="n"/>
      <c r="CA33" s="209" t="n"/>
      <c r="CB33" s="209" t="n"/>
      <c r="CC33" s="209" t="n"/>
      <c r="CD33" s="209" t="n"/>
      <c r="CE33" s="209" t="n"/>
      <c r="CF33" s="209" t="n"/>
      <c r="CG33" s="209" t="n"/>
      <c r="CH33" s="209" t="n"/>
      <c r="CI33" s="209" t="n"/>
      <c r="CJ33" s="209" t="n"/>
      <c r="CK33" s="209" t="n"/>
      <c r="CL33" s="209" t="n"/>
      <c r="CM33" s="209" t="n"/>
      <c r="CN33" s="209" t="n"/>
      <c r="CO33" s="209" t="n"/>
      <c r="CP33" s="209" t="n"/>
      <c r="CQ33" s="209" t="n"/>
      <c r="CR33" s="209" t="n"/>
      <c r="CS33" s="209" t="n"/>
      <c r="CT33" s="209" t="n"/>
      <c r="CU33" s="209" t="n"/>
      <c r="CV33" s="209" t="n"/>
      <c r="CW33" s="209" t="n"/>
      <c r="CX33" s="209" t="n"/>
      <c r="CY33" s="209" t="n"/>
      <c r="CZ33" s="209" t="n"/>
      <c r="DA33" s="209" t="n"/>
      <c r="DB33" s="209" t="n"/>
      <c r="DC33" s="209" t="n"/>
      <c r="DD33" s="209" t="n"/>
      <c r="DE33" s="209" t="n"/>
      <c r="DF33" s="209" t="n"/>
      <c r="DG33" s="209" t="n"/>
      <c r="DH33" s="209" t="n"/>
      <c r="DI33" s="209" t="n"/>
      <c r="DJ33" s="209" t="n"/>
      <c r="DK33" s="209" t="n"/>
      <c r="DL33" s="209" t="n"/>
      <c r="DM33" s="209" t="n"/>
      <c r="DN33" s="209" t="n"/>
      <c r="DO33" s="209" t="n"/>
      <c r="DP33" s="209" t="n"/>
      <c r="DQ33" s="209" t="n"/>
      <c r="DR33" s="209" t="n"/>
      <c r="DS33" s="209" t="n"/>
      <c r="DT33" s="209" t="n"/>
      <c r="DU33" s="209" t="n"/>
      <c r="DV33" s="209" t="n"/>
      <c r="DW33" s="209" t="n"/>
      <c r="DX33" s="209" t="n"/>
      <c r="DY33" s="209" t="n"/>
      <c r="DZ33" s="209" t="n"/>
      <c r="EA33" s="209" t="n"/>
      <c r="EB33" s="209" t="n"/>
      <c r="EC33" s="209" t="n"/>
      <c r="ED33" s="209" t="n"/>
      <c r="EE33" s="209" t="n"/>
      <c r="EF33" s="209" t="n"/>
      <c r="EG33" s="209" t="n"/>
      <c r="EH33" s="209" t="n"/>
      <c r="EI33" s="209" t="n"/>
      <c r="EJ33" s="209" t="n"/>
      <c r="EK33" s="209" t="n"/>
      <c r="EL33" s="209" t="n"/>
      <c r="EM33" s="209" t="n"/>
      <c r="EN33" s="209" t="n"/>
      <c r="EO33" s="209" t="n"/>
      <c r="EP33" s="209" t="n"/>
      <c r="EQ33" s="209" t="n"/>
      <c r="ER33" s="209" t="n"/>
      <c r="ES33" s="209" t="n"/>
      <c r="ET33" s="209" t="n"/>
      <c r="EU33" s="209" t="n"/>
      <c r="EV33" s="209" t="n"/>
      <c r="EW33" s="209" t="n"/>
      <c r="EX33" s="209" t="n"/>
      <c r="EY33" s="209" t="n"/>
      <c r="EZ33" s="209" t="n"/>
      <c r="FA33" s="209" t="n"/>
      <c r="FB33" s="209" t="n"/>
      <c r="FC33" s="209" t="n"/>
      <c r="FD33" s="209" t="n"/>
      <c r="FE33" s="209" t="n"/>
      <c r="FF33" s="209" t="n"/>
      <c r="FG33" s="209" t="n"/>
      <c r="FH33" s="209" t="n"/>
      <c r="FI33" s="209" t="n"/>
      <c r="FJ33" s="209" t="n"/>
      <c r="FK33" s="209" t="n"/>
      <c r="FL33" s="209" t="n"/>
      <c r="FM33" s="209" t="n"/>
      <c r="FN33" s="209" t="n"/>
      <c r="FO33" s="209" t="n"/>
      <c r="FP33" s="209" t="n"/>
      <c r="FQ33" s="209" t="n"/>
      <c r="FR33" s="209" t="n"/>
      <c r="FS33" s="209" t="n"/>
      <c r="FT33" s="209" t="n"/>
      <c r="FU33" s="209" t="n"/>
      <c r="FV33" s="209" t="n"/>
      <c r="FW33" s="209" t="n"/>
      <c r="FX33" s="209" t="n"/>
      <c r="FY33" s="209" t="n"/>
      <c r="FZ33" s="209" t="n"/>
      <c r="GA33" s="209" t="n"/>
      <c r="GB33" s="209" t="n"/>
      <c r="GC33" s="209" t="n"/>
      <c r="GD33" s="209" t="n"/>
      <c r="GE33" s="209" t="n"/>
      <c r="GF33" s="209" t="n"/>
      <c r="GG33" s="209" t="n"/>
      <c r="GH33" s="209" t="n"/>
      <c r="GI33" s="209" t="n"/>
      <c r="GJ33" s="209" t="n"/>
      <c r="GK33" s="209" t="n"/>
      <c r="GL33" s="209" t="n"/>
      <c r="GM33" s="209" t="n"/>
      <c r="GN33" s="209" t="n"/>
      <c r="GO33" s="209" t="n"/>
      <c r="GP33" s="209" t="n"/>
      <c r="GQ33" s="209" t="n"/>
      <c r="GR33" s="209" t="n"/>
      <c r="GS33" s="209" t="n"/>
      <c r="GT33" s="209" t="n"/>
      <c r="GU33" s="209" t="n"/>
      <c r="GV33" s="209" t="n"/>
      <c r="GW33" s="209" t="n"/>
      <c r="GX33" s="209" t="n"/>
      <c r="GY33" s="209" t="n"/>
      <c r="GZ33" s="209" t="n"/>
      <c r="HA33" s="209" t="n"/>
      <c r="HB33" s="209" t="n"/>
      <c r="HC33" s="209" t="n"/>
      <c r="HD33" s="209" t="n"/>
      <c r="HE33" s="209" t="n"/>
      <c r="HF33" s="209" t="n"/>
      <c r="HG33" s="209" t="n"/>
      <c r="HH33" s="209" t="n"/>
      <c r="HI33" s="209" t="n"/>
      <c r="HJ33" s="209" t="n"/>
      <c r="HK33" s="209" t="n"/>
      <c r="HL33" s="209" t="n"/>
      <c r="HM33" s="209" t="n"/>
      <c r="HN33" s="209" t="n"/>
      <c r="HO33" s="209" t="n"/>
      <c r="HP33" s="209" t="n"/>
      <c r="HQ33" s="209" t="n"/>
      <c r="HR33" s="209" t="n"/>
      <c r="HS33" s="209" t="n"/>
      <c r="HT33" s="209" t="n"/>
      <c r="HU33" s="209" t="n"/>
      <c r="HV33" s="209" t="n"/>
      <c r="HW33" s="209" t="n"/>
      <c r="HX33" s="209" t="n"/>
      <c r="HY33" s="209" t="n"/>
      <c r="HZ33" s="209" t="n"/>
      <c r="IA33" s="209" t="n"/>
      <c r="IB33" s="209" t="n"/>
      <c r="IC33" s="209" t="n"/>
      <c r="ID33" s="209" t="n"/>
      <c r="IE33" s="209" t="n"/>
      <c r="IF33" s="209" t="n"/>
      <c r="IG33" s="209" t="n"/>
      <c r="IH33" s="209" t="n"/>
      <c r="II33" s="209" t="n"/>
      <c r="IJ33" s="209" t="n"/>
      <c r="IK33" s="209" t="n"/>
      <c r="IL33" s="209" t="n"/>
      <c r="IM33" s="209" t="n"/>
      <c r="IN33" s="209" t="n"/>
      <c r="IO33" s="209" t="n"/>
      <c r="IP33" s="209" t="n"/>
      <c r="IQ33" s="209" t="n"/>
      <c r="IR33" s="209" t="n"/>
      <c r="IS33" s="209" t="n"/>
      <c r="IT33" s="209" t="n"/>
      <c r="IU33" s="209" t="n"/>
      <c r="IV33" s="209" t="n"/>
      <c r="IW33" s="209" t="n"/>
      <c r="IX33" s="209" t="n"/>
      <c r="IY33" s="209" t="n"/>
      <c r="IZ33" s="209" t="n"/>
      <c r="JA33" s="209" t="n"/>
      <c r="JB33" s="209" t="n"/>
      <c r="JC33" s="209" t="n"/>
      <c r="JD33" s="209" t="n"/>
      <c r="JE33" s="209" t="n"/>
      <c r="JF33" s="209" t="n"/>
      <c r="JG33" s="209" t="n"/>
      <c r="JH33" s="209" t="n"/>
      <c r="JI33" s="209" t="n"/>
      <c r="JJ33" s="209" t="n"/>
      <c r="JK33" s="209" t="n"/>
      <c r="JL33" s="209" t="n"/>
      <c r="JM33" s="209" t="n"/>
      <c r="JN33" s="209" t="n"/>
      <c r="JO33" s="209" t="n"/>
      <c r="JP33" s="209" t="n"/>
      <c r="JQ33" s="209" t="n"/>
      <c r="JR33" s="209" t="n"/>
      <c r="JS33" s="209" t="n"/>
      <c r="JT33" s="209" t="n"/>
      <c r="JU33" s="209" t="n"/>
      <c r="JV33" s="209" t="n"/>
      <c r="JW33" s="209" t="n"/>
      <c r="JX33" s="209" t="n"/>
      <c r="JY33" s="209" t="n"/>
      <c r="JZ33" s="209" t="n"/>
      <c r="KA33" s="209" t="n"/>
      <c r="KB33" s="209" t="n"/>
      <c r="KC33" s="209" t="n"/>
      <c r="KD33" s="20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2026-08-17T05:57:38Z</dcterms:modified>
  <cp:lastModifiedBy>Chiswa Dian Hermansyah(ZINUS ZDI)</cp:lastModifiedBy>
</cp:coreProperties>
</file>