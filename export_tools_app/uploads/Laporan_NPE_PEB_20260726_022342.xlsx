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0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7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000030ZIK48020260722000505</t>
        </is>
      </c>
      <c r="C12" s="106" t="n">
        <v>457069</v>
      </c>
      <c r="D12" s="106" t="n">
        <v>457014</v>
      </c>
      <c r="E12" s="258" t="n">
        <v>46226</v>
      </c>
      <c r="F12" s="107" t="inlineStr">
        <is>
          <t>ID2607-7887</t>
        </is>
      </c>
      <c r="G12" s="258" t="n">
        <v>46225</v>
      </c>
      <c r="H12" s="108" t="n">
        <v>1</v>
      </c>
      <c r="I12" s="67" t="inlineStr"/>
      <c r="J12" s="67" t="inlineStr"/>
      <c r="K12" s="69" t="inlineStr">
        <is>
          <t>8IN MYGEL FOAM MATTRESS TW</t>
        </is>
      </c>
      <c r="L12" s="109" t="inlineStr">
        <is>
          <t>ZU-MFGN1YZI-08T</t>
        </is>
      </c>
      <c r="M12" s="110" t="inlineStr">
        <is>
          <t>1CPXSUHR</t>
        </is>
      </c>
      <c r="N12" s="69" t="inlineStr"/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TANJUNG PRIOK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6</v>
      </c>
      <c r="I13" s="67" t="inlineStr"/>
      <c r="J13" s="67" t="inlineStr"/>
      <c r="K13" s="69" t="inlineStr">
        <is>
          <t>8IN GREEN TEA MF MATTRESS SQ</t>
        </is>
      </c>
      <c r="L13" s="109" t="inlineStr">
        <is>
          <t>ZU-MFMA1FZI-08S</t>
        </is>
      </c>
      <c r="M13" s="110" t="inlineStr">
        <is>
          <t>1CPXSUHR</t>
        </is>
      </c>
      <c r="N13" s="69" t="inlineStr"/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</v>
      </c>
      <c r="I14" s="67" t="inlineStr"/>
      <c r="J14" s="67" t="inlineStr"/>
      <c r="K14" s="69" t="inlineStr">
        <is>
          <t>10IN OPP HD FL</t>
        </is>
      </c>
      <c r="L14" s="109" t="inlineStr">
        <is>
          <t>ZU-MFMA1OZI-10F</t>
        </is>
      </c>
      <c r="M14" s="110" t="inlineStr">
        <is>
          <t>1CPXSUHR</t>
        </is>
      </c>
      <c r="N14" s="69" t="inlineStr"/>
      <c r="O14" s="111" t="n"/>
      <c r="P14" s="111" t="n"/>
      <c r="Q14" s="259">
        <f>IFERROR(R14/H14, 0)</f>
        <v/>
      </c>
      <c r="R14" s="260" t="n">
        <v>0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2</v>
      </c>
      <c r="I15" s="67" t="inlineStr"/>
      <c r="J15" s="67" t="inlineStr"/>
      <c r="K15" s="69" t="inlineStr">
        <is>
          <t>10IN AIRFLOW GEL FOAM MATT QN</t>
        </is>
      </c>
      <c r="L15" s="109" t="inlineStr">
        <is>
          <t>ZU-MFMA1RZI-10Q</t>
        </is>
      </c>
      <c r="M15" s="110" t="inlineStr">
        <is>
          <t>1CPXSUHR</t>
        </is>
      </c>
      <c r="N15" s="69" t="inlineStr"/>
      <c r="O15" s="111" t="n"/>
      <c r="P15" s="111" t="n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311</v>
      </c>
      <c r="I16" s="67" t="inlineStr"/>
      <c r="J16" s="67" t="inlineStr"/>
      <c r="K16" s="69" t="inlineStr">
        <is>
          <t>6IN GREEN TEA MF MATTRESS FL</t>
        </is>
      </c>
      <c r="L16" s="109" t="inlineStr">
        <is>
          <t>ZU-MFMA1ZZI-06F</t>
        </is>
      </c>
      <c r="M16" s="110" t="inlineStr">
        <is>
          <t>1CPXSUHR</t>
        </is>
      </c>
      <c r="N16" s="69" t="inlineStr"/>
      <c r="O16" s="111" t="n"/>
      <c r="P16" s="111" t="n"/>
      <c r="Q16" s="259">
        <f>IFERROR(R16/H16, 0)</f>
        <v/>
      </c>
      <c r="R16" s="260" t="n">
        <v>0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355</v>
      </c>
      <c r="I17" s="67" t="inlineStr"/>
      <c r="J17" s="67" t="inlineStr"/>
      <c r="K17" s="69" t="inlineStr">
        <is>
          <t>8IN GREEN TEA MF MATTRESS FL</t>
        </is>
      </c>
      <c r="L17" s="266" t="inlineStr">
        <is>
          <t>ZU-MFMA1ZZI-08F</t>
        </is>
      </c>
      <c r="M17" s="67" t="inlineStr">
        <is>
          <t>1CPXSUHR</t>
        </is>
      </c>
      <c r="N17" s="69" t="inlineStr"/>
      <c r="O17" s="111" t="n"/>
      <c r="P17" s="111" t="n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1</v>
      </c>
      <c r="I18" s="67" t="inlineStr"/>
      <c r="J18" s="67" t="inlineStr"/>
      <c r="K18" s="69" t="inlineStr">
        <is>
          <t>12IN GREEN TEA MF MATTRESS EK</t>
        </is>
      </c>
      <c r="L18" s="109" t="inlineStr">
        <is>
          <t>ZU-MFMA1ZZI-12K</t>
        </is>
      </c>
      <c r="M18" s="110" t="inlineStr">
        <is>
          <t>1CPXSUHR</t>
        </is>
      </c>
      <c r="N18" s="69" t="inlineStr"/>
      <c r="O18" s="111" t="n"/>
      <c r="P18" s="111" t="n"/>
      <c r="Q18" s="259">
        <f>IFERROR(R18/H18, 0)</f>
        <v/>
      </c>
      <c r="R18" s="260" t="n">
        <v>0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5</v>
      </c>
      <c r="I19" s="67" t="inlineStr"/>
      <c r="J19" s="67" t="inlineStr"/>
      <c r="K19" s="69" t="inlineStr">
        <is>
          <t>8IN GREEN TEA MF MATTRESS SQ</t>
        </is>
      </c>
      <c r="L19" s="109" t="inlineStr">
        <is>
          <t>ZU-MFMA1FZI-08S</t>
        </is>
      </c>
      <c r="M19" s="110" t="inlineStr">
        <is>
          <t>23OYBVEV</t>
        </is>
      </c>
      <c r="N19" s="69" t="inlineStr"/>
      <c r="O19" s="111" t="n"/>
      <c r="P19" s="111" t="n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197</v>
      </c>
      <c r="I20" s="67" t="inlineStr"/>
      <c r="J20" s="67" t="inlineStr"/>
      <c r="K20" s="69" t="inlineStr">
        <is>
          <t>8IN OPP HD FL</t>
        </is>
      </c>
      <c r="L20" s="109" t="inlineStr">
        <is>
          <t>ZU-MFMA1OZI-08F</t>
        </is>
      </c>
      <c r="M20" s="110" t="inlineStr">
        <is>
          <t>23OYBVEV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18</v>
      </c>
      <c r="I21" s="67" t="inlineStr"/>
      <c r="J21" s="67" t="inlineStr"/>
      <c r="K21" s="69" t="inlineStr">
        <is>
          <t>8IN OPP HD QN</t>
        </is>
      </c>
      <c r="L21" s="109" t="inlineStr">
        <is>
          <t>ZU-MFMA1OZI-08Q</t>
        </is>
      </c>
      <c r="M21" s="110" t="inlineStr">
        <is>
          <t>23OYBVEV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1</v>
      </c>
      <c r="I22" s="67" t="inlineStr"/>
      <c r="J22" s="67" t="inlineStr"/>
      <c r="K22" s="69" t="inlineStr">
        <is>
          <t>12IN OPP HD QN</t>
        </is>
      </c>
      <c r="L22" s="109" t="inlineStr">
        <is>
          <t>ZU-MFMA1OZI-12Q</t>
        </is>
      </c>
      <c r="M22" s="110" t="inlineStr">
        <is>
          <t>23OYBVEV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62">
      <c r="A23" s="104" t="n"/>
      <c r="B23" s="105" t="n"/>
      <c r="C23" s="263" t="n"/>
      <c r="D23" s="263" t="n"/>
      <c r="E23" s="264" t="n"/>
      <c r="F23" s="265" t="n"/>
      <c r="G23" s="264" t="n"/>
      <c r="H23" s="67" t="n">
        <v>2</v>
      </c>
      <c r="I23" s="67" t="inlineStr"/>
      <c r="J23" s="67" t="inlineStr"/>
      <c r="K23" s="69" t="inlineStr">
        <is>
          <t>10IN AIRFLOW GEL FOAM MATT EK</t>
        </is>
      </c>
      <c r="L23" s="266" t="inlineStr">
        <is>
          <t>ZU-MFMA1RZI-10K</t>
        </is>
      </c>
      <c r="M23" s="67" t="inlineStr">
        <is>
          <t>23OYBVEV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67" t="n"/>
      <c r="Z23" s="268" t="n"/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302</v>
      </c>
      <c r="I24" s="67" t="inlineStr"/>
      <c r="J24" s="67" t="inlineStr"/>
      <c r="K24" s="69" t="inlineStr">
        <is>
          <t>6IN MYGEL FOAM MATTRESS FL</t>
        </is>
      </c>
      <c r="L24" s="109" t="inlineStr">
        <is>
          <t>ZU-MFGN1YZI-06F</t>
        </is>
      </c>
      <c r="M24" s="67" t="inlineStr">
        <is>
          <t>299957YO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69" t="n"/>
      <c r="D25" s="270" t="n"/>
      <c r="E25" s="271" t="n"/>
      <c r="F25" s="272" t="n"/>
      <c r="G25" s="271" t="n"/>
      <c r="H25" s="76" t="n">
        <v>450</v>
      </c>
      <c r="I25" s="76" t="inlineStr"/>
      <c r="J25" s="76" t="inlineStr"/>
      <c r="K25" s="273" t="inlineStr">
        <is>
          <t>8IN OPP HD FL</t>
        </is>
      </c>
      <c r="L25" s="274" t="inlineStr">
        <is>
          <t>ZU-MFMA1OZI-08F</t>
        </is>
      </c>
      <c r="M25" s="76" t="inlineStr">
        <is>
          <t>299957YO</t>
        </is>
      </c>
      <c r="N25" s="273" t="inlineStr"/>
      <c r="O25" s="275" t="n"/>
      <c r="P25" s="275" t="n"/>
      <c r="Q25" s="276">
        <f>IFERROR(R25/H25, 0)</f>
        <v/>
      </c>
      <c r="R25" s="277" t="n">
        <v>0</v>
      </c>
      <c r="S25" s="278" t="n">
        <v>18056</v>
      </c>
      <c r="T25" s="278">
        <f>IFERROR(S25*R25, 0)</f>
        <v/>
      </c>
      <c r="U25" s="279" t="n"/>
      <c r="V25" s="77" t="n"/>
      <c r="W25" s="280" t="n"/>
      <c r="X25" s="281" t="n"/>
      <c r="Y25" s="282" t="n"/>
      <c r="Z25" s="283" t="n"/>
    </row>
    <row r="26" ht="16.5" customFormat="1" customHeight="1" s="231" thickBot="1">
      <c r="A26" s="284" t="n"/>
      <c r="B26" s="285" t="n"/>
      <c r="C26" s="286" t="n"/>
      <c r="D26" s="286" t="n"/>
      <c r="E26" s="287" t="n"/>
      <c r="F26" s="288" t="n"/>
      <c r="G26" s="287" t="n"/>
      <c r="H26" s="289" t="n">
        <v>1</v>
      </c>
      <c r="I26" s="289" t="inlineStr"/>
      <c r="J26" s="289" t="inlineStr"/>
      <c r="K26" s="290" t="inlineStr">
        <is>
          <t>8IN GREEN TEA MF MATTRESS SQ</t>
        </is>
      </c>
      <c r="L26" s="291" t="inlineStr">
        <is>
          <t>ZU-MFMA1ZZI-08S</t>
        </is>
      </c>
      <c r="M26" s="289" t="inlineStr">
        <is>
          <t>299957YO</t>
        </is>
      </c>
      <c r="N26" s="290" t="inlineStr"/>
      <c r="O26" s="292" t="n"/>
      <c r="P26" s="292" t="n"/>
      <c r="Q26" s="293">
        <f>IFERROR(R26/H26, 0)</f>
        <v/>
      </c>
      <c r="R26" s="294" t="n">
        <v>0</v>
      </c>
      <c r="S26" s="295" t="n">
        <v>18056</v>
      </c>
      <c r="T26" s="295">
        <f>IFERROR(S26*R26, 0)</f>
        <v/>
      </c>
      <c r="U26" s="296" t="n"/>
      <c r="V26" s="297" t="n"/>
      <c r="W26" s="298" t="n"/>
      <c r="X26" s="289" t="n"/>
      <c r="Y26" s="297" t="n"/>
      <c r="Z26" s="287" t="n"/>
    </row>
    <row r="27" ht="16.5" customHeight="1" s="215">
      <c r="A27" s="284" t="n"/>
      <c r="B27" s="285" t="n"/>
      <c r="C27" s="286" t="n"/>
      <c r="D27" s="286" t="n"/>
      <c r="E27" s="287" t="n"/>
      <c r="F27" s="288" t="n"/>
      <c r="G27" s="287" t="n"/>
      <c r="H27" s="289" t="n">
        <v>6</v>
      </c>
      <c r="I27" s="289" t="inlineStr"/>
      <c r="J27" s="289" t="inlineStr"/>
      <c r="K27" s="290" t="inlineStr">
        <is>
          <t>10IN GREEN TEA MF MATTRESS EK</t>
        </is>
      </c>
      <c r="L27" s="291" t="inlineStr">
        <is>
          <t>ZU-MFMA1ZZI-10K</t>
        </is>
      </c>
      <c r="M27" s="289" t="inlineStr">
        <is>
          <t>299957YO</t>
        </is>
      </c>
      <c r="N27" s="290" t="inlineStr"/>
      <c r="O27" s="292" t="n"/>
      <c r="P27" s="292" t="n"/>
      <c r="Q27" s="293">
        <f>IFERROR(R27/H27, 0)</f>
        <v/>
      </c>
      <c r="R27" s="294" t="n">
        <v>0</v>
      </c>
      <c r="S27" s="295" t="n">
        <v>18056</v>
      </c>
      <c r="T27" s="295">
        <f>IFERROR(S27*R27, 0)</f>
        <v/>
      </c>
      <c r="U27" s="296" t="n"/>
      <c r="V27" s="297" t="n"/>
      <c r="W27" s="298" t="n"/>
      <c r="X27" s="289" t="n"/>
      <c r="Y27" s="297" t="n"/>
      <c r="Z27" s="287" t="n"/>
    </row>
    <row r="28" ht="16.5" customHeight="1" s="215">
      <c r="A28" s="284" t="n"/>
      <c r="B28" s="285" t="n"/>
      <c r="C28" s="286" t="n"/>
      <c r="D28" s="286" t="n"/>
      <c r="E28" s="287" t="n"/>
      <c r="F28" s="288" t="n"/>
      <c r="G28" s="287" t="n"/>
      <c r="H28" s="289" t="n">
        <v>149</v>
      </c>
      <c r="I28" s="289" t="inlineStr"/>
      <c r="J28" s="289" t="inlineStr"/>
      <c r="K28" s="290" t="inlineStr">
        <is>
          <t>8IN MYGEL FOAM MATTRESS TW</t>
        </is>
      </c>
      <c r="L28" s="291" t="inlineStr">
        <is>
          <t>ZU-MFGN1YZI-08T</t>
        </is>
      </c>
      <c r="M28" s="289" t="inlineStr">
        <is>
          <t>2OD43VAH</t>
        </is>
      </c>
      <c r="N28" s="290" t="inlineStr"/>
      <c r="O28" s="292" t="n"/>
      <c r="P28" s="292" t="n"/>
      <c r="Q28" s="293">
        <f>IFERROR(R28/H28, 0)</f>
        <v/>
      </c>
      <c r="R28" s="294" t="n">
        <v>0</v>
      </c>
      <c r="S28" s="295" t="n">
        <v>18056</v>
      </c>
      <c r="T28" s="295">
        <f>IFERROR(S28*R28, 0)</f>
        <v/>
      </c>
      <c r="U28" s="296" t="n"/>
      <c r="V28" s="297" t="n"/>
      <c r="W28" s="298" t="n"/>
      <c r="X28" s="289" t="n"/>
      <c r="Y28" s="297" t="n"/>
      <c r="Z28" s="287" t="n"/>
    </row>
    <row r="29" ht="16.5" customHeight="1" s="215">
      <c r="A29" s="284" t="n"/>
      <c r="B29" s="285" t="n"/>
      <c r="C29" s="286" t="n"/>
      <c r="D29" s="286" t="n"/>
      <c r="E29" s="287" t="n"/>
      <c r="F29" s="288" t="n"/>
      <c r="G29" s="287" t="n"/>
      <c r="H29" s="289" t="n">
        <v>2</v>
      </c>
      <c r="I29" s="289" t="inlineStr"/>
      <c r="J29" s="289" t="inlineStr"/>
      <c r="K29" s="290" t="inlineStr">
        <is>
          <t>10IN OPP HD FL</t>
        </is>
      </c>
      <c r="L29" s="291" t="inlineStr">
        <is>
          <t>ZU-MFMA1OZI-10F</t>
        </is>
      </c>
      <c r="M29" s="289" t="inlineStr">
        <is>
          <t>2OD43VAH</t>
        </is>
      </c>
      <c r="N29" s="290" t="inlineStr"/>
      <c r="O29" s="292" t="n"/>
      <c r="P29" s="292" t="n"/>
      <c r="Q29" s="293">
        <f>IFERROR(R29/H29, 0)</f>
        <v/>
      </c>
      <c r="R29" s="294" t="n">
        <v>0</v>
      </c>
      <c r="S29" s="295" t="n">
        <v>18056</v>
      </c>
      <c r="T29" s="295">
        <f>IFERROR(S29*R29, 0)</f>
        <v/>
      </c>
      <c r="U29" s="296" t="n"/>
      <c r="V29" s="297" t="n"/>
      <c r="W29" s="298" t="n"/>
      <c r="X29" s="289" t="n"/>
      <c r="Y29" s="297" t="n"/>
      <c r="Z29" s="287" t="n"/>
    </row>
    <row r="30" ht="16.5" customHeight="1" s="215" thickBot="1">
      <c r="A30" s="284" t="n"/>
      <c r="B30" s="285" t="n"/>
      <c r="C30" s="286" t="n"/>
      <c r="D30" s="286" t="n"/>
      <c r="E30" s="287" t="n"/>
      <c r="F30" s="288" t="n"/>
      <c r="G30" s="287" t="n"/>
      <c r="H30" s="289" t="n">
        <v>400</v>
      </c>
      <c r="I30" s="289" t="inlineStr"/>
      <c r="J30" s="289" t="inlineStr"/>
      <c r="K30" s="290" t="inlineStr">
        <is>
          <t>12IN OPP HD QN</t>
        </is>
      </c>
      <c r="L30" s="291" t="inlineStr">
        <is>
          <t>ZU-MFMA1OZI-12Q</t>
        </is>
      </c>
      <c r="M30" s="289" t="inlineStr">
        <is>
          <t>2OD43VAH</t>
        </is>
      </c>
      <c r="N30" s="290" t="inlineStr"/>
      <c r="O30" s="292" t="n"/>
      <c r="P30" s="292" t="n"/>
      <c r="Q30" s="293">
        <f>IFERROR(R30/H30, 0)</f>
        <v/>
      </c>
      <c r="R30" s="294" t="n">
        <v>0</v>
      </c>
      <c r="S30" s="295" t="n">
        <v>18056</v>
      </c>
      <c r="T30" s="295">
        <f>IFERROR(S30*R30, 0)</f>
        <v/>
      </c>
      <c r="U30" s="296" t="n"/>
      <c r="V30" s="297" t="n"/>
      <c r="W30" s="298" t="n"/>
      <c r="X30" s="289" t="n"/>
      <c r="Y30" s="297" t="n"/>
      <c r="Z30" s="287" t="n"/>
    </row>
    <row r="31" ht="16.5" customHeight="1" s="215" thickTop="1">
      <c r="A31" s="284" t="n"/>
      <c r="B31" s="285" t="n"/>
      <c r="C31" s="286" t="n"/>
      <c r="D31" s="286" t="n"/>
      <c r="E31" s="287" t="n"/>
      <c r="F31" s="288" t="n"/>
      <c r="G31" s="287" t="n"/>
      <c r="H31" s="289" t="n">
        <v>1</v>
      </c>
      <c r="I31" s="289" t="inlineStr"/>
      <c r="J31" s="289" t="inlineStr"/>
      <c r="K31" s="290" t="inlineStr">
        <is>
          <t>10IN AIRFLOW GEL FOAM MATT QN</t>
        </is>
      </c>
      <c r="L31" s="291" t="inlineStr">
        <is>
          <t>ZU-MFMA1RZI-10Q</t>
        </is>
      </c>
      <c r="M31" s="289" t="inlineStr">
        <is>
          <t>2OD43VAH</t>
        </is>
      </c>
      <c r="N31" s="290" t="inlineStr"/>
      <c r="O31" s="292" t="n"/>
      <c r="P31" s="292" t="n"/>
      <c r="Q31" s="293">
        <f>IFERROR(R31/H31, 0)</f>
        <v/>
      </c>
      <c r="R31" s="294" t="n">
        <v>0</v>
      </c>
      <c r="S31" s="295" t="n">
        <v>18056</v>
      </c>
      <c r="T31" s="295">
        <f>IFERROR(S31*R31, 0)</f>
        <v/>
      </c>
      <c r="U31" s="296" t="n"/>
      <c r="V31" s="297" t="n"/>
      <c r="W31" s="298" t="n"/>
      <c r="X31" s="289" t="n"/>
      <c r="Y31" s="297" t="n"/>
      <c r="Z31" s="287" t="n"/>
    </row>
    <row r="32" ht="16.5" customHeight="1" s="215">
      <c r="A32" s="284" t="n"/>
      <c r="B32" s="285" t="n"/>
      <c r="C32" s="286" t="n"/>
      <c r="D32" s="286" t="n"/>
      <c r="E32" s="287" t="n"/>
      <c r="F32" s="288" t="n"/>
      <c r="G32" s="287" t="n"/>
      <c r="H32" s="289" t="n">
        <v>1</v>
      </c>
      <c r="I32" s="289" t="inlineStr"/>
      <c r="J32" s="289" t="inlineStr"/>
      <c r="K32" s="290" t="inlineStr">
        <is>
          <t>12IN AIRFLOW GEL FOAM MATT QN</t>
        </is>
      </c>
      <c r="L32" s="291" t="inlineStr">
        <is>
          <t>ZU-MFMA1RZI-12Q</t>
        </is>
      </c>
      <c r="M32" s="289" t="inlineStr">
        <is>
          <t>2OD43VAH</t>
        </is>
      </c>
      <c r="N32" s="290" t="inlineStr"/>
      <c r="O32" s="292" t="n"/>
      <c r="P32" s="292" t="n"/>
      <c r="Q32" s="293">
        <f>IFERROR(R32/H32, 0)</f>
        <v/>
      </c>
      <c r="R32" s="294" t="n">
        <v>0</v>
      </c>
      <c r="S32" s="295" t="n">
        <v>18056</v>
      </c>
      <c r="T32" s="295">
        <f>IFERROR(S32*R32, 0)</f>
        <v/>
      </c>
      <c r="U32" s="296" t="n"/>
      <c r="V32" s="297" t="n"/>
      <c r="W32" s="298" t="n"/>
      <c r="X32" s="289" t="n"/>
      <c r="Y32" s="297" t="n"/>
      <c r="Z32" s="287" t="n"/>
    </row>
    <row r="33" ht="16.5" customHeight="1" s="215">
      <c r="A33" s="284" t="n"/>
      <c r="B33" s="285" t="n"/>
      <c r="C33" s="286" t="n"/>
      <c r="D33" s="286" t="n"/>
      <c r="E33" s="287" t="n"/>
      <c r="F33" s="288" t="n"/>
      <c r="G33" s="287" t="n"/>
      <c r="H33" s="289" t="n">
        <v>1</v>
      </c>
      <c r="I33" s="289" t="inlineStr"/>
      <c r="J33" s="289" t="inlineStr"/>
      <c r="K33" s="290" t="inlineStr">
        <is>
          <t>8IN GREEN TEA MF MATTRESS SQ</t>
        </is>
      </c>
      <c r="L33" s="291" t="inlineStr">
        <is>
          <t>ZU-MFMA1ZZI-08S</t>
        </is>
      </c>
      <c r="M33" s="289" t="inlineStr">
        <is>
          <t>2OD43VAH</t>
        </is>
      </c>
      <c r="N33" s="290" t="inlineStr"/>
      <c r="O33" s="292" t="n"/>
      <c r="P33" s="292" t="n"/>
      <c r="Q33" s="293">
        <f>IFERROR(R33/H33, 0)</f>
        <v/>
      </c>
      <c r="R33" s="294" t="n">
        <v>0</v>
      </c>
      <c r="S33" s="295" t="n">
        <v>18056</v>
      </c>
      <c r="T33" s="295">
        <f>IFERROR(S33*R33, 0)</f>
        <v/>
      </c>
      <c r="U33" s="296" t="n"/>
      <c r="V33" s="297" t="n"/>
      <c r="W33" s="298" t="n"/>
      <c r="X33" s="289" t="n"/>
      <c r="Y33" s="297" t="n"/>
      <c r="Z33" s="287" t="n"/>
    </row>
    <row r="34" ht="16.5" customHeight="1" s="215">
      <c r="A34" s="284" t="n"/>
      <c r="B34" s="285" t="n"/>
      <c r="C34" s="286" t="n"/>
      <c r="D34" s="286" t="n"/>
      <c r="E34" s="287" t="n"/>
      <c r="F34" s="288" t="n"/>
      <c r="G34" s="287" t="n"/>
      <c r="H34" s="289" t="n">
        <v>368</v>
      </c>
      <c r="I34" s="289" t="inlineStr"/>
      <c r="J34" s="289" t="inlineStr"/>
      <c r="K34" s="290" t="inlineStr">
        <is>
          <t>8IN OPP HD FL</t>
        </is>
      </c>
      <c r="L34" s="291" t="inlineStr">
        <is>
          <t>ZU-MFMA1OZI-08F</t>
        </is>
      </c>
      <c r="M34" s="289" t="inlineStr">
        <is>
          <t>2XLW4FKE</t>
        </is>
      </c>
      <c r="N34" s="290" t="inlineStr"/>
      <c r="O34" s="292" t="n"/>
      <c r="P34" s="292" t="n"/>
      <c r="Q34" s="293">
        <f>IFERROR(R34/H34, 0)</f>
        <v/>
      </c>
      <c r="R34" s="294" t="n">
        <v>0</v>
      </c>
      <c r="S34" s="295" t="n">
        <v>18056</v>
      </c>
      <c r="T34" s="295">
        <f>IFERROR(S34*R34, 0)</f>
        <v/>
      </c>
      <c r="U34" s="296" t="n"/>
      <c r="V34" s="297" t="n"/>
      <c r="W34" s="298" t="n"/>
      <c r="X34" s="289" t="n"/>
      <c r="Y34" s="297" t="n"/>
      <c r="Z34" s="287" t="n"/>
    </row>
    <row r="35" ht="16.5" customHeight="1" s="215">
      <c r="A35" s="284" t="n"/>
      <c r="B35" s="285" t="n"/>
      <c r="C35" s="286" t="n"/>
      <c r="D35" s="286" t="n"/>
      <c r="E35" s="287" t="n"/>
      <c r="F35" s="288" t="n"/>
      <c r="G35" s="287" t="n"/>
      <c r="H35" s="289" t="n">
        <v>198</v>
      </c>
      <c r="I35" s="289" t="inlineStr"/>
      <c r="J35" s="289" t="inlineStr"/>
      <c r="K35" s="290" t="inlineStr">
        <is>
          <t>12IN OPP HD QN</t>
        </is>
      </c>
      <c r="L35" s="291" t="inlineStr">
        <is>
          <t>ZU-MFMA1OZI-12Q</t>
        </is>
      </c>
      <c r="M35" s="289" t="inlineStr">
        <is>
          <t>2XLW4FKE</t>
        </is>
      </c>
      <c r="N35" s="290" t="inlineStr"/>
      <c r="O35" s="292" t="n"/>
      <c r="P35" s="292" t="n"/>
      <c r="Q35" s="293">
        <f>IFERROR(R35/H35, 0)</f>
        <v/>
      </c>
      <c r="R35" s="294" t="n">
        <v>0</v>
      </c>
      <c r="S35" s="295" t="n">
        <v>18056</v>
      </c>
      <c r="T35" s="295">
        <f>IFERROR(S35*R35, 0)</f>
        <v/>
      </c>
      <c r="U35" s="296" t="n"/>
      <c r="V35" s="297" t="n"/>
      <c r="W35" s="298" t="n"/>
      <c r="X35" s="289" t="n"/>
      <c r="Y35" s="297" t="n"/>
      <c r="Z35" s="287" t="n"/>
    </row>
    <row r="36" ht="16.5" customHeight="1" s="215">
      <c r="A36" s="284" t="n"/>
      <c r="B36" s="285" t="n"/>
      <c r="C36" s="286" t="n"/>
      <c r="D36" s="286" t="n"/>
      <c r="E36" s="287" t="n"/>
      <c r="F36" s="288" t="n"/>
      <c r="G36" s="287" t="n"/>
      <c r="H36" s="289" t="n">
        <v>56</v>
      </c>
      <c r="I36" s="289" t="inlineStr"/>
      <c r="J36" s="289" t="inlineStr"/>
      <c r="K36" s="290" t="inlineStr">
        <is>
          <t>12IN GREEN TEA MF MATTRESS TX</t>
        </is>
      </c>
      <c r="L36" s="291" t="inlineStr">
        <is>
          <t>ZU-MFMA1ZZI-12X</t>
        </is>
      </c>
      <c r="M36" s="289" t="inlineStr">
        <is>
          <t>2XLW4FKE</t>
        </is>
      </c>
      <c r="N36" s="290" t="inlineStr"/>
      <c r="O36" s="292" t="n"/>
      <c r="P36" s="292" t="n"/>
      <c r="Q36" s="293">
        <f>IFERROR(R36/H36, 0)</f>
        <v/>
      </c>
      <c r="R36" s="294" t="n">
        <v>0</v>
      </c>
      <c r="S36" s="295" t="n">
        <v>18056</v>
      </c>
      <c r="T36" s="295">
        <f>IFERROR(S36*R36, 0)</f>
        <v/>
      </c>
      <c r="U36" s="296" t="n"/>
      <c r="V36" s="297" t="n"/>
      <c r="W36" s="298" t="n"/>
      <c r="X36" s="289" t="n"/>
      <c r="Y36" s="297" t="n"/>
      <c r="Z36" s="287" t="n"/>
    </row>
    <row r="37" ht="16.5" customHeight="1" s="215">
      <c r="A37" s="284" t="n"/>
      <c r="B37" s="285" t="n"/>
      <c r="C37" s="286" t="n"/>
      <c r="D37" s="286" t="n"/>
      <c r="E37" s="287" t="n"/>
      <c r="F37" s="288" t="n"/>
      <c r="G37" s="287" t="n"/>
      <c r="H37" s="289" t="n">
        <v>1</v>
      </c>
      <c r="I37" s="289" t="inlineStr"/>
      <c r="J37" s="289" t="inlineStr"/>
      <c r="K37" s="290" t="inlineStr">
        <is>
          <t>5IN OPP HD TW</t>
        </is>
      </c>
      <c r="L37" s="291" t="inlineStr">
        <is>
          <t>ZU-MFMA1OZI-05T</t>
        </is>
      </c>
      <c r="M37" s="289" t="inlineStr">
        <is>
          <t>4JWS37TM</t>
        </is>
      </c>
      <c r="N37" s="290" t="inlineStr"/>
      <c r="O37" s="292" t="n"/>
      <c r="P37" s="292" t="n"/>
      <c r="Q37" s="293">
        <f>IFERROR(R37/H37, 0)</f>
        <v/>
      </c>
      <c r="R37" s="294" t="n">
        <v>0</v>
      </c>
      <c r="S37" s="295" t="n">
        <v>18056</v>
      </c>
      <c r="T37" s="295">
        <f>IFERROR(S37*R37, 0)</f>
        <v/>
      </c>
      <c r="U37" s="296" t="n"/>
      <c r="V37" s="297" t="n"/>
      <c r="W37" s="298" t="n"/>
      <c r="X37" s="289" t="n"/>
      <c r="Y37" s="297" t="n"/>
      <c r="Z37" s="287" t="n"/>
    </row>
    <row r="38" ht="16.5" customHeight="1" s="215">
      <c r="A38" s="284" t="n"/>
      <c r="B38" s="285" t="n"/>
      <c r="C38" s="286" t="n"/>
      <c r="D38" s="286" t="n"/>
      <c r="E38" s="287" t="n"/>
      <c r="F38" s="288" t="n"/>
      <c r="G38" s="287" t="n"/>
      <c r="H38" s="289" t="n">
        <v>1138</v>
      </c>
      <c r="I38" s="289" t="inlineStr"/>
      <c r="J38" s="289" t="inlineStr"/>
      <c r="K38" s="290" t="inlineStr">
        <is>
          <t>5IN GREEN TEA MF MATTRESS TW</t>
        </is>
      </c>
      <c r="L38" s="291" t="inlineStr">
        <is>
          <t>ZU-MFMA1ZZI-05T</t>
        </is>
      </c>
      <c r="M38" s="289" t="inlineStr">
        <is>
          <t>4JWS37TM</t>
        </is>
      </c>
      <c r="N38" s="290" t="inlineStr"/>
      <c r="O38" s="292" t="n"/>
      <c r="P38" s="292" t="n"/>
      <c r="Q38" s="293">
        <f>IFERROR(R38/H38, 0)</f>
        <v/>
      </c>
      <c r="R38" s="294" t="n">
        <v>0</v>
      </c>
      <c r="S38" s="295" t="n">
        <v>18056</v>
      </c>
      <c r="T38" s="295">
        <f>IFERROR(S38*R38, 0)</f>
        <v/>
      </c>
      <c r="U38" s="296" t="n"/>
      <c r="V38" s="297" t="n"/>
      <c r="W38" s="298" t="n"/>
      <c r="X38" s="289" t="n"/>
      <c r="Y38" s="297" t="n"/>
      <c r="Z38" s="287" t="n"/>
    </row>
    <row r="39" ht="17.1" customHeight="1" s="215" thickBot="1">
      <c r="A39" s="299" t="n"/>
      <c r="B39" s="300" t="n"/>
      <c r="C39" s="301" t="n"/>
      <c r="D39" s="301" t="n"/>
      <c r="E39" s="302" t="n"/>
      <c r="F39" s="302" t="n"/>
      <c r="G39" s="302" t="n"/>
      <c r="H39" s="303">
        <f>SUM(H12:H38)</f>
        <v/>
      </c>
      <c r="I39" s="304">
        <f>COUNTA(I12:I38)</f>
        <v/>
      </c>
      <c r="J39" s="303" t="n"/>
      <c r="K39" s="303" t="n"/>
      <c r="L39" s="305" t="n"/>
      <c r="M39" s="303" t="n"/>
      <c r="N39" s="303" t="n"/>
      <c r="O39" s="306">
        <f>SUM(O12:O38)</f>
        <v/>
      </c>
      <c r="P39" s="306">
        <f>SUM(P12:P38)</f>
        <v/>
      </c>
      <c r="Q39" s="307" t="n"/>
      <c r="R39" s="308">
        <f>SUM(R12:R38)</f>
        <v/>
      </c>
      <c r="S39" s="309" t="n"/>
      <c r="T39" s="309">
        <f>SUM(T12:T38)</f>
        <v/>
      </c>
      <c r="U39" s="303" t="n"/>
      <c r="V39" s="310" t="n"/>
      <c r="W39" s="311" t="n"/>
      <c r="X39" s="310" t="n"/>
      <c r="Y39" s="310" t="n"/>
      <c r="Z39" s="310" t="n"/>
    </row>
    <row r="40" ht="20.1" customFormat="1" customHeight="1" s="17" thickTop="1">
      <c r="A40" s="128">
        <f>COUNT(A12:A39)</f>
        <v/>
      </c>
      <c r="B40" s="129" t="n"/>
      <c r="C40" s="312" t="n"/>
      <c r="D40" s="313" t="n"/>
      <c r="E40" s="313" t="n"/>
      <c r="F40" s="313" t="n"/>
      <c r="G40" s="313" t="n"/>
      <c r="H40" s="132">
        <f>H39</f>
        <v/>
      </c>
      <c r="I40" s="132">
        <f>I39</f>
        <v/>
      </c>
      <c r="J40" s="133" t="n"/>
      <c r="K40" s="314" t="n"/>
      <c r="L40" s="315" t="n"/>
      <c r="M40" s="316" t="n"/>
      <c r="N40" s="317" t="n"/>
      <c r="O40" s="138">
        <f>O39</f>
        <v/>
      </c>
      <c r="P40" s="138">
        <f>P39</f>
        <v/>
      </c>
      <c r="Q40" s="318" t="n"/>
      <c r="R40" s="319">
        <f>R39</f>
        <v/>
      </c>
      <c r="S40" s="320" t="n"/>
      <c r="T40" s="321">
        <f>T39</f>
        <v/>
      </c>
      <c r="U40" s="143" t="n"/>
      <c r="V40" s="143" t="n"/>
      <c r="W40" s="143" t="n"/>
      <c r="X40" s="143" t="n"/>
      <c r="Y40" s="144" t="n"/>
      <c r="Z40" s="144" t="n"/>
    </row>
    <row r="41">
      <c r="A41" s="145" t="n"/>
      <c r="B41" s="146" t="n"/>
      <c r="C41" s="147" t="n"/>
      <c r="E41" s="148" t="n"/>
      <c r="F41" s="149" t="n"/>
      <c r="G41" s="149" t="n"/>
      <c r="H41" s="322" t="n"/>
      <c r="I41" s="322" t="n"/>
      <c r="J41" s="323" t="n"/>
      <c r="K41" s="222" t="n"/>
      <c r="L41" s="222" t="n"/>
      <c r="M41" s="222" t="n"/>
      <c r="N41" s="324" t="n"/>
      <c r="Q41" s="325" t="n"/>
      <c r="U41" s="154" t="n"/>
      <c r="V41" s="154" t="n"/>
      <c r="W41" s="154" t="n"/>
      <c r="X41" s="154" t="n"/>
      <c r="Y41" s="154" t="n"/>
      <c r="Z41" s="154" t="n"/>
    </row>
    <row r="42">
      <c r="A42" s="145" t="n"/>
      <c r="B42" s="155" t="inlineStr">
        <is>
          <t>Total Qty Export :</t>
        </is>
      </c>
      <c r="C42" s="156">
        <f>H40</f>
        <v/>
      </c>
      <c r="E42" s="148" t="n"/>
      <c r="F42" s="149" t="n"/>
      <c r="G42" s="149" t="n"/>
      <c r="H42" s="323" t="n"/>
      <c r="I42" s="323" t="n"/>
      <c r="J42" s="323" t="n"/>
      <c r="K42" s="222" t="n"/>
      <c r="L42" s="222" t="n"/>
      <c r="M42" s="222" t="n"/>
      <c r="N42" s="324" t="n"/>
      <c r="Q42" s="325" t="n"/>
      <c r="U42" s="154" t="n"/>
      <c r="V42" s="154" t="n"/>
      <c r="W42" s="154" t="n"/>
      <c r="X42" s="154" t="n"/>
      <c r="Y42" s="154" t="n"/>
      <c r="Z42" s="154" t="n"/>
    </row>
    <row r="43">
      <c r="A43" s="145" t="n"/>
      <c r="B43" s="157" t="inlineStr">
        <is>
          <t>Total Qty Export Sample :</t>
        </is>
      </c>
      <c r="C43" s="158" t="n"/>
      <c r="E43" s="148" t="n"/>
      <c r="F43" s="149" t="n"/>
      <c r="G43" s="149" t="n"/>
      <c r="H43" s="326" t="n"/>
      <c r="I43" s="326" t="n"/>
      <c r="J43" s="323" t="n"/>
      <c r="T43" s="327" t="n"/>
      <c r="V43" s="154" t="n"/>
      <c r="W43" s="154" t="n"/>
      <c r="X43" s="154" t="n"/>
      <c r="Y43" s="154" t="n"/>
      <c r="Z43" s="154" t="n"/>
    </row>
    <row r="44">
      <c r="A44" s="145" t="n"/>
      <c r="B44" s="161" t="n"/>
      <c r="C44" s="147" t="n"/>
      <c r="D44" s="147" t="n"/>
      <c r="E44" s="148" t="n"/>
      <c r="F44" s="149" t="n"/>
      <c r="G44" s="149" t="n"/>
      <c r="H44" s="323" t="n"/>
      <c r="I44" s="323" t="n"/>
      <c r="J44" s="323" t="n"/>
      <c r="K44" s="222" t="n"/>
      <c r="L44" s="222" t="n"/>
      <c r="M44" s="222" t="n"/>
      <c r="R44" s="328" t="n"/>
      <c r="S44" s="327" t="n"/>
      <c r="U44" s="163" t="n"/>
    </row>
    <row r="45">
      <c r="A45" s="164" t="n"/>
      <c r="B45" s="165" t="n"/>
      <c r="C45" s="166" t="n"/>
      <c r="D45" s="167" t="n"/>
      <c r="E45" s="168" t="n"/>
      <c r="F45" s="169" t="n"/>
      <c r="G45" s="169" t="n"/>
      <c r="H45" s="170" t="n"/>
      <c r="I45" s="170" t="n"/>
      <c r="K45" s="222" t="n"/>
      <c r="L45" s="222" t="n"/>
      <c r="M45" s="222" t="n"/>
      <c r="N45" s="324" t="n"/>
      <c r="P45" s="329" t="n"/>
      <c r="Q45" s="330" t="n"/>
      <c r="R45" s="328" t="n"/>
      <c r="S45" s="327" t="n"/>
      <c r="T45" s="327" t="n"/>
      <c r="U45" s="173" t="inlineStr">
        <is>
          <t>Tangerang, 26 July 2026</t>
        </is>
      </c>
    </row>
    <row r="46">
      <c r="A46" s="174" t="inlineStr">
        <is>
          <t>Total Document</t>
        </is>
      </c>
      <c r="B46" s="175" t="n"/>
      <c r="C46" s="331">
        <f>A40</f>
        <v/>
      </c>
      <c r="D46" s="332" t="n"/>
      <c r="G46" s="169" t="n"/>
      <c r="H46" s="178" t="n"/>
      <c r="I46" s="178" t="n"/>
      <c r="K46" s="222" t="n"/>
      <c r="L46" s="222" t="n"/>
      <c r="M46" s="222" t="n"/>
      <c r="N46" s="324" t="n"/>
      <c r="P46" s="329" t="n"/>
      <c r="Q46" s="330" t="n"/>
      <c r="R46" s="328" t="n"/>
      <c r="S46" s="327" t="n"/>
      <c r="T46" s="327" t="n"/>
      <c r="U46" s="173">
        <f>+[1]REKAP!X34</f>
        <v/>
      </c>
    </row>
    <row r="47">
      <c r="A47" s="174" t="inlineStr">
        <is>
          <t>Gross Weight</t>
        </is>
      </c>
      <c r="B47" s="179" t="n"/>
      <c r="C47" s="333">
        <f>O40</f>
        <v/>
      </c>
      <c r="D47" s="332" t="n"/>
      <c r="H47" s="182" t="n"/>
      <c r="I47" s="183" t="n"/>
      <c r="K47" s="222" t="n"/>
      <c r="L47" s="222" t="n"/>
      <c r="M47" s="222" t="n"/>
      <c r="N47" s="324" t="n"/>
      <c r="P47" s="334" t="n"/>
      <c r="Q47" s="335" t="n"/>
      <c r="R47" s="336" t="n"/>
      <c r="S47" s="337" t="n"/>
      <c r="T47" s="337" t="n"/>
      <c r="U47" s="4" t="n"/>
    </row>
    <row r="48">
      <c r="A48" s="174" t="inlineStr">
        <is>
          <t>Nett Weight</t>
        </is>
      </c>
      <c r="B48" s="179" t="n"/>
      <c r="C48" s="333">
        <f>P40</f>
        <v/>
      </c>
      <c r="D48" s="332" t="n"/>
      <c r="K48" s="222" t="n"/>
      <c r="L48" s="222" t="n"/>
      <c r="M48" s="222" t="n"/>
      <c r="N48" s="324" t="n"/>
      <c r="P48" s="334" t="n"/>
      <c r="Q48" s="335" t="n"/>
      <c r="R48" s="336" t="n"/>
      <c r="S48" s="337" t="n"/>
      <c r="T48" s="337" t="n"/>
      <c r="U48" s="4" t="n"/>
    </row>
    <row r="49">
      <c r="A49" s="174" t="inlineStr">
        <is>
          <t>Amount</t>
        </is>
      </c>
      <c r="B49" s="179" t="n"/>
      <c r="C49" s="338">
        <f>R40</f>
        <v/>
      </c>
      <c r="D49" s="332" t="n"/>
      <c r="K49" s="222" t="n"/>
      <c r="L49" s="222" t="n"/>
      <c r="M49" s="222" t="n"/>
      <c r="N49" s="324" t="n"/>
      <c r="P49" s="334" t="n"/>
      <c r="Q49" s="335" t="n"/>
      <c r="R49" s="336" t="n"/>
      <c r="S49" s="337" t="n"/>
      <c r="T49" s="337" t="n"/>
      <c r="U49" s="190" t="n"/>
    </row>
    <row r="50">
      <c r="A50" s="174" t="inlineStr">
        <is>
          <t>Jumlah Container</t>
        </is>
      </c>
      <c r="B50" s="179" t="n"/>
      <c r="C50" s="339">
        <f>I40</f>
        <v/>
      </c>
      <c r="D50" s="332" t="n"/>
      <c r="K50" s="222" t="n"/>
      <c r="L50" s="222" t="n"/>
      <c r="M50" s="222" t="n"/>
      <c r="N50" s="324" t="n"/>
      <c r="P50" s="334" t="n"/>
      <c r="Q50" s="335" t="n"/>
      <c r="R50" s="336" t="n"/>
      <c r="S50" s="337" t="n"/>
      <c r="T50" s="337" t="n"/>
      <c r="U50" s="173" t="n"/>
    </row>
    <row r="51">
      <c r="A51" s="174" t="n"/>
      <c r="B51" s="179" t="n"/>
      <c r="C51" s="340">
        <f>I28</f>
        <v/>
      </c>
      <c r="D51" s="332" t="n"/>
      <c r="K51" s="222" t="n"/>
      <c r="L51" s="222" t="n"/>
      <c r="M51" s="222" t="n"/>
      <c r="N51" s="324" t="n"/>
      <c r="P51" s="334" t="n"/>
      <c r="Q51" s="335" t="n"/>
      <c r="R51" s="336" t="n"/>
      <c r="S51" s="337" t="n"/>
      <c r="T51" s="337" t="n"/>
      <c r="U51" s="173" t="n"/>
    </row>
    <row r="52">
      <c r="A52" s="195" t="n"/>
      <c r="B52" s="179" t="n"/>
      <c r="C52" s="341">
        <f>C36*2+C37</f>
        <v/>
      </c>
      <c r="D52" s="332" t="n"/>
      <c r="K52" s="222" t="n"/>
      <c r="L52" s="222" t="n"/>
      <c r="M52" s="222" t="n"/>
      <c r="N52" s="324" t="n"/>
    </row>
    <row r="53">
      <c r="A53" s="198" t="n"/>
      <c r="B53" s="199" t="n"/>
      <c r="C53" s="200" t="n"/>
      <c r="D53" s="201" t="n"/>
    </row>
    <row r="54">
      <c r="B54" s="6" t="n"/>
      <c r="C54" s="3" t="n"/>
      <c r="D54" s="3" t="n"/>
      <c r="E54" s="4" t="n"/>
      <c r="F54" s="5" t="n"/>
      <c r="G54" s="5" t="n"/>
      <c r="H54" s="6" t="n"/>
      <c r="I54" s="6" t="n"/>
      <c r="J54" s="6" t="n"/>
      <c r="K54" s="216" t="n"/>
      <c r="L54" s="216" t="n"/>
      <c r="M54" s="216" t="n"/>
      <c r="N54" s="217" t="n"/>
      <c r="O54" s="218" t="n"/>
      <c r="P54" s="218" t="n"/>
      <c r="Q54" s="219" t="n"/>
      <c r="R54" s="220" t="n"/>
      <c r="S54" s="221" t="n"/>
      <c r="T54" s="221" t="n"/>
      <c r="U54" s="222" t="n"/>
      <c r="V54" s="222" t="n"/>
      <c r="W54" s="222" t="n"/>
      <c r="X54" s="222" t="n"/>
      <c r="Y54" s="222" t="n"/>
      <c r="Z54" s="222" t="n"/>
      <c r="AA54" s="223" t="n"/>
      <c r="AB54" s="223" t="n"/>
      <c r="AC54" s="223" t="n"/>
      <c r="AD54" s="223" t="n"/>
      <c r="AE54" s="223" t="n"/>
      <c r="AF54" s="223" t="n"/>
      <c r="AG54" s="223" t="n"/>
      <c r="AH54" s="223" t="n"/>
      <c r="AI54" s="223" t="n"/>
      <c r="AJ54" s="223" t="n"/>
      <c r="AK54" s="223" t="n"/>
      <c r="AL54" s="223" t="n"/>
      <c r="AM54" s="223" t="n"/>
      <c r="AN54" s="223" t="n"/>
      <c r="AO54" s="223" t="n"/>
      <c r="AP54" s="223" t="n"/>
      <c r="AQ54" s="223" t="n"/>
      <c r="AR54" s="223" t="n"/>
      <c r="AS54" s="223" t="n"/>
      <c r="AT54" s="223" t="n"/>
      <c r="AU54" s="223" t="n"/>
      <c r="AV54" s="223" t="n"/>
      <c r="AW54" s="223" t="n"/>
      <c r="AX54" s="223" t="n"/>
      <c r="AY54" s="223" t="n"/>
      <c r="AZ54" s="223" t="n"/>
      <c r="BA54" s="223" t="n"/>
      <c r="BB54" s="223" t="n"/>
      <c r="BC54" s="223" t="n"/>
      <c r="BD54" s="223" t="n"/>
      <c r="BE54" s="223" t="n"/>
      <c r="BF54" s="223" t="n"/>
      <c r="BG54" s="223" t="n"/>
      <c r="BH54" s="223" t="n"/>
      <c r="BI54" s="223" t="n"/>
      <c r="BJ54" s="223" t="n"/>
      <c r="BK54" s="223" t="n"/>
      <c r="BL54" s="223" t="n"/>
      <c r="BM54" s="223" t="n"/>
      <c r="BN54" s="223" t="n"/>
      <c r="BO54" s="223" t="n"/>
      <c r="BP54" s="223" t="n"/>
      <c r="BQ54" s="223" t="n"/>
      <c r="BR54" s="223" t="n"/>
      <c r="BS54" s="223" t="n"/>
      <c r="BT54" s="223" t="n"/>
      <c r="BU54" s="223" t="n"/>
      <c r="BV54" s="223" t="n"/>
      <c r="BW54" s="223" t="n"/>
      <c r="BX54" s="223" t="n"/>
      <c r="BY54" s="223" t="n"/>
      <c r="BZ54" s="223" t="n"/>
      <c r="CA54" s="223" t="n"/>
      <c r="CB54" s="223" t="n"/>
      <c r="CC54" s="223" t="n"/>
      <c r="CD54" s="223" t="n"/>
      <c r="CE54" s="223" t="n"/>
      <c r="CF54" s="223" t="n"/>
      <c r="CG54" s="223" t="n"/>
      <c r="CH54" s="223" t="n"/>
      <c r="CI54" s="223" t="n"/>
      <c r="CJ54" s="223" t="n"/>
      <c r="CK54" s="223" t="n"/>
      <c r="CL54" s="223" t="n"/>
      <c r="CM54" s="223" t="n"/>
      <c r="CN54" s="223" t="n"/>
      <c r="CO54" s="223" t="n"/>
      <c r="CP54" s="223" t="n"/>
      <c r="CQ54" s="223" t="n"/>
      <c r="CR54" s="223" t="n"/>
      <c r="CS54" s="223" t="n"/>
      <c r="CT54" s="223" t="n"/>
      <c r="CU54" s="223" t="n"/>
      <c r="CV54" s="223" t="n"/>
      <c r="CW54" s="223" t="n"/>
      <c r="CX54" s="223" t="n"/>
      <c r="CY54" s="223" t="n"/>
      <c r="CZ54" s="223" t="n"/>
      <c r="DA54" s="223" t="n"/>
      <c r="DB54" s="223" t="n"/>
      <c r="DC54" s="223" t="n"/>
      <c r="DD54" s="223" t="n"/>
      <c r="DE54" s="223" t="n"/>
      <c r="DF54" s="223" t="n"/>
      <c r="DG54" s="223" t="n"/>
      <c r="DH54" s="223" t="n"/>
      <c r="DI54" s="223" t="n"/>
      <c r="DJ54" s="223" t="n"/>
      <c r="DK54" s="223" t="n"/>
      <c r="DL54" s="223" t="n"/>
      <c r="DM54" s="223" t="n"/>
      <c r="DN54" s="223" t="n"/>
      <c r="DO54" s="223" t="n"/>
      <c r="DP54" s="223" t="n"/>
      <c r="DQ54" s="223" t="n"/>
      <c r="DR54" s="223" t="n"/>
      <c r="DS54" s="223" t="n"/>
      <c r="DT54" s="223" t="n"/>
      <c r="DU54" s="223" t="n"/>
      <c r="DV54" s="223" t="n"/>
      <c r="DW54" s="223" t="n"/>
      <c r="DX54" s="223" t="n"/>
      <c r="DY54" s="223" t="n"/>
      <c r="DZ54" s="223" t="n"/>
      <c r="EA54" s="223" t="n"/>
      <c r="EB54" s="223" t="n"/>
      <c r="EC54" s="223" t="n"/>
      <c r="ED54" s="223" t="n"/>
      <c r="EE54" s="223" t="n"/>
      <c r="EF54" s="223" t="n"/>
      <c r="EG54" s="223" t="n"/>
      <c r="EH54" s="223" t="n"/>
      <c r="EI54" s="223" t="n"/>
      <c r="EJ54" s="223" t="n"/>
      <c r="EK54" s="223" t="n"/>
      <c r="EL54" s="223" t="n"/>
      <c r="EM54" s="223" t="n"/>
      <c r="EN54" s="223" t="n"/>
      <c r="EO54" s="223" t="n"/>
      <c r="EP54" s="223" t="n"/>
      <c r="EQ54" s="223" t="n"/>
      <c r="ER54" s="223" t="n"/>
      <c r="ES54" s="223" t="n"/>
      <c r="ET54" s="223" t="n"/>
      <c r="EU54" s="223" t="n"/>
      <c r="EV54" s="223" t="n"/>
      <c r="EW54" s="223" t="n"/>
      <c r="EX54" s="223" t="n"/>
      <c r="EY54" s="223" t="n"/>
      <c r="EZ54" s="223" t="n"/>
      <c r="FA54" s="223" t="n"/>
      <c r="FB54" s="223" t="n"/>
      <c r="FC54" s="223" t="n"/>
      <c r="FD54" s="223" t="n"/>
      <c r="FE54" s="223" t="n"/>
      <c r="FF54" s="223" t="n"/>
      <c r="FG54" s="223" t="n"/>
      <c r="FH54" s="223" t="n"/>
      <c r="FI54" s="223" t="n"/>
      <c r="FJ54" s="223" t="n"/>
      <c r="FK54" s="223" t="n"/>
      <c r="FL54" s="223" t="n"/>
      <c r="FM54" s="223" t="n"/>
      <c r="FN54" s="223" t="n"/>
      <c r="FO54" s="223" t="n"/>
      <c r="FP54" s="223" t="n"/>
      <c r="FQ54" s="223" t="n"/>
      <c r="FR54" s="223" t="n"/>
      <c r="FS54" s="223" t="n"/>
      <c r="FT54" s="223" t="n"/>
      <c r="FU54" s="223" t="n"/>
      <c r="FV54" s="223" t="n"/>
      <c r="FW54" s="223" t="n"/>
      <c r="FX54" s="223" t="n"/>
      <c r="FY54" s="223" t="n"/>
      <c r="FZ54" s="223" t="n"/>
      <c r="GA54" s="223" t="n"/>
      <c r="GB54" s="223" t="n"/>
      <c r="GC54" s="223" t="n"/>
      <c r="GD54" s="223" t="n"/>
      <c r="GE54" s="223" t="n"/>
      <c r="GF54" s="223" t="n"/>
      <c r="GG54" s="223" t="n"/>
      <c r="GH54" s="223" t="n"/>
      <c r="GI54" s="223" t="n"/>
      <c r="GJ54" s="223" t="n"/>
      <c r="GK54" s="223" t="n"/>
      <c r="GL54" s="223" t="n"/>
      <c r="GM54" s="223" t="n"/>
      <c r="GN54" s="223" t="n"/>
      <c r="GO54" s="223" t="n"/>
      <c r="GP54" s="223" t="n"/>
      <c r="GQ54" s="223" t="n"/>
      <c r="GR54" s="223" t="n"/>
      <c r="GS54" s="223" t="n"/>
      <c r="GT54" s="223" t="n"/>
      <c r="GU54" s="223" t="n"/>
      <c r="GV54" s="223" t="n"/>
      <c r="GW54" s="223" t="n"/>
      <c r="GX54" s="223" t="n"/>
      <c r="GY54" s="223" t="n"/>
      <c r="GZ54" s="223" t="n"/>
      <c r="HA54" s="223" t="n"/>
      <c r="HB54" s="223" t="n"/>
      <c r="HC54" s="223" t="n"/>
      <c r="HD54" s="223" t="n"/>
      <c r="HE54" s="223" t="n"/>
      <c r="HF54" s="223" t="n"/>
      <c r="HG54" s="223" t="n"/>
      <c r="HH54" s="223" t="n"/>
      <c r="HI54" s="223" t="n"/>
      <c r="HJ54" s="223" t="n"/>
      <c r="HK54" s="223" t="n"/>
      <c r="HL54" s="223" t="n"/>
      <c r="HM54" s="223" t="n"/>
      <c r="HN54" s="223" t="n"/>
      <c r="HO54" s="223" t="n"/>
      <c r="HP54" s="223" t="n"/>
      <c r="HQ54" s="223" t="n"/>
      <c r="HR54" s="223" t="n"/>
      <c r="HS54" s="223" t="n"/>
      <c r="HT54" s="223" t="n"/>
      <c r="HU54" s="223" t="n"/>
      <c r="HV54" s="223" t="n"/>
      <c r="HW54" s="223" t="n"/>
      <c r="HX54" s="223" t="n"/>
      <c r="HY54" s="223" t="n"/>
      <c r="HZ54" s="223" t="n"/>
      <c r="IA54" s="223" t="n"/>
      <c r="IB54" s="223" t="n"/>
      <c r="IC54" s="223" t="n"/>
      <c r="ID54" s="223" t="n"/>
      <c r="IE54" s="223" t="n"/>
      <c r="IF54" s="223" t="n"/>
      <c r="IG54" s="223" t="n"/>
      <c r="IH54" s="223" t="n"/>
      <c r="II54" s="223" t="n"/>
      <c r="IJ54" s="223" t="n"/>
      <c r="IK54" s="223" t="n"/>
      <c r="IL54" s="223" t="n"/>
      <c r="IM54" s="223" t="n"/>
      <c r="IN54" s="223" t="n"/>
      <c r="IO54" s="223" t="n"/>
      <c r="IP54" s="223" t="n"/>
      <c r="IQ54" s="223" t="n"/>
      <c r="IR54" s="223" t="n"/>
      <c r="IS54" s="223" t="n"/>
      <c r="IT54" s="223" t="n"/>
      <c r="IU54" s="223" t="n"/>
      <c r="IV54" s="223" t="n"/>
      <c r="IW54" s="223" t="n"/>
      <c r="IX54" s="223" t="n"/>
      <c r="IY54" s="223" t="n"/>
      <c r="IZ54" s="223" t="n"/>
      <c r="JA54" s="223" t="n"/>
      <c r="JB54" s="223" t="n"/>
      <c r="JC54" s="223" t="n"/>
      <c r="JD54" s="223" t="n"/>
      <c r="JE54" s="223" t="n"/>
      <c r="JF54" s="223" t="n"/>
      <c r="JG54" s="223" t="n"/>
      <c r="JH54" s="223" t="n"/>
      <c r="JI54" s="223" t="n"/>
      <c r="JJ54" s="223" t="n"/>
      <c r="JK54" s="223" t="n"/>
      <c r="JL54" s="223" t="n"/>
      <c r="JM54" s="223" t="n"/>
      <c r="JN54" s="223" t="n"/>
      <c r="JO54" s="223" t="n"/>
      <c r="JP54" s="223" t="n"/>
      <c r="JQ54" s="223" t="n"/>
      <c r="JR54" s="223" t="n"/>
      <c r="JS54" s="223" t="n"/>
      <c r="JT54" s="223" t="n"/>
      <c r="JU54" s="223" t="n"/>
      <c r="JV54" s="223" t="n"/>
      <c r="JW54" s="223" t="n"/>
      <c r="JX54" s="223" t="n"/>
      <c r="JY54" s="223" t="n"/>
      <c r="JZ54" s="223" t="n"/>
      <c r="KA54" s="223" t="n"/>
      <c r="KB54" s="223" t="n"/>
      <c r="KC54" s="223" t="n"/>
      <c r="KD54" s="223" t="n"/>
    </row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2"/>
    <row r="334"/>
    <row r="335"/>
    <row r="336"/>
    <row r="337"/>
    <row r="338"/>
    <row r="339"/>
    <row r="340"/>
    <row r="341"/>
    <row r="342"/>
    <row r="343"/>
    <row r="344"/>
    <row r="345"/>
    <row r="346"/>
    <row r="347">
      <c r="A347" s="202" t="n"/>
      <c r="B347" s="203" t="n"/>
      <c r="C347" s="204" t="n"/>
      <c r="D347" s="204" t="n"/>
      <c r="E347" s="205" t="n"/>
      <c r="F347" s="206" t="n"/>
      <c r="G347" s="206" t="n"/>
      <c r="H347" s="6" t="n"/>
      <c r="I347" s="203" t="n"/>
      <c r="J347" s="203" t="n"/>
      <c r="K347" s="343" t="n"/>
      <c r="L347" s="343" t="n"/>
      <c r="M347" s="343" t="n"/>
      <c r="N347" s="344" t="n"/>
      <c r="O347" s="345" t="n"/>
      <c r="P347" s="345" t="n"/>
      <c r="Q347" s="346" t="n"/>
      <c r="R347" s="347" t="n"/>
      <c r="S347" s="348" t="n"/>
      <c r="T347" s="348" t="n"/>
      <c r="U347" s="349" t="n"/>
      <c r="V347" s="349" t="n"/>
      <c r="W347" s="349" t="n"/>
      <c r="X347" s="349" t="n"/>
      <c r="Y347" s="349" t="n"/>
      <c r="Z347" s="349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2026-07-25T19:23:42Z</dcterms:modified>
  <cp:lastModifiedBy>Chiswa Dian Hermansyah(ZINUS ZDI)</cp:lastModifiedBy>
</cp:coreProperties>
</file>