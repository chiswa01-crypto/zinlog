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6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24" fillId="6" borderId="1" applyAlignment="1" pivotButton="0" quotePrefix="1" xfId="4">
      <alignment horizontal="left" vertical="center"/>
    </xf>
    <xf numFmtId="164" fontId="25" fillId="6" borderId="1" applyAlignment="1" pivotButton="0" quotePrefix="1" xfId="8">
      <alignment horizontal="right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9" fontId="24" fillId="0" borderId="3" applyAlignment="1" pivotButton="0" quotePrefix="1" xfId="4">
      <alignment horizontal="left" vertical="center"/>
    </xf>
    <xf numFmtId="41" fontId="25" fillId="0" borderId="3" applyAlignment="1" pivotButton="0" quotePrefix="0" xfId="4">
      <alignment horizontal="right"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24" fillId="0" borderId="0" applyAlignment="1" pivotButton="0" quotePrefix="0" xfId="9">
      <alignment horizontal="left" vertical="center"/>
    </xf>
    <xf numFmtId="1" fontId="25" fillId="0" borderId="0" applyAlignment="1" pivotButton="0" quotePrefix="1" xfId="4">
      <alignment horizontal="center" vertical="center"/>
    </xf>
    <xf numFmtId="3" fontId="2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0" fontId="24" fillId="0" borderId="0" applyAlignment="1" pivotButton="0" quotePrefix="0" xfId="0">
      <alignment horizontal="left" vertical="center"/>
    </xf>
    <xf numFmtId="164" fontId="25" fillId="0" borderId="0" applyAlignment="1" pivotButton="0" quotePrefix="1" xfId="4">
      <alignment horizontal="center" vertical="center"/>
    </xf>
    <xf numFmtId="167" fontId="3" fillId="0" borderId="0" applyAlignment="1" pivotButton="0" quotePrefix="0" xfId="3">
      <alignment horizontal="left" vertical="center"/>
    </xf>
    <xf numFmtId="1" fontId="25" fillId="0" borderId="19" applyAlignment="1" pivotButton="0" quotePrefix="1" xfId="4">
      <alignment horizontal="center" vertical="center"/>
    </xf>
    <xf numFmtId="164" fontId="25" fillId="0" borderId="20" applyAlignment="1" pivotButton="0" quotePrefix="1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" fontId="25" fillId="0" borderId="22" applyAlignment="1" pivotButton="0" quotePrefix="0" xfId="4">
      <alignment vertical="center"/>
    </xf>
    <xf numFmtId="177" fontId="25" fillId="0" borderId="23" applyAlignment="1" pivotButton="0" quotePrefix="0" xfId="4">
      <alignment horizontal="left" vertical="center"/>
    </xf>
    <xf numFmtId="178" fontId="25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8" fontId="21" fillId="0" borderId="23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SAVANNAH, US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>
        <f>COUNT(A12:A22)</f>
        <v/>
      </c>
      <c r="B23" s="80" t="n"/>
      <c r="C23" s="263" t="n"/>
      <c r="D23" s="263" t="n"/>
      <c r="E23" s="264" t="n"/>
      <c r="F23" s="265" t="n"/>
      <c r="G23" s="264" t="n"/>
      <c r="H23" s="42">
        <f>SUM(H22)</f>
        <v/>
      </c>
      <c r="I23" s="42">
        <f>SUM(I22)</f>
        <v/>
      </c>
      <c r="J23" s="42" t="n"/>
      <c r="K23" s="44" t="n"/>
      <c r="L23" s="266" t="n"/>
      <c r="M23" s="42" t="n"/>
      <c r="N23" s="44" t="n"/>
      <c r="O23" s="86">
        <f>SUM(O22)</f>
        <v/>
      </c>
      <c r="P23" s="86">
        <f>SUM(P22)</f>
        <v/>
      </c>
      <c r="Q23" s="259" t="n"/>
      <c r="R23" s="260">
        <f>SUM(R22)</f>
        <v/>
      </c>
      <c r="S23" s="261" t="n"/>
      <c r="T23" s="261">
        <f>SUM(T22)</f>
        <v/>
      </c>
      <c r="U23" s="48" t="n"/>
      <c r="V23" s="49" t="n"/>
      <c r="W23" s="50" t="n"/>
      <c r="X23" s="51" t="n"/>
      <c r="Y23" s="267" t="n"/>
      <c r="Z23" s="268" t="n"/>
    </row>
    <row r="24" ht="17.1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89" t="n"/>
      <c r="B25" s="280" t="inlineStr">
        <is>
          <t>Total Qty Export :</t>
        </is>
      </c>
      <c r="C25" s="281">
        <f>H23-C26</f>
        <v/>
      </c>
      <c r="D25" s="92" t="n"/>
      <c r="E25" s="282" t="n"/>
      <c r="F25" s="283" t="n"/>
      <c r="G25" s="283" t="n"/>
      <c r="H25" s="95" t="n"/>
      <c r="I25" s="19" t="n"/>
      <c r="J25" s="19" t="n"/>
      <c r="K25" s="225" t="n"/>
      <c r="L25" s="225" t="n"/>
      <c r="M25" s="225" t="n"/>
      <c r="N25" s="226" t="n"/>
      <c r="O25" s="284" t="n"/>
      <c r="P25" s="284" t="n"/>
      <c r="Q25" s="285" t="n"/>
      <c r="R25" s="286" t="n"/>
      <c r="S25" s="287" t="n"/>
      <c r="T25" s="287" t="n"/>
      <c r="U25" s="288" t="n"/>
      <c r="V25" s="288" t="n"/>
      <c r="W25" s="288" t="n"/>
      <c r="X25" s="101" t="n"/>
      <c r="Y25" s="129" t="n"/>
      <c r="Z25" s="129" t="n"/>
    </row>
    <row r="26" ht="20" customFormat="1" customHeight="1" s="231" thickBot="1">
      <c r="A26" s="103" t="n"/>
      <c r="B26" s="289" t="inlineStr">
        <is>
          <t>Total Qty Export Sample :</t>
        </is>
      </c>
      <c r="C26" s="290" t="n">
        <v>0</v>
      </c>
      <c r="D26" s="291" t="n"/>
      <c r="E26" s="291" t="n"/>
      <c r="F26" s="291" t="n"/>
      <c r="G26" s="291" t="n"/>
      <c r="H26" s="107" t="n"/>
      <c r="I26" s="107" t="n"/>
      <c r="J26" s="108" t="n"/>
      <c r="K26" s="292" t="n"/>
      <c r="L26" s="293" t="n"/>
      <c r="M26" s="294" t="n"/>
      <c r="N26" s="295" t="n"/>
      <c r="O26" s="113" t="n"/>
      <c r="P26" s="113" t="n"/>
      <c r="Q26" s="296" t="n"/>
      <c r="R26" s="297" t="n"/>
      <c r="S26" s="298" t="n"/>
      <c r="T26" s="299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0" t="n"/>
      <c r="I27" s="300" t="n"/>
      <c r="J27" s="301" t="n"/>
      <c r="K27" s="221" t="n"/>
      <c r="L27" s="221" t="n"/>
      <c r="M27" s="221" t="n"/>
      <c r="N27" s="302" t="n"/>
      <c r="Q27" s="303" t="n"/>
      <c r="U27" s="129" t="n"/>
      <c r="V27" s="129" t="n"/>
      <c r="W27" s="129" t="n"/>
      <c r="X27" s="129" t="n"/>
      <c r="Y27" s="129" t="n"/>
      <c r="Z27" s="129" t="n"/>
    </row>
    <row r="28" ht="20" customHeight="1" s="223">
      <c r="A28" s="120" t="n"/>
      <c r="B28" s="130" t="n"/>
      <c r="C28" s="131" t="n"/>
      <c r="E28" s="123" t="n"/>
      <c r="F28" s="124" t="n"/>
      <c r="G28" s="124" t="n"/>
      <c r="H28" s="301" t="n"/>
      <c r="I28" s="301" t="n"/>
      <c r="J28" s="301" t="n"/>
      <c r="K28" s="221" t="n"/>
      <c r="L28" s="221" t="n"/>
      <c r="M28" s="221" t="n"/>
      <c r="N28" s="302" t="n"/>
      <c r="Q28" s="303" t="n"/>
      <c r="U28" s="304" t="inlineStr">
        <is>
          <t>Tangerang, 08 August 2026</t>
        </is>
      </c>
      <c r="V28" s="129" t="n"/>
      <c r="W28" s="129" t="n"/>
      <c r="X28" s="129" t="n"/>
      <c r="Y28" s="129" t="n"/>
      <c r="Z28" s="129" t="n"/>
    </row>
    <row r="29" ht="20" customHeight="1" s="223">
      <c r="A29" s="305" t="inlineStr">
        <is>
          <t>Total Document</t>
        </is>
      </c>
      <c r="B29" s="132" t="n"/>
      <c r="C29" s="306">
        <f>A23</f>
        <v/>
      </c>
      <c r="E29" s="123" t="n"/>
      <c r="F29" s="124" t="n"/>
      <c r="G29" s="124" t="n"/>
      <c r="H29" s="307" t="n"/>
      <c r="I29" s="307" t="n"/>
      <c r="J29" s="301" t="n"/>
      <c r="T29" s="308" t="n"/>
      <c r="U29" s="309" t="inlineStr">
        <is>
          <t>Kasubsi Hanggar Pabean dan Cukai</t>
        </is>
      </c>
      <c r="V29" s="129" t="n"/>
      <c r="W29" s="129" t="n"/>
      <c r="X29" s="129" t="n"/>
      <c r="Y29" s="129" t="n"/>
      <c r="Z29" s="129" t="n"/>
    </row>
    <row r="30" ht="20" customHeight="1" s="223" thickBot="1">
      <c r="A30" s="305" t="inlineStr">
        <is>
          <t>Gross Weight</t>
        </is>
      </c>
      <c r="B30" s="136" t="n"/>
      <c r="C30" s="310">
        <f>O23</f>
        <v/>
      </c>
      <c r="D30" s="122" t="n"/>
      <c r="E30" s="123" t="n"/>
      <c r="F30" s="124" t="n"/>
      <c r="G30" s="124" t="n"/>
      <c r="H30" s="301" t="n"/>
      <c r="I30" s="301" t="n"/>
      <c r="J30" s="301" t="n"/>
      <c r="K30" s="221" t="n"/>
      <c r="L30" s="221" t="n"/>
      <c r="M30" s="221" t="n"/>
      <c r="R30" s="311" t="n"/>
      <c r="S30" s="308" t="n"/>
      <c r="U30" s="138" t="n"/>
    </row>
    <row r="31" ht="20" customHeight="1" s="223" thickTop="1">
      <c r="A31" s="312" t="inlineStr">
        <is>
          <t>Nett Weight</t>
        </is>
      </c>
      <c r="B31" s="140" t="n"/>
      <c r="C31" s="313">
        <f>P23</f>
        <v/>
      </c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2" t="n"/>
      <c r="P31" s="314" t="n"/>
      <c r="Q31" s="315" t="n"/>
      <c r="R31" s="311" t="n"/>
      <c r="S31" s="308" t="n"/>
      <c r="T31" s="308" t="n"/>
      <c r="U31" s="148" t="n"/>
    </row>
    <row r="32" ht="20" customHeight="1" s="223">
      <c r="A32" s="316" t="inlineStr">
        <is>
          <t>Amount</t>
        </is>
      </c>
      <c r="B32" s="150" t="n"/>
      <c r="C32" s="317">
        <f>R23</f>
        <v/>
      </c>
      <c r="G32" s="144" t="n"/>
      <c r="H32" s="151" t="n"/>
      <c r="I32" s="151" t="n"/>
      <c r="K32" s="221" t="n"/>
      <c r="L32" s="221" t="n"/>
      <c r="M32" s="221" t="n"/>
      <c r="N32" s="302" t="n"/>
      <c r="P32" s="314" t="n"/>
      <c r="Q32" s="315" t="n"/>
      <c r="R32" s="311" t="n"/>
      <c r="S32" s="308" t="n"/>
      <c r="T32" s="308" t="n"/>
      <c r="U32" s="148" t="n"/>
    </row>
    <row r="33" ht="20" customHeight="1" s="223">
      <c r="A33" s="316" t="inlineStr">
        <is>
          <t>Jumlah Container</t>
        </is>
      </c>
      <c r="B33" s="152" t="n"/>
      <c r="C33" s="318">
        <f>I23</f>
        <v/>
      </c>
      <c r="H33" s="153" t="n"/>
      <c r="I33" s="154" t="n"/>
      <c r="K33" s="221" t="n"/>
      <c r="L33" s="221" t="n"/>
      <c r="M33" s="221" t="n"/>
      <c r="N33" s="302" t="n"/>
      <c r="P33" s="319" t="n"/>
      <c r="Q33" s="320" t="n"/>
      <c r="R33" s="321" t="n"/>
      <c r="S33" s="322" t="n"/>
      <c r="T33" s="322" t="n"/>
      <c r="U33" s="4" t="n"/>
    </row>
    <row r="34" ht="17.1" customHeight="1" s="223">
      <c r="A34" s="149" t="n"/>
      <c r="B34" s="152" t="n"/>
      <c r="C34" s="323" t="n"/>
      <c r="K34" s="221" t="n"/>
      <c r="L34" s="221" t="n"/>
      <c r="M34" s="221" t="n"/>
      <c r="N34" s="302" t="n"/>
      <c r="P34" s="319" t="n"/>
      <c r="Q34" s="320" t="n"/>
      <c r="R34" s="321" t="n"/>
      <c r="S34" s="322" t="n"/>
      <c r="T34" s="322" t="n"/>
      <c r="U34" s="4" t="n"/>
    </row>
    <row r="35" ht="17.1" customHeight="1" s="223">
      <c r="A35" s="149" t="n"/>
      <c r="B35" s="152" t="n"/>
      <c r="C35" s="324" t="n"/>
      <c r="K35" s="221" t="n"/>
      <c r="L35" s="221" t="n"/>
      <c r="M35" s="221" t="n"/>
      <c r="N35" s="302" t="n"/>
      <c r="P35" s="319" t="n"/>
      <c r="Q35" s="320" t="n"/>
      <c r="R35" s="321" t="n"/>
      <c r="S35" s="322" t="n"/>
      <c r="T35" s="322" t="n"/>
      <c r="U35" s="159" t="n"/>
    </row>
    <row r="36" ht="17.1" customHeight="1" s="223">
      <c r="A36" s="149" t="n"/>
      <c r="B36" s="152" t="n"/>
      <c r="C36" s="325" t="n"/>
      <c r="K36" s="221" t="n"/>
      <c r="L36" s="221" t="n"/>
      <c r="M36" s="221" t="n"/>
      <c r="N36" s="302" t="n"/>
      <c r="P36" s="319" t="n"/>
      <c r="Q36" s="320" t="n"/>
      <c r="R36" s="321" t="n"/>
      <c r="S36" s="322" t="n"/>
      <c r="T36" s="322" t="n"/>
      <c r="U36" s="148" t="n"/>
    </row>
    <row r="37" ht="17.1" customHeight="1" s="223">
      <c r="A37" s="149" t="n"/>
      <c r="B37" s="152" t="n"/>
      <c r="C37" s="326" t="n"/>
      <c r="K37" s="221" t="n"/>
      <c r="L37" s="221" t="n"/>
      <c r="M37" s="221" t="n"/>
      <c r="N37" s="302" t="n"/>
      <c r="P37" s="319" t="n"/>
      <c r="Q37" s="320" t="n"/>
      <c r="R37" s="321" t="n"/>
      <c r="S37" s="322" t="n"/>
      <c r="T37" s="322" t="n"/>
      <c r="U37" s="148" t="n"/>
    </row>
    <row r="38" ht="17.1" customHeight="1" s="223">
      <c r="A38" s="160" t="n"/>
      <c r="B38" s="152" t="n"/>
      <c r="C38" s="327" t="n"/>
      <c r="K38" s="221" t="n"/>
      <c r="L38" s="221" t="n"/>
      <c r="M38" s="221" t="n"/>
      <c r="N38" s="302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8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9" t="n"/>
      <c r="L333" s="329" t="n"/>
      <c r="M333" s="329" t="n"/>
      <c r="N333" s="330" t="n"/>
      <c r="O333" s="331" t="n"/>
      <c r="P333" s="331" t="n"/>
      <c r="Q333" s="332" t="n"/>
      <c r="R333" s="333" t="n"/>
      <c r="S333" s="334" t="n"/>
      <c r="T333" s="334" t="n"/>
      <c r="U333" s="335" t="n"/>
      <c r="V333" s="335" t="n"/>
      <c r="W333" s="335" t="n"/>
      <c r="X333" s="335" t="n"/>
      <c r="Y333" s="335" t="n"/>
      <c r="Z333" s="335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2026-08-08T03:35:08Z</dcterms:modified>
  <cp:lastModifiedBy>Chiswa Dian Hermansyah(ZINUS ZDI)</cp:lastModifiedBy>
</cp:coreProperties>
</file>