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000030ZIK48020260814000632</t>
        </is>
      </c>
      <c r="C12" s="245" t="n">
        <v>412335</v>
      </c>
      <c r="D12" s="245" t="n">
        <v>412091</v>
      </c>
      <c r="E12" s="246" t="n">
        <v>46248</v>
      </c>
      <c r="F12" s="245" t="inlineStr">
        <is>
          <t>SAMPLE-ZIID26-0065-NCV</t>
        </is>
      </c>
      <c r="G12" s="246" t="n">
        <v>46246</v>
      </c>
      <c r="H12" s="247" t="n">
        <v>1</v>
      </c>
      <c r="I12" s="245" t="inlineStr"/>
      <c r="J12" s="245" t="inlineStr"/>
      <c r="K12" s="245" t="inlineStr">
        <is>
          <t>FOAM MATTRESSES</t>
        </is>
      </c>
      <c r="L12" s="245" t="inlineStr">
        <is>
          <t>ZU-MFMA1FZI-06F</t>
        </is>
      </c>
      <c r="M12" s="248" t="inlineStr"/>
      <c r="N12" s="245" t="inlineStr">
        <is>
          <t>F.MFM.06F.006.AD</t>
        </is>
      </c>
      <c r="O12" s="249" t="n">
        <v>973.17</v>
      </c>
      <c r="P12" s="249" t="n">
        <v>915.65</v>
      </c>
      <c r="Q12" s="250">
        <f>R12/H12</f>
        <v/>
      </c>
      <c r="R12" s="251" t="n">
        <v>46.1</v>
      </c>
      <c r="S12" s="249" t="n">
        <v>17960</v>
      </c>
      <c r="T12" s="252">
        <f>S12*R12</f>
        <v/>
      </c>
      <c r="U12" s="245" t="inlineStr">
        <is>
          <t>050100/KPPBC</t>
        </is>
      </c>
      <c r="V12" s="245" t="inlineStr">
        <is>
          <t>S. HATTA</t>
        </is>
      </c>
      <c r="W12" s="245" t="inlineStr">
        <is>
          <t>GUANGZHOU, US</t>
        </is>
      </c>
      <c r="X12" s="245" t="inlineStr">
        <is>
          <t>SGS-CSTC STANDARDS TECHNICAL SERVICES</t>
        </is>
      </c>
      <c r="Y12" s="245" t="inlineStr">
        <is>
          <t>PLIID2H02332</t>
        </is>
      </c>
      <c r="Z12" s="246" t="n">
        <v>46248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</v>
      </c>
      <c r="I13" s="245" t="inlineStr"/>
      <c r="J13" s="245" t="inlineStr"/>
      <c r="K13" s="245" t="inlineStr">
        <is>
          <t>FOAM MATTRESSES</t>
        </is>
      </c>
      <c r="L13" s="245" t="inlineStr">
        <is>
          <t>ZU-MFMA1FZI-06Q</t>
        </is>
      </c>
      <c r="M13" s="248" t="inlineStr"/>
      <c r="N13" s="245" t="inlineStr">
        <is>
          <t>F.MFM.06Q.006.AD</t>
        </is>
      </c>
      <c r="O13" s="245" t="n"/>
      <c r="P13" s="245" t="n"/>
      <c r="Q13" s="250">
        <f>R13/H13</f>
        <v/>
      </c>
      <c r="R13" s="251" t="n">
        <v>54.03</v>
      </c>
      <c r="S13" s="249" t="n">
        <v>17960</v>
      </c>
      <c r="T13" s="252">
        <f>S13*R13</f>
        <v/>
      </c>
      <c r="U13" s="245" t="n"/>
      <c r="V13" s="245" t="n"/>
      <c r="W13" s="245" t="inlineStr">
        <is>
          <t>ETD : 21-08-2026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1</v>
      </c>
      <c r="I14" s="245" t="inlineStr"/>
      <c r="J14" s="245" t="inlineStr"/>
      <c r="K14" s="245" t="inlineStr">
        <is>
          <t>FOAM MATTRESSES</t>
        </is>
      </c>
      <c r="L14" s="245" t="inlineStr">
        <is>
          <t>ZU-MFMA1FZI-08F</t>
        </is>
      </c>
      <c r="M14" s="248" t="inlineStr"/>
      <c r="N14" s="245" t="inlineStr">
        <is>
          <t>F.MFM.08F.012.AD</t>
        </is>
      </c>
      <c r="O14" s="245" t="n"/>
      <c r="P14" s="245" t="n"/>
      <c r="Q14" s="250">
        <f>R14/H14</f>
        <v/>
      </c>
      <c r="R14" s="251" t="n">
        <v>62.15</v>
      </c>
      <c r="S14" s="249" t="n">
        <v>17960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</v>
      </c>
      <c r="I15" s="245" t="inlineStr"/>
      <c r="J15" s="245" t="inlineStr"/>
      <c r="K15" s="245" t="inlineStr">
        <is>
          <t>FOAM MATTRESSES</t>
        </is>
      </c>
      <c r="L15" s="245" t="inlineStr">
        <is>
          <t>ZU-MFMA1FZI-10F</t>
        </is>
      </c>
      <c r="M15" s="248" t="inlineStr"/>
      <c r="N15" s="245" t="inlineStr">
        <is>
          <t>F.MFM.10F.009.AD</t>
        </is>
      </c>
      <c r="O15" s="245" t="n"/>
      <c r="P15" s="245" t="n"/>
      <c r="Q15" s="250">
        <f>R15/H15</f>
        <v/>
      </c>
      <c r="R15" s="251" t="n">
        <v>74.5</v>
      </c>
      <c r="S15" s="249" t="n">
        <v>17960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</v>
      </c>
      <c r="I16" s="245" t="inlineStr"/>
      <c r="J16" s="245" t="inlineStr"/>
      <c r="K16" s="245" t="inlineStr">
        <is>
          <t>FOAM MATTRESSES</t>
        </is>
      </c>
      <c r="L16" s="245" t="inlineStr">
        <is>
          <t>ZU-MFMA1FZI-12F</t>
        </is>
      </c>
      <c r="M16" s="248" t="inlineStr"/>
      <c r="N16" s="245" t="inlineStr">
        <is>
          <t>F.MFM.12F.008.AD</t>
        </is>
      </c>
      <c r="O16" s="245" t="n"/>
      <c r="P16" s="245" t="n"/>
      <c r="Q16" s="250">
        <f>R16/H16</f>
        <v/>
      </c>
      <c r="R16" s="251" t="n">
        <v>82.38</v>
      </c>
      <c r="S16" s="249" t="n">
        <v>17960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1</v>
      </c>
      <c r="I17" s="245" t="inlineStr"/>
      <c r="J17" s="245" t="inlineStr"/>
      <c r="K17" s="245" t="inlineStr">
        <is>
          <t>FOAM MATTRESSES</t>
        </is>
      </c>
      <c r="L17" s="245" t="inlineStr">
        <is>
          <t>ZU-MFMA1FZI-12Q</t>
        </is>
      </c>
      <c r="M17" s="248" t="inlineStr"/>
      <c r="N17" s="245" t="inlineStr">
        <is>
          <t>F.MFM.12Q.008.AD</t>
        </is>
      </c>
      <c r="O17" s="245" t="n"/>
      <c r="P17" s="245" t="n"/>
      <c r="Q17" s="250">
        <f>R17/H17</f>
        <v/>
      </c>
      <c r="R17" s="251" t="n">
        <v>95.89</v>
      </c>
      <c r="S17" s="249" t="n">
        <v>17960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1</v>
      </c>
      <c r="I18" s="245" t="inlineStr"/>
      <c r="J18" s="245" t="inlineStr"/>
      <c r="K18" s="245" t="inlineStr">
        <is>
          <t>SPRING MATTRESSES</t>
        </is>
      </c>
      <c r="L18" s="245" t="inlineStr">
        <is>
          <t>ZU-MSHO2SZI-12F</t>
        </is>
      </c>
      <c r="M18" s="248" t="inlineStr"/>
      <c r="N18" s="245" t="inlineStr">
        <is>
          <t>F.MSH.12F.000.AD</t>
        </is>
      </c>
      <c r="O18" s="245" t="n"/>
      <c r="P18" s="245" t="n"/>
      <c r="Q18" s="250">
        <f>R18/H18</f>
        <v/>
      </c>
      <c r="R18" s="251" t="n">
        <v>79.01000000000001</v>
      </c>
      <c r="S18" s="249" t="n">
        <v>17960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</v>
      </c>
      <c r="I19" s="245" t="inlineStr"/>
      <c r="J19" s="245" t="inlineStr"/>
      <c r="K19" s="245" t="inlineStr">
        <is>
          <t>SPRING MATTRESSES</t>
        </is>
      </c>
      <c r="L19" s="245" t="inlineStr">
        <is>
          <t>ZU-MSHO2SZI-12K</t>
        </is>
      </c>
      <c r="M19" s="248" t="inlineStr"/>
      <c r="N19" s="245" t="inlineStr">
        <is>
          <t>F.MSH.12K.000.AD</t>
        </is>
      </c>
      <c r="O19" s="245" t="n"/>
      <c r="P19" s="245" t="n"/>
      <c r="Q19" s="250">
        <f>R19/H19</f>
        <v/>
      </c>
      <c r="R19" s="251" t="n">
        <v>110.98</v>
      </c>
      <c r="S19" s="249" t="n">
        <v>17960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</v>
      </c>
      <c r="I20" s="245" t="inlineStr"/>
      <c r="J20" s="245" t="inlineStr"/>
      <c r="K20" s="245" t="inlineStr">
        <is>
          <t>SPRING MATTRESSES</t>
        </is>
      </c>
      <c r="L20" s="245" t="inlineStr">
        <is>
          <t>ZU-MSHO2SZI-12Q</t>
        </is>
      </c>
      <c r="M20" s="248" t="inlineStr"/>
      <c r="N20" s="245" t="inlineStr">
        <is>
          <t>F.MSH.12Q.000.AD</t>
        </is>
      </c>
      <c r="O20" s="245" t="n"/>
      <c r="P20" s="245" t="n"/>
      <c r="Q20" s="250">
        <f>R20/H20</f>
        <v/>
      </c>
      <c r="R20" s="251" t="n">
        <v>90.88</v>
      </c>
      <c r="S20" s="249" t="n">
        <v>17960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</v>
      </c>
      <c r="I21" s="245" t="inlineStr"/>
      <c r="J21" s="245" t="inlineStr"/>
      <c r="K21" s="245" t="inlineStr">
        <is>
          <t>SPRING MATTRESSES</t>
        </is>
      </c>
      <c r="L21" s="245" t="inlineStr">
        <is>
          <t>ZU-MSHO2SZI-13K</t>
        </is>
      </c>
      <c r="M21" s="248" t="inlineStr"/>
      <c r="N21" s="245" t="inlineStr">
        <is>
          <t>F.MSH.13K.000.AD</t>
        </is>
      </c>
      <c r="O21" s="245" t="n"/>
      <c r="P21" s="245" t="n"/>
      <c r="Q21" s="250">
        <f>R21/H21</f>
        <v/>
      </c>
      <c r="R21" s="251" t="n">
        <v>118.27</v>
      </c>
      <c r="S21" s="249" t="n">
        <v>17960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1</v>
      </c>
      <c r="I22" s="245" t="inlineStr"/>
      <c r="J22" s="245" t="inlineStr"/>
      <c r="K22" s="245" t="inlineStr">
        <is>
          <t>SPRING MATTRESSES</t>
        </is>
      </c>
      <c r="L22" s="245" t="inlineStr">
        <is>
          <t>ZU-MSHO2SZI-13Q</t>
        </is>
      </c>
      <c r="M22" s="248" t="inlineStr"/>
      <c r="N22" s="245" t="inlineStr">
        <is>
          <t>F.MSH.13Q.000.AD</t>
        </is>
      </c>
      <c r="O22" s="245" t="n"/>
      <c r="P22" s="245" t="n"/>
      <c r="Q22" s="250">
        <f>R22/H22</f>
        <v/>
      </c>
      <c r="R22" s="251" t="n">
        <v>96.76000000000001</v>
      </c>
      <c r="S22" s="249" t="n">
        <v>17960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1</v>
      </c>
      <c r="I23" s="245" t="inlineStr"/>
      <c r="J23" s="245" t="inlineStr"/>
      <c r="K23" s="245" t="inlineStr">
        <is>
          <t>FOAM MATTRESSES</t>
        </is>
      </c>
      <c r="L23" s="245" t="inlineStr">
        <is>
          <t>ZU-MFGN1YZI-08S</t>
        </is>
      </c>
      <c r="M23" s="248" t="inlineStr"/>
      <c r="N23" s="245" t="inlineStr">
        <is>
          <t>F.MFG.08S.003.AD</t>
        </is>
      </c>
      <c r="O23" s="245" t="n"/>
      <c r="P23" s="245" t="n"/>
      <c r="Q23" s="250">
        <f>R23/H23</f>
        <v/>
      </c>
      <c r="R23" s="251" t="n">
        <v>66.15000000000001</v>
      </c>
      <c r="S23" s="249" t="n">
        <v>17960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</v>
      </c>
      <c r="I24" s="245" t="inlineStr"/>
      <c r="J24" s="245" t="inlineStr"/>
      <c r="K24" s="245" t="inlineStr">
        <is>
          <t>FOAM MATTRESSES</t>
        </is>
      </c>
      <c r="L24" s="245" t="inlineStr">
        <is>
          <t>*SAMPLE*</t>
        </is>
      </c>
      <c r="M24" s="248" t="inlineStr"/>
      <c r="N24" s="245" t="inlineStr">
        <is>
          <t>F.MFM.SAMP</t>
        </is>
      </c>
      <c r="O24" s="245" t="n"/>
      <c r="P24" s="245" t="n"/>
      <c r="Q24" s="250">
        <f>R24/H24</f>
        <v/>
      </c>
      <c r="R24" s="251" t="n">
        <v>34.98</v>
      </c>
      <c r="S24" s="249" t="n">
        <v>17960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1</v>
      </c>
      <c r="I25" s="245" t="inlineStr"/>
      <c r="J25" s="245" t="inlineStr"/>
      <c r="K25" s="245" t="inlineStr">
        <is>
          <t>FOAM MATTRESSES</t>
        </is>
      </c>
      <c r="L25" s="245" t="inlineStr">
        <is>
          <t>*SAMPLE*</t>
        </is>
      </c>
      <c r="M25" s="248" t="inlineStr"/>
      <c r="N25" s="245" t="inlineStr">
        <is>
          <t>F.MFM.SAMP</t>
        </is>
      </c>
      <c r="O25" s="245" t="n"/>
      <c r="P25" s="245" t="n"/>
      <c r="Q25" s="250">
        <f>R25/H25</f>
        <v/>
      </c>
      <c r="R25" s="251" t="n">
        <v>72.95999999999999</v>
      </c>
      <c r="S25" s="249" t="n">
        <v>17960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</v>
      </c>
      <c r="I26" s="245" t="inlineStr"/>
      <c r="J26" s="245" t="inlineStr"/>
      <c r="K26" s="245" t="inlineStr">
        <is>
          <t>FOAM MATTRESSES</t>
        </is>
      </c>
      <c r="L26" s="245" t="inlineStr">
        <is>
          <t>*SAMPLE*</t>
        </is>
      </c>
      <c r="M26" s="248" t="inlineStr"/>
      <c r="N26" s="245" t="inlineStr">
        <is>
          <t>F.MFM.SAMP</t>
        </is>
      </c>
      <c r="O26" s="245" t="n"/>
      <c r="P26" s="245" t="n"/>
      <c r="Q26" s="250">
        <f>R26/H26</f>
        <v/>
      </c>
      <c r="R26" s="251" t="n">
        <v>46.55</v>
      </c>
      <c r="S26" s="249" t="n">
        <v>17960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1</v>
      </c>
      <c r="I27" s="245" t="inlineStr"/>
      <c r="J27" s="245" t="inlineStr"/>
      <c r="K27" s="245" t="inlineStr">
        <is>
          <t>FOAM MATTRESSES</t>
        </is>
      </c>
      <c r="L27" s="245" t="inlineStr">
        <is>
          <t>*SAMPLE*</t>
        </is>
      </c>
      <c r="M27" s="248" t="inlineStr"/>
      <c r="N27" s="245" t="inlineStr">
        <is>
          <t>F.MFM.SAMP</t>
        </is>
      </c>
      <c r="O27" s="245" t="n"/>
      <c r="P27" s="245" t="n"/>
      <c r="Q27" s="250">
        <f>R27/H27</f>
        <v/>
      </c>
      <c r="R27" s="251" t="n">
        <v>87.81999999999999</v>
      </c>
      <c r="S27" s="249" t="n">
        <v>17960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1</v>
      </c>
      <c r="I28" s="245" t="inlineStr"/>
      <c r="J28" s="245" t="inlineStr"/>
      <c r="K28" s="245" t="inlineStr">
        <is>
          <t>FOAM MATTRESSES</t>
        </is>
      </c>
      <c r="L28" s="245" t="inlineStr">
        <is>
          <t>*SAMPLE*</t>
        </is>
      </c>
      <c r="M28" s="248" t="inlineStr"/>
      <c r="N28" s="245" t="inlineStr">
        <is>
          <t>F.MFM.SAMP</t>
        </is>
      </c>
      <c r="O28" s="245" t="n"/>
      <c r="P28" s="245" t="n"/>
      <c r="Q28" s="250">
        <f>R28/H28</f>
        <v/>
      </c>
      <c r="R28" s="251" t="n">
        <v>56.58</v>
      </c>
      <c r="S28" s="249" t="n">
        <v>17960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1</v>
      </c>
      <c r="I29" s="245" t="inlineStr"/>
      <c r="J29" s="245" t="inlineStr"/>
      <c r="K29" s="245" t="inlineStr">
        <is>
          <t>FOAM MATTRESSES</t>
        </is>
      </c>
      <c r="L29" s="245" t="inlineStr">
        <is>
          <t>*SAMPLE*</t>
        </is>
      </c>
      <c r="M29" s="248" t="inlineStr"/>
      <c r="N29" s="245" t="inlineStr">
        <is>
          <t>F.MFM.SAMP</t>
        </is>
      </c>
      <c r="O29" s="245" t="n"/>
      <c r="P29" s="245" t="n"/>
      <c r="Q29" s="250">
        <f>R29/H29</f>
        <v/>
      </c>
      <c r="R29" s="251" t="n">
        <v>117.32</v>
      </c>
      <c r="S29" s="249" t="n">
        <v>17960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</v>
      </c>
      <c r="I30" s="245" t="inlineStr"/>
      <c r="J30" s="245" t="inlineStr"/>
      <c r="K30" s="245" t="inlineStr">
        <is>
          <t>FOAM MATTRESSES</t>
        </is>
      </c>
      <c r="L30" s="245" t="inlineStr">
        <is>
          <t>*SAMPLE*</t>
        </is>
      </c>
      <c r="M30" s="248" t="inlineStr"/>
      <c r="N30" s="245" t="inlineStr">
        <is>
          <t>F.MFM.SAMP</t>
        </is>
      </c>
      <c r="O30" s="245" t="n"/>
      <c r="P30" s="245" t="n"/>
      <c r="Q30" s="250">
        <f>R30/H30</f>
        <v/>
      </c>
      <c r="R30" s="251" t="n">
        <v>61.99</v>
      </c>
      <c r="S30" s="249" t="n">
        <v>17960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</v>
      </c>
      <c r="I31" s="245" t="inlineStr"/>
      <c r="J31" s="245" t="inlineStr"/>
      <c r="K31" s="245" t="inlineStr">
        <is>
          <t>FOAM MATTRESSES</t>
        </is>
      </c>
      <c r="L31" s="245" t="inlineStr">
        <is>
          <t>GFM-10F</t>
        </is>
      </c>
      <c r="M31" s="248" t="inlineStr"/>
      <c r="N31" s="245" t="inlineStr">
        <is>
          <t>F.MFG.10F.000.BD</t>
        </is>
      </c>
      <c r="O31" s="245" t="n"/>
      <c r="P31" s="245" t="n"/>
      <c r="Q31" s="250">
        <f>R31/H31</f>
        <v/>
      </c>
      <c r="R31" s="251" t="n">
        <v>63.53</v>
      </c>
      <c r="S31" s="249" t="n">
        <v>17960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</v>
      </c>
      <c r="I32" s="245" t="inlineStr"/>
      <c r="J32" s="245" t="inlineStr"/>
      <c r="K32" s="245" t="inlineStr">
        <is>
          <t>FOAM MATTRESSES</t>
        </is>
      </c>
      <c r="L32" s="245" t="inlineStr">
        <is>
          <t>GFM-10K</t>
        </is>
      </c>
      <c r="M32" s="248" t="inlineStr"/>
      <c r="N32" s="245" t="inlineStr">
        <is>
          <t>F.MFG.10K.000.BD</t>
        </is>
      </c>
      <c r="O32" s="245" t="n"/>
      <c r="P32" s="245" t="n"/>
      <c r="Q32" s="250">
        <f>R32/H32</f>
        <v/>
      </c>
      <c r="R32" s="251" t="n">
        <v>92.59</v>
      </c>
      <c r="S32" s="249" t="n">
        <v>17960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1</v>
      </c>
      <c r="I33" s="245" t="inlineStr"/>
      <c r="J33" s="245" t="inlineStr"/>
      <c r="K33" s="245" t="inlineStr">
        <is>
          <t>FOAM MATTRESSES</t>
        </is>
      </c>
      <c r="L33" s="245" t="inlineStr">
        <is>
          <t>GFM-10Q</t>
        </is>
      </c>
      <c r="M33" s="248" t="inlineStr"/>
      <c r="N33" s="245" t="inlineStr">
        <is>
          <t>F.MFG.10Q.000.BD</t>
        </is>
      </c>
      <c r="O33" s="245" t="n"/>
      <c r="P33" s="245" t="n"/>
      <c r="Q33" s="250">
        <f>R33/H33</f>
        <v/>
      </c>
      <c r="R33" s="251" t="n">
        <v>75.42</v>
      </c>
      <c r="S33" s="249" t="n">
        <v>17960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1</v>
      </c>
      <c r="I34" s="245" t="inlineStr"/>
      <c r="J34" s="245" t="inlineStr"/>
      <c r="K34" s="245" t="inlineStr">
        <is>
          <t>FOAM MATTRESSES</t>
        </is>
      </c>
      <c r="L34" s="245" t="inlineStr">
        <is>
          <t>GFM-10T</t>
        </is>
      </c>
      <c r="M34" s="248" t="inlineStr"/>
      <c r="N34" s="245" t="inlineStr">
        <is>
          <t>F.MFG.10T.000.BD</t>
        </is>
      </c>
      <c r="O34" s="245" t="n"/>
      <c r="P34" s="245" t="n"/>
      <c r="Q34" s="250">
        <f>R34/H34</f>
        <v/>
      </c>
      <c r="R34" s="251" t="n">
        <v>48.09</v>
      </c>
      <c r="S34" s="249" t="n">
        <v>17960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1</v>
      </c>
      <c r="I35" s="245" t="inlineStr"/>
      <c r="J35" s="245" t="inlineStr"/>
      <c r="K35" s="245" t="inlineStr">
        <is>
          <t>FOAM MATTRESSES</t>
        </is>
      </c>
      <c r="L35" s="245" t="inlineStr">
        <is>
          <t>GFM-12F</t>
        </is>
      </c>
      <c r="M35" s="248" t="inlineStr"/>
      <c r="N35" s="245" t="inlineStr">
        <is>
          <t>F.MFG.12F.000.BD</t>
        </is>
      </c>
      <c r="O35" s="245" t="n"/>
      <c r="P35" s="245" t="n"/>
      <c r="Q35" s="250">
        <f>R35/H35</f>
        <v/>
      </c>
      <c r="R35" s="251" t="n">
        <v>73.37</v>
      </c>
      <c r="S35" s="249" t="n">
        <v>17960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1</v>
      </c>
      <c r="I36" s="245" t="inlineStr"/>
      <c r="J36" s="245" t="inlineStr"/>
      <c r="K36" s="245" t="inlineStr">
        <is>
          <t>FOAM MATTRESSES</t>
        </is>
      </c>
      <c r="L36" s="245" t="inlineStr">
        <is>
          <t>GFM-12K</t>
        </is>
      </c>
      <c r="M36" s="248" t="inlineStr"/>
      <c r="N36" s="245" t="inlineStr">
        <is>
          <t>F.MFG.12K.000.BD</t>
        </is>
      </c>
      <c r="O36" s="245" t="n"/>
      <c r="P36" s="245" t="n"/>
      <c r="Q36" s="250">
        <f>R36/H36</f>
        <v/>
      </c>
      <c r="R36" s="251" t="n">
        <v>105.47</v>
      </c>
      <c r="S36" s="249" t="n">
        <v>17960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1</v>
      </c>
      <c r="I37" s="245" t="inlineStr"/>
      <c r="J37" s="245" t="inlineStr"/>
      <c r="K37" s="245" t="inlineStr">
        <is>
          <t>FOAM MATTRESSES</t>
        </is>
      </c>
      <c r="L37" s="245" t="inlineStr">
        <is>
          <t>GFM-12Q</t>
        </is>
      </c>
      <c r="M37" s="248" t="inlineStr"/>
      <c r="N37" s="245" t="inlineStr">
        <is>
          <t>F.MFG.12Q.000.BD</t>
        </is>
      </c>
      <c r="O37" s="245" t="n"/>
      <c r="P37" s="245" t="n"/>
      <c r="Q37" s="250">
        <f>R37/H37</f>
        <v/>
      </c>
      <c r="R37" s="251" t="n">
        <v>85.84999999999999</v>
      </c>
      <c r="S37" s="249" t="n">
        <v>17960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1</v>
      </c>
      <c r="I38" s="245" t="inlineStr"/>
      <c r="J38" s="245" t="inlineStr"/>
      <c r="K38" s="245" t="inlineStr">
        <is>
          <t>FOAM MATTRESSES</t>
        </is>
      </c>
      <c r="L38" s="245" t="inlineStr">
        <is>
          <t>GFM-12T</t>
        </is>
      </c>
      <c r="M38" s="248" t="inlineStr"/>
      <c r="N38" s="245" t="inlineStr">
        <is>
          <t>F.MFG.12T.000.BD</t>
        </is>
      </c>
      <c r="O38" s="245" t="n"/>
      <c r="P38" s="245" t="n"/>
      <c r="Q38" s="250">
        <f>R38/H38</f>
        <v/>
      </c>
      <c r="R38" s="251" t="n">
        <v>54.81</v>
      </c>
      <c r="S38" s="249" t="n">
        <v>17960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1</v>
      </c>
      <c r="I39" s="245" t="inlineStr"/>
      <c r="J39" s="245" t="inlineStr"/>
      <c r="K39" s="245" t="inlineStr">
        <is>
          <t>FOAM MATTRESSES</t>
        </is>
      </c>
      <c r="L39" s="245" t="inlineStr">
        <is>
          <t>GFM-5T</t>
        </is>
      </c>
      <c r="M39" s="248" t="inlineStr"/>
      <c r="N39" s="245" t="inlineStr">
        <is>
          <t>F.MFG.05T.000.BD</t>
        </is>
      </c>
      <c r="O39" s="245" t="n"/>
      <c r="P39" s="245" t="n"/>
      <c r="Q39" s="250">
        <f>R39/H39</f>
        <v/>
      </c>
      <c r="R39" s="251" t="n">
        <v>31.76</v>
      </c>
      <c r="S39" s="249" t="n">
        <v>17960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1</v>
      </c>
      <c r="I40" s="245" t="inlineStr"/>
      <c r="J40" s="245" t="inlineStr"/>
      <c r="K40" s="245" t="inlineStr">
        <is>
          <t>FOAM MATTRESSES</t>
        </is>
      </c>
      <c r="L40" s="245" t="inlineStr">
        <is>
          <t>GFM-6F</t>
        </is>
      </c>
      <c r="M40" s="248" t="inlineStr"/>
      <c r="N40" s="245" t="inlineStr">
        <is>
          <t>F.MFG.06F.000.BD</t>
        </is>
      </c>
      <c r="O40" s="245" t="n"/>
      <c r="P40" s="245" t="n"/>
      <c r="Q40" s="250">
        <f>R40/H40</f>
        <v/>
      </c>
      <c r="R40" s="251" t="n">
        <v>45.03</v>
      </c>
      <c r="S40" s="249" t="n">
        <v>17960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1</v>
      </c>
      <c r="I41" s="245" t="inlineStr"/>
      <c r="J41" s="245" t="inlineStr"/>
      <c r="K41" s="245" t="inlineStr">
        <is>
          <t>FOAM MATTRESSES</t>
        </is>
      </c>
      <c r="L41" s="245" t="inlineStr">
        <is>
          <t>GFM-6Q</t>
        </is>
      </c>
      <c r="M41" s="248" t="inlineStr"/>
      <c r="N41" s="245" t="inlineStr">
        <is>
          <t>F.MFG.06Q.000.BD</t>
        </is>
      </c>
      <c r="O41" s="245" t="n"/>
      <c r="P41" s="245" t="n"/>
      <c r="Q41" s="250">
        <f>R41/H41</f>
        <v/>
      </c>
      <c r="R41" s="251" t="n">
        <v>53.22</v>
      </c>
      <c r="S41" s="249" t="n">
        <v>17960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</v>
      </c>
      <c r="I42" s="245" t="inlineStr"/>
      <c r="J42" s="245" t="inlineStr"/>
      <c r="K42" s="245" t="inlineStr">
        <is>
          <t>FOAM MATTRESSES</t>
        </is>
      </c>
      <c r="L42" s="245" t="inlineStr">
        <is>
          <t>GFM-6T</t>
        </is>
      </c>
      <c r="M42" s="248" t="inlineStr"/>
      <c r="N42" s="245" t="inlineStr">
        <is>
          <t>F.MFG.06T.000.BD</t>
        </is>
      </c>
      <c r="O42" s="245" t="n"/>
      <c r="P42" s="245" t="n"/>
      <c r="Q42" s="250">
        <f>R42/H42</f>
        <v/>
      </c>
      <c r="R42" s="251" t="n">
        <v>33.78</v>
      </c>
      <c r="S42" s="249" t="n">
        <v>17960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FOAM MATTRESSES</t>
        </is>
      </c>
      <c r="L43" s="245" t="inlineStr">
        <is>
          <t>GFM-8F</t>
        </is>
      </c>
      <c r="M43" s="248" t="inlineStr"/>
      <c r="N43" s="245" t="inlineStr">
        <is>
          <t>F.MFG.08F.000.BD</t>
        </is>
      </c>
      <c r="O43" s="245" t="n"/>
      <c r="P43" s="245" t="n"/>
      <c r="Q43" s="250">
        <f>R43/H43</f>
        <v/>
      </c>
      <c r="R43" s="251" t="n">
        <v>54.9</v>
      </c>
      <c r="S43" s="249" t="n">
        <v>17960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FOAM MATTRESSES</t>
        </is>
      </c>
      <c r="L44" s="245" t="inlineStr">
        <is>
          <t>GFM-8Q</t>
        </is>
      </c>
      <c r="M44" s="248" t="inlineStr"/>
      <c r="N44" s="245" t="inlineStr">
        <is>
          <t>F.MFG.08Q.000.BD</t>
        </is>
      </c>
      <c r="O44" s="245" t="n"/>
      <c r="P44" s="245" t="n"/>
      <c r="Q44" s="250">
        <f>R44/H44</f>
        <v/>
      </c>
      <c r="R44" s="251" t="n">
        <v>64.81</v>
      </c>
      <c r="S44" s="249" t="n">
        <v>17960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1</v>
      </c>
      <c r="I45" s="245" t="inlineStr"/>
      <c r="J45" s="245" t="inlineStr"/>
      <c r="K45" s="245" t="inlineStr">
        <is>
          <t>FOAM MATTRESSES</t>
        </is>
      </c>
      <c r="L45" s="245" t="inlineStr">
        <is>
          <t>GFM-8T</t>
        </is>
      </c>
      <c r="M45" s="248" t="inlineStr"/>
      <c r="N45" s="245" t="inlineStr">
        <is>
          <t>F.MFG.08T.000.BD</t>
        </is>
      </c>
      <c r="O45" s="245" t="n"/>
      <c r="P45" s="245" t="n"/>
      <c r="Q45" s="250">
        <f>R45/H45</f>
        <v/>
      </c>
      <c r="R45" s="251" t="n">
        <v>40.7</v>
      </c>
      <c r="S45" s="249" t="n">
        <v>17960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4</v>
      </c>
      <c r="I46" s="245" t="inlineStr"/>
      <c r="J46" s="245" t="inlineStr"/>
      <c r="K46" s="245" t="inlineStr">
        <is>
          <t>TOPPERS</t>
        </is>
      </c>
      <c r="L46" s="245" t="inlineStr">
        <is>
          <t>MF-TGTNM4ZI-04T</t>
        </is>
      </c>
      <c r="M46" s="248" t="inlineStr"/>
      <c r="N46" s="245" t="inlineStr">
        <is>
          <t>F.TGT.04T.002.ZU</t>
        </is>
      </c>
      <c r="O46" s="245" t="n"/>
      <c r="P46" s="245" t="n"/>
      <c r="Q46" s="250">
        <f>R46/H46</f>
        <v/>
      </c>
      <c r="R46" s="251" t="n">
        <v>134.24</v>
      </c>
      <c r="S46" s="249" t="n">
        <v>17960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7.1" customHeight="1" s="202">
      <c r="A47" s="254" t="n"/>
      <c r="B47" s="254" t="n"/>
      <c r="C47" s="254" t="n"/>
      <c r="D47" s="254" t="n"/>
      <c r="E47" s="254" t="n"/>
      <c r="F47" s="254" t="n"/>
      <c r="G47" s="254" t="n"/>
      <c r="H47" s="255">
        <f>SUM(H12:H46)</f>
        <v/>
      </c>
      <c r="I47" s="254">
        <f>COUNTA(I12:I46)</f>
        <v/>
      </c>
      <c r="J47" s="254" t="n"/>
      <c r="K47" s="254" t="n"/>
      <c r="L47" s="254" t="n"/>
      <c r="M47" s="254" t="n"/>
      <c r="N47" s="254" t="n"/>
      <c r="O47" s="256">
        <f>SUM(O12:O46)</f>
        <v/>
      </c>
      <c r="P47" s="256">
        <f>SUM(P12:P46)</f>
        <v/>
      </c>
      <c r="Q47" s="254" t="n"/>
      <c r="R47" s="257">
        <f>SUM(R12:R46)</f>
        <v/>
      </c>
      <c r="S47" s="254" t="n"/>
      <c r="T47" s="258">
        <f>SUM(T12:T46)</f>
        <v/>
      </c>
      <c r="U47" s="254" t="n"/>
      <c r="V47" s="254" t="n"/>
      <c r="W47" s="254" t="n"/>
      <c r="X47" s="254" t="n"/>
      <c r="Y47" s="254" t="n"/>
      <c r="Z47" s="254" t="n"/>
    </row>
    <row r="48" ht="16.5" customHeight="1" s="202">
      <c r="A48" s="245" t="n">
        <v>2</v>
      </c>
      <c r="B48" s="245" t="inlineStr">
        <is>
          <t>000030ZIK48020260814000633</t>
        </is>
      </c>
      <c r="C48" s="245" t="n">
        <v>516647</v>
      </c>
      <c r="D48" s="245" t="n">
        <v>516603</v>
      </c>
      <c r="E48" s="246" t="n">
        <v>46252</v>
      </c>
      <c r="F48" s="245" t="inlineStr">
        <is>
          <t>ID2608-8140</t>
        </is>
      </c>
      <c r="G48" s="246" t="n">
        <v>46248</v>
      </c>
      <c r="H48" s="247" t="n">
        <v>450</v>
      </c>
      <c r="I48" s="245" t="inlineStr">
        <is>
          <t>ONEU5369934</t>
        </is>
      </c>
      <c r="J48" s="245" t="inlineStr">
        <is>
          <t>40FT</t>
        </is>
      </c>
      <c r="K48" s="245" t="inlineStr">
        <is>
          <t>8IN GREEN TEA MF MATTRESS QN</t>
        </is>
      </c>
      <c r="L48" s="245" t="inlineStr">
        <is>
          <t>SCF-STR-800Q</t>
        </is>
      </c>
      <c r="M48" s="248" t="inlineStr">
        <is>
          <t>0993630487</t>
        </is>
      </c>
      <c r="N48" s="245" t="inlineStr">
        <is>
          <t>F.MFM.08Q.000.WS</t>
        </is>
      </c>
      <c r="O48" s="249" t="n">
        <v>10755</v>
      </c>
      <c r="P48" s="249" t="n">
        <v>9594</v>
      </c>
      <c r="Q48" s="250">
        <f>R48/H48</f>
        <v/>
      </c>
      <c r="R48" s="251" t="n">
        <v>42286.5</v>
      </c>
      <c r="S48" s="249" t="n">
        <v>17960</v>
      </c>
      <c r="T48" s="252">
        <f>S48*R48</f>
        <v/>
      </c>
      <c r="U48" s="245" t="inlineStr">
        <is>
          <t>040300/KPPBC</t>
        </is>
      </c>
      <c r="V48" s="245" t="inlineStr">
        <is>
          <t>TG. PRIOK</t>
        </is>
      </c>
      <c r="W48" s="245" t="inlineStr">
        <is>
          <t>CHARLESTON, US</t>
        </is>
      </c>
      <c r="X48" s="245" t="inlineStr">
        <is>
          <t>WALMART, INC.</t>
        </is>
      </c>
      <c r="Y48" s="245" t="inlineStr">
        <is>
          <t>ONEYJKTG65320401</t>
        </is>
      </c>
      <c r="Z48" s="246" t="n">
        <v>46252</v>
      </c>
    </row>
    <row r="49" ht="16.5" customHeight="1" s="202">
      <c r="A49" s="245" t="n"/>
      <c r="B49" s="245" t="n"/>
      <c r="C49" s="245" t="n"/>
      <c r="D49" s="245" t="n"/>
      <c r="E49" s="245" t="n"/>
      <c r="F49" s="245" t="n"/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5" t="n"/>
      <c r="W49" s="245" t="inlineStr">
        <is>
          <t>ETD : 23-08-2026</t>
        </is>
      </c>
      <c r="X49" s="245" t="n"/>
      <c r="Y49" s="245" t="n"/>
      <c r="Z49" s="245" t="n"/>
    </row>
    <row r="50" ht="17.1" customHeight="1" s="202">
      <c r="A50" s="254" t="n"/>
      <c r="B50" s="254" t="n"/>
      <c r="C50" s="254" t="n"/>
      <c r="D50" s="254" t="n"/>
      <c r="E50" s="254" t="n"/>
      <c r="F50" s="254" t="n"/>
      <c r="G50" s="254" t="n"/>
      <c r="H50" s="255">
        <f>SUM(H48:H49)</f>
        <v/>
      </c>
      <c r="I50" s="254">
        <f>COUNTA(I48:I49)</f>
        <v/>
      </c>
      <c r="J50" s="254" t="n"/>
      <c r="K50" s="254" t="n"/>
      <c r="L50" s="254" t="n"/>
      <c r="M50" s="254" t="n"/>
      <c r="N50" s="254" t="n"/>
      <c r="O50" s="256">
        <f>SUM(O48:O49)</f>
        <v/>
      </c>
      <c r="P50" s="256">
        <f>SUM(P48:P49)</f>
        <v/>
      </c>
      <c r="Q50" s="254" t="n"/>
      <c r="R50" s="257">
        <f>SUM(R48:R49)</f>
        <v/>
      </c>
      <c r="S50" s="254" t="n"/>
      <c r="T50" s="258">
        <f>SUM(T48:T49)</f>
        <v/>
      </c>
      <c r="U50" s="254" t="n"/>
      <c r="V50" s="254" t="n"/>
      <c r="W50" s="254" t="n"/>
      <c r="X50" s="254" t="n"/>
      <c r="Y50" s="254" t="n"/>
      <c r="Z50" s="254" t="n"/>
    </row>
    <row r="51" ht="16.5" customHeight="1" s="202">
      <c r="A51" s="245" t="n">
        <v>3</v>
      </c>
      <c r="B51" s="245" t="inlineStr">
        <is>
          <t>000030ZIK48020260814000634</t>
        </is>
      </c>
      <c r="C51" s="245" t="n">
        <v>516657</v>
      </c>
      <c r="D51" s="245" t="n">
        <v>516613</v>
      </c>
      <c r="E51" s="246" t="n">
        <v>46252</v>
      </c>
      <c r="F51" s="245" t="inlineStr">
        <is>
          <t>ID2608-8141</t>
        </is>
      </c>
      <c r="G51" s="246" t="n">
        <v>46248</v>
      </c>
      <c r="H51" s="247" t="n">
        <v>1040</v>
      </c>
      <c r="I51" s="245" t="inlineStr">
        <is>
          <t>NYKU5194145</t>
        </is>
      </c>
      <c r="J51" s="245" t="inlineStr">
        <is>
          <t>40FT</t>
        </is>
      </c>
      <c r="K51" s="245" t="inlineStr">
        <is>
          <t>8IN GREEN TEA MF MATTRESS FL</t>
        </is>
      </c>
      <c r="L51" s="245" t="inlineStr">
        <is>
          <t>SCF-STR-800F</t>
        </is>
      </c>
      <c r="M51" s="248" t="inlineStr">
        <is>
          <t>0993630699</t>
        </is>
      </c>
      <c r="N51" s="245" t="inlineStr">
        <is>
          <t>F.MFM.08F.000.WS</t>
        </is>
      </c>
      <c r="O51" s="249" t="n">
        <v>21236.8</v>
      </c>
      <c r="P51" s="249" t="n">
        <v>18740.8</v>
      </c>
      <c r="Q51" s="250">
        <f>R51/H51</f>
        <v/>
      </c>
      <c r="R51" s="251" t="n">
        <v>82960.8</v>
      </c>
      <c r="S51" s="249" t="n">
        <v>17960</v>
      </c>
      <c r="T51" s="252">
        <f>S51*R51</f>
        <v/>
      </c>
      <c r="U51" s="245" t="inlineStr">
        <is>
          <t>040300/KPPBC</t>
        </is>
      </c>
      <c r="V51" s="245" t="inlineStr">
        <is>
          <t>TG. PRIOK</t>
        </is>
      </c>
      <c r="W51" s="245" t="inlineStr">
        <is>
          <t>CHARLESTON, US</t>
        </is>
      </c>
      <c r="X51" s="245" t="inlineStr">
        <is>
          <t>WALMART, INC.</t>
        </is>
      </c>
      <c r="Y51" s="245" t="inlineStr">
        <is>
          <t>ONEYJKTG65320402</t>
        </is>
      </c>
      <c r="Z51" s="246" t="n">
        <v>46252</v>
      </c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5" t="n"/>
      <c r="I52" s="245" t="inlineStr">
        <is>
          <t>TRHU5608353</t>
        </is>
      </c>
      <c r="J52" s="245" t="inlineStr">
        <is>
          <t>40FT</t>
        </is>
      </c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5" t="n"/>
      <c r="W52" s="245" t="inlineStr">
        <is>
          <t>ETD : 23-08-2026</t>
        </is>
      </c>
      <c r="X52" s="245" t="n"/>
      <c r="Y52" s="245" t="n"/>
      <c r="Z52" s="245" t="n"/>
    </row>
    <row r="53" ht="17.1" customHeight="1" s="202">
      <c r="A53" s="254" t="n"/>
      <c r="B53" s="254" t="n"/>
      <c r="C53" s="254" t="n"/>
      <c r="D53" s="254" t="n"/>
      <c r="E53" s="254" t="n"/>
      <c r="F53" s="254" t="n"/>
      <c r="G53" s="254" t="n"/>
      <c r="H53" s="255">
        <f>SUM(H51:H52)</f>
        <v/>
      </c>
      <c r="I53" s="254">
        <f>COUNTA(I51:I52)</f>
        <v/>
      </c>
      <c r="J53" s="254" t="n"/>
      <c r="K53" s="254" t="n"/>
      <c r="L53" s="254" t="n"/>
      <c r="M53" s="254" t="n"/>
      <c r="N53" s="254" t="n"/>
      <c r="O53" s="256">
        <f>SUM(O51:O52)</f>
        <v/>
      </c>
      <c r="P53" s="256">
        <f>SUM(P51:P52)</f>
        <v/>
      </c>
      <c r="Q53" s="254" t="n"/>
      <c r="R53" s="257">
        <f>SUM(R51:R52)</f>
        <v/>
      </c>
      <c r="S53" s="254" t="n"/>
      <c r="T53" s="258">
        <f>SUM(T51:T52)</f>
        <v/>
      </c>
      <c r="U53" s="254" t="n"/>
      <c r="V53" s="254" t="n"/>
      <c r="W53" s="254" t="n"/>
      <c r="X53" s="254" t="n"/>
      <c r="Y53" s="254" t="n"/>
      <c r="Z53" s="254" t="n"/>
    </row>
    <row r="54" ht="16.5" customHeight="1" s="202">
      <c r="A54" s="245" t="n">
        <v>4</v>
      </c>
      <c r="B54" s="245" t="inlineStr">
        <is>
          <t>000030ZIK48020260814000635</t>
        </is>
      </c>
      <c r="C54" s="245" t="n">
        <v>516670</v>
      </c>
      <c r="D54" s="245" t="n">
        <v>516626</v>
      </c>
      <c r="E54" s="246" t="n">
        <v>46252</v>
      </c>
      <c r="F54" s="245" t="inlineStr">
        <is>
          <t>ID2608-8142</t>
        </is>
      </c>
      <c r="G54" s="246" t="n">
        <v>46248</v>
      </c>
      <c r="H54" s="247" t="n">
        <v>1386</v>
      </c>
      <c r="I54" s="245" t="inlineStr">
        <is>
          <t>KKFU7845733</t>
        </is>
      </c>
      <c r="J54" s="245" t="inlineStr">
        <is>
          <t>40FT</t>
        </is>
      </c>
      <c r="K54" s="245" t="inlineStr">
        <is>
          <t>8IN GREEN TEA MF MATTRESS TW</t>
        </is>
      </c>
      <c r="L54" s="245" t="inlineStr">
        <is>
          <t>SCF-STR-800T</t>
        </is>
      </c>
      <c r="M54" s="248" t="inlineStr">
        <is>
          <t>0993631159</t>
        </is>
      </c>
      <c r="N54" s="245" t="inlineStr">
        <is>
          <t>F.MFM.08T.000.WS</t>
        </is>
      </c>
      <c r="O54" s="249" t="n">
        <v>21053.34</v>
      </c>
      <c r="P54" s="249" t="n">
        <v>18281.34</v>
      </c>
      <c r="Q54" s="250">
        <f>R54/H54</f>
        <v/>
      </c>
      <c r="R54" s="251" t="n">
        <v>85239</v>
      </c>
      <c r="S54" s="249" t="n">
        <v>17960</v>
      </c>
      <c r="T54" s="252">
        <f>S54*R54</f>
        <v/>
      </c>
      <c r="U54" s="245" t="inlineStr">
        <is>
          <t>040300/KPPBC</t>
        </is>
      </c>
      <c r="V54" s="245" t="inlineStr">
        <is>
          <t>TG. PRIOK</t>
        </is>
      </c>
      <c r="W54" s="245" t="inlineStr">
        <is>
          <t>CHARLESTON, US</t>
        </is>
      </c>
      <c r="X54" s="245" t="inlineStr">
        <is>
          <t>WALMART, INC.</t>
        </is>
      </c>
      <c r="Y54" s="245" t="inlineStr">
        <is>
          <t>ONEYJKTG65320400</t>
        </is>
      </c>
      <c r="Z54" s="246" t="n">
        <v>46252</v>
      </c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5" t="n"/>
      <c r="I55" s="245" t="inlineStr">
        <is>
          <t>FCIU7122696</t>
        </is>
      </c>
      <c r="J55" s="245" t="inlineStr">
        <is>
          <t>40FT</t>
        </is>
      </c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5" t="n"/>
      <c r="W55" s="245" t="inlineStr">
        <is>
          <t>ETD : 23-08-2026</t>
        </is>
      </c>
      <c r="X55" s="245" t="n"/>
      <c r="Y55" s="245" t="n"/>
      <c r="Z55" s="245" t="n"/>
    </row>
    <row r="56" ht="17.1" customHeight="1" s="202">
      <c r="A56" s="254" t="n"/>
      <c r="B56" s="254" t="n"/>
      <c r="C56" s="254" t="n"/>
      <c r="D56" s="254" t="n"/>
      <c r="E56" s="254" t="n"/>
      <c r="F56" s="254" t="n"/>
      <c r="G56" s="254" t="n"/>
      <c r="H56" s="255">
        <f>SUM(H54:H55)</f>
        <v/>
      </c>
      <c r="I56" s="254">
        <f>COUNTA(I54:I55)</f>
        <v/>
      </c>
      <c r="J56" s="254" t="n"/>
      <c r="K56" s="254" t="n"/>
      <c r="L56" s="254" t="n"/>
      <c r="M56" s="254" t="n"/>
      <c r="N56" s="254" t="n"/>
      <c r="O56" s="256">
        <f>SUM(O54:O55)</f>
        <v/>
      </c>
      <c r="P56" s="256">
        <f>SUM(P54:P55)</f>
        <v/>
      </c>
      <c r="Q56" s="254" t="n"/>
      <c r="R56" s="257">
        <f>SUM(R54:R55)</f>
        <v/>
      </c>
      <c r="S56" s="254" t="n"/>
      <c r="T56" s="258">
        <f>SUM(T54:T55)</f>
        <v/>
      </c>
      <c r="U56" s="254" t="n"/>
      <c r="V56" s="254" t="n"/>
      <c r="W56" s="254" t="n"/>
      <c r="X56" s="254" t="n"/>
      <c r="Y56" s="254" t="n"/>
      <c r="Z56" s="254" t="n"/>
    </row>
    <row r="57" ht="16.5" customHeight="1" s="202">
      <c r="A57" s="245" t="n">
        <v>5</v>
      </c>
      <c r="B57" s="245" t="inlineStr">
        <is>
          <t>000030ZIK48020260814000636</t>
        </is>
      </c>
      <c r="C57" s="245" t="n">
        <v>516681</v>
      </c>
      <c r="D57" s="245" t="n">
        <v>516637</v>
      </c>
      <c r="E57" s="246" t="n">
        <v>46252</v>
      </c>
      <c r="F57" s="245" t="inlineStr">
        <is>
          <t>ID2607-7985</t>
        </is>
      </c>
      <c r="G57" s="246" t="n">
        <v>46234</v>
      </c>
      <c r="H57" s="247" t="n">
        <v>1</v>
      </c>
      <c r="I57" s="245" t="inlineStr">
        <is>
          <t>MRSU3598361</t>
        </is>
      </c>
      <c r="J57" s="245" t="inlineStr">
        <is>
          <t>40FT</t>
        </is>
      </c>
      <c r="K57" s="245" t="inlineStr">
        <is>
          <t>6IN MYGEL FOAM MATTRESS FL</t>
        </is>
      </c>
      <c r="L57" s="245" t="inlineStr">
        <is>
          <t>ZU-MFGN1YZI-06F</t>
        </is>
      </c>
      <c r="M57" s="248" t="inlineStr">
        <is>
          <t>25GARWBY</t>
        </is>
      </c>
      <c r="N57" s="245" t="inlineStr">
        <is>
          <t>F.MFG.06F.002.AD</t>
        </is>
      </c>
      <c r="O57" s="249" t="n">
        <v>49426.16</v>
      </c>
      <c r="P57" s="249" t="n">
        <v>44961.17</v>
      </c>
      <c r="Q57" s="250">
        <f>R57/H57</f>
        <v/>
      </c>
      <c r="R57" s="251" t="n">
        <v>38.93</v>
      </c>
      <c r="S57" s="249" t="n">
        <v>17960</v>
      </c>
      <c r="T57" s="252">
        <f>S57*R57</f>
        <v/>
      </c>
      <c r="U57" s="245" t="inlineStr">
        <is>
          <t>040300/KPPBC</t>
        </is>
      </c>
      <c r="V57" s="245" t="inlineStr">
        <is>
          <t>TG. PRIOK</t>
        </is>
      </c>
      <c r="W57" s="245" t="inlineStr">
        <is>
          <t>NEWARK, US</t>
        </is>
      </c>
      <c r="X57" s="245" t="inlineStr">
        <is>
          <t>AMAZON.COM SERVICES LLC</t>
        </is>
      </c>
      <c r="Y57" s="245" t="inlineStr">
        <is>
          <t>MAEU274523784</t>
        </is>
      </c>
      <c r="Z57" s="246" t="n">
        <v>46252</v>
      </c>
    </row>
    <row r="58" ht="16.5" customHeight="1" s="202">
      <c r="A58" s="245" t="n"/>
      <c r="B58" s="245" t="n"/>
      <c r="C58" s="245" t="n"/>
      <c r="D58" s="245" t="n"/>
      <c r="E58" s="245" t="n"/>
      <c r="F58" s="245" t="n"/>
      <c r="G58" s="245" t="n"/>
      <c r="H58" s="247" t="n">
        <v>1</v>
      </c>
      <c r="I58" s="245" t="inlineStr">
        <is>
          <t>MRKU3775211</t>
        </is>
      </c>
      <c r="J58" s="245" t="inlineStr">
        <is>
          <t>40FT</t>
        </is>
      </c>
      <c r="K58" s="245" t="inlineStr">
        <is>
          <t>10IN GREEN TEA MF MATTRESS FL</t>
        </is>
      </c>
      <c r="L58" s="245" t="inlineStr">
        <is>
          <t>ZU-MFMA1FZI-10F</t>
        </is>
      </c>
      <c r="M58" s="248" t="inlineStr">
        <is>
          <t>25GARWBY</t>
        </is>
      </c>
      <c r="N58" s="245" t="inlineStr">
        <is>
          <t>F.MFM.10F.009.AD</t>
        </is>
      </c>
      <c r="O58" s="245" t="n"/>
      <c r="P58" s="245" t="n"/>
      <c r="Q58" s="250">
        <f>R58/H58</f>
        <v/>
      </c>
      <c r="R58" s="251" t="n">
        <v>65.25</v>
      </c>
      <c r="S58" s="249" t="n">
        <v>17960</v>
      </c>
      <c r="T58" s="252">
        <f>S58*R58</f>
        <v/>
      </c>
      <c r="U58" s="245" t="n"/>
      <c r="V58" s="245" t="n"/>
      <c r="W58" s="245" t="inlineStr">
        <is>
          <t>ETD : 22-08-2026</t>
        </is>
      </c>
      <c r="X58" s="245" t="n"/>
      <c r="Y58" s="245" t="n"/>
      <c r="Z58" s="245" t="n"/>
    </row>
    <row r="59" ht="16.5" customHeight="1" s="202">
      <c r="A59" s="245" t="n"/>
      <c r="B59" s="245" t="n"/>
      <c r="C59" s="245" t="n"/>
      <c r="D59" s="245" t="n"/>
      <c r="E59" s="245" t="n"/>
      <c r="F59" s="245" t="n"/>
      <c r="G59" s="245" t="n"/>
      <c r="H59" s="247" t="n">
        <v>418</v>
      </c>
      <c r="I59" s="245" t="inlineStr">
        <is>
          <t>TCNU1118930</t>
        </is>
      </c>
      <c r="J59" s="245" t="inlineStr">
        <is>
          <t>40FT</t>
        </is>
      </c>
      <c r="K59" s="245" t="inlineStr">
        <is>
          <t>12IN AIRFLOW GEL FOAM MATT QN</t>
        </is>
      </c>
      <c r="L59" s="245" t="inlineStr">
        <is>
          <t>ZU-MFMA1RZI-12Q</t>
        </is>
      </c>
      <c r="M59" s="248" t="inlineStr">
        <is>
          <t>25GARWBY</t>
        </is>
      </c>
      <c r="N59" s="245" t="inlineStr">
        <is>
          <t>F.MFM.12Q.011.AD</t>
        </is>
      </c>
      <c r="O59" s="245" t="n"/>
      <c r="P59" s="245" t="n"/>
      <c r="Q59" s="250">
        <f>R59/H59</f>
        <v/>
      </c>
      <c r="R59" s="251" t="n">
        <v>28244.26</v>
      </c>
      <c r="S59" s="249" t="n">
        <v>17960</v>
      </c>
      <c r="T59" s="252">
        <f>S59*R59</f>
        <v/>
      </c>
      <c r="U59" s="245" t="n"/>
      <c r="V59" s="245" t="n"/>
      <c r="W59" s="245" t="n"/>
      <c r="X59" s="245" t="n"/>
      <c r="Y59" s="245" t="n"/>
      <c r="Z59" s="245" t="n"/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24</v>
      </c>
      <c r="I60" s="245" t="inlineStr">
        <is>
          <t>TRHU5026579</t>
        </is>
      </c>
      <c r="J60" s="245" t="inlineStr">
        <is>
          <t>40FT</t>
        </is>
      </c>
      <c r="K60" s="245" t="inlineStr">
        <is>
          <t>6IN GREEN TEA MF MATTRESS QN</t>
        </is>
      </c>
      <c r="L60" s="245" t="inlineStr">
        <is>
          <t>ZU-MFMA1ZZI-06Q</t>
        </is>
      </c>
      <c r="M60" s="248" t="inlineStr">
        <is>
          <t>25GARWBY</t>
        </is>
      </c>
      <c r="N60" s="245" t="inlineStr">
        <is>
          <t>F.MFM.06Q.007.AD</t>
        </is>
      </c>
      <c r="O60" s="245" t="n"/>
      <c r="P60" s="245" t="n"/>
      <c r="Q60" s="250">
        <f>R60/H60</f>
        <v/>
      </c>
      <c r="R60" s="251" t="n">
        <v>1092.24</v>
      </c>
      <c r="S60" s="249" t="n">
        <v>17960</v>
      </c>
      <c r="T60" s="252">
        <f>S60*R60</f>
        <v/>
      </c>
      <c r="U60" s="245" t="n"/>
      <c r="V60" s="245" t="n"/>
      <c r="W60" s="245" t="n"/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4</v>
      </c>
      <c r="I61" s="245" t="inlineStr"/>
      <c r="J61" s="245" t="inlineStr"/>
      <c r="K61" s="245" t="inlineStr">
        <is>
          <t>10IN GREEN TEA MF MATTRESS FL</t>
        </is>
      </c>
      <c r="L61" s="245" t="inlineStr">
        <is>
          <t>ZU-MFMA1ZZI-10F</t>
        </is>
      </c>
      <c r="M61" s="248" t="inlineStr">
        <is>
          <t>25GARWBY</t>
        </is>
      </c>
      <c r="N61" s="245" t="inlineStr">
        <is>
          <t>F.MFM.10F.007.AD</t>
        </is>
      </c>
      <c r="O61" s="245" t="n"/>
      <c r="P61" s="245" t="n"/>
      <c r="Q61" s="250">
        <f>R61/H61</f>
        <v/>
      </c>
      <c r="R61" s="251" t="n">
        <v>248.24</v>
      </c>
      <c r="S61" s="249" t="n">
        <v>17960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2</v>
      </c>
      <c r="I62" s="245" t="inlineStr"/>
      <c r="J62" s="245" t="inlineStr"/>
      <c r="K62" s="245" t="inlineStr">
        <is>
          <t>12IN GREEN TEA MF MATTRESS EK</t>
        </is>
      </c>
      <c r="L62" s="245" t="inlineStr">
        <is>
          <t>ZU-MFMA1ZZI-12K</t>
        </is>
      </c>
      <c r="M62" s="248" t="inlineStr">
        <is>
          <t>25GARWBY</t>
        </is>
      </c>
      <c r="N62" s="245" t="inlineStr">
        <is>
          <t>F.MFM.12K.006.AD</t>
        </is>
      </c>
      <c r="O62" s="245" t="n"/>
      <c r="P62" s="245" t="n"/>
      <c r="Q62" s="250">
        <f>R62/H62</f>
        <v/>
      </c>
      <c r="R62" s="251" t="n">
        <v>203.94</v>
      </c>
      <c r="S62" s="249" t="n">
        <v>17960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9</v>
      </c>
      <c r="I63" s="245" t="inlineStr"/>
      <c r="J63" s="245" t="inlineStr"/>
      <c r="K63" s="245" t="inlineStr">
        <is>
          <t>6IN OPP HD TW</t>
        </is>
      </c>
      <c r="L63" s="245" t="inlineStr">
        <is>
          <t>ZU-MFMA1OZI-06T</t>
        </is>
      </c>
      <c r="M63" s="248" t="inlineStr">
        <is>
          <t>2L6SSJNU</t>
        </is>
      </c>
      <c r="N63" s="245" t="inlineStr">
        <is>
          <t>F.MFM.06T.008.AD</t>
        </is>
      </c>
      <c r="O63" s="245" t="n"/>
      <c r="P63" s="245" t="n"/>
      <c r="Q63" s="250">
        <f>R63/H63</f>
        <v/>
      </c>
      <c r="R63" s="251" t="n">
        <v>242.55</v>
      </c>
      <c r="S63" s="249" t="n">
        <v>17960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17</v>
      </c>
      <c r="I64" s="245" t="inlineStr"/>
      <c r="J64" s="245" t="inlineStr"/>
      <c r="K64" s="245" t="inlineStr">
        <is>
          <t>10IN OPP HD FL</t>
        </is>
      </c>
      <c r="L64" s="245" t="inlineStr">
        <is>
          <t>ZU-MFMA1OZI-10F</t>
        </is>
      </c>
      <c r="M64" s="248" t="inlineStr">
        <is>
          <t>2L6SSJNU</t>
        </is>
      </c>
      <c r="N64" s="245" t="inlineStr">
        <is>
          <t>F.MFM.10F.013.AD</t>
        </is>
      </c>
      <c r="O64" s="245" t="n"/>
      <c r="P64" s="245" t="n"/>
      <c r="Q64" s="250">
        <f>R64/H64</f>
        <v/>
      </c>
      <c r="R64" s="251" t="n">
        <v>814.47</v>
      </c>
      <c r="S64" s="249" t="n">
        <v>17960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370</v>
      </c>
      <c r="I65" s="245" t="inlineStr"/>
      <c r="J65" s="245" t="inlineStr"/>
      <c r="K65" s="245" t="inlineStr">
        <is>
          <t>12IN AIRFLOW GEL FOAM MATT QN</t>
        </is>
      </c>
      <c r="L65" s="245" t="inlineStr">
        <is>
          <t>ZU-MFMA1RZI-12Q</t>
        </is>
      </c>
      <c r="M65" s="248" t="inlineStr">
        <is>
          <t>2L6SSJNU</t>
        </is>
      </c>
      <c r="N65" s="245" t="inlineStr">
        <is>
          <t>F.MFM.12Q.011.AD</t>
        </is>
      </c>
      <c r="O65" s="245" t="n"/>
      <c r="P65" s="245" t="n"/>
      <c r="Q65" s="250">
        <f>R65/H65</f>
        <v/>
      </c>
      <c r="R65" s="251" t="n">
        <v>25000.9</v>
      </c>
      <c r="S65" s="249" t="n">
        <v>17960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45</v>
      </c>
      <c r="I66" s="245" t="inlineStr"/>
      <c r="J66" s="245" t="inlineStr"/>
      <c r="K66" s="245" t="inlineStr">
        <is>
          <t>6IN GREEN TEA MF MATTRESS FL</t>
        </is>
      </c>
      <c r="L66" s="245" t="inlineStr">
        <is>
          <t>ZU-MFMA1ZZI-06F</t>
        </is>
      </c>
      <c r="M66" s="248" t="inlineStr">
        <is>
          <t>2L6SSJNU</t>
        </is>
      </c>
      <c r="N66" s="245" t="inlineStr">
        <is>
          <t>F.MFM.06F.007.AD</t>
        </is>
      </c>
      <c r="O66" s="245" t="n"/>
      <c r="P66" s="245" t="n"/>
      <c r="Q66" s="250">
        <f>R66/H66</f>
        <v/>
      </c>
      <c r="R66" s="251" t="n">
        <v>1724.85</v>
      </c>
      <c r="S66" s="249" t="n">
        <v>17960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26</v>
      </c>
      <c r="I67" s="245" t="inlineStr"/>
      <c r="J67" s="245" t="inlineStr"/>
      <c r="K67" s="245" t="inlineStr">
        <is>
          <t>10IN GREEN TEA MF MATTRESS TW</t>
        </is>
      </c>
      <c r="L67" s="245" t="inlineStr">
        <is>
          <t>ZU-MFMA1ZZI-10T</t>
        </is>
      </c>
      <c r="M67" s="248" t="inlineStr">
        <is>
          <t>2L6SSJNU</t>
        </is>
      </c>
      <c r="N67" s="245" t="inlineStr">
        <is>
          <t>F.MFM.10T.007.AD</t>
        </is>
      </c>
      <c r="O67" s="245" t="n"/>
      <c r="P67" s="245" t="n"/>
      <c r="Q67" s="250">
        <f>R67/H67</f>
        <v/>
      </c>
      <c r="R67" s="251" t="n">
        <v>1436.24</v>
      </c>
      <c r="S67" s="249" t="n">
        <v>17960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955</v>
      </c>
      <c r="I68" s="245" t="inlineStr"/>
      <c r="J68" s="245" t="inlineStr"/>
      <c r="K68" s="245" t="inlineStr">
        <is>
          <t>5IN GREEN TEA MF MATTRESS TW</t>
        </is>
      </c>
      <c r="L68" s="245" t="inlineStr">
        <is>
          <t>ZU-MFMA1ZZI-05T</t>
        </is>
      </c>
      <c r="M68" s="248" t="inlineStr">
        <is>
          <t>2TNM3FQL</t>
        </is>
      </c>
      <c r="N68" s="245" t="inlineStr">
        <is>
          <t>F.MFM.05T.007.AD</t>
        </is>
      </c>
      <c r="O68" s="245" t="n"/>
      <c r="P68" s="245" t="n"/>
      <c r="Q68" s="250">
        <f>R68/H68</f>
        <v/>
      </c>
      <c r="R68" s="251" t="n">
        <v>22595.3</v>
      </c>
      <c r="S68" s="249" t="n">
        <v>17960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462</v>
      </c>
      <c r="I69" s="245" t="inlineStr"/>
      <c r="J69" s="245" t="inlineStr"/>
      <c r="K69" s="245" t="inlineStr">
        <is>
          <t>10IN GREEN TEA MF MATTRESS QN</t>
        </is>
      </c>
      <c r="L69" s="245" t="inlineStr">
        <is>
          <t>ZU-MFMA1ZZI-10Q</t>
        </is>
      </c>
      <c r="M69" s="248" t="inlineStr">
        <is>
          <t>61ZW4NKD</t>
        </is>
      </c>
      <c r="N69" s="245" t="inlineStr">
        <is>
          <t>F.MFM.10Q.007.AD</t>
        </is>
      </c>
      <c r="O69" s="245" t="n"/>
      <c r="P69" s="245" t="n"/>
      <c r="Q69" s="250">
        <f>R69/H69</f>
        <v/>
      </c>
      <c r="R69" s="251" t="n">
        <v>30436.56</v>
      </c>
      <c r="S69" s="249" t="n">
        <v>17960</v>
      </c>
      <c r="T69" s="252">
        <f>S69*R69</f>
        <v/>
      </c>
      <c r="U69" s="245" t="n"/>
      <c r="V69" s="245" t="n"/>
      <c r="W69" s="245" t="n"/>
      <c r="X69" s="245" t="n"/>
      <c r="Y69" s="245" t="n"/>
      <c r="Z69" s="245" t="n"/>
    </row>
    <row r="70" ht="17.1" customHeight="1" s="202">
      <c r="A70" s="254" t="n"/>
      <c r="B70" s="254" t="n"/>
      <c r="C70" s="254" t="n"/>
      <c r="D70" s="254" t="n"/>
      <c r="E70" s="254" t="n"/>
      <c r="F70" s="254" t="n"/>
      <c r="G70" s="254" t="n"/>
      <c r="H70" s="255">
        <f>SUM(H57:H69)</f>
        <v/>
      </c>
      <c r="I70" s="254">
        <f>COUNTA(I57:I69)</f>
        <v/>
      </c>
      <c r="J70" s="254" t="n"/>
      <c r="K70" s="254" t="n"/>
      <c r="L70" s="254" t="n"/>
      <c r="M70" s="254" t="n"/>
      <c r="N70" s="254" t="n"/>
      <c r="O70" s="256">
        <f>SUM(O57:O69)</f>
        <v/>
      </c>
      <c r="P70" s="256">
        <f>SUM(P57:P69)</f>
        <v/>
      </c>
      <c r="Q70" s="254" t="n"/>
      <c r="R70" s="257">
        <f>SUM(R57:R69)</f>
        <v/>
      </c>
      <c r="S70" s="254" t="n"/>
      <c r="T70" s="258">
        <f>SUM(T57:T69)</f>
        <v/>
      </c>
      <c r="U70" s="254" t="n"/>
      <c r="V70" s="254" t="n"/>
      <c r="W70" s="254" t="n"/>
      <c r="X70" s="254" t="n"/>
      <c r="Y70" s="254" t="n"/>
      <c r="Z70" s="254" t="n"/>
    </row>
    <row r="71" ht="8.1" customHeight="1" s="202"/>
    <row r="72" ht="20.1" customHeight="1" s="202">
      <c r="A72" s="259">
        <f>COUNT(A12:A71)</f>
        <v/>
      </c>
      <c r="B72" s="260" t="n"/>
      <c r="C72" s="260" t="n"/>
      <c r="D72" s="260" t="n"/>
      <c r="E72" s="260" t="n"/>
      <c r="F72" s="260" t="n"/>
      <c r="G72" s="260" t="n"/>
      <c r="H72" s="261">
        <f>SUM(H47,H50,H53,H56,H70)</f>
        <v/>
      </c>
      <c r="I72" s="261">
        <f>SUM(I47,I50,I53,I56,I70)</f>
        <v/>
      </c>
      <c r="J72" s="260" t="n"/>
      <c r="K72" s="260" t="n"/>
      <c r="L72" s="260" t="n"/>
      <c r="M72" s="260" t="n"/>
      <c r="N72" s="260" t="n"/>
      <c r="O72" s="262">
        <f>SUM(O47,O50,O53,O56,O70)</f>
        <v/>
      </c>
      <c r="P72" s="262">
        <f>SUM(P47,P50,P53,P56,P70)</f>
        <v/>
      </c>
      <c r="Q72" s="260" t="n"/>
      <c r="R72" s="263">
        <f>SUM(R47,R50,R53,R56,R70)</f>
        <v/>
      </c>
      <c r="S72" s="260" t="n"/>
      <c r="T72" s="264">
        <f>SUM(T47,T50,T53,T56,T70)</f>
        <v/>
      </c>
      <c r="U72" s="260" t="n"/>
      <c r="V72" s="260" t="n"/>
      <c r="W72" s="260" t="n"/>
      <c r="X72" s="260" t="n"/>
      <c r="Y72" s="260" t="n"/>
      <c r="Z72" s="260" t="n"/>
    </row>
    <row r="73" ht="17.1" customHeight="1" s="202"/>
    <row r="74" ht="17.1" customHeight="1" s="202">
      <c r="B74" s="265" t="inlineStr">
        <is>
          <t>Total Qty Export :</t>
        </is>
      </c>
      <c r="C74" s="266">
        <f>H72-C75</f>
        <v/>
      </c>
    </row>
    <row r="75" ht="17.1" customHeight="1" s="202">
      <c r="B75" s="267" t="inlineStr">
        <is>
          <t>Total Qty Export Sample :</t>
        </is>
      </c>
      <c r="C75" s="268" t="inlineStr"/>
    </row>
    <row r="77" ht="17.1" customHeight="1" s="202">
      <c r="A77" s="269" t="n"/>
      <c r="B77" s="270" t="n"/>
      <c r="C77" s="270" t="n"/>
      <c r="D77" s="271" t="n"/>
      <c r="U77" s="272" t="inlineStr">
        <is>
          <t>Tangerang, 18 August 2026</t>
        </is>
      </c>
    </row>
    <row r="78" ht="17.1" customHeight="1" s="202">
      <c r="A78" s="273" t="inlineStr">
        <is>
          <t>Total Document</t>
        </is>
      </c>
      <c r="C78" s="274">
        <f>A72</f>
        <v/>
      </c>
      <c r="D78" s="275" t="n"/>
      <c r="U78" s="272" t="inlineStr">
        <is>
          <t>Kasubsi Hanggar Pabean dan Cukai</t>
        </is>
      </c>
    </row>
    <row r="79" ht="17.1" customHeight="1" s="202">
      <c r="A79" s="273" t="inlineStr">
        <is>
          <t>Gross Weight</t>
        </is>
      </c>
      <c r="C79" s="276">
        <f>O72</f>
        <v/>
      </c>
      <c r="D79" s="275" t="n"/>
    </row>
    <row r="80" ht="17.1" customHeight="1" s="202">
      <c r="A80" s="273" t="inlineStr">
        <is>
          <t>Nett Weight</t>
        </is>
      </c>
      <c r="C80" s="276">
        <f>P72</f>
        <v/>
      </c>
      <c r="D80" s="275" t="n"/>
    </row>
    <row r="81" ht="17.1" customHeight="1" s="202">
      <c r="A81" s="273" t="inlineStr">
        <is>
          <t>Amount</t>
        </is>
      </c>
      <c r="C81" s="277">
        <f>R72</f>
        <v/>
      </c>
      <c r="D81" s="275" t="n"/>
    </row>
    <row r="82" ht="17.1" customHeight="1" s="202">
      <c r="A82" s="273" t="inlineStr">
        <is>
          <t>Jumlah Container</t>
        </is>
      </c>
      <c r="C82" s="278">
        <f>I72-C83</f>
        <v/>
      </c>
      <c r="D82" s="275" t="n"/>
    </row>
    <row r="83" ht="17.1" customHeight="1" s="202">
      <c r="A83" s="279" t="n"/>
      <c r="C83" s="280" t="inlineStr"/>
      <c r="D83" s="275" t="n"/>
    </row>
    <row r="84" ht="17.1" customHeight="1" s="202">
      <c r="A84" s="279" t="n"/>
      <c r="C84" s="281">
        <f>C82*2+C83</f>
        <v/>
      </c>
      <c r="D84" s="275" t="n"/>
    </row>
    <row r="85" ht="16.2" customHeight="1" s="202">
      <c r="A85" s="282" t="n"/>
      <c r="B85" s="283" t="n"/>
      <c r="C85" s="283" t="n"/>
      <c r="D85" s="284" t="n"/>
    </row>
  </sheetData>
  <autoFilter ref="A10:Z11">
    <filterColumn colId="2" hiddenButton="0" showButton="0"/>
    <filterColumn colId="8" hiddenButton="0" showButton="0"/>
  </autoFilter>
  <mergeCells count="26">
    <mergeCell ref="C83:D83"/>
    <mergeCell ref="E10:E11"/>
    <mergeCell ref="C79:D79"/>
    <mergeCell ref="G10:G11"/>
    <mergeCell ref="M10:M11"/>
    <mergeCell ref="Y10:Y11"/>
    <mergeCell ref="C78:D78"/>
    <mergeCell ref="Q10:Q11"/>
    <mergeCell ref="C10:D10"/>
    <mergeCell ref="I10:J11"/>
    <mergeCell ref="A6:Z6"/>
    <mergeCell ref="C84:D84"/>
    <mergeCell ref="B10:B11"/>
    <mergeCell ref="C80:D80"/>
    <mergeCell ref="A7:Z7"/>
    <mergeCell ref="L10:L11"/>
    <mergeCell ref="X10:X11"/>
    <mergeCell ref="N10:N11"/>
    <mergeCell ref="Z10:Z11"/>
    <mergeCell ref="A10:A11"/>
    <mergeCell ref="K10:K11"/>
    <mergeCell ref="C82:D82"/>
    <mergeCell ref="A8:Z8"/>
    <mergeCell ref="C81:D81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2026-08-18T04:05:04Z</dcterms:modified>
  <cp:lastModifiedBy>Chiswa Dian Hermansyah(ZINUS ZDI)</cp:lastModifiedBy>
</cp:coreProperties>
</file>