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0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1" fontId="15" fillId="0" borderId="8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 vertical="center"/>
    </xf>
    <xf numFmtId="41" fontId="15" fillId="0" borderId="3" applyAlignment="1" pivotButton="0" quotePrefix="0" xfId="0">
      <alignment vertical="center"/>
    </xf>
    <xf numFmtId="41" fontId="15" fillId="0" borderId="17" applyAlignment="1" pivotButton="0" quotePrefix="0" xfId="0">
      <alignment vertical="center"/>
    </xf>
    <xf numFmtId="3" fontId="17" fillId="0" borderId="18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41" fontId="15" fillId="0" borderId="4" applyAlignment="1" pivotButton="0" quotePrefix="0" xfId="0">
      <alignment vertical="center"/>
    </xf>
    <xf numFmtId="41" fontId="15" fillId="0" borderId="4" applyAlignment="1" pivotButton="0" quotePrefix="0" xfId="0">
      <alignment horizontal="center" vertical="center"/>
    </xf>
    <xf numFmtId="41" fontId="15" fillId="0" borderId="8" applyAlignment="1" pivotButton="0" quotePrefix="0" xfId="0">
      <alignment horizontal="center" vertical="center"/>
    </xf>
    <xf numFmtId="41" fontId="9" fillId="0" borderId="8" applyAlignment="1" pivotButton="0" quotePrefix="0" xfId="0">
      <alignment horizontal="center" vertical="center"/>
    </xf>
    <xf numFmtId="4" fontId="17" fillId="0" borderId="18" applyAlignment="1" pivotButton="0" quotePrefix="0" xfId="0">
      <alignment horizontal="center" vertical="center"/>
    </xf>
    <xf numFmtId="166" fontId="15" fillId="0" borderId="8" applyAlignment="1" pivotButton="0" quotePrefix="0" xfId="0">
      <alignment horizontal="right" vertical="center"/>
    </xf>
    <xf numFmtId="172" fontId="17" fillId="0" borderId="18" applyAlignment="1" pivotButton="0" quotePrefix="0" xfId="0">
      <alignment horizontal="center" vertical="center"/>
    </xf>
    <xf numFmtId="168" fontId="17" fillId="0" borderId="4" applyAlignment="1" pivotButton="0" quotePrefix="0" xfId="0">
      <alignment horizontal="center" vertical="center"/>
    </xf>
    <xf numFmtId="168" fontId="17" fillId="0" borderId="18" applyAlignment="1" pivotButton="0" quotePrefix="0" xfId="0">
      <alignment horizontal="center" vertical="center"/>
    </xf>
    <xf numFmtId="4" fontId="15" fillId="0" borderId="8" applyAlignment="1" pivotButton="0" quotePrefix="0" xfId="0">
      <alignment horizontal="center" vertical="center"/>
    </xf>
    <xf numFmtId="4" fontId="15" fillId="0" borderId="0" applyAlignment="1" pivotButton="0" quotePrefix="0" xfId="0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inlineStr">
        <is>
          <t>450515</t>
        </is>
      </c>
      <c r="D12" s="260" t="inlineStr">
        <is>
          <t>450465</t>
        </is>
      </c>
      <c r="E12" s="261" t="n">
        <v>46225</v>
      </c>
      <c r="F12" s="262" t="inlineStr">
        <is>
          <t>Kantor</t>
        </is>
      </c>
      <c r="G12" s="261" t="n">
        <v>46223</v>
      </c>
      <c r="H12" s="263" t="n">
        <v>850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F.MFM.06F.001.BD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>
        <is>
          <t>AN</t>
        </is>
      </c>
      <c r="Y12" s="271" t="inlineStr">
        <is>
          <t>EGLV080600441901</t>
        </is>
      </c>
      <c r="Z12" s="261" t="n">
        <v>46225</v>
      </c>
    </row>
    <row r="13" ht="16.5" customFormat="1" customHeight="1" s="257">
      <c r="A13" s="273" t="n"/>
      <c r="B13" s="274" t="n"/>
      <c r="C13" s="275" t="n"/>
      <c r="D13" s="275" t="n"/>
      <c r="E13" s="276" t="n"/>
      <c r="F13" s="276" t="n"/>
      <c r="G13" s="276" t="n"/>
      <c r="H13" s="277">
        <f>SUM(H12:H12)</f>
        <v/>
      </c>
      <c r="I13" s="278">
        <f>COUNTA(I12:I12)</f>
        <v/>
      </c>
      <c r="J13" s="277" t="n"/>
      <c r="K13" s="277" t="n"/>
      <c r="L13" s="279" t="n"/>
      <c r="M13" s="277" t="n"/>
      <c r="N13" s="277" t="n"/>
      <c r="O13" s="280">
        <f>SUM(O12:O12)</f>
        <v/>
      </c>
      <c r="P13" s="280">
        <f>SUM(P12:P12)</f>
        <v/>
      </c>
      <c r="Q13" s="281" t="n"/>
      <c r="R13" s="282">
        <f>SUM(R12:R12)</f>
        <v/>
      </c>
      <c r="S13" s="283" t="n"/>
      <c r="T13" s="283">
        <f>SUM(T12:T12)</f>
        <v/>
      </c>
      <c r="U13" s="277" t="n"/>
      <c r="V13" s="284" t="n"/>
      <c r="W13" s="285" t="n"/>
      <c r="X13" s="284" t="n"/>
      <c r="Y13" s="284" t="n"/>
      <c r="Z13" s="284" t="n"/>
    </row>
    <row r="14" ht="16.5" customFormat="1" customHeight="1" s="257">
      <c r="A14" s="258" t="n">
        <v>2</v>
      </c>
      <c r="B14" s="259" t="inlineStr">
        <is>
          <t>000030ZIK4802026072100495</t>
        </is>
      </c>
      <c r="C14" s="260" t="inlineStr">
        <is>
          <t>450530</t>
        </is>
      </c>
      <c r="D14" s="260" t="inlineStr">
        <is>
          <t>450480</t>
        </is>
      </c>
      <c r="E14" s="261" t="n">
        <v>46225</v>
      </c>
      <c r="F14" s="262" t="inlineStr">
        <is>
          <t>Kantor</t>
        </is>
      </c>
      <c r="G14" s="261" t="n">
        <v>46223</v>
      </c>
      <c r="H14" s="263" t="n">
        <v>352</v>
      </c>
      <c r="I14" s="263" t="inlineStr">
        <is>
          <t>TXGU583972</t>
        </is>
      </c>
      <c r="J14" s="263" t="inlineStr">
        <is>
          <t>40FT</t>
        </is>
      </c>
      <c r="K14" s="264" t="inlineStr">
        <is>
          <t>14IN GREEN TEA FOAM MATTRESS Q</t>
        </is>
      </c>
      <c r="L14" s="265" t="inlineStr">
        <is>
          <t>ZU-MFMA1ZZI-14Q</t>
        </is>
      </c>
      <c r="M14" s="263" t="inlineStr">
        <is>
          <t>66X4TV02</t>
        </is>
      </c>
      <c r="N14" s="264" t="inlineStr">
        <is>
          <t>F.MFM.06F.002.BD</t>
        </is>
      </c>
      <c r="O14" s="266" t="n">
        <v>24598.94</v>
      </c>
      <c r="P14" s="266" t="n">
        <v>22252.54</v>
      </c>
      <c r="Q14" s="267">
        <f>IFERROR(R14/H14, 0)</f>
        <v/>
      </c>
      <c r="R14" s="268" t="n">
        <v>36097.6</v>
      </c>
      <c r="S14" s="269" t="n">
        <v>18056</v>
      </c>
      <c r="T14" s="269">
        <f>IFERROR(S14*R14, 0)</f>
        <v/>
      </c>
      <c r="U14" s="270" t="inlineStr">
        <is>
          <t>PEMUATAN</t>
        </is>
      </c>
      <c r="V14" s="271" t="inlineStr">
        <is>
          <t>TANJUNG PRIOK</t>
        </is>
      </c>
      <c r="W14" s="272" t="inlineStr">
        <is>
          <t>Ekspor</t>
        </is>
      </c>
      <c r="X14" s="263" t="inlineStr">
        <is>
          <t>AN</t>
        </is>
      </c>
      <c r="Y14" s="271" t="inlineStr">
        <is>
          <t>EGLV080600441902</t>
        </is>
      </c>
      <c r="Z14" s="261" t="n">
        <v>46225</v>
      </c>
    </row>
    <row r="15" ht="16.5" customFormat="1" customHeight="1" s="257">
      <c r="A15" s="258" t="n"/>
      <c r="B15" s="259" t="n"/>
      <c r="C15" s="260" t="n"/>
      <c r="D15" s="260" t="n"/>
      <c r="E15" s="261" t="n"/>
      <c r="F15" s="262" t="n"/>
      <c r="G15" s="261" t="n"/>
      <c r="H15" s="263" t="n">
        <v>170</v>
      </c>
      <c r="I15" s="263" t="inlineStr">
        <is>
          <t>EGHU968202</t>
        </is>
      </c>
      <c r="J15" s="263" t="inlineStr">
        <is>
          <t>40FT</t>
        </is>
      </c>
      <c r="K15" s="264" t="inlineStr">
        <is>
          <t>14IN GREEN TEA FOAM MATTRESS K</t>
        </is>
      </c>
      <c r="L15" s="265" t="inlineStr">
        <is>
          <t>ZU-MFMA1ZZI-14K</t>
        </is>
      </c>
      <c r="M15" s="263" t="inlineStr">
        <is>
          <t>8NSJB02</t>
        </is>
      </c>
      <c r="N15" s="264" t="inlineStr">
        <is>
          <t>F.MFM.14K.002.AD</t>
        </is>
      </c>
      <c r="O15" s="266" t="n"/>
      <c r="P15" s="266" t="n"/>
      <c r="Q15" s="267">
        <f>IFERROR(R15/H15, 0)</f>
        <v/>
      </c>
      <c r="R15" s="268" t="n">
        <v>21984.4</v>
      </c>
      <c r="S15" s="269" t="n">
        <v>18056</v>
      </c>
      <c r="T15" s="269">
        <f>IFERROR(S15*R15, 0)</f>
        <v/>
      </c>
      <c r="U15" s="270" t="n"/>
      <c r="V15" s="271" t="n"/>
      <c r="W15" s="272" t="inlineStr">
        <is>
          <t>ETD : 27-07-2026</t>
        </is>
      </c>
      <c r="X15" s="263" t="n"/>
      <c r="Y15" s="271" t="n"/>
      <c r="Z15" s="261" t="n"/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SUM(H14:H15)</f>
        <v/>
      </c>
      <c r="I16" s="278">
        <f>COUNTA(I14:I15)</f>
        <v/>
      </c>
      <c r="J16" s="277" t="n"/>
      <c r="K16" s="277" t="n"/>
      <c r="L16" s="279" t="n"/>
      <c r="M16" s="277" t="n"/>
      <c r="N16" s="277" t="n"/>
      <c r="O16" s="280">
        <f>SUM(O14:O15)</f>
        <v/>
      </c>
      <c r="P16" s="280">
        <f>SUM(P14:P15)</f>
        <v/>
      </c>
      <c r="Q16" s="281" t="n"/>
      <c r="R16" s="282">
        <f>SUM(R14:R15)</f>
        <v/>
      </c>
      <c r="S16" s="283" t="n"/>
      <c r="T16" s="283">
        <f>SUM(T14:T15)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inlineStr">
        <is>
          <t>450545</t>
        </is>
      </c>
      <c r="D17" s="260" t="inlineStr">
        <is>
          <t>450495</t>
        </is>
      </c>
      <c r="E17" s="261" t="n">
        <v>46225</v>
      </c>
      <c r="F17" s="262" t="inlineStr">
        <is>
          <t>Kantor</t>
        </is>
      </c>
      <c r="G17" s="261" t="n">
        <v>46223</v>
      </c>
      <c r="H17" s="263" t="n">
        <v>850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6IN GREEN TEA MF MATTRESS FL</t>
        </is>
      </c>
      <c r="L17" s="265" t="inlineStr">
        <is>
          <t>EB-FMS-0600F-IN</t>
        </is>
      </c>
      <c r="M17" s="263" t="inlineStr">
        <is>
          <t>66X4TV03</t>
        </is>
      </c>
      <c r="N17" s="264" t="inlineStr">
        <is>
          <t>F.MFM.06F.003.BD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>
        <is>
          <t>AN</t>
        </is>
      </c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258" t="n">
        <v>4</v>
      </c>
      <c r="B19" s="259" t="inlineStr">
        <is>
          <t>000030ZIK4802026072100497</t>
        </is>
      </c>
      <c r="C19" s="260" t="inlineStr">
        <is>
          <t>450560</t>
        </is>
      </c>
      <c r="D19" s="260" t="inlineStr">
        <is>
          <t>450510</t>
        </is>
      </c>
      <c r="E19" s="261" t="n">
        <v>46225</v>
      </c>
      <c r="F19" s="262" t="inlineStr">
        <is>
          <t>Kantor</t>
        </is>
      </c>
      <c r="G19" s="261" t="n">
        <v>46223</v>
      </c>
      <c r="H19" s="263" t="n">
        <v>352</v>
      </c>
      <c r="I19" s="263" t="inlineStr">
        <is>
          <t>TXGU583994</t>
        </is>
      </c>
      <c r="J19" s="263" t="inlineStr">
        <is>
          <t>40FT</t>
        </is>
      </c>
      <c r="K19" s="264" t="inlineStr">
        <is>
          <t>14IN GREEN TEA FOAM MATTRESS Q</t>
        </is>
      </c>
      <c r="L19" s="265" t="inlineStr">
        <is>
          <t>ZU-MFMA1ZZI-14Q</t>
        </is>
      </c>
      <c r="M19" s="263" t="inlineStr">
        <is>
          <t>66X4TV04</t>
        </is>
      </c>
      <c r="N19" s="264" t="inlineStr">
        <is>
          <t>F.MFM.06F.004.BD</t>
        </is>
      </c>
      <c r="O19" s="266" t="n">
        <v>47871.82</v>
      </c>
      <c r="P19" s="266" t="n">
        <v>43297.62</v>
      </c>
      <c r="Q19" s="267">
        <f>IFERROR(R19/H19, 0)</f>
        <v/>
      </c>
      <c r="R19" s="268" t="n">
        <v>36097.6</v>
      </c>
      <c r="S19" s="269" t="n">
        <v>18056</v>
      </c>
      <c r="T19" s="269">
        <f>IFERROR(S19*R19, 0)</f>
        <v/>
      </c>
      <c r="U19" s="270" t="inlineStr">
        <is>
          <t>PEMUATAN</t>
        </is>
      </c>
      <c r="V19" s="271" t="inlineStr">
        <is>
          <t>TANJUNG PRIOK</t>
        </is>
      </c>
      <c r="W19" s="272" t="inlineStr">
        <is>
          <t>Ekspor</t>
        </is>
      </c>
      <c r="X19" s="263" t="inlineStr">
        <is>
          <t>AN</t>
        </is>
      </c>
      <c r="Y19" s="271" t="inlineStr">
        <is>
          <t>EGLV080600441904</t>
        </is>
      </c>
      <c r="Z19" s="261" t="n">
        <v>46225</v>
      </c>
    </row>
    <row r="20" ht="16.5" customFormat="1" customHeight="1" s="257">
      <c r="A20" s="258" t="n"/>
      <c r="B20" s="259" t="n"/>
      <c r="C20" s="260" t="n"/>
      <c r="D20" s="260" t="n"/>
      <c r="E20" s="261" t="n"/>
      <c r="F20" s="262" t="n"/>
      <c r="G20" s="261" t="n"/>
      <c r="H20" s="263" t="n">
        <v>170</v>
      </c>
      <c r="I20" s="263" t="inlineStr">
        <is>
          <t>EGHU968204</t>
        </is>
      </c>
      <c r="J20" s="263" t="inlineStr">
        <is>
          <t>40FT</t>
        </is>
      </c>
      <c r="K20" s="264" t="inlineStr">
        <is>
          <t>14IN GREEN TEA FOAM MATTRESS K</t>
        </is>
      </c>
      <c r="L20" s="265" t="inlineStr">
        <is>
          <t>ZU-MFMA1ZZI-14K</t>
        </is>
      </c>
      <c r="M20" s="263" t="inlineStr">
        <is>
          <t>8NSJB04</t>
        </is>
      </c>
      <c r="N20" s="264" t="inlineStr">
        <is>
          <t>F.MFM.14K.004.AD</t>
        </is>
      </c>
      <c r="O20" s="266" t="n"/>
      <c r="P20" s="266" t="n"/>
      <c r="Q20" s="267">
        <f>IFERROR(R20/H20, 0)</f>
        <v/>
      </c>
      <c r="R20" s="268" t="n">
        <v>21984.4</v>
      </c>
      <c r="S20" s="269" t="n">
        <v>18056</v>
      </c>
      <c r="T20" s="269">
        <f>IFERROR(S20*R20, 0)</f>
        <v/>
      </c>
      <c r="U20" s="270" t="n"/>
      <c r="V20" s="271" t="n"/>
      <c r="W20" s="272" t="inlineStr">
        <is>
          <t>ETD : 27-07-2026</t>
        </is>
      </c>
      <c r="X20" s="263" t="n"/>
      <c r="Y20" s="271" t="n"/>
      <c r="Z20" s="261" t="n"/>
    </row>
    <row r="21" ht="16.5" customFormat="1" customHeight="1" s="257">
      <c r="A21" s="273" t="n"/>
      <c r="B21" s="274" t="n"/>
      <c r="C21" s="275" t="n"/>
      <c r="D21" s="275" t="n"/>
      <c r="E21" s="276" t="n"/>
      <c r="F21" s="276" t="n"/>
      <c r="G21" s="276" t="n"/>
      <c r="H21" s="277">
        <f>SUM(H19:H20)</f>
        <v/>
      </c>
      <c r="I21" s="278">
        <f>COUNTA(I19:I20)</f>
        <v/>
      </c>
      <c r="J21" s="277" t="n"/>
      <c r="K21" s="277" t="n"/>
      <c r="L21" s="279" t="n"/>
      <c r="M21" s="277" t="n"/>
      <c r="N21" s="277" t="n"/>
      <c r="O21" s="280">
        <f>SUM(O19:O20)</f>
        <v/>
      </c>
      <c r="P21" s="280">
        <f>SUM(P19:P20)</f>
        <v/>
      </c>
      <c r="Q21" s="281" t="n"/>
      <c r="R21" s="282">
        <f>SUM(R19:R20)</f>
        <v/>
      </c>
      <c r="S21" s="283" t="n"/>
      <c r="T21" s="283">
        <f>SUM(T19:T20)</f>
        <v/>
      </c>
      <c r="U21" s="277" t="n"/>
      <c r="V21" s="284" t="n"/>
      <c r="W21" s="285" t="n"/>
      <c r="X21" s="284" t="n"/>
      <c r="Y21" s="284" t="n"/>
      <c r="Z21" s="284" t="n"/>
    </row>
    <row r="22" ht="16.5" customFormat="1" customHeight="1" s="257">
      <c r="A22" s="258" t="n">
        <v>5</v>
      </c>
      <c r="B22" s="259" t="inlineStr">
        <is>
          <t>000030ZIK4802026072100498</t>
        </is>
      </c>
      <c r="C22" s="260" t="inlineStr">
        <is>
          <t>450575</t>
        </is>
      </c>
      <c r="D22" s="260" t="inlineStr">
        <is>
          <t>450525</t>
        </is>
      </c>
      <c r="E22" s="261" t="n">
        <v>46225</v>
      </c>
      <c r="F22" s="262" t="inlineStr">
        <is>
          <t>Kantor</t>
        </is>
      </c>
      <c r="G22" s="261" t="n">
        <v>46223</v>
      </c>
      <c r="H22" s="263" t="n">
        <v>850</v>
      </c>
      <c r="I22" s="263" t="inlineStr">
        <is>
          <t>TXGU584005</t>
        </is>
      </c>
      <c r="J22" s="263" t="inlineStr">
        <is>
          <t>40FT</t>
        </is>
      </c>
      <c r="K22" s="264" t="inlineStr">
        <is>
          <t>6IN GREEN TEA MF MATTRESS FL</t>
        </is>
      </c>
      <c r="L22" s="265" t="inlineStr">
        <is>
          <t>EB-FMS-0600F-IN</t>
        </is>
      </c>
      <c r="M22" s="263" t="inlineStr">
        <is>
          <t>66X4TV05</t>
        </is>
      </c>
      <c r="N22" s="264" t="inlineStr">
        <is>
          <t>F.MFM.06F.005.BD</t>
        </is>
      </c>
      <c r="O22" s="266" t="n">
        <v>59508.26</v>
      </c>
      <c r="P22" s="266" t="n">
        <v>53820.16</v>
      </c>
      <c r="Q22" s="267">
        <f>IFERROR(R22/H22, 0)</f>
        <v/>
      </c>
      <c r="R22" s="268" t="n">
        <v>40018</v>
      </c>
      <c r="S22" s="269" t="n">
        <v>18056</v>
      </c>
      <c r="T22" s="269">
        <f>IFERROR(S22*R22, 0)</f>
        <v/>
      </c>
      <c r="U22" s="270" t="inlineStr">
        <is>
          <t>PEMUATAN</t>
        </is>
      </c>
      <c r="V22" s="271" t="inlineStr">
        <is>
          <t>TANJUNG PRIOK</t>
        </is>
      </c>
      <c r="W22" s="272" t="inlineStr">
        <is>
          <t>Ekspor</t>
        </is>
      </c>
      <c r="X22" s="263" t="inlineStr">
        <is>
          <t>AN</t>
        </is>
      </c>
      <c r="Y22" s="271" t="inlineStr">
        <is>
          <t>EGLV080600441905</t>
        </is>
      </c>
      <c r="Z22" s="261" t="n">
        <v>46225</v>
      </c>
    </row>
    <row r="23" ht="17.1" customFormat="1" customHeight="1" s="286">
      <c r="A23" s="273" t="n"/>
      <c r="B23" s="274" t="n"/>
      <c r="C23" s="275" t="n"/>
      <c r="D23" s="275" t="n"/>
      <c r="E23" s="276" t="n"/>
      <c r="F23" s="276" t="n"/>
      <c r="G23" s="276" t="n"/>
      <c r="H23" s="277">
        <f>SUM(H22:H22)</f>
        <v/>
      </c>
      <c r="I23" s="278">
        <f>COUNTA(I22:I22)</f>
        <v/>
      </c>
      <c r="J23" s="277" t="n"/>
      <c r="K23" s="277" t="n"/>
      <c r="L23" s="279" t="n"/>
      <c r="M23" s="277" t="n"/>
      <c r="N23" s="277" t="n"/>
      <c r="O23" s="280">
        <f>SUM(O22:O22)</f>
        <v/>
      </c>
      <c r="P23" s="280">
        <f>SUM(P22:P22)</f>
        <v/>
      </c>
      <c r="Q23" s="281" t="n"/>
      <c r="R23" s="282">
        <f>SUM(R22:R22)</f>
        <v/>
      </c>
      <c r="S23" s="283" t="n"/>
      <c r="T23" s="283">
        <f>SUM(T22:T22)</f>
        <v/>
      </c>
      <c r="U23" s="277" t="n"/>
      <c r="V23" s="284" t="n"/>
      <c r="W23" s="285" t="n"/>
      <c r="X23" s="284" t="n"/>
      <c r="Y23" s="284" t="n"/>
      <c r="Z23" s="284" t="n"/>
    </row>
    <row r="24" ht="17.1" customFormat="1" customHeight="1" s="286">
      <c r="A24" s="258" t="n">
        <v>6</v>
      </c>
      <c r="B24" s="259" t="inlineStr">
        <is>
          <t>000030ZIK4802026072100499</t>
        </is>
      </c>
      <c r="C24" s="260" t="inlineStr">
        <is>
          <t>450590</t>
        </is>
      </c>
      <c r="D24" s="260" t="inlineStr">
        <is>
          <t>450540</t>
        </is>
      </c>
      <c r="E24" s="261" t="n">
        <v>46225</v>
      </c>
      <c r="F24" s="262" t="inlineStr">
        <is>
          <t>Kantor</t>
        </is>
      </c>
      <c r="G24" s="261" t="n">
        <v>46223</v>
      </c>
      <c r="H24" s="263" t="n">
        <v>352</v>
      </c>
      <c r="I24" s="263" t="inlineStr">
        <is>
          <t>TXGU584016</t>
        </is>
      </c>
      <c r="J24" s="263" t="inlineStr">
        <is>
          <t>40FT</t>
        </is>
      </c>
      <c r="K24" s="264" t="inlineStr">
        <is>
          <t>14IN GREEN TEA FOAM MATTRESS Q</t>
        </is>
      </c>
      <c r="L24" s="265" t="inlineStr">
        <is>
          <t>ZU-MFMA1ZZI-14Q</t>
        </is>
      </c>
      <c r="M24" s="263" t="inlineStr">
        <is>
          <t>66X4TV06</t>
        </is>
      </c>
      <c r="N24" s="264" t="inlineStr">
        <is>
          <t>F.MFM.06F.006.BD</t>
        </is>
      </c>
      <c r="O24" s="266" t="n">
        <v>71144.70000000001</v>
      </c>
      <c r="P24" s="266" t="n">
        <v>64342.7</v>
      </c>
      <c r="Q24" s="267">
        <f>IFERROR(R24/H24, 0)</f>
        <v/>
      </c>
      <c r="R24" s="268" t="n">
        <v>36097.6</v>
      </c>
      <c r="S24" s="269" t="n">
        <v>18056</v>
      </c>
      <c r="T24" s="269">
        <f>IFERROR(S24*R24, 0)</f>
        <v/>
      </c>
      <c r="U24" s="270" t="inlineStr">
        <is>
          <t>PEMUATAN</t>
        </is>
      </c>
      <c r="V24" s="271" t="inlineStr">
        <is>
          <t>TANJUNG PRIOK</t>
        </is>
      </c>
      <c r="W24" s="272" t="inlineStr">
        <is>
          <t>Ekspor</t>
        </is>
      </c>
      <c r="X24" s="263" t="inlineStr">
        <is>
          <t>AN</t>
        </is>
      </c>
      <c r="Y24" s="271" t="inlineStr">
        <is>
          <t>EGLV080600441906</t>
        </is>
      </c>
      <c r="Z24" s="261" t="n">
        <v>46225</v>
      </c>
    </row>
    <row r="25" ht="8.1" customHeight="1" s="223" thickBot="1">
      <c r="A25" s="258" t="n"/>
      <c r="B25" s="259" t="n"/>
      <c r="C25" s="260" t="n"/>
      <c r="D25" s="260" t="n"/>
      <c r="E25" s="261" t="n"/>
      <c r="F25" s="262" t="n"/>
      <c r="G25" s="261" t="n"/>
      <c r="H25" s="263" t="n">
        <v>170</v>
      </c>
      <c r="I25" s="263" t="inlineStr">
        <is>
          <t>EGHU968206</t>
        </is>
      </c>
      <c r="J25" s="263" t="inlineStr">
        <is>
          <t>40FT</t>
        </is>
      </c>
      <c r="K25" s="264" t="inlineStr">
        <is>
          <t>14IN GREEN TEA FOAM MATTRESS K</t>
        </is>
      </c>
      <c r="L25" s="265" t="inlineStr">
        <is>
          <t>ZU-MFMA1ZZI-14K</t>
        </is>
      </c>
      <c r="M25" s="263" t="inlineStr">
        <is>
          <t>8NSJB06</t>
        </is>
      </c>
      <c r="N25" s="264" t="inlineStr">
        <is>
          <t>F.MFM.14K.006.AD</t>
        </is>
      </c>
      <c r="O25" s="266" t="n"/>
      <c r="P25" s="266" t="n"/>
      <c r="Q25" s="267">
        <f>IFERROR(R25/H25, 0)</f>
        <v/>
      </c>
      <c r="R25" s="268" t="n">
        <v>21984.4</v>
      </c>
      <c r="S25" s="269" t="n">
        <v>18056</v>
      </c>
      <c r="T25" s="269">
        <f>IFERROR(S25*R25, 0)</f>
        <v/>
      </c>
      <c r="U25" s="270" t="n"/>
      <c r="V25" s="271" t="n"/>
      <c r="W25" s="272" t="inlineStr">
        <is>
          <t>ETD : 27-07-2026</t>
        </is>
      </c>
      <c r="X25" s="263" t="n"/>
      <c r="Y25" s="271" t="n"/>
      <c r="Z25" s="261" t="n"/>
    </row>
    <row r="26" ht="20.1" customFormat="1" customHeight="1" s="231" thickBot="1">
      <c r="A26" s="273" t="n"/>
      <c r="B26" s="274" t="n"/>
      <c r="C26" s="275" t="n"/>
      <c r="D26" s="275" t="n"/>
      <c r="E26" s="276" t="n"/>
      <c r="F26" s="276" t="n"/>
      <c r="G26" s="276" t="n"/>
      <c r="H26" s="277">
        <f>SUM(H24:H25)</f>
        <v/>
      </c>
      <c r="I26" s="278">
        <f>COUNTA(I24:I25)</f>
        <v/>
      </c>
      <c r="J26" s="277" t="n"/>
      <c r="K26" s="277" t="n"/>
      <c r="L26" s="279" t="n"/>
      <c r="M26" s="277" t="n"/>
      <c r="N26" s="277" t="n"/>
      <c r="O26" s="280">
        <f>SUM(O24:O25)</f>
        <v/>
      </c>
      <c r="P26" s="280">
        <f>SUM(P24:P25)</f>
        <v/>
      </c>
      <c r="Q26" s="281" t="n"/>
      <c r="R26" s="282">
        <f>SUM(R24:R25)</f>
        <v/>
      </c>
      <c r="S26" s="283" t="n"/>
      <c r="T26" s="283">
        <f>SUM(T24:T25)</f>
        <v/>
      </c>
      <c r="U26" s="277" t="n"/>
      <c r="V26" s="284" t="n"/>
      <c r="W26" s="285" t="n"/>
      <c r="X26" s="284" t="n"/>
      <c r="Y26" s="284" t="n"/>
      <c r="Z26" s="284" t="n"/>
    </row>
    <row r="27" ht="17.1" customHeight="1" s="223">
      <c r="A27" s="287">
        <f>COUNT(A12:A26)</f>
        <v/>
      </c>
      <c r="B27" s="288" t="n"/>
      <c r="C27" s="289" t="n"/>
      <c r="D27" s="290" t="n"/>
      <c r="E27" s="290" t="n"/>
      <c r="F27" s="290" t="n"/>
      <c r="G27" s="290" t="n"/>
      <c r="H27" s="291">
        <f>H13+H16+H18+H21+H23+H26</f>
        <v/>
      </c>
      <c r="I27" s="291">
        <f>I13+I16+I18+I21+I23+I26</f>
        <v/>
      </c>
      <c r="J27" s="292" t="n"/>
      <c r="K27" s="293" t="n"/>
      <c r="L27" s="294" t="n"/>
      <c r="M27" s="295" t="n"/>
      <c r="N27" s="296" t="n"/>
      <c r="O27" s="297">
        <f>O13+O16+O18+O21+O23+O26</f>
        <v/>
      </c>
      <c r="P27" s="297">
        <f>P13+P16+P18+P21+P23+P26</f>
        <v/>
      </c>
      <c r="Q27" s="298" t="n"/>
      <c r="R27" s="299">
        <f>R13+R16+R18+R21+R23+R26</f>
        <v/>
      </c>
      <c r="S27" s="300" t="n"/>
      <c r="T27" s="301">
        <f>T13+T16+T18+T21+T23+T26</f>
        <v/>
      </c>
      <c r="U27" s="302" t="n"/>
      <c r="V27" s="302" t="n"/>
      <c r="W27" s="302" t="n"/>
      <c r="X27" s="302" t="n"/>
      <c r="Y27" s="303" t="n"/>
      <c r="Z27" s="303" t="n"/>
    </row>
    <row r="28" ht="17.1" customHeight="1" s="223"/>
    <row r="29" ht="17.1" customHeight="1" s="223">
      <c r="B29" t="inlineStr">
        <is>
          <t>Total Qty Export :</t>
        </is>
      </c>
      <c r="C29">
        <f>H27</f>
        <v/>
      </c>
    </row>
    <row r="30" ht="17.1" customHeight="1" s="223" thickBot="1">
      <c r="B30" t="inlineStr">
        <is>
          <t>Total Qty Export Sample :</t>
        </is>
      </c>
    </row>
    <row r="31" ht="17.1" customHeight="1" s="223" thickTop="1"/>
    <row r="32" ht="17.1" customHeight="1" s="223">
      <c r="U32" t="inlineStr">
        <is>
          <t>Tangerang, 25 July 2026</t>
        </is>
      </c>
    </row>
    <row r="33" ht="17.1" customHeight="1" s="223">
      <c r="A33" t="inlineStr">
        <is>
          <t>Total Document</t>
        </is>
      </c>
      <c r="C33">
        <f>A27</f>
        <v/>
      </c>
    </row>
    <row r="34" ht="17.1" customHeight="1" s="223">
      <c r="A34" t="inlineStr">
        <is>
          <t>Gross Weight</t>
        </is>
      </c>
      <c r="C34">
        <f>O27</f>
        <v/>
      </c>
    </row>
    <row r="35" ht="17.1" customHeight="1" s="223">
      <c r="A35" t="inlineStr">
        <is>
          <t>Nett Weight</t>
        </is>
      </c>
      <c r="C35">
        <f>P27</f>
        <v/>
      </c>
    </row>
    <row r="36" ht="17.1" customHeight="1" s="223">
      <c r="A36" t="inlineStr">
        <is>
          <t>Amount</t>
        </is>
      </c>
      <c r="C36">
        <f>R27</f>
        <v/>
      </c>
    </row>
    <row r="37" ht="17.1" customHeight="1" s="223">
      <c r="A37" t="inlineStr">
        <is>
          <t>Jumlah Container</t>
        </is>
      </c>
      <c r="C37">
        <f>I27</f>
        <v/>
      </c>
    </row>
    <row r="38" ht="17.1" customHeight="1" s="223"/>
    <row r="39" ht="16.2" customHeight="1" s="223" thickBot="1"/>
    <row r="40" ht="16.2" customFormat="1" customHeight="1" s="17" thickTop="1"/>
    <row r="333" ht="15" customFormat="1" customHeight="1" s="304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2026-07-25T16:43:05Z</dcterms:modified>
  <cp:lastModifiedBy>Chiswa Dian Hermansyah(ZINUS ZDI)</cp:lastModifiedBy>
</cp:coreProperties>
</file>