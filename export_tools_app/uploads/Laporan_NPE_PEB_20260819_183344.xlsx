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000030ZIK48020260818000640</t>
        </is>
      </c>
      <c r="C12" s="245" t="n">
        <v>521547</v>
      </c>
      <c r="D12" s="245" t="n">
        <v>521497</v>
      </c>
      <c r="E12" s="246" t="n">
        <v>46253</v>
      </c>
      <c r="F12" s="245" t="inlineStr">
        <is>
          <t>ID2608-8165</t>
        </is>
      </c>
      <c r="G12" s="246" t="n">
        <v>46252</v>
      </c>
      <c r="H12" s="247" t="n">
        <v>540</v>
      </c>
      <c r="I12" s="245" t="inlineStr">
        <is>
          <t>CAAU5349376</t>
        </is>
      </c>
      <c r="J12" s="245" t="inlineStr">
        <is>
          <t>40FT</t>
        </is>
      </c>
      <c r="K12" s="245" t="inlineStr">
        <is>
          <t>10IN GREEN TEA MF MATTRESS QN</t>
        </is>
      </c>
      <c r="L12" s="245" t="inlineStr">
        <is>
          <t>ZU-MFMA1ZZI-10Q</t>
        </is>
      </c>
      <c r="M12" s="248" t="inlineStr">
        <is>
          <t>1D35XDHB</t>
        </is>
      </c>
      <c r="N12" s="245" t="inlineStr">
        <is>
          <t>F.MFM.10Q.007.AD</t>
        </is>
      </c>
      <c r="O12" s="249" t="n">
        <v>86592.92</v>
      </c>
      <c r="P12" s="249" t="n">
        <v>77325.32000000001</v>
      </c>
      <c r="Q12" s="250">
        <f>R12/H12</f>
        <v/>
      </c>
      <c r="R12" s="251" t="n">
        <v>35575.2</v>
      </c>
      <c r="S12" s="249" t="n">
        <v>17843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NORFOLK, US</t>
        </is>
      </c>
      <c r="X12" s="245" t="inlineStr">
        <is>
          <t>AMAZON.COM SERVICES LLC</t>
        </is>
      </c>
      <c r="Y12" s="245" t="inlineStr">
        <is>
          <t>EGLV080600496171</t>
        </is>
      </c>
      <c r="Z12" s="246" t="n">
        <v>46253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1</v>
      </c>
      <c r="I13" s="245" t="inlineStr">
        <is>
          <t>CAAU5206138</t>
        </is>
      </c>
      <c r="J13" s="245" t="inlineStr">
        <is>
          <t>40FT</t>
        </is>
      </c>
      <c r="K13" s="245" t="inlineStr">
        <is>
          <t>14IN GREEN TEA FOAM MATTRESS K</t>
        </is>
      </c>
      <c r="L13" s="245" t="inlineStr">
        <is>
          <t>ZU-MFMA1ZZI-14K</t>
        </is>
      </c>
      <c r="M13" s="248" t="inlineStr">
        <is>
          <t>1D35XDHB</t>
        </is>
      </c>
      <c r="N13" s="245" t="inlineStr">
        <is>
          <t>F.MFM.14K.000.AD</t>
        </is>
      </c>
      <c r="O13" s="245" t="n"/>
      <c r="P13" s="245" t="n"/>
      <c r="Q13" s="250">
        <f>R13/H13</f>
        <v/>
      </c>
      <c r="R13" s="251" t="n">
        <v>129.32</v>
      </c>
      <c r="S13" s="249" t="n">
        <v>17843</v>
      </c>
      <c r="T13" s="252">
        <f>S13*R13</f>
        <v/>
      </c>
      <c r="U13" s="245" t="n"/>
      <c r="V13" s="245" t="n"/>
      <c r="W13" s="245" t="inlineStr">
        <is>
          <t>ETD : 23-08-2026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541</v>
      </c>
      <c r="I14" s="245" t="inlineStr">
        <is>
          <t>EITU1264589</t>
        </is>
      </c>
      <c r="J14" s="245" t="inlineStr">
        <is>
          <t>40FT</t>
        </is>
      </c>
      <c r="K14" s="245" t="inlineStr">
        <is>
          <t>10IN GREEN TEA MF MATTRESS QN</t>
        </is>
      </c>
      <c r="L14" s="245" t="inlineStr">
        <is>
          <t>ZU-MFMA1ZZI-10Q</t>
        </is>
      </c>
      <c r="M14" s="248" t="inlineStr">
        <is>
          <t>297N29PQ</t>
        </is>
      </c>
      <c r="N14" s="245" t="inlineStr">
        <is>
          <t>F.MFM.10Q.007.AD</t>
        </is>
      </c>
      <c r="O14" s="245" t="n"/>
      <c r="P14" s="245" t="n"/>
      <c r="Q14" s="250">
        <f>R14/H14</f>
        <v/>
      </c>
      <c r="R14" s="251" t="n">
        <v>35641.08</v>
      </c>
      <c r="S14" s="249" t="n">
        <v>17843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</v>
      </c>
      <c r="I15" s="245" t="inlineStr">
        <is>
          <t>EGSU6094317</t>
        </is>
      </c>
      <c r="J15" s="245" t="inlineStr">
        <is>
          <t>40FT</t>
        </is>
      </c>
      <c r="K15" s="245" t="inlineStr">
        <is>
          <t>12IN GREEN TEA MF MATTRESS FL</t>
        </is>
      </c>
      <c r="L15" s="245" t="inlineStr">
        <is>
          <t>ZU-MFMA1ZZI-12F</t>
        </is>
      </c>
      <c r="M15" s="248" t="inlineStr">
        <is>
          <t>297N29PQ</t>
        </is>
      </c>
      <c r="N15" s="245" t="inlineStr">
        <is>
          <t>F.MFM.12F.006.AD</t>
        </is>
      </c>
      <c r="O15" s="245" t="n"/>
      <c r="P15" s="245" t="n"/>
      <c r="Q15" s="250">
        <f>R15/H15</f>
        <v/>
      </c>
      <c r="R15" s="251" t="n">
        <v>70.95999999999999</v>
      </c>
      <c r="S15" s="249" t="n">
        <v>17843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2</v>
      </c>
      <c r="I16" s="245" t="inlineStr">
        <is>
          <t>TCNU6809153</t>
        </is>
      </c>
      <c r="J16" s="245" t="inlineStr">
        <is>
          <t>40FT</t>
        </is>
      </c>
      <c r="K16" s="245" t="inlineStr">
        <is>
          <t>12IN AIRFLOW GEL FOAM MATT QN</t>
        </is>
      </c>
      <c r="L16" s="245" t="inlineStr">
        <is>
          <t>ZU-MFMA1RZI-12Q</t>
        </is>
      </c>
      <c r="M16" s="248" t="inlineStr">
        <is>
          <t>3TOZUKDA</t>
        </is>
      </c>
      <c r="N16" s="245" t="inlineStr">
        <is>
          <t>F.MFM.12Q.011.AD</t>
        </is>
      </c>
      <c r="O16" s="245" t="n"/>
      <c r="P16" s="245" t="n"/>
      <c r="Q16" s="250">
        <f>R16/H16</f>
        <v/>
      </c>
      <c r="R16" s="251" t="n">
        <v>135.14</v>
      </c>
      <c r="S16" s="249" t="n">
        <v>17843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1</v>
      </c>
      <c r="I17" s="245" t="inlineStr">
        <is>
          <t>TCNU1654629</t>
        </is>
      </c>
      <c r="J17" s="245" t="inlineStr">
        <is>
          <t>40FT</t>
        </is>
      </c>
      <c r="K17" s="245" t="inlineStr">
        <is>
          <t>12IN AIRFLOW GEL FOAM MATT TW</t>
        </is>
      </c>
      <c r="L17" s="245" t="inlineStr">
        <is>
          <t>ZU-MFMA1RZI-12T</t>
        </is>
      </c>
      <c r="M17" s="248" t="inlineStr">
        <is>
          <t>3TOZUKDA</t>
        </is>
      </c>
      <c r="N17" s="245" t="inlineStr">
        <is>
          <t>F.MFM.12T.011.AD</t>
        </is>
      </c>
      <c r="O17" s="245" t="n"/>
      <c r="P17" s="245" t="n"/>
      <c r="Q17" s="250">
        <f>R17/H17</f>
        <v/>
      </c>
      <c r="R17" s="251" t="n">
        <v>41.92</v>
      </c>
      <c r="S17" s="249" t="n">
        <v>17843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488</v>
      </c>
      <c r="I18" s="245" t="inlineStr">
        <is>
          <t>TIIU4267480</t>
        </is>
      </c>
      <c r="J18" s="245" t="inlineStr">
        <is>
          <t>40FT</t>
        </is>
      </c>
      <c r="K18" s="245" t="inlineStr">
        <is>
          <t>10IN GREEN TEA MF MATTRESS QN</t>
        </is>
      </c>
      <c r="L18" s="245" t="inlineStr">
        <is>
          <t>ZU-MFMA1ZZI-10Q</t>
        </is>
      </c>
      <c r="M18" s="248" t="inlineStr">
        <is>
          <t>3TOZUKDA</t>
        </is>
      </c>
      <c r="N18" s="245" t="inlineStr">
        <is>
          <t>F.MFM.10Q.007.AD</t>
        </is>
      </c>
      <c r="O18" s="245" t="n"/>
      <c r="P18" s="245" t="n"/>
      <c r="Q18" s="250">
        <f>R18/H18</f>
        <v/>
      </c>
      <c r="R18" s="251" t="n">
        <v>32149.44</v>
      </c>
      <c r="S18" s="249" t="n">
        <v>17843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9</v>
      </c>
      <c r="I19" s="245" t="inlineStr"/>
      <c r="J19" s="245" t="inlineStr"/>
      <c r="K19" s="245" t="inlineStr">
        <is>
          <t>12IN AIRFLOW GEL FOAM MATT EK</t>
        </is>
      </c>
      <c r="L19" s="245" t="inlineStr">
        <is>
          <t>ZU-MFMA1RZI-12K</t>
        </is>
      </c>
      <c r="M19" s="248" t="inlineStr">
        <is>
          <t>4281JJUA</t>
        </is>
      </c>
      <c r="N19" s="245" t="inlineStr">
        <is>
          <t>F.MFM.12K.011.AD</t>
        </is>
      </c>
      <c r="O19" s="245" t="n"/>
      <c r="P19" s="245" t="n"/>
      <c r="Q19" s="250">
        <f>R19/H19</f>
        <v/>
      </c>
      <c r="R19" s="251" t="n">
        <v>673.74</v>
      </c>
      <c r="S19" s="249" t="n">
        <v>17843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475</v>
      </c>
      <c r="I20" s="245" t="inlineStr"/>
      <c r="J20" s="245" t="inlineStr"/>
      <c r="K20" s="245" t="inlineStr">
        <is>
          <t>10IN GREEN TEA MF MATTRESS QN</t>
        </is>
      </c>
      <c r="L20" s="245" t="inlineStr">
        <is>
          <t>ZU-MFMA1ZZI-10Q</t>
        </is>
      </c>
      <c r="M20" s="248" t="inlineStr">
        <is>
          <t>4281JJUA</t>
        </is>
      </c>
      <c r="N20" s="245" t="inlineStr">
        <is>
          <t>F.MFM.10Q.007.AD</t>
        </is>
      </c>
      <c r="O20" s="245" t="n"/>
      <c r="P20" s="245" t="n"/>
      <c r="Q20" s="250">
        <f>R20/H20</f>
        <v/>
      </c>
      <c r="R20" s="251" t="n">
        <v>31293</v>
      </c>
      <c r="S20" s="249" t="n">
        <v>17843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1</v>
      </c>
      <c r="I21" s="245" t="inlineStr"/>
      <c r="J21" s="245" t="inlineStr"/>
      <c r="K21" s="245" t="inlineStr">
        <is>
          <t>12IN GREEN TEA MF MATTRESS QN</t>
        </is>
      </c>
      <c r="L21" s="245" t="inlineStr">
        <is>
          <t>ZU-MFMA1ZZI-12Q</t>
        </is>
      </c>
      <c r="M21" s="248" t="inlineStr">
        <is>
          <t>4281JJUA</t>
        </is>
      </c>
      <c r="N21" s="245" t="inlineStr">
        <is>
          <t>F.MFM.12Q.006.AD</t>
        </is>
      </c>
      <c r="O21" s="245" t="n"/>
      <c r="P21" s="245" t="n"/>
      <c r="Q21" s="250">
        <f>R21/H21</f>
        <v/>
      </c>
      <c r="R21" s="251" t="n">
        <v>83.79000000000001</v>
      </c>
      <c r="S21" s="249" t="n">
        <v>17843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462</v>
      </c>
      <c r="I22" s="245" t="inlineStr"/>
      <c r="J22" s="245" t="inlineStr"/>
      <c r="K22" s="245" t="inlineStr">
        <is>
          <t>10IN GREEN TEA MF MATTRESS QN</t>
        </is>
      </c>
      <c r="L22" s="245" t="inlineStr">
        <is>
          <t>ZU-MFMA1ZZI-10Q</t>
        </is>
      </c>
      <c r="M22" s="248" t="inlineStr">
        <is>
          <t>4DRSR3QP</t>
        </is>
      </c>
      <c r="N22" s="245" t="inlineStr">
        <is>
          <t>F.MFM.10Q.007.AD</t>
        </is>
      </c>
      <c r="O22" s="245" t="n"/>
      <c r="P22" s="245" t="n"/>
      <c r="Q22" s="250">
        <f>R22/H22</f>
        <v/>
      </c>
      <c r="R22" s="251" t="n">
        <v>30436.56</v>
      </c>
      <c r="S22" s="249" t="n">
        <v>17843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55</v>
      </c>
      <c r="I23" s="245" t="inlineStr"/>
      <c r="J23" s="245" t="inlineStr"/>
      <c r="K23" s="245" t="inlineStr">
        <is>
          <t>12IN GREEN TEA MF MATTRESS QN</t>
        </is>
      </c>
      <c r="L23" s="245" t="inlineStr">
        <is>
          <t>ZU-MFMA1ZZI-12Q</t>
        </is>
      </c>
      <c r="M23" s="248" t="inlineStr">
        <is>
          <t>4DRSR3QP</t>
        </is>
      </c>
      <c r="N23" s="245" t="inlineStr">
        <is>
          <t>F.MFM.12Q.006.AD</t>
        </is>
      </c>
      <c r="O23" s="245" t="n"/>
      <c r="P23" s="245" t="n"/>
      <c r="Q23" s="250">
        <f>R23/H23</f>
        <v/>
      </c>
      <c r="R23" s="251" t="n">
        <v>4608.45</v>
      </c>
      <c r="S23" s="249" t="n">
        <v>17843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1</v>
      </c>
      <c r="I24" s="245" t="inlineStr"/>
      <c r="J24" s="245" t="inlineStr"/>
      <c r="K24" s="245" t="inlineStr">
        <is>
          <t>6IN OPP HD TW</t>
        </is>
      </c>
      <c r="L24" s="245" t="inlineStr">
        <is>
          <t>ZU-MFMA1OZI-06T</t>
        </is>
      </c>
      <c r="M24" s="248" t="inlineStr">
        <is>
          <t>4L1EPFVX</t>
        </is>
      </c>
      <c r="N24" s="245" t="inlineStr">
        <is>
          <t>F.MFM.06T.008.AD</t>
        </is>
      </c>
      <c r="O24" s="245" t="n"/>
      <c r="P24" s="245" t="n"/>
      <c r="Q24" s="250">
        <f>R24/H24</f>
        <v/>
      </c>
      <c r="R24" s="251" t="n">
        <v>26.95</v>
      </c>
      <c r="S24" s="249" t="n">
        <v>17843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1</v>
      </c>
      <c r="I25" s="245" t="inlineStr"/>
      <c r="J25" s="245" t="inlineStr"/>
      <c r="K25" s="245" t="inlineStr">
        <is>
          <t>10IN GREEN TEA MF MATTRESS QN</t>
        </is>
      </c>
      <c r="L25" s="245" t="inlineStr">
        <is>
          <t>ZU-MFMA1ZZI-10Q</t>
        </is>
      </c>
      <c r="M25" s="248" t="inlineStr">
        <is>
          <t>4L1EPFVX</t>
        </is>
      </c>
      <c r="N25" s="245" t="inlineStr">
        <is>
          <t>F.MFM.10Q.007.AD</t>
        </is>
      </c>
      <c r="O25" s="245" t="n"/>
      <c r="P25" s="245" t="n"/>
      <c r="Q25" s="250">
        <f>R25/H25</f>
        <v/>
      </c>
      <c r="R25" s="251" t="n">
        <v>65.88</v>
      </c>
      <c r="S25" s="249" t="n">
        <v>17843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402</v>
      </c>
      <c r="I26" s="245" t="inlineStr"/>
      <c r="J26" s="245" t="inlineStr"/>
      <c r="K26" s="245" t="inlineStr">
        <is>
          <t>12IN GREEN TEA MF MATTRESS EK</t>
        </is>
      </c>
      <c r="L26" s="245" t="inlineStr">
        <is>
          <t>ZU-MFMA1ZZI-12K</t>
        </is>
      </c>
      <c r="M26" s="248" t="inlineStr">
        <is>
          <t>4L1EPFVX</t>
        </is>
      </c>
      <c r="N26" s="245" t="inlineStr">
        <is>
          <t>F.MFM.12K.006.AD</t>
        </is>
      </c>
      <c r="O26" s="245" t="n"/>
      <c r="P26" s="245" t="n"/>
      <c r="Q26" s="250">
        <f>R26/H26</f>
        <v/>
      </c>
      <c r="R26" s="251" t="n">
        <v>40991.94</v>
      </c>
      <c r="S26" s="249" t="n">
        <v>17843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7.1" customHeight="1" s="202">
      <c r="A27" s="254" t="n"/>
      <c r="B27" s="254" t="n"/>
      <c r="C27" s="254" t="n"/>
      <c r="D27" s="254" t="n"/>
      <c r="E27" s="254" t="n"/>
      <c r="F27" s="254" t="n"/>
      <c r="G27" s="254" t="n"/>
      <c r="H27" s="255">
        <f>SUM(H12:H26)</f>
        <v/>
      </c>
      <c r="I27" s="254">
        <f>COUNTA(I12:I26)</f>
        <v/>
      </c>
      <c r="J27" s="254" t="n"/>
      <c r="K27" s="254" t="n"/>
      <c r="L27" s="254" t="n"/>
      <c r="M27" s="254" t="n"/>
      <c r="N27" s="254" t="n"/>
      <c r="O27" s="256">
        <f>SUM(O12:O26)</f>
        <v/>
      </c>
      <c r="P27" s="256">
        <f>SUM(P12:P26)</f>
        <v/>
      </c>
      <c r="Q27" s="254" t="n"/>
      <c r="R27" s="257">
        <f>SUM(R12:R26)</f>
        <v/>
      </c>
      <c r="S27" s="254" t="n"/>
      <c r="T27" s="258">
        <f>SUM(T12:T26)</f>
        <v/>
      </c>
      <c r="U27" s="254" t="n"/>
      <c r="V27" s="254" t="n"/>
      <c r="W27" s="254" t="n"/>
      <c r="X27" s="254" t="n"/>
      <c r="Y27" s="254" t="n"/>
      <c r="Z27" s="254" t="n"/>
    </row>
    <row r="28" ht="8.1" customHeight="1" s="202"/>
    <row r="29" ht="20.1" customHeight="1" s="202">
      <c r="A29" s="259">
        <f>COUNT(A12:A28)</f>
        <v/>
      </c>
      <c r="B29" s="260" t="n"/>
      <c r="C29" s="260" t="n"/>
      <c r="D29" s="260" t="n"/>
      <c r="E29" s="260" t="n"/>
      <c r="F29" s="260" t="n"/>
      <c r="G29" s="260" t="n"/>
      <c r="H29" s="261">
        <f>H27</f>
        <v/>
      </c>
      <c r="I29" s="261">
        <f>I27</f>
        <v/>
      </c>
      <c r="J29" s="260" t="n"/>
      <c r="K29" s="260" t="n"/>
      <c r="L29" s="260" t="n"/>
      <c r="M29" s="260" t="n"/>
      <c r="N29" s="260" t="n"/>
      <c r="O29" s="262">
        <f>O27</f>
        <v/>
      </c>
      <c r="P29" s="262">
        <f>P27</f>
        <v/>
      </c>
      <c r="Q29" s="260" t="n"/>
      <c r="R29" s="263">
        <f>R27</f>
        <v/>
      </c>
      <c r="S29" s="260" t="n"/>
      <c r="T29" s="264">
        <f>T27</f>
        <v/>
      </c>
      <c r="U29" s="260" t="n"/>
      <c r="V29" s="260" t="n"/>
      <c r="W29" s="260" t="n"/>
      <c r="X29" s="260" t="n"/>
      <c r="Y29" s="260" t="n"/>
      <c r="Z29" s="260" t="n"/>
    </row>
    <row r="30" ht="17.1" customHeight="1" s="202"/>
    <row r="31" ht="17.1" customHeight="1" s="202">
      <c r="B31" s="265" t="inlineStr">
        <is>
          <t>Total Qty Export :</t>
        </is>
      </c>
      <c r="C31" s="266">
        <f>H29-C32</f>
        <v/>
      </c>
    </row>
    <row r="32" ht="17.1" customHeight="1" s="202" thickBot="1">
      <c r="B32" s="267" t="inlineStr">
        <is>
          <t>Total Qty Export Sample :</t>
        </is>
      </c>
      <c r="C32" s="268" t="inlineStr"/>
    </row>
    <row r="33" ht="16.2" customFormat="1" customHeight="1" s="17" thickTop="1"/>
    <row r="34" ht="17.1" customHeight="1" s="202">
      <c r="A34" s="269" t="n"/>
      <c r="B34" s="270" t="n"/>
      <c r="C34" s="270" t="n"/>
      <c r="D34" s="271" t="n"/>
      <c r="U34" s="272" t="inlineStr">
        <is>
          <t>Tangerang, 19 August 2026</t>
        </is>
      </c>
    </row>
    <row r="35" ht="17.1" customHeight="1" s="202">
      <c r="A35" s="273" t="inlineStr">
        <is>
          <t>Total Document</t>
        </is>
      </c>
      <c r="C35" s="274">
        <f>A29</f>
        <v/>
      </c>
      <c r="D35" s="275" t="n"/>
      <c r="U35" s="272" t="inlineStr">
        <is>
          <t>Kasubsi Hanggar Pabean dan Cukai</t>
        </is>
      </c>
    </row>
    <row r="36" ht="17.1" customHeight="1" s="202">
      <c r="A36" s="273" t="inlineStr">
        <is>
          <t>Gross Weight</t>
        </is>
      </c>
      <c r="C36" s="276">
        <f>O29</f>
        <v/>
      </c>
      <c r="D36" s="275" t="n"/>
    </row>
    <row r="37" ht="17.1" customHeight="1" s="202">
      <c r="A37" s="273" t="inlineStr">
        <is>
          <t>Nett Weight</t>
        </is>
      </c>
      <c r="C37" s="276">
        <f>P29</f>
        <v/>
      </c>
      <c r="D37" s="275" t="n"/>
    </row>
    <row r="38" ht="17.1" customHeight="1" s="202">
      <c r="A38" s="273" t="inlineStr">
        <is>
          <t>Amount</t>
        </is>
      </c>
      <c r="C38" s="277">
        <f>R29</f>
        <v/>
      </c>
      <c r="D38" s="275" t="n"/>
    </row>
    <row r="39" ht="17.1" customHeight="1" s="202">
      <c r="A39" s="273" t="inlineStr">
        <is>
          <t>Jumlah Container</t>
        </is>
      </c>
      <c r="C39" s="278">
        <f>I29-C40</f>
        <v/>
      </c>
      <c r="D39" s="275" t="n"/>
    </row>
    <row r="40" ht="17.1" customHeight="1" s="202">
      <c r="A40" s="279" t="n"/>
      <c r="C40" s="280" t="inlineStr"/>
      <c r="D40" s="275" t="n"/>
    </row>
    <row r="41" ht="17.1" customHeight="1" s="202">
      <c r="A41" s="279" t="n"/>
      <c r="C41" s="281">
        <f>C39*2+C40</f>
        <v/>
      </c>
      <c r="D41" s="275" t="n"/>
    </row>
    <row r="42" ht="16.2" customHeight="1" s="202">
      <c r="A42" s="282" t="n"/>
      <c r="B42" s="283" t="n"/>
      <c r="C42" s="283" t="n"/>
      <c r="D42" s="284" t="n"/>
    </row>
  </sheetData>
  <autoFilter ref="A10:Z11">
    <filterColumn colId="2" hiddenButton="0" showButton="0"/>
    <filterColumn colId="8" hiddenButton="0" showButton="0"/>
  </autoFilter>
  <mergeCells count="26">
    <mergeCell ref="E10:E11"/>
    <mergeCell ref="G10:G11"/>
    <mergeCell ref="M10:M11"/>
    <mergeCell ref="C35:D35"/>
    <mergeCell ref="Y10:Y11"/>
    <mergeCell ref="Q10:Q11"/>
    <mergeCell ref="C10:D10"/>
    <mergeCell ref="C41:D41"/>
    <mergeCell ref="I10:J11"/>
    <mergeCell ref="A6:Z6"/>
    <mergeCell ref="C40:D40"/>
    <mergeCell ref="B10:B11"/>
    <mergeCell ref="A7:Z7"/>
    <mergeCell ref="L10:L11"/>
    <mergeCell ref="X10:X11"/>
    <mergeCell ref="N10:N11"/>
    <mergeCell ref="Z10:Z11"/>
    <mergeCell ref="C36:D36"/>
    <mergeCell ref="A10:A11"/>
    <mergeCell ref="C39:D39"/>
    <mergeCell ref="K10:K11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2026-08-19T11:33:44Z</dcterms:modified>
  <cp:lastModifiedBy>Chiswa Dian Hermansyah(ZINUS ZDI)</cp:lastModifiedBy>
</cp:coreProperties>
</file>