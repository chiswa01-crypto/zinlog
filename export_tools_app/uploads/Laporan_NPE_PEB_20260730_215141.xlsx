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0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000030ZIK48020260729000544</t>
        </is>
      </c>
      <c r="C12" s="81" t="n">
        <v>472824</v>
      </c>
      <c r="D12" s="81" t="n">
        <v>472787</v>
      </c>
      <c r="E12" s="258" t="n">
        <v>46233</v>
      </c>
      <c r="F12" s="82" t="inlineStr">
        <is>
          <t>ID2607-7942</t>
        </is>
      </c>
      <c r="G12" s="258" t="n">
        <v>46231</v>
      </c>
      <c r="H12" s="83" t="n">
        <v>90</v>
      </c>
      <c r="I12" s="42" t="inlineStr">
        <is>
          <t>TGHU6330809</t>
        </is>
      </c>
      <c r="J12" s="42" t="inlineStr">
        <is>
          <t>40FT</t>
        </is>
      </c>
      <c r="K12" s="44" t="inlineStr">
        <is>
          <t>6IN MYGEL FOAM MATTRESS QN</t>
        </is>
      </c>
      <c r="L12" s="84" t="inlineStr">
        <is>
          <t>ZU-MFGN1YZI-06Q</t>
        </is>
      </c>
      <c r="M12" s="85" t="inlineStr">
        <is>
          <t>1773VF4Z</t>
        </is>
      </c>
      <c r="N12" s="44" t="inlineStr">
        <is>
          <t>F.MFG.06Q.002.AD</t>
        </is>
      </c>
      <c r="O12" s="86" t="n">
        <v>62226.65</v>
      </c>
      <c r="P12" s="86" t="n">
        <v>54371.08</v>
      </c>
      <c r="Q12" s="259">
        <f>IFERROR(R12/H12, 0)</f>
        <v/>
      </c>
      <c r="R12" s="260" t="n">
        <v>4311.9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LOS ANGELES</t>
        </is>
      </c>
      <c r="X12" s="51" t="inlineStr">
        <is>
          <t>AMAZON.COM SERVICES LLC</t>
        </is>
      </c>
      <c r="Y12" s="52" t="inlineStr">
        <is>
          <t>CMDUDJA1507934</t>
        </is>
      </c>
      <c r="Z12" s="258" t="n">
        <v>46233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14</v>
      </c>
      <c r="I13" s="42" t="inlineStr">
        <is>
          <t>BMOU6419254</t>
        </is>
      </c>
      <c r="J13" s="42" t="inlineStr">
        <is>
          <t>40FT</t>
        </is>
      </c>
      <c r="K13" s="44" t="inlineStr">
        <is>
          <t>12IN OPP HD QN</t>
        </is>
      </c>
      <c r="L13" s="84" t="inlineStr">
        <is>
          <t>ZU-MFMA1OZI-12Q</t>
        </is>
      </c>
      <c r="M13" s="85" t="inlineStr">
        <is>
          <t>1773VF4Z</t>
        </is>
      </c>
      <c r="N13" s="44" t="inlineStr">
        <is>
          <t>F.MFM.12Q.010.AD</t>
        </is>
      </c>
      <c r="O13" s="86" t="n"/>
      <c r="P13" s="86" t="n"/>
      <c r="Q13" s="259">
        <f>IFERROR(R13/H13, 0)</f>
        <v/>
      </c>
      <c r="R13" s="260" t="n">
        <v>945.98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28</v>
      </c>
      <c r="I14" s="42" t="inlineStr">
        <is>
          <t>CAIU9274977</t>
        </is>
      </c>
      <c r="J14" s="42" t="inlineStr">
        <is>
          <t>40FT</t>
        </is>
      </c>
      <c r="K14" s="44" t="inlineStr">
        <is>
          <t>8IN GREEN TEA MF MATTRESS SQ</t>
        </is>
      </c>
      <c r="L14" s="84" t="inlineStr">
        <is>
          <t>ZU-MFMA1ZZI-08S</t>
        </is>
      </c>
      <c r="M14" s="85" t="inlineStr">
        <is>
          <t>1773VF4Z</t>
        </is>
      </c>
      <c r="N14" s="44" t="inlineStr">
        <is>
          <t>F.MFM.08S.011.AD</t>
        </is>
      </c>
      <c r="O14" s="86" t="n"/>
      <c r="P14" s="86" t="n"/>
      <c r="Q14" s="259">
        <f>IFERROR(R14/H14, 0)</f>
        <v/>
      </c>
      <c r="R14" s="260" t="n">
        <v>1654.8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522</v>
      </c>
      <c r="I15" s="42" t="inlineStr">
        <is>
          <t>TCLU6540730</t>
        </is>
      </c>
      <c r="J15" s="42" t="inlineStr">
        <is>
          <t>40FT</t>
        </is>
      </c>
      <c r="K15" s="44" t="inlineStr">
        <is>
          <t>8IN GREEN TEA MF MATTRESS TW</t>
        </is>
      </c>
      <c r="L15" s="84" t="inlineStr">
        <is>
          <t>ZU-MFMA1ZZI-08T</t>
        </is>
      </c>
      <c r="M15" s="85" t="inlineStr">
        <is>
          <t>1773VF4Z</t>
        </is>
      </c>
      <c r="N15" s="44" t="inlineStr">
        <is>
          <t>F.MFM.08T.008.AD</t>
        </is>
      </c>
      <c r="O15" s="86" t="n"/>
      <c r="P15" s="86" t="n"/>
      <c r="Q15" s="259">
        <f>IFERROR(R15/H15, 0)</f>
        <v/>
      </c>
      <c r="R15" s="260" t="n">
        <v>18755.46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53</v>
      </c>
      <c r="I16" s="42" t="inlineStr">
        <is>
          <t>UETU8785524</t>
        </is>
      </c>
      <c r="J16" s="42" t="inlineStr">
        <is>
          <t>40FT</t>
        </is>
      </c>
      <c r="K16" s="44" t="inlineStr">
        <is>
          <t>12IN GREEN TEA MF MATTRESS FL</t>
        </is>
      </c>
      <c r="L16" s="84" t="inlineStr">
        <is>
          <t>ZU-MFMA1ZZI-12F</t>
        </is>
      </c>
      <c r="M16" s="85" t="inlineStr">
        <is>
          <t>1773VF4Z</t>
        </is>
      </c>
      <c r="N16" s="44" t="inlineStr">
        <is>
          <t>F.MFM.12F.006.AD</t>
        </is>
      </c>
      <c r="O16" s="86" t="n"/>
      <c r="P16" s="86" t="n"/>
      <c r="Q16" s="259">
        <f>IFERROR(R16/H16, 0)</f>
        <v/>
      </c>
      <c r="R16" s="260" t="n">
        <v>3760.88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67</v>
      </c>
      <c r="I17" s="42" t="n"/>
      <c r="J17" s="42" t="inlineStr"/>
      <c r="K17" s="44" t="inlineStr">
        <is>
          <t>8IN MYGEL FOAM MATTRESS TW</t>
        </is>
      </c>
      <c r="L17" s="266" t="inlineStr">
        <is>
          <t>ZU-MFGN1YZI-08T</t>
        </is>
      </c>
      <c r="M17" s="42" t="inlineStr">
        <is>
          <t>21W81RVU</t>
        </is>
      </c>
      <c r="N17" s="44" t="inlineStr">
        <is>
          <t>F.MFG.08T.003.AD</t>
        </is>
      </c>
      <c r="O17" s="86" t="n"/>
      <c r="P17" s="86" t="n"/>
      <c r="Q17" s="259">
        <f>IFERROR(R17/H17, 0)</f>
        <v/>
      </c>
      <c r="R17" s="260" t="n">
        <v>2407.31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120</v>
      </c>
      <c r="I18" s="42" t="n"/>
      <c r="J18" s="42" t="inlineStr"/>
      <c r="K18" s="44" t="inlineStr">
        <is>
          <t>12IN MYGEL FOAM MATTRESS TW</t>
        </is>
      </c>
      <c r="L18" s="84" t="inlineStr">
        <is>
          <t>ZU-MFGN1YZI-12T</t>
        </is>
      </c>
      <c r="M18" s="85" t="inlineStr">
        <is>
          <t>21W81RVU</t>
        </is>
      </c>
      <c r="N18" s="44" t="inlineStr">
        <is>
          <t>F.MFG.12T.002.AD</t>
        </is>
      </c>
      <c r="O18" s="86" t="n"/>
      <c r="P18" s="86" t="n"/>
      <c r="Q18" s="259">
        <f>IFERROR(R18/H18, 0)</f>
        <v/>
      </c>
      <c r="R18" s="260" t="n">
        <v>7279.2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16</v>
      </c>
      <c r="I19" s="42" t="n"/>
      <c r="J19" s="42" t="inlineStr"/>
      <c r="K19" s="44" t="inlineStr">
        <is>
          <t>10IN GREEN TEA MF MATTRESS FL</t>
        </is>
      </c>
      <c r="L19" s="84" t="inlineStr">
        <is>
          <t>ZU-MFMA1FZI-10F</t>
        </is>
      </c>
      <c r="M19" s="85" t="inlineStr">
        <is>
          <t>21W81RVU</t>
        </is>
      </c>
      <c r="N19" s="44" t="inlineStr">
        <is>
          <t>F.MFM.10F.009.AD</t>
        </is>
      </c>
      <c r="O19" s="86" t="n"/>
      <c r="P19" s="86" t="n"/>
      <c r="Q19" s="259">
        <f>IFERROR(R19/H19, 0)</f>
        <v/>
      </c>
      <c r="R19" s="260" t="n">
        <v>1044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2</v>
      </c>
      <c r="I20" s="42" t="n"/>
      <c r="J20" s="42" t="inlineStr"/>
      <c r="K20" s="44" t="inlineStr">
        <is>
          <t>8IN AIRFLOW GEL FOAM MATT QN</t>
        </is>
      </c>
      <c r="L20" s="84" t="inlineStr">
        <is>
          <t>ZU-MFMA1RZI-08Q</t>
        </is>
      </c>
      <c r="M20" s="85" t="inlineStr">
        <is>
          <t>21W81RVU</t>
        </is>
      </c>
      <c r="N20" s="44" t="inlineStr">
        <is>
          <t>F.MFM.08Q.014.AD</t>
        </is>
      </c>
      <c r="O20" s="86" t="n"/>
      <c r="P20" s="86" t="n"/>
      <c r="Q20" s="259">
        <f>IFERROR(R20/H20, 0)</f>
        <v/>
      </c>
      <c r="R20" s="260" t="n">
        <v>89.81999999999999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49</v>
      </c>
      <c r="I21" s="42" t="n"/>
      <c r="J21" s="42" t="inlineStr"/>
      <c r="K21" s="44" t="inlineStr">
        <is>
          <t>10IN GREEN TEA MF MATTRESS TX</t>
        </is>
      </c>
      <c r="L21" s="84" t="inlineStr">
        <is>
          <t>ZU-MFMA1ZZI-10X</t>
        </is>
      </c>
      <c r="M21" s="85" t="inlineStr">
        <is>
          <t>21W81RVU</t>
        </is>
      </c>
      <c r="N21" s="44" t="inlineStr">
        <is>
          <t>F.MFM.10X.007.AD</t>
        </is>
      </c>
      <c r="O21" s="86" t="n"/>
      <c r="P21" s="86" t="n"/>
      <c r="Q21" s="259">
        <f>IFERROR(R21/H21, 0)</f>
        <v/>
      </c>
      <c r="R21" s="260" t="n">
        <v>2467.15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6.5" customFormat="1" customHeight="1" s="257">
      <c r="A22" s="79" t="n"/>
      <c r="B22" s="80" t="n"/>
      <c r="C22" s="81" t="n"/>
      <c r="D22" s="81" t="n"/>
      <c r="E22" s="258" t="n"/>
      <c r="F22" s="82" t="n"/>
      <c r="G22" s="258" t="n"/>
      <c r="H22" s="83" t="n">
        <v>144</v>
      </c>
      <c r="I22" s="42" t="n"/>
      <c r="J22" s="42" t="inlineStr"/>
      <c r="K22" s="44" t="inlineStr">
        <is>
          <t>6IN MYGEL FOAM MATTRESS FL</t>
        </is>
      </c>
      <c r="L22" s="84" t="inlineStr">
        <is>
          <t>ZU-MFGN1YZI-06F</t>
        </is>
      </c>
      <c r="M22" s="85" t="inlineStr">
        <is>
          <t>2MEWCOHG</t>
        </is>
      </c>
      <c r="N22" s="44" t="inlineStr">
        <is>
          <t>F.MFG.06F.002.AD</t>
        </is>
      </c>
      <c r="O22" s="86" t="n"/>
      <c r="P22" s="86" t="n"/>
      <c r="Q22" s="259">
        <f>IFERROR(R22/H22, 0)</f>
        <v/>
      </c>
      <c r="R22" s="260" t="n">
        <v>5605.92</v>
      </c>
      <c r="S22" s="261" t="n">
        <v>18056</v>
      </c>
      <c r="T22" s="261">
        <f>IFERROR(S22*R22, 0)</f>
        <v/>
      </c>
      <c r="U22" s="48" t="n"/>
      <c r="V22" s="49" t="n"/>
      <c r="W22" s="50" t="n"/>
      <c r="X22" s="51" t="n"/>
      <c r="Y22" s="52" t="n"/>
      <c r="Z22" s="258" t="n"/>
    </row>
    <row r="23" ht="16.5" customFormat="1" customHeight="1" s="262">
      <c r="A23" s="79" t="n"/>
      <c r="B23" s="80" t="n"/>
      <c r="C23" s="263" t="n"/>
      <c r="D23" s="263" t="n"/>
      <c r="E23" s="264" t="n"/>
      <c r="F23" s="265" t="n"/>
      <c r="G23" s="264" t="n"/>
      <c r="H23" s="42" t="n">
        <v>12</v>
      </c>
      <c r="I23" s="42" t="n"/>
      <c r="J23" s="42" t="inlineStr"/>
      <c r="K23" s="44" t="inlineStr">
        <is>
          <t>6IN MYGEL FOAM MATTRESS QN</t>
        </is>
      </c>
      <c r="L23" s="266" t="inlineStr">
        <is>
          <t>ZU-MFGN1YZI-06Q</t>
        </is>
      </c>
      <c r="M23" s="42" t="inlineStr">
        <is>
          <t>2MEWCOHG</t>
        </is>
      </c>
      <c r="N23" s="44" t="inlineStr">
        <is>
          <t>F.MFG.06Q.002.AD</t>
        </is>
      </c>
      <c r="O23" s="86" t="n"/>
      <c r="P23" s="86" t="n"/>
      <c r="Q23" s="259">
        <f>IFERROR(R23/H23, 0)</f>
        <v/>
      </c>
      <c r="R23" s="260" t="n">
        <v>574.92</v>
      </c>
      <c r="S23" s="261" t="n">
        <v>18056</v>
      </c>
      <c r="T23" s="261">
        <f>IFERROR(S23*R23, 0)</f>
        <v/>
      </c>
      <c r="U23" s="48" t="n"/>
      <c r="V23" s="49" t="n"/>
      <c r="W23" s="50" t="n"/>
      <c r="X23" s="51" t="n"/>
      <c r="Y23" s="267" t="n"/>
      <c r="Z23" s="268" t="n"/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13</v>
      </c>
      <c r="I24" s="42" t="n"/>
      <c r="J24" s="42" t="inlineStr"/>
      <c r="K24" s="44" t="inlineStr">
        <is>
          <t>8IN OPP HD QN</t>
        </is>
      </c>
      <c r="L24" s="84" t="inlineStr">
        <is>
          <t>ZU-MFMA1OZI-08Q</t>
        </is>
      </c>
      <c r="M24" s="42" t="inlineStr">
        <is>
          <t>2MEWCOHG</t>
        </is>
      </c>
      <c r="N24" s="44" t="inlineStr">
        <is>
          <t>F.MFM.08Q.013.AD</t>
        </is>
      </c>
      <c r="O24" s="86" t="n"/>
      <c r="P24" s="86" t="n"/>
      <c r="Q24" s="259">
        <f>IFERROR(R24/H24, 0)</f>
        <v/>
      </c>
      <c r="R24" s="260" t="n">
        <v>729.8200000000001</v>
      </c>
      <c r="S24" s="261" t="n">
        <v>18056</v>
      </c>
      <c r="T24" s="261">
        <f>IFERROR(S24*R24, 0)</f>
        <v/>
      </c>
      <c r="U24" s="48" t="n"/>
      <c r="V24" s="49" t="n"/>
      <c r="W24" s="50" t="n"/>
      <c r="X24" s="51" t="n"/>
      <c r="Y24" s="52" t="n"/>
      <c r="Z24" s="258" t="n"/>
    </row>
    <row r="25" ht="16.5" customHeight="1" s="223" thickBot="1">
      <c r="A25" s="79" t="n"/>
      <c r="B25" s="80" t="n"/>
      <c r="C25" s="269" t="n"/>
      <c r="D25" s="270" t="n"/>
      <c r="E25" s="271" t="n"/>
      <c r="F25" s="272" t="n"/>
      <c r="G25" s="271" t="n"/>
      <c r="H25" s="51" t="n">
        <v>53</v>
      </c>
      <c r="I25" s="51" t="n"/>
      <c r="J25" s="51" t="inlineStr"/>
      <c r="K25" s="273" t="inlineStr">
        <is>
          <t>12IN AIRFLOW GEL FOAM MATT TW</t>
        </is>
      </c>
      <c r="L25" s="274" t="inlineStr">
        <is>
          <t>ZU-MFMA1RZI-12T</t>
        </is>
      </c>
      <c r="M25" s="51" t="inlineStr">
        <is>
          <t>2MEWCOHG</t>
        </is>
      </c>
      <c r="N25" s="273" t="inlineStr">
        <is>
          <t>F.MFM.12T.011.AD</t>
        </is>
      </c>
      <c r="O25" s="275" t="n"/>
      <c r="P25" s="275" t="n"/>
      <c r="Q25" s="276">
        <f>IFERROR(R25/H25, 0)</f>
        <v/>
      </c>
      <c r="R25" s="277" t="n">
        <v>2221.76</v>
      </c>
      <c r="S25" s="278" t="n">
        <v>18056</v>
      </c>
      <c r="T25" s="278">
        <f>IFERROR(S25*R25, 0)</f>
        <v/>
      </c>
      <c r="U25" s="279" t="n"/>
      <c r="V25" s="52" t="n"/>
      <c r="W25" s="280" t="n"/>
      <c r="X25" s="281" t="n"/>
      <c r="Y25" s="282" t="n"/>
      <c r="Z25" s="283" t="n"/>
    </row>
    <row r="26" ht="16.5" customFormat="1" customHeight="1" s="231" thickBot="1">
      <c r="A26" s="79" t="n"/>
      <c r="B26" s="80" t="n"/>
      <c r="C26" s="284" t="n"/>
      <c r="D26" s="284" t="n"/>
      <c r="E26" s="268" t="n"/>
      <c r="F26" s="285" t="n"/>
      <c r="G26" s="268" t="n"/>
      <c r="H26" s="286" t="n">
        <v>190</v>
      </c>
      <c r="I26" s="286" t="n"/>
      <c r="J26" s="51" t="inlineStr"/>
      <c r="K26" s="273" t="inlineStr">
        <is>
          <t>6IN GREEN TEA MF MATTRESS QN</t>
        </is>
      </c>
      <c r="L26" s="274" t="inlineStr">
        <is>
          <t>ZU-MFMA1ZZI-06Q</t>
        </is>
      </c>
      <c r="M26" s="51" t="inlineStr">
        <is>
          <t>2MEWCOHG</t>
        </is>
      </c>
      <c r="N26" s="273" t="inlineStr">
        <is>
          <t>F.MFM.06Q.007.AD</t>
        </is>
      </c>
      <c r="O26" s="287" t="n"/>
      <c r="P26" s="287" t="n"/>
      <c r="Q26" s="288">
        <f>IFERROR(R26/H26, 0)</f>
        <v/>
      </c>
      <c r="R26" s="289" t="n">
        <v>8646.9</v>
      </c>
      <c r="S26" s="290" t="n">
        <v>18056</v>
      </c>
      <c r="T26" s="290">
        <f>IFERROR(S26*R26, 0)</f>
        <v/>
      </c>
      <c r="U26" s="291" t="n"/>
      <c r="V26" s="282" t="n"/>
      <c r="W26" s="292" t="n"/>
      <c r="X26" s="281" t="n"/>
      <c r="Y26" s="282" t="n"/>
      <c r="Z26" s="283" t="n"/>
    </row>
    <row r="27" ht="16.5" customHeight="1" s="223">
      <c r="A27" s="79" t="n"/>
      <c r="B27" s="80" t="n"/>
      <c r="C27" s="270" t="n"/>
      <c r="D27" s="293" t="n"/>
      <c r="E27" s="271" t="n"/>
      <c r="F27" s="272" t="n"/>
      <c r="G27" s="271" t="n"/>
      <c r="H27" s="294" t="n">
        <v>2</v>
      </c>
      <c r="I27" s="294" t="n"/>
      <c r="J27" s="294" t="inlineStr"/>
      <c r="K27" s="273" t="inlineStr">
        <is>
          <t>12IN GREEN TEA MF MATTRESS EK</t>
        </is>
      </c>
      <c r="L27" s="274" t="inlineStr">
        <is>
          <t>ZU-MFMA1ZZI-12K</t>
        </is>
      </c>
      <c r="M27" s="51" t="inlineStr">
        <is>
          <t>2MEWCOHG</t>
        </is>
      </c>
      <c r="N27" s="273" t="inlineStr">
        <is>
          <t>F.MFM.12K.006.AD</t>
        </is>
      </c>
      <c r="O27" s="295" t="n"/>
      <c r="P27" s="295" t="n"/>
      <c r="Q27" s="288">
        <f>IFERROR(R27/H27, 0)</f>
        <v/>
      </c>
      <c r="R27" s="296" t="n">
        <v>203.94</v>
      </c>
      <c r="S27" s="297" t="n">
        <v>18056</v>
      </c>
      <c r="T27" s="297">
        <f>IFERROR(S27*R27, 0)</f>
        <v/>
      </c>
      <c r="U27" s="291" t="n"/>
      <c r="V27" s="282" t="n"/>
      <c r="W27" s="292" t="n"/>
      <c r="X27" s="281" t="n"/>
      <c r="Y27" s="282" t="n"/>
      <c r="Z27" s="283" t="n"/>
    </row>
    <row r="28" ht="16.5" customHeight="1" s="223">
      <c r="A28" s="79" t="n"/>
      <c r="B28" s="80" t="n"/>
      <c r="C28" s="270" t="n"/>
      <c r="D28" s="293" t="n"/>
      <c r="E28" s="271" t="n"/>
      <c r="F28" s="272" t="n"/>
      <c r="G28" s="271" t="n"/>
      <c r="H28" s="294" t="n">
        <v>37</v>
      </c>
      <c r="I28" s="294" t="n"/>
      <c r="J28" s="294" t="inlineStr"/>
      <c r="K28" s="273" t="inlineStr">
        <is>
          <t>12IN GREEN TEA MF MATTRESS TW</t>
        </is>
      </c>
      <c r="L28" s="274" t="inlineStr">
        <is>
          <t>ZU-MFMA1ZZI-12T</t>
        </is>
      </c>
      <c r="M28" s="51" t="inlineStr">
        <is>
          <t>2MEWCOHG</t>
        </is>
      </c>
      <c r="N28" s="273" t="inlineStr">
        <is>
          <t>F.MFM.12T.006.AD</t>
        </is>
      </c>
      <c r="O28" s="295" t="n"/>
      <c r="P28" s="295" t="n"/>
      <c r="Q28" s="288">
        <f>IFERROR(R28/H28, 0)</f>
        <v/>
      </c>
      <c r="R28" s="296" t="n">
        <v>2338.4</v>
      </c>
      <c r="S28" s="297" t="n">
        <v>18056</v>
      </c>
      <c r="T28" s="297">
        <f>IFERROR(S28*R28, 0)</f>
        <v/>
      </c>
      <c r="U28" s="291" t="n"/>
      <c r="V28" s="282" t="n"/>
      <c r="W28" s="292" t="n"/>
      <c r="X28" s="281" t="n"/>
      <c r="Y28" s="282" t="n"/>
      <c r="Z28" s="283" t="n"/>
    </row>
    <row r="29" ht="16.5" customHeight="1" s="223">
      <c r="A29" s="79" t="n"/>
      <c r="B29" s="80" t="n"/>
      <c r="C29" s="270" t="n"/>
      <c r="D29" s="293" t="n"/>
      <c r="E29" s="271" t="n"/>
      <c r="F29" s="272" t="n"/>
      <c r="G29" s="271" t="n"/>
      <c r="H29" s="294" t="n">
        <v>9</v>
      </c>
      <c r="I29" s="294" t="n"/>
      <c r="J29" s="294" t="inlineStr"/>
      <c r="K29" s="298" t="inlineStr">
        <is>
          <t>10IN GREEN TEA MF MATTRESS SQ</t>
        </is>
      </c>
      <c r="L29" s="299" t="inlineStr">
        <is>
          <t>ZU-MFMA1FZI-10S</t>
        </is>
      </c>
      <c r="M29" s="300" t="inlineStr">
        <is>
          <t>2NXVSZVS</t>
        </is>
      </c>
      <c r="N29" s="298" t="inlineStr">
        <is>
          <t>F.MFM.10S.009.AD</t>
        </is>
      </c>
      <c r="O29" s="295" t="n"/>
      <c r="P29" s="295" t="n"/>
      <c r="Q29" s="301">
        <f>IFERROR(R29/H29, 0)</f>
        <v/>
      </c>
      <c r="R29" s="296" t="n">
        <v>657.1799999999999</v>
      </c>
      <c r="S29" s="297" t="n">
        <v>18056</v>
      </c>
      <c r="T29" s="261">
        <f>IFERROR(S29*R29, 0)</f>
        <v/>
      </c>
      <c r="U29" s="302" t="n"/>
      <c r="V29" s="282" t="n"/>
      <c r="W29" s="292" t="n"/>
      <c r="X29" s="281" t="n"/>
      <c r="Y29" s="282" t="n"/>
      <c r="Z29" s="283" t="n"/>
    </row>
    <row r="30" ht="16.5" customHeight="1" s="223" thickBot="1">
      <c r="A30" s="79" t="n"/>
      <c r="B30" s="80" t="n"/>
      <c r="C30" s="270" t="n"/>
      <c r="D30" s="270" t="n"/>
      <c r="E30" s="271" t="n"/>
      <c r="F30" s="272" t="n"/>
      <c r="G30" s="271" t="n"/>
      <c r="H30" s="294" t="n">
        <v>5</v>
      </c>
      <c r="I30" s="294" t="n"/>
      <c r="J30" s="294" t="inlineStr"/>
      <c r="K30" s="273" t="inlineStr">
        <is>
          <t>10IN OPP HD QN</t>
        </is>
      </c>
      <c r="L30" s="274" t="inlineStr">
        <is>
          <t>ZU-MFMA1OZI-10Q</t>
        </is>
      </c>
      <c r="M30" s="51" t="inlineStr">
        <is>
          <t>2NXVSZVS</t>
        </is>
      </c>
      <c r="N30" s="298" t="inlineStr">
        <is>
          <t>F.MFM.10Q.013.AD</t>
        </is>
      </c>
      <c r="O30" s="295" t="n"/>
      <c r="P30" s="295" t="n"/>
      <c r="Q30" s="301">
        <f>IFERROR(R30/H30, 0)</f>
        <v/>
      </c>
      <c r="R30" s="260" t="n">
        <v>269.5</v>
      </c>
      <c r="S30" s="261" t="n">
        <v>18056</v>
      </c>
      <c r="T30" s="297">
        <f>IFERROR(S30*R30, 0)</f>
        <v/>
      </c>
      <c r="U30" s="303" t="n"/>
      <c r="V30" s="304" t="n"/>
      <c r="W30" s="305" t="n"/>
      <c r="X30" s="300" t="n"/>
      <c r="Y30" s="304" t="n"/>
      <c r="Z30" s="306" t="n"/>
    </row>
    <row r="31" ht="16.5" customHeight="1" s="223" thickTop="1">
      <c r="A31" s="79" t="n"/>
      <c r="B31" s="80" t="n"/>
      <c r="C31" s="270" t="n"/>
      <c r="D31" s="270" t="n"/>
      <c r="E31" s="271" t="n"/>
      <c r="F31" s="272" t="n"/>
      <c r="G31" s="271" t="n"/>
      <c r="H31" s="51" t="n">
        <v>14</v>
      </c>
      <c r="I31" s="51" t="n"/>
      <c r="J31" s="300" t="inlineStr"/>
      <c r="K31" s="273" t="inlineStr">
        <is>
          <t>6IN GREEN TEA MF MATTRESS NT</t>
        </is>
      </c>
      <c r="L31" s="274" t="inlineStr">
        <is>
          <t>ZU-MFMA1ZZI-06N</t>
        </is>
      </c>
      <c r="M31" s="51" t="inlineStr">
        <is>
          <t>2NXVSZVS</t>
        </is>
      </c>
      <c r="N31" s="273" t="inlineStr">
        <is>
          <t>F.MFM.06N.007.AD</t>
        </is>
      </c>
      <c r="O31" s="295" t="n"/>
      <c r="P31" s="86" t="n"/>
      <c r="Q31" s="307">
        <f>IFERROR(R31/H31, 0)</f>
        <v/>
      </c>
      <c r="R31" s="260" t="n">
        <v>351.26</v>
      </c>
      <c r="S31" s="261" t="n">
        <v>18056</v>
      </c>
      <c r="T31" s="261">
        <f>IFERROR(S31*R31, 0)</f>
        <v/>
      </c>
      <c r="U31" s="303" t="n"/>
      <c r="V31" s="304" t="n"/>
      <c r="W31" s="305" t="n"/>
      <c r="X31" s="300" t="n"/>
      <c r="Y31" s="304" t="n"/>
      <c r="Z31" s="306" t="n"/>
    </row>
    <row r="32" ht="16.5" customHeight="1" s="223">
      <c r="A32" s="308" t="n"/>
      <c r="B32" s="80" t="n"/>
      <c r="C32" s="284" t="n"/>
      <c r="D32" s="293" t="n"/>
      <c r="E32" s="306" t="n"/>
      <c r="F32" s="309" t="n"/>
      <c r="G32" s="271" t="n"/>
      <c r="H32" s="51" t="n">
        <v>19</v>
      </c>
      <c r="I32" s="51" t="n"/>
      <c r="J32" s="300" t="inlineStr"/>
      <c r="K32" s="273" t="inlineStr">
        <is>
          <t>8IN GREEN TEA MF MATTRESS SQ</t>
        </is>
      </c>
      <c r="L32" s="274" t="inlineStr">
        <is>
          <t>ZU-MFMA1ZZI-08S</t>
        </is>
      </c>
      <c r="M32" s="51" t="inlineStr">
        <is>
          <t>2NXVSZVS</t>
        </is>
      </c>
      <c r="N32" s="273" t="inlineStr">
        <is>
          <t>F.MFM.08S.011.AD</t>
        </is>
      </c>
      <c r="O32" s="295" t="n"/>
      <c r="P32" s="86" t="n"/>
      <c r="Q32" s="307">
        <f>IFERROR(R32/H32, 0)</f>
        <v/>
      </c>
      <c r="R32" s="260" t="n">
        <v>1122.9</v>
      </c>
      <c r="S32" s="261" t="n">
        <v>18056</v>
      </c>
      <c r="T32" s="261">
        <f>IFERROR(S32*R32, 0)</f>
        <v/>
      </c>
      <c r="U32" s="303" t="n"/>
      <c r="V32" s="304" t="n"/>
      <c r="W32" s="305" t="n"/>
      <c r="X32" s="300" t="n"/>
      <c r="Y32" s="304" t="n"/>
      <c r="Z32" s="306" t="n"/>
    </row>
    <row r="33" ht="16.5" customHeight="1" s="223">
      <c r="A33" s="308" t="n"/>
      <c r="B33" s="310" t="n"/>
      <c r="C33" s="284" t="n"/>
      <c r="D33" s="293" t="n"/>
      <c r="E33" s="306" t="n"/>
      <c r="F33" s="309" t="n"/>
      <c r="G33" s="306" t="n"/>
      <c r="H33" s="51" t="n">
        <v>109</v>
      </c>
      <c r="I33" s="51" t="n"/>
      <c r="J33" s="300" t="inlineStr"/>
      <c r="K33" s="273" t="inlineStr">
        <is>
          <t>10IN GREEN TEA MF MATTRESS FL</t>
        </is>
      </c>
      <c r="L33" s="274" t="inlineStr">
        <is>
          <t>ZU-MFMA1ZZI-10F</t>
        </is>
      </c>
      <c r="M33" s="51" t="inlineStr">
        <is>
          <t>2NXVSZVS</t>
        </is>
      </c>
      <c r="N33" s="273" t="inlineStr">
        <is>
          <t>F.MFM.10F.007.AD</t>
        </is>
      </c>
      <c r="O33" s="295" t="n"/>
      <c r="P33" s="86" t="n"/>
      <c r="Q33" s="307">
        <f>IFERROR(R33/H33, 0)</f>
        <v/>
      </c>
      <c r="R33" s="260" t="n">
        <v>6764.54</v>
      </c>
      <c r="S33" s="261" t="n">
        <v>18056</v>
      </c>
      <c r="T33" s="261">
        <f>IFERROR(S33*R33, 0)</f>
        <v/>
      </c>
      <c r="U33" s="303" t="n"/>
      <c r="V33" s="304" t="n"/>
      <c r="W33" s="305" t="n"/>
      <c r="X33" s="300" t="n"/>
      <c r="Y33" s="304" t="n"/>
      <c r="Z33" s="306" t="n"/>
    </row>
    <row r="34" ht="16.5" customHeight="1" s="223">
      <c r="A34" s="308" t="n"/>
      <c r="B34" s="310" t="n"/>
      <c r="C34" s="284" t="n"/>
      <c r="D34" s="293" t="n"/>
      <c r="E34" s="306" t="n"/>
      <c r="F34" s="309" t="n"/>
      <c r="G34" s="306" t="n"/>
      <c r="H34" s="300" t="n">
        <v>10</v>
      </c>
      <c r="I34" s="300" t="n"/>
      <c r="J34" s="300" t="inlineStr"/>
      <c r="K34" s="273" t="inlineStr">
        <is>
          <t>10IN OPP HD TW</t>
        </is>
      </c>
      <c r="L34" s="274" t="inlineStr">
        <is>
          <t>ZU-MFMA1OZI-10T</t>
        </is>
      </c>
      <c r="M34" s="51" t="inlineStr">
        <is>
          <t>2U4PVWDR</t>
        </is>
      </c>
      <c r="N34" s="273" t="inlineStr">
        <is>
          <t>F.MFM.10T.013.AD</t>
        </is>
      </c>
      <c r="O34" s="295" t="n"/>
      <c r="P34" s="86" t="n"/>
      <c r="Q34" s="307">
        <f>IFERROR(R34/H34, 0)</f>
        <v/>
      </c>
      <c r="R34" s="260" t="n">
        <v>389.3</v>
      </c>
      <c r="S34" s="261" t="n">
        <v>18056</v>
      </c>
      <c r="T34" s="261">
        <f>IFERROR(S34*R34, 0)</f>
        <v/>
      </c>
      <c r="U34" s="303" t="n"/>
      <c r="V34" s="304" t="n"/>
      <c r="W34" s="305" t="n"/>
      <c r="X34" s="300" t="n"/>
      <c r="Y34" s="304" t="n"/>
      <c r="Z34" s="306" t="n"/>
    </row>
    <row r="35" ht="16.5" customHeight="1" s="223">
      <c r="A35" s="308" t="n"/>
      <c r="B35" s="310" t="n"/>
      <c r="C35" s="284" t="n"/>
      <c r="D35" s="293" t="n"/>
      <c r="E35" s="306" t="n"/>
      <c r="F35" s="309" t="n"/>
      <c r="G35" s="306" t="n"/>
      <c r="H35" s="300" t="n">
        <v>355</v>
      </c>
      <c r="I35" s="300" t="n"/>
      <c r="J35" s="300" t="inlineStr"/>
      <c r="K35" s="273" t="inlineStr">
        <is>
          <t>10IN GREEN TEA MF MATTRESS FL</t>
        </is>
      </c>
      <c r="L35" s="274" t="inlineStr">
        <is>
          <t>ZU-MFMA1ZZI-10F</t>
        </is>
      </c>
      <c r="M35" s="51" t="inlineStr">
        <is>
          <t>2U4PVWDR</t>
        </is>
      </c>
      <c r="N35" s="273" t="inlineStr">
        <is>
          <t>F.MFM.10F.007.AD</t>
        </is>
      </c>
      <c r="O35" s="295" t="n"/>
      <c r="P35" s="86" t="n"/>
      <c r="Q35" s="307">
        <f>IFERROR(R35/H35, 0)</f>
        <v/>
      </c>
      <c r="R35" s="260" t="n">
        <v>22031.3</v>
      </c>
      <c r="S35" s="261" t="n">
        <v>18056</v>
      </c>
      <c r="T35" s="261">
        <f>IFERROR(S35*R35, 0)</f>
        <v/>
      </c>
      <c r="U35" s="303" t="n"/>
      <c r="V35" s="304" t="n"/>
      <c r="W35" s="305" t="n"/>
      <c r="X35" s="300" t="n"/>
      <c r="Y35" s="304" t="n"/>
      <c r="Z35" s="306" t="n"/>
    </row>
    <row r="36" ht="16.5" customHeight="1" s="223">
      <c r="A36" s="308" t="n"/>
      <c r="B36" s="310" t="n"/>
      <c r="C36" s="284" t="n"/>
      <c r="D36" s="293" t="n"/>
      <c r="E36" s="306" t="n"/>
      <c r="F36" s="309" t="n"/>
      <c r="G36" s="306" t="n"/>
      <c r="H36" s="300" t="n">
        <v>54</v>
      </c>
      <c r="I36" s="300" t="n"/>
      <c r="J36" s="300" t="inlineStr"/>
      <c r="K36" s="273" t="inlineStr">
        <is>
          <t>10IN GREEN TEA MF MATTRESS QN</t>
        </is>
      </c>
      <c r="L36" s="274" t="inlineStr">
        <is>
          <t>ZU-MFMA1ZZI-10Q</t>
        </is>
      </c>
      <c r="M36" s="51" t="inlineStr">
        <is>
          <t>2U4PVWDR</t>
        </is>
      </c>
      <c r="N36" s="273" t="inlineStr">
        <is>
          <t>F.MFM.10Q.007.AD</t>
        </is>
      </c>
      <c r="O36" s="295" t="n"/>
      <c r="P36" s="86" t="n"/>
      <c r="Q36" s="307">
        <f>IFERROR(R36/H36, 0)</f>
        <v/>
      </c>
      <c r="R36" s="260" t="n">
        <v>3557.52</v>
      </c>
      <c r="S36" s="261" t="n">
        <v>18056</v>
      </c>
      <c r="T36" s="261">
        <f>IFERROR(S36*R36, 0)</f>
        <v/>
      </c>
      <c r="U36" s="303" t="n"/>
      <c r="V36" s="304" t="n"/>
      <c r="W36" s="305" t="n"/>
      <c r="X36" s="300" t="n"/>
      <c r="Y36" s="304" t="n"/>
      <c r="Z36" s="306" t="n"/>
    </row>
    <row r="37" ht="16.5" customHeight="1" s="223">
      <c r="A37" s="308" t="n"/>
      <c r="B37" s="310" t="n"/>
      <c r="C37" s="284" t="n"/>
      <c r="D37" s="293" t="n"/>
      <c r="E37" s="306" t="n"/>
      <c r="F37" s="309" t="n"/>
      <c r="G37" s="306" t="n"/>
      <c r="H37" s="300" t="n">
        <v>252</v>
      </c>
      <c r="I37" s="300" t="n"/>
      <c r="J37" s="300" t="inlineStr"/>
      <c r="K37" s="273" t="inlineStr">
        <is>
          <t>12IN GREEN TEA MF MATTRESS TW</t>
        </is>
      </c>
      <c r="L37" s="274" t="inlineStr">
        <is>
          <t>ZU-MFMA1ZZI-12T</t>
        </is>
      </c>
      <c r="M37" s="51" t="inlineStr">
        <is>
          <t>2U4PVWDR</t>
        </is>
      </c>
      <c r="N37" s="273" t="inlineStr">
        <is>
          <t>F.MFM.12T.006.AD</t>
        </is>
      </c>
      <c r="O37" s="295" t="n"/>
      <c r="P37" s="86" t="n"/>
      <c r="Q37" s="307">
        <f>IFERROR(R37/H37, 0)</f>
        <v/>
      </c>
      <c r="R37" s="260" t="n">
        <v>15926.4</v>
      </c>
      <c r="S37" s="261" t="n">
        <v>18056</v>
      </c>
      <c r="T37" s="261">
        <f>IFERROR(S37*R37, 0)</f>
        <v/>
      </c>
      <c r="U37" s="303" t="n"/>
      <c r="V37" s="304" t="n"/>
      <c r="W37" s="305" t="n"/>
      <c r="X37" s="300" t="n"/>
      <c r="Y37" s="304" t="n"/>
      <c r="Z37" s="306" t="n"/>
    </row>
    <row r="38" ht="16.5" customHeight="1" s="223">
      <c r="A38" s="308" t="n"/>
      <c r="B38" s="310" t="n"/>
      <c r="C38" s="284" t="n"/>
      <c r="D38" s="293" t="n"/>
      <c r="E38" s="306" t="n"/>
      <c r="F38" s="309" t="n"/>
      <c r="G38" s="306" t="n"/>
      <c r="H38" s="300" t="n">
        <v>38</v>
      </c>
      <c r="I38" s="300" t="n"/>
      <c r="J38" s="300" t="inlineStr"/>
      <c r="K38" s="273" t="inlineStr">
        <is>
          <t>6IN MYGEL FOAM MATTRESS QN</t>
        </is>
      </c>
      <c r="L38" s="274" t="inlineStr">
        <is>
          <t>ZU-MFGN1YZI-06Q</t>
        </is>
      </c>
      <c r="M38" s="51" t="inlineStr">
        <is>
          <t>3YZJHXXP</t>
        </is>
      </c>
      <c r="N38" s="273" t="inlineStr">
        <is>
          <t>F.MFG.06Q.002.AD</t>
        </is>
      </c>
      <c r="O38" s="295" t="n"/>
      <c r="P38" s="295" t="n"/>
      <c r="Q38" s="301">
        <f>IFERROR(R38/H38, 0)</f>
        <v/>
      </c>
      <c r="R38" s="296" t="n">
        <v>1820.58</v>
      </c>
      <c r="S38" s="297" t="n">
        <v>18056</v>
      </c>
      <c r="T38" s="297">
        <f>IFERROR(S38*R38, 0)</f>
        <v/>
      </c>
      <c r="U38" s="302" t="n"/>
      <c r="V38" s="304" t="n"/>
      <c r="W38" s="305" t="n"/>
      <c r="X38" s="300" t="n"/>
      <c r="Y38" s="304" t="n"/>
      <c r="Z38" s="306" t="n"/>
    </row>
    <row r="39" ht="16.5" customHeight="1" s="223" thickBot="1">
      <c r="A39" s="308" t="n"/>
      <c r="B39" s="310" t="n"/>
      <c r="C39" s="284" t="n"/>
      <c r="D39" s="284" t="n"/>
      <c r="E39" s="306" t="n"/>
      <c r="F39" s="309" t="n"/>
      <c r="G39" s="306" t="n"/>
      <c r="H39" s="300" t="n">
        <v>310</v>
      </c>
      <c r="I39" s="300" t="n"/>
      <c r="J39" s="300" t="inlineStr"/>
      <c r="K39" s="298" t="inlineStr">
        <is>
          <t>8IN GREEN TEA MF MATTRESS TW</t>
        </is>
      </c>
      <c r="L39" s="299" t="inlineStr">
        <is>
          <t>ZU-MFMA1ZZI-08T</t>
        </is>
      </c>
      <c r="M39" s="300" t="inlineStr">
        <is>
          <t>3YZJHXXP</t>
        </is>
      </c>
      <c r="N39" s="298" t="inlineStr">
        <is>
          <t>F.MFM.08T.008.AD</t>
        </is>
      </c>
      <c r="O39" s="295" t="n"/>
      <c r="P39" s="295" t="n"/>
      <c r="Q39" s="301">
        <f>IFERROR(R39/H39, 0)</f>
        <v/>
      </c>
      <c r="R39" s="296" t="n">
        <v>11138.3</v>
      </c>
      <c r="S39" s="297" t="n">
        <v>18056</v>
      </c>
      <c r="T39" s="297">
        <f>IFERROR(S39*R39, 0)</f>
        <v/>
      </c>
      <c r="U39" s="302" t="n"/>
      <c r="V39" s="304" t="n"/>
      <c r="W39" s="305" t="n"/>
      <c r="X39" s="300" t="n"/>
      <c r="Y39" s="304" t="n"/>
      <c r="Z39" s="306" t="n"/>
    </row>
    <row r="40" ht="16.5" customFormat="1" customHeight="1" s="17" thickTop="1">
      <c r="A40" s="311" t="n"/>
      <c r="B40" s="310" t="n"/>
      <c r="C40" s="284" t="n"/>
      <c r="D40" s="284" t="n"/>
      <c r="E40" s="268" t="n"/>
      <c r="F40" s="285" t="n"/>
      <c r="G40" s="268" t="n"/>
      <c r="H40" s="51" t="n">
        <v>177</v>
      </c>
      <c r="I40" s="51" t="n"/>
      <c r="J40" s="51" t="inlineStr"/>
      <c r="K40" s="273" t="inlineStr">
        <is>
          <t>12IN GREEN TEA MF MATTRESS FL</t>
        </is>
      </c>
      <c r="L40" s="274" t="inlineStr">
        <is>
          <t>ZU-MFMA1ZZI-12F</t>
        </is>
      </c>
      <c r="M40" s="51" t="inlineStr">
        <is>
          <t>3YZJHXXP</t>
        </is>
      </c>
      <c r="N40" s="273" t="inlineStr">
        <is>
          <t>F.MFM.12F.006.AD</t>
        </is>
      </c>
      <c r="O40" s="86" t="n"/>
      <c r="P40" s="86" t="n"/>
      <c r="Q40" s="307">
        <f>IFERROR(R40/H40, 0)</f>
        <v/>
      </c>
      <c r="R40" s="260" t="n">
        <v>12559.92</v>
      </c>
      <c r="S40" s="261" t="n">
        <v>18056</v>
      </c>
      <c r="T40" s="261">
        <f>IFERROR(S40*R40, 0)</f>
        <v/>
      </c>
      <c r="U40" s="303" t="n"/>
      <c r="V40" s="267" t="n"/>
      <c r="W40" s="312" t="n"/>
      <c r="X40" s="51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11" t="n"/>
      <c r="B41" s="313" t="n"/>
      <c r="C41" s="293" t="n"/>
      <c r="D41" s="293" t="n"/>
      <c r="E41" s="306" t="n"/>
      <c r="F41" s="309" t="n"/>
      <c r="G41" s="306" t="n"/>
      <c r="H41" s="300" t="n">
        <v>237</v>
      </c>
      <c r="I41" s="300" t="n"/>
      <c r="J41" s="300" t="inlineStr"/>
      <c r="K41" s="298" t="inlineStr">
        <is>
          <t>6IN MYGEL FOAM MATTRESS FL</t>
        </is>
      </c>
      <c r="L41" s="299" t="inlineStr">
        <is>
          <t>ZU-MFGN1YZI-06F</t>
        </is>
      </c>
      <c r="M41" s="300" t="inlineStr">
        <is>
          <t>8YEYA12I</t>
        </is>
      </c>
      <c r="N41" s="298" t="inlineStr">
        <is>
          <t>F.MFG.06F.002.AD</t>
        </is>
      </c>
      <c r="O41" s="295" t="n"/>
      <c r="P41" s="295" t="n"/>
      <c r="Q41" s="301">
        <f>IFERROR(R41/H41, 0)</f>
        <v/>
      </c>
      <c r="R41" s="296" t="n">
        <v>9226.41</v>
      </c>
      <c r="S41" s="297" t="n">
        <v>18056</v>
      </c>
      <c r="T41" s="297">
        <f>IFERROR(S41*R41, 0)</f>
        <v/>
      </c>
      <c r="U41" s="302" t="n"/>
      <c r="V41" s="304" t="n"/>
      <c r="W41" s="305" t="n"/>
      <c r="X41" s="300" t="n"/>
      <c r="Y41" s="304" t="n"/>
      <c r="Z41" s="306" t="n"/>
    </row>
    <row r="42" ht="16.5" customHeight="1" s="223">
      <c r="A42" s="311" t="n"/>
      <c r="B42" s="313" t="n"/>
      <c r="C42" s="293" t="n"/>
      <c r="D42" s="293" t="n"/>
      <c r="E42" s="306" t="n"/>
      <c r="F42" s="309" t="n"/>
      <c r="G42" s="306" t="n"/>
      <c r="H42" s="300" t="n">
        <v>58</v>
      </c>
      <c r="I42" s="300" t="n"/>
      <c r="J42" s="300" t="inlineStr"/>
      <c r="K42" s="298" t="inlineStr">
        <is>
          <t>12IN MYGEL FOAM MATTRESS FL</t>
        </is>
      </c>
      <c r="L42" s="299" t="inlineStr">
        <is>
          <t>ZU-MFGN1YZI-12F</t>
        </is>
      </c>
      <c r="M42" s="300" t="inlineStr">
        <is>
          <t>8YEYA12I</t>
        </is>
      </c>
      <c r="N42" s="298" t="inlineStr">
        <is>
          <t>F.MFG.12F.002.AD</t>
        </is>
      </c>
      <c r="O42" s="295" t="n"/>
      <c r="P42" s="295" t="n"/>
      <c r="Q42" s="301">
        <f>IFERROR(R42/H42, 0)</f>
        <v/>
      </c>
      <c r="R42" s="296" t="n">
        <v>4106.98</v>
      </c>
      <c r="S42" s="297" t="n">
        <v>18056</v>
      </c>
      <c r="T42" s="297">
        <f>IFERROR(S42*R42, 0)</f>
        <v/>
      </c>
      <c r="U42" s="302" t="n"/>
      <c r="V42" s="304" t="n"/>
      <c r="W42" s="305" t="n"/>
      <c r="X42" s="300" t="n"/>
      <c r="Y42" s="304" t="n"/>
      <c r="Z42" s="306" t="n"/>
    </row>
    <row r="43" ht="16.5" customHeight="1" s="223">
      <c r="A43" s="311" t="n"/>
      <c r="B43" s="313" t="n"/>
      <c r="C43" s="293" t="n"/>
      <c r="D43" s="293" t="n"/>
      <c r="E43" s="306" t="n"/>
      <c r="F43" s="309" t="n"/>
      <c r="G43" s="306" t="n"/>
      <c r="H43" s="300" t="n">
        <v>107</v>
      </c>
      <c r="I43" s="300" t="n"/>
      <c r="J43" s="300" t="inlineStr"/>
      <c r="K43" s="298" t="inlineStr">
        <is>
          <t>12IN GREEN TEA MF MATTRESS EK</t>
        </is>
      </c>
      <c r="L43" s="299" t="inlineStr">
        <is>
          <t>ZU-MFMA1ZZI-12K</t>
        </is>
      </c>
      <c r="M43" s="300" t="inlineStr">
        <is>
          <t>8YEYA12I</t>
        </is>
      </c>
      <c r="N43" s="298" t="inlineStr">
        <is>
          <t>F.MFM.12K.006.AD</t>
        </is>
      </c>
      <c r="O43" s="295" t="n"/>
      <c r="P43" s="295" t="n"/>
      <c r="Q43" s="301">
        <f>IFERROR(R43/H43, 0)</f>
        <v/>
      </c>
      <c r="R43" s="296" t="n">
        <v>10910.79</v>
      </c>
      <c r="S43" s="297" t="n">
        <v>18056</v>
      </c>
      <c r="T43" s="297">
        <f>IFERROR(S43*R43, 0)</f>
        <v/>
      </c>
      <c r="U43" s="302" t="n"/>
      <c r="V43" s="304" t="n"/>
      <c r="W43" s="305" t="n"/>
      <c r="X43" s="300" t="n"/>
      <c r="Y43" s="304" t="n"/>
      <c r="Z43" s="306" t="n"/>
    </row>
    <row r="44" ht="17.1" customHeight="1" s="223">
      <c r="A44" s="314" t="n"/>
      <c r="B44" s="315" t="n"/>
      <c r="C44" s="316" t="n"/>
      <c r="D44" s="316" t="n"/>
      <c r="E44" s="317" t="n"/>
      <c r="F44" s="317" t="n"/>
      <c r="G44" s="317" t="n"/>
      <c r="H44" s="318">
        <f>SUM(H12:H43)</f>
        <v/>
      </c>
      <c r="I44" s="319">
        <f>COUNTA(I12:I43)</f>
        <v/>
      </c>
      <c r="J44" s="318" t="n"/>
      <c r="K44" s="318" t="n"/>
      <c r="L44" s="320" t="n"/>
      <c r="M44" s="318" t="n"/>
      <c r="N44" s="318" t="n"/>
      <c r="O44" s="321">
        <f>SUM(O12:O43)</f>
        <v/>
      </c>
      <c r="P44" s="321">
        <f>SUM(P12:P43)</f>
        <v/>
      </c>
      <c r="Q44" s="322" t="n"/>
      <c r="R44" s="323">
        <f>SUM(R12:R43)</f>
        <v/>
      </c>
      <c r="S44" s="324" t="n"/>
      <c r="T44" s="324">
        <f>SUM(T12:T43)</f>
        <v/>
      </c>
      <c r="U44" s="318" t="n"/>
      <c r="V44" s="325" t="n"/>
      <c r="W44" s="326" t="n"/>
      <c r="X44" s="325" t="n"/>
      <c r="Y44" s="325" t="n"/>
      <c r="Z44" s="325" t="n"/>
    </row>
    <row r="45" ht="16.5" customHeight="1" s="223">
      <c r="A45" s="311">
        <f>COUNT(A12:A44)</f>
        <v/>
      </c>
      <c r="B45" s="313" t="n"/>
      <c r="C45" s="293" t="n"/>
      <c r="D45" s="293" t="n"/>
      <c r="E45" s="306" t="n"/>
      <c r="F45" s="309" t="n"/>
      <c r="G45" s="306" t="n"/>
      <c r="H45" s="300">
        <f>SUM(H44)</f>
        <v/>
      </c>
      <c r="I45" s="300">
        <f>SUM(I44)</f>
        <v/>
      </c>
      <c r="J45" s="300" t="n"/>
      <c r="K45" s="298" t="n"/>
      <c r="L45" s="299" t="n"/>
      <c r="M45" s="300" t="n"/>
      <c r="N45" s="298" t="n"/>
      <c r="O45" s="295">
        <f>SUM(O44)</f>
        <v/>
      </c>
      <c r="P45" s="295">
        <f>SUM(P44)</f>
        <v/>
      </c>
      <c r="Q45" s="301" t="n"/>
      <c r="R45" s="296">
        <f>SUM(R44)</f>
        <v/>
      </c>
      <c r="S45" s="297" t="n"/>
      <c r="T45" s="297">
        <f>SUM(T44)</f>
        <v/>
      </c>
      <c r="U45" s="302" t="n"/>
      <c r="V45" s="304" t="n"/>
      <c r="W45" s="305" t="n"/>
      <c r="X45" s="300" t="n"/>
      <c r="Y45" s="304" t="n"/>
      <c r="Z45" s="306" t="n"/>
    </row>
    <row r="46"/>
    <row r="47" ht="20" customHeight="1" s="223">
      <c r="B47" s="327" t="inlineStr">
        <is>
          <t>Total Qty Export :</t>
        </is>
      </c>
      <c r="C47" s="328">
        <f>H45-C48</f>
        <v/>
      </c>
    </row>
    <row r="48" ht="20" customHeight="1" s="223">
      <c r="B48" s="329" t="inlineStr">
        <is>
          <t>Total Qty Export Sample :</t>
        </is>
      </c>
      <c r="C48" s="330" t="n">
        <v>0</v>
      </c>
    </row>
    <row r="49"/>
    <row r="50" ht="20" customHeight="1" s="223">
      <c r="U50" s="329" t="inlineStr">
        <is>
          <t>Tangerang, 30 July 2026</t>
        </is>
      </c>
    </row>
    <row r="51" ht="20" customHeight="1" s="223">
      <c r="A51" s="331" t="inlineStr">
        <is>
          <t>Total Document</t>
        </is>
      </c>
      <c r="C51" s="331">
        <f>A45</f>
        <v/>
      </c>
      <c r="U51" s="329" t="inlineStr">
        <is>
          <t>Kasubsi Hanggar Pabean dan Cukai</t>
        </is>
      </c>
    </row>
    <row r="52" ht="20" customHeight="1" s="223">
      <c r="A52" s="331" t="inlineStr">
        <is>
          <t>Gross Weight</t>
        </is>
      </c>
      <c r="C52" s="331">
        <f>O45</f>
        <v/>
      </c>
    </row>
    <row r="53" ht="20" customHeight="1" s="223">
      <c r="A53" s="331" t="inlineStr">
        <is>
          <t>Nett Weight</t>
        </is>
      </c>
      <c r="C53" s="331">
        <f>P45</f>
        <v/>
      </c>
    </row>
    <row r="54" ht="20" customHeight="1" s="223">
      <c r="A54" s="331" t="inlineStr">
        <is>
          <t>Amount</t>
        </is>
      </c>
      <c r="C54" s="331">
        <f>R45</f>
        <v/>
      </c>
    </row>
    <row r="55" ht="20" customHeight="1" s="223">
      <c r="A55" s="331" t="inlineStr">
        <is>
          <t>Jumlah Container</t>
        </is>
      </c>
      <c r="C55" s="331">
        <f>I45</f>
        <v/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32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33" t="n"/>
      <c r="L333" s="333" t="n"/>
      <c r="M333" s="333" t="n"/>
      <c r="N333" s="334" t="n"/>
      <c r="O333" s="335" t="n"/>
      <c r="P333" s="335" t="n"/>
      <c r="Q333" s="336" t="n"/>
      <c r="R333" s="337" t="n"/>
      <c r="S333" s="338" t="n"/>
      <c r="T333" s="338" t="n"/>
      <c r="U333" s="339" t="n"/>
      <c r="V333" s="339" t="n"/>
      <c r="W333" s="339" t="n"/>
      <c r="X333" s="339" t="n"/>
      <c r="Y333" s="339" t="n"/>
      <c r="Z333" s="339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2026-07-30T14:51:41Z</dcterms:modified>
  <cp:lastModifiedBy>Chiswa Dian Hermansyah(ZINUS ZDI)</cp:lastModifiedBy>
</cp:coreProperties>
</file>