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000030ZIK4802026072100494</t>
        </is>
      </c>
      <c r="C12" s="106" t="n">
        <v>450500</v>
      </c>
      <c r="D12" s="106" t="n">
        <v>450450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>
        <is>
          <t>TXGU583961</t>
        </is>
      </c>
      <c r="J12" s="67" t="inlineStr">
        <is>
          <t>40FT</t>
        </is>
      </c>
      <c r="K12" s="69" t="inlineStr">
        <is>
          <t>94049000 HE:0 - 1.0000 PIECE (PCE) - INDONESIA (ID)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n">
        <v>12962.5</v>
      </c>
      <c r="P12" s="111" t="n">
        <v>11730</v>
      </c>
      <c r="Q12" s="259">
        <f>IFERROR(R12/H12, 0)</f>
        <v/>
      </c>
      <c r="R12" s="260" t="n">
        <v>40018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>
        <is>
          <t>SAVANNAH</t>
        </is>
      </c>
      <c r="X12" s="76" t="inlineStr"/>
      <c r="Y12" s="77" t="inlineStr">
        <is>
          <t>EGLV080600441901</t>
        </is>
      </c>
      <c r="Z12" s="258" t="n">
        <v>46225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>
        <is>
          <t>TXGU583961</t>
        </is>
      </c>
      <c r="J13" s="67" t="inlineStr">
        <is>
          <t>40FT</t>
        </is>
      </c>
      <c r="K13" s="69" t="inlineStr">
        <is>
          <t>94049000 HE:0 - 1.0000 PIECE (PCE) - INDONESIA (ID)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40018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000030ZIK4802026072100495</t>
        </is>
      </c>
      <c r="C15" s="106" t="n">
        <v>450515</v>
      </c>
      <c r="D15" s="106" t="n">
        <v>450465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TXGU583972</t>
        </is>
      </c>
      <c r="J15" s="67" t="inlineStr">
        <is>
          <t>40FT</t>
        </is>
      </c>
      <c r="K15" s="69" t="inlineStr">
        <is>
          <t>94042120 HE:0 - 900.0000 PIECE (PCE) - INDONESIA (ID) 84,573 - 8IN GREEN TEA MF MATTRESS QN</t>
        </is>
      </c>
      <c r="L15" s="109" t="inlineStr">
        <is>
          <t>SCF-STR-</t>
        </is>
      </c>
      <c r="M15" s="110" t="inlineStr">
        <is>
          <t>0993631021</t>
        </is>
      </c>
      <c r="N15" s="69" t="inlineStr">
        <is>
          <t>F.MFM.06F.002.BD</t>
        </is>
      </c>
      <c r="O15" s="111" t="n">
        <v>24598.94</v>
      </c>
      <c r="P15" s="111" t="n">
        <v>22252.54</v>
      </c>
      <c r="Q15" s="259">
        <f>IFERROR(R15/H15, 0)</f>
        <v/>
      </c>
      <c r="R15" s="260" t="n">
        <v>36097.6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>
        <is>
          <t>SAVANNAH</t>
        </is>
      </c>
      <c r="X15" s="76" t="inlineStr"/>
      <c r="Y15" s="77" t="inlineStr">
        <is>
          <t>EGLV080600441902</t>
        </is>
      </c>
      <c r="Z15" s="258" t="n">
        <v>46225</v>
      </c>
    </row>
    <row r="16" ht="16.5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7.1" customFormat="1" customHeight="1" s="273">
      <c r="A17" s="104" t="n">
        <v>3</v>
      </c>
      <c r="B17" s="105" t="inlineStr">
        <is>
          <t>000030ZIK4802026072100496</t>
        </is>
      </c>
      <c r="C17" s="274" t="n">
        <v>450530</v>
      </c>
      <c r="D17" s="274" t="n">
        <v>450480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TXGU583983</t>
        </is>
      </c>
      <c r="J17" s="67" t="inlineStr">
        <is>
          <t>40FT</t>
        </is>
      </c>
      <c r="K17" s="69" t="inlineStr">
        <is>
          <t>94042120 HE:0 - 520.0000 PIECE (PCE) - INDONESIA (ID) 41,480.4 - 8IN GREEN TEA MF MATTRESS FL</t>
        </is>
      </c>
      <c r="L17" s="277" t="inlineStr">
        <is>
          <t>SCF-STR-</t>
        </is>
      </c>
      <c r="M17" s="67" t="inlineStr">
        <is>
          <t>0993630656</t>
        </is>
      </c>
      <c r="N17" s="69" t="inlineStr">
        <is>
          <t>F.MFM.06F.003.BD</t>
        </is>
      </c>
      <c r="O17" s="111" t="n">
        <v>36235.38</v>
      </c>
      <c r="P17" s="111" t="n">
        <v>32775.08</v>
      </c>
      <c r="Q17" s="259">
        <f>IFERROR(R17/H17, 0)</f>
        <v/>
      </c>
      <c r="R17" s="260" t="n">
        <v>40018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>
        <is>
          <t>SAVANNAH</t>
        </is>
      </c>
      <c r="X17" s="76" t="inlineStr"/>
      <c r="Y17" s="278" t="inlineStr">
        <is>
          <t>EGLV080600441903</t>
        </is>
      </c>
      <c r="Z17" s="279" t="n">
        <v>46225</v>
      </c>
    </row>
    <row r="18" ht="16.5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000030ZIK4802026072100497</t>
        </is>
      </c>
      <c r="C19" s="106" t="n">
        <v>450545</v>
      </c>
      <c r="D19" s="106" t="n">
        <v>450495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>
        <is>
          <t>TXGU583994</t>
        </is>
      </c>
      <c r="J19" s="67" t="inlineStr">
        <is>
          <t>40FT</t>
        </is>
      </c>
      <c r="K19" s="69" t="inlineStr">
        <is>
          <t>94042120 HE:0 - 1.0000 PIECE (PCE) - INDONESIA (ID) 35.93 - 8IN MYGEL FOAM MATTRESS TW</t>
        </is>
      </c>
      <c r="L19" s="109" t="inlineStr">
        <is>
          <t>ZU-</t>
        </is>
      </c>
      <c r="M19" s="110" t="inlineStr">
        <is>
          <t>1CPXSUHR</t>
        </is>
      </c>
      <c r="N19" s="69" t="inlineStr">
        <is>
          <t>F.MFM.06F.004.BD</t>
        </is>
      </c>
      <c r="O19" s="111" t="n">
        <v>47871.82</v>
      </c>
      <c r="P19" s="111" t="n">
        <v>43297.62</v>
      </c>
      <c r="Q19" s="259">
        <f>IFERROR(R19/H19, 0)</f>
        <v/>
      </c>
      <c r="R19" s="260" t="n">
        <v>36097.6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>
        <is>
          <t>SAVANNAH</t>
        </is>
      </c>
      <c r="X19" s="76" t="inlineStr"/>
      <c r="Y19" s="77" t="inlineStr">
        <is>
          <t>EGLV080600441904</t>
        </is>
      </c>
      <c r="Z19" s="258" t="n">
        <v>46225</v>
      </c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TXGU583994</t>
        </is>
      </c>
      <c r="J20" s="67" t="inlineStr">
        <is>
          <t>40FT</t>
        </is>
      </c>
      <c r="K20" s="69" t="inlineStr">
        <is>
          <t>94042120 HE:0 - 6.0000 PIECE (PCE) - INDONESIA (ID) 372.9 - 8IN GREEN TEA MF MATTRESS SQ</t>
        </is>
      </c>
      <c r="L20" s="109" t="inlineStr">
        <is>
          <t>ZU-</t>
        </is>
      </c>
      <c r="M20" s="110" t="inlineStr">
        <is>
          <t>1CPXSUHR</t>
        </is>
      </c>
      <c r="N20" s="69" t="inlineStr">
        <is>
          <t>F.MFM.06F.004.BD</t>
        </is>
      </c>
      <c r="O20" s="111" t="n"/>
      <c r="P20" s="111" t="n"/>
      <c r="Q20" s="259">
        <f>IFERROR(R20/H20, 0)</f>
        <v/>
      </c>
      <c r="R20" s="260" t="n">
        <v>36097.6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TXGU583994</t>
        </is>
      </c>
      <c r="J21" s="67" t="inlineStr">
        <is>
          <t>40FT</t>
        </is>
      </c>
      <c r="K21" s="69" t="inlineStr">
        <is>
          <t>94042120 HE:0 - 1.0000 PIECE (PCE) - INDONESIA (ID)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F.MFM.06F.004.BD</t>
        </is>
      </c>
      <c r="O21" s="111" t="n"/>
      <c r="P21" s="111" t="n"/>
      <c r="Q21" s="259">
        <f>IFERROR(R21/H21, 0)</f>
        <v/>
      </c>
      <c r="R21" s="260" t="n">
        <v>36097.6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TXGU583994</t>
        </is>
      </c>
      <c r="J22" s="67" t="inlineStr">
        <is>
          <t>40FT</t>
        </is>
      </c>
      <c r="K22" s="69" t="inlineStr">
        <is>
          <t>94042120 HE:0 - 2.0000 PIECE (PCE) - INDONESIA (ID) 107.8 - 10IN AIRFLOW GEL FOAM MATT QN</t>
        </is>
      </c>
      <c r="L22" s="109" t="inlineStr">
        <is>
          <t>ZU-</t>
        </is>
      </c>
      <c r="M22" s="110" t="inlineStr">
        <is>
          <t>1CPXSUHR</t>
        </is>
      </c>
      <c r="N22" s="69" t="inlineStr">
        <is>
          <t>F.MFM.06F.004.BD</t>
        </is>
      </c>
      <c r="O22" s="111" t="n"/>
      <c r="P22" s="111" t="n"/>
      <c r="Q22" s="259">
        <f>IFERROR(R22/H22, 0)</f>
        <v/>
      </c>
      <c r="R22" s="260" t="n">
        <v>36097.6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7.1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TXGU583994</t>
        </is>
      </c>
      <c r="J23" s="67" t="inlineStr">
        <is>
          <t>40FT</t>
        </is>
      </c>
      <c r="K23" s="69" t="inlineStr">
        <is>
          <t>94042120 HE:0 - 311.0000 PIECE (PCE) - INDONESIA (ID) 11,920.63 - 6IN GREEN TEA MF MATTRESS FL</t>
        </is>
      </c>
      <c r="L23" s="277" t="inlineStr">
        <is>
          <t>ZU-</t>
        </is>
      </c>
      <c r="M23" s="67" t="inlineStr">
        <is>
          <t>1CPXSUHR</t>
        </is>
      </c>
      <c r="N23" s="69" t="inlineStr">
        <is>
          <t>F.MFM.06F.004.BD</t>
        </is>
      </c>
      <c r="O23" s="111" t="n"/>
      <c r="P23" s="111" t="n"/>
      <c r="Q23" s="259">
        <f>IFERROR(R23/H23, 0)</f>
        <v/>
      </c>
      <c r="R23" s="260" t="n">
        <v>36097.6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7.1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TXGU583994</t>
        </is>
      </c>
      <c r="J24" s="67" t="inlineStr">
        <is>
          <t>40FT</t>
        </is>
      </c>
      <c r="K24" s="69" t="inlineStr">
        <is>
          <t>94042120 HE:0 - 355.0000 PIECE (PCE) - INDONESIA (ID) 19,876.45 - 8IN GREEN TEA MF MATTRESS FL</t>
        </is>
      </c>
      <c r="L24" s="109" t="inlineStr">
        <is>
          <t>ZU-</t>
        </is>
      </c>
      <c r="M24" s="67" t="inlineStr">
        <is>
          <t>1CPXSUHR</t>
        </is>
      </c>
      <c r="N24" s="69" t="inlineStr">
        <is>
          <t>F.MFM.06F.004.BD</t>
        </is>
      </c>
      <c r="O24" s="111" t="n"/>
      <c r="P24" s="111" t="n"/>
      <c r="Q24" s="259">
        <f>IFERROR(R24/H24, 0)</f>
        <v/>
      </c>
      <c r="R24" s="260" t="n">
        <v>36097.6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8.1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TXGU583994</t>
        </is>
      </c>
      <c r="J25" s="76" t="inlineStr">
        <is>
          <t>40FT</t>
        </is>
      </c>
      <c r="K25" s="284" t="inlineStr">
        <is>
          <t>94042120 HE:0 - 1.0000 PIECE (PCE) - INDONESIA (ID) 101.97 - 12IN GREEN TEA MF MATTRESS EK</t>
        </is>
      </c>
      <c r="L25" s="285" t="inlineStr">
        <is>
          <t>ZU-</t>
        </is>
      </c>
      <c r="M25" s="76" t="inlineStr">
        <is>
          <t>1CPXSUHR</t>
        </is>
      </c>
      <c r="N25" s="284" t="inlineStr">
        <is>
          <t>F.MFM.06F.004.BD</t>
        </is>
      </c>
      <c r="O25" s="286" t="n"/>
      <c r="P25" s="286" t="n"/>
      <c r="Q25" s="287">
        <f>IFERROR(R25/H25, 0)</f>
        <v/>
      </c>
      <c r="R25" s="288" t="n">
        <v>36097.6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20.1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>
        <is>
          <t>TXGU583994</t>
        </is>
      </c>
      <c r="J26" s="300" t="inlineStr">
        <is>
          <t>40FT</t>
        </is>
      </c>
      <c r="K26" s="301" t="inlineStr">
        <is>
          <t>94042120 HE:0 - 5.0000 PIECE (PCE) - INDONESIA (ID) 310.75 - 8IN GREEN TEA MF MATTRESS SQ</t>
        </is>
      </c>
      <c r="L26" s="302" t="inlineStr">
        <is>
          <t>ZU-</t>
        </is>
      </c>
      <c r="M26" s="300" t="inlineStr">
        <is>
          <t>23OYBVEV</t>
        </is>
      </c>
      <c r="N26" s="301" t="inlineStr">
        <is>
          <t>F.MFM.06F.004.BD</t>
        </is>
      </c>
      <c r="O26" s="303" t="n"/>
      <c r="P26" s="303" t="n"/>
      <c r="Q26" s="304">
        <f>IFERROR(R26/H26, 0)</f>
        <v/>
      </c>
      <c r="R26" s="305" t="n">
        <v>36097.6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7.1" customHeight="1" s="223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>
        <is>
          <t>TXGU583994</t>
        </is>
      </c>
      <c r="J27" s="300" t="inlineStr">
        <is>
          <t>40FT</t>
        </is>
      </c>
      <c r="K27" s="301" t="inlineStr">
        <is>
          <t>94042120 HE:0 - 197.0000 PIECE (PCE) - INDONESIA (ID)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F.MFM.06F.004.BD</t>
        </is>
      </c>
      <c r="O27" s="303" t="n"/>
      <c r="P27" s="303" t="n"/>
      <c r="Q27" s="304">
        <f>IFERROR(R27/H27, 0)</f>
        <v/>
      </c>
      <c r="R27" s="305" t="n">
        <v>36097.6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7.1" customHeight="1" s="223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>
        <is>
          <t>TXGU583994</t>
        </is>
      </c>
      <c r="J28" s="300" t="inlineStr">
        <is>
          <t>40FT</t>
        </is>
      </c>
      <c r="K28" s="301" t="inlineStr">
        <is>
          <t>94042120 HE:0 - 18.0000 PIECE (PCE) - INDONESIA (ID) 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F.MFM.06F.004.BD</t>
        </is>
      </c>
      <c r="O28" s="303" t="n"/>
      <c r="P28" s="303" t="n"/>
      <c r="Q28" s="304">
        <f>IFERROR(R28/H28, 0)</f>
        <v/>
      </c>
      <c r="R28" s="305" t="n">
        <v>36097.6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7.1" customHeight="1" s="223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>
        <is>
          <t>TXGU583994</t>
        </is>
      </c>
      <c r="J29" s="300" t="inlineStr">
        <is>
          <t>40FT</t>
        </is>
      </c>
      <c r="K29" s="301" t="inlineStr">
        <is>
          <t>94042120 HE:0 - 1.0000 PIECE (PCE) - INDONESIA (ID) 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F.MFM.06F.004.BD</t>
        </is>
      </c>
      <c r="O29" s="303" t="n"/>
      <c r="P29" s="303" t="n"/>
      <c r="Q29" s="304">
        <f>IFERROR(R29/H29, 0)</f>
        <v/>
      </c>
      <c r="R29" s="305" t="n">
        <v>36097.6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7.1" customHeight="1" s="223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>
        <is>
          <t>TXGU583994</t>
        </is>
      </c>
      <c r="J30" s="300" t="inlineStr">
        <is>
          <t>40FT</t>
        </is>
      </c>
      <c r="K30" s="301" t="inlineStr">
        <is>
          <t>94042120 HE:0 - 2.0000 PIECE (PCE) - INDONESIA (ID) 131.76 - 10IN AIRFLOW GEL FOAM MATT EK</t>
        </is>
      </c>
      <c r="L30" s="302" t="inlineStr">
        <is>
          <t>ZU-</t>
        </is>
      </c>
      <c r="M30" s="300" t="inlineStr">
        <is>
          <t>23OYBVEV</t>
        </is>
      </c>
      <c r="N30" s="301" t="inlineStr">
        <is>
          <t>F.MFM.06F.004.BD</t>
        </is>
      </c>
      <c r="O30" s="303" t="n"/>
      <c r="P30" s="303" t="n"/>
      <c r="Q30" s="304">
        <f>IFERROR(R30/H30, 0)</f>
        <v/>
      </c>
      <c r="R30" s="305" t="n">
        <v>36097.6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7.1" customHeight="1" s="223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>
        <is>
          <t>TXGU583994</t>
        </is>
      </c>
      <c r="J31" s="300" t="inlineStr">
        <is>
          <t>40FT</t>
        </is>
      </c>
      <c r="K31" s="301" t="inlineStr">
        <is>
          <t>94042120 HE:0 - 302.0000 PIECE (PCE) - INDONESIA (ID) 11,756.86 - 6IN MYGEL FOAM MATTRESS FL</t>
        </is>
      </c>
      <c r="L31" s="302" t="inlineStr">
        <is>
          <t>ZU-MFGN1YZI-</t>
        </is>
      </c>
      <c r="M31" s="300" t="inlineStr">
        <is>
          <t>299957YO</t>
        </is>
      </c>
      <c r="N31" s="301" t="inlineStr">
        <is>
          <t>F.MFM.06F.004.BD</t>
        </is>
      </c>
      <c r="O31" s="303" t="n"/>
      <c r="P31" s="303" t="n"/>
      <c r="Q31" s="304">
        <f>IFERROR(R31/H31, 0)</f>
        <v/>
      </c>
      <c r="R31" s="305" t="n">
        <v>36097.6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7.1" customHeight="1" s="223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>
        <is>
          <t>TXGU583994</t>
        </is>
      </c>
      <c r="J32" s="300" t="inlineStr">
        <is>
          <t>40FT</t>
        </is>
      </c>
      <c r="K32" s="301" t="inlineStr">
        <is>
          <t>94042120 HE:0 - 450.0000 PIECE (PCE) - INDONESIA (ID) 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F.MFM.06F.004.BD</t>
        </is>
      </c>
      <c r="O32" s="303" t="n"/>
      <c r="P32" s="303" t="n"/>
      <c r="Q32" s="304">
        <f>IFERROR(R32/H32, 0)</f>
        <v/>
      </c>
      <c r="R32" s="305" t="n">
        <v>36097.6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7.1" customHeight="1" s="223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>
        <is>
          <t>TXGU583994</t>
        </is>
      </c>
      <c r="J33" s="300" t="inlineStr">
        <is>
          <t>40FT</t>
        </is>
      </c>
      <c r="K33" s="301" t="inlineStr">
        <is>
          <t>94042120 HE:0 - 1.0000 PIECE (PCE) - INDONESIA (ID) 59.1 - 8IN GREEN TEA MF MATTRESS SQ</t>
        </is>
      </c>
      <c r="L33" s="302" t="inlineStr">
        <is>
          <t>ZU-</t>
        </is>
      </c>
      <c r="M33" s="300" t="inlineStr">
        <is>
          <t>299957YO</t>
        </is>
      </c>
      <c r="N33" s="301" t="inlineStr">
        <is>
          <t>F.MFM.06F.004.BD</t>
        </is>
      </c>
      <c r="O33" s="303" t="n"/>
      <c r="P33" s="303" t="n"/>
      <c r="Q33" s="304">
        <f>IFERROR(R33/H33, 0)</f>
        <v/>
      </c>
      <c r="R33" s="305" t="n">
        <v>36097.6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7.1" customHeight="1" s="223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>
        <is>
          <t>TXGU583994</t>
        </is>
      </c>
      <c r="J34" s="300" t="inlineStr">
        <is>
          <t>40FT</t>
        </is>
      </c>
      <c r="K34" s="301" t="inlineStr">
        <is>
          <t>94042120 HE:0 - 6.0000 PIECE (PCE) - INDONESIA (ID) 582.66 - 10IN GREEN TEA MF MATTRESS EK</t>
        </is>
      </c>
      <c r="L34" s="302" t="inlineStr">
        <is>
          <t>ZU-</t>
        </is>
      </c>
      <c r="M34" s="300" t="inlineStr">
        <is>
          <t>299957YO</t>
        </is>
      </c>
      <c r="N34" s="301" t="inlineStr">
        <is>
          <t>F.MFM.06F.004.BD</t>
        </is>
      </c>
      <c r="O34" s="303" t="n"/>
      <c r="P34" s="303" t="n"/>
      <c r="Q34" s="304">
        <f>IFERROR(R34/H34, 0)</f>
        <v/>
      </c>
      <c r="R34" s="305" t="n">
        <v>36097.6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7.1" customHeight="1" s="223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>
        <is>
          <t>TXGU583994</t>
        </is>
      </c>
      <c r="J35" s="300" t="inlineStr">
        <is>
          <t>40FT</t>
        </is>
      </c>
      <c r="K35" s="301" t="inlineStr">
        <is>
          <t>94042120 HE:0 - 149.0000 PIECE (PCE) - INDONESIA (ID) 5,353.57 - 8IN MYGEL FOAM MATTRESS TW</t>
        </is>
      </c>
      <c r="L35" s="302" t="inlineStr">
        <is>
          <t>ZU-</t>
        </is>
      </c>
      <c r="M35" s="300" t="inlineStr">
        <is>
          <t>2OD43VAH</t>
        </is>
      </c>
      <c r="N35" s="301" t="inlineStr">
        <is>
          <t>F.MFM.06F.004.BD</t>
        </is>
      </c>
      <c r="O35" s="303" t="n"/>
      <c r="P35" s="303" t="n"/>
      <c r="Q35" s="304">
        <f>IFERROR(R35/H35, 0)</f>
        <v/>
      </c>
      <c r="R35" s="305" t="n">
        <v>36097.6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7.1" customHeight="1" s="223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>
        <is>
          <t>TXGU583994</t>
        </is>
      </c>
      <c r="J36" s="300" t="inlineStr">
        <is>
          <t>40FT</t>
        </is>
      </c>
      <c r="K36" s="301" t="inlineStr">
        <is>
          <t>94042120 HE:0 - 2.0000 PIECE (PCE) - INDONESIA (ID) 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F.MFM.06F.004.BD</t>
        </is>
      </c>
      <c r="O36" s="303" t="n"/>
      <c r="P36" s="303" t="n"/>
      <c r="Q36" s="304">
        <f>IFERROR(R36/H36, 0)</f>
        <v/>
      </c>
      <c r="R36" s="305" t="n">
        <v>36097.6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7.1" customHeight="1" s="223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>
        <is>
          <t>TXGU583994</t>
        </is>
      </c>
      <c r="J37" s="300" t="inlineStr">
        <is>
          <t>40FT</t>
        </is>
      </c>
      <c r="K37" s="301" t="inlineStr">
        <is>
          <t>94042120 HE:0 - 400.0000 PIECE (PCE) - INDONESIA (ID) 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F.MFM.06F.004.BD</t>
        </is>
      </c>
      <c r="O37" s="303" t="n"/>
      <c r="P37" s="303" t="n"/>
      <c r="Q37" s="304">
        <f>IFERROR(R37/H37, 0)</f>
        <v/>
      </c>
      <c r="R37" s="305" t="n">
        <v>36097.6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7.1" customHeight="1" s="223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>
        <is>
          <t>TXGU583994</t>
        </is>
      </c>
      <c r="J38" s="300" t="inlineStr">
        <is>
          <t>40FT</t>
        </is>
      </c>
      <c r="K38" s="301" t="inlineStr">
        <is>
          <t>94042120 HE:0 - 1.0000 PIECE (PCE) - INDONESIA (ID) 53.9 - 10IN AIRFLOW GEL FOAM MATT QN</t>
        </is>
      </c>
      <c r="L38" s="302" t="inlineStr">
        <is>
          <t>ZU-</t>
        </is>
      </c>
      <c r="M38" s="300" t="inlineStr">
        <is>
          <t>2OD43VAH</t>
        </is>
      </c>
      <c r="N38" s="301" t="inlineStr">
        <is>
          <t>F.MFM.06F.004.BD</t>
        </is>
      </c>
      <c r="O38" s="303" t="n"/>
      <c r="P38" s="303" t="n"/>
      <c r="Q38" s="304">
        <f>IFERROR(R38/H38, 0)</f>
        <v/>
      </c>
      <c r="R38" s="305" t="n">
        <v>36097.6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2" customHeight="1" s="223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>
        <is>
          <t>TXGU583994</t>
        </is>
      </c>
      <c r="J39" s="300" t="inlineStr">
        <is>
          <t>40FT</t>
        </is>
      </c>
      <c r="K39" s="301" t="inlineStr">
        <is>
          <t>94042120 HE:0 - 1.0000 PIECE (PCE) - INDONESIA (ID) 67.57 - 12IN AIRFLOW GEL FOAM MATT QN</t>
        </is>
      </c>
      <c r="L39" s="302" t="inlineStr">
        <is>
          <t>ZU-</t>
        </is>
      </c>
      <c r="M39" s="300" t="inlineStr">
        <is>
          <t>2OD43VAH</t>
        </is>
      </c>
      <c r="N39" s="301" t="inlineStr">
        <is>
          <t>F.MFM.06F.004.BD</t>
        </is>
      </c>
      <c r="O39" s="303" t="n"/>
      <c r="P39" s="303" t="n"/>
      <c r="Q39" s="304">
        <f>IFERROR(R39/H39, 0)</f>
        <v/>
      </c>
      <c r="R39" s="305" t="n">
        <v>36097.6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2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>
        <is>
          <t>TXGU583994</t>
        </is>
      </c>
      <c r="J40" s="300" t="inlineStr">
        <is>
          <t>40FT</t>
        </is>
      </c>
      <c r="K40" s="301" t="inlineStr">
        <is>
          <t>94042120 HE:0 - 1.0000 PIECE (PCE) - INDONESIA (ID) 59.1 - 8IN GREEN TEA MF MATTRESS SQ</t>
        </is>
      </c>
      <c r="L40" s="302" t="inlineStr">
        <is>
          <t>ZU-</t>
        </is>
      </c>
      <c r="M40" s="300" t="inlineStr">
        <is>
          <t>2OD43VAH</t>
        </is>
      </c>
      <c r="N40" s="301" t="inlineStr">
        <is>
          <t>F.MFM.06F.004.BD</t>
        </is>
      </c>
      <c r="O40" s="303" t="n"/>
      <c r="P40" s="303" t="n"/>
      <c r="Q40" s="304">
        <f>IFERROR(R40/H40, 0)</f>
        <v/>
      </c>
      <c r="R40" s="305" t="n">
        <v>36097.6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>
        <is>
          <t>TXGU583994</t>
        </is>
      </c>
      <c r="J41" s="300" t="inlineStr">
        <is>
          <t>40FT</t>
        </is>
      </c>
      <c r="K41" s="301" t="inlineStr">
        <is>
          <t>94042120 HE:0 - 368.0000 PIECE (PCE) - INDONESIA (ID) 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F.MFM.06F.004.BD</t>
        </is>
      </c>
      <c r="O41" s="303" t="n"/>
      <c r="P41" s="303" t="n"/>
      <c r="Q41" s="304">
        <f>IFERROR(R41/H41, 0)</f>
        <v/>
      </c>
      <c r="R41" s="305" t="n">
        <v>36097.6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>
        <is>
          <t>TXGU583994</t>
        </is>
      </c>
      <c r="J42" s="300" t="inlineStr">
        <is>
          <t>40FT</t>
        </is>
      </c>
      <c r="K42" s="301" t="inlineStr">
        <is>
          <t>94042120 HE:0 - 198.0000 PIECE (PCE) - INDONESIA (ID) 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F.MFM.06F.004.BD</t>
        </is>
      </c>
      <c r="O42" s="303" t="n"/>
      <c r="P42" s="303" t="n"/>
      <c r="Q42" s="304">
        <f>IFERROR(R42/H42, 0)</f>
        <v/>
      </c>
      <c r="R42" s="305" t="n">
        <v>36097.6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>
        <is>
          <t>TXGU583994</t>
        </is>
      </c>
      <c r="J43" s="300" t="inlineStr">
        <is>
          <t>40FT</t>
        </is>
      </c>
      <c r="K43" s="301" t="inlineStr">
        <is>
          <t>94042120 HE:0 - 56.0000 PIECE (PCE) - INDONESIA (ID) 3,264.8 - 12IN GREEN TEA MF MATTRESS TX</t>
        </is>
      </c>
      <c r="L43" s="302" t="inlineStr">
        <is>
          <t>ZU-</t>
        </is>
      </c>
      <c r="M43" s="300" t="inlineStr">
        <is>
          <t>2XLW4FKE</t>
        </is>
      </c>
      <c r="N43" s="301" t="inlineStr">
        <is>
          <t>F.MFM.06F.004.BD</t>
        </is>
      </c>
      <c r="O43" s="303" t="n"/>
      <c r="P43" s="303" t="n"/>
      <c r="Q43" s="304">
        <f>IFERROR(R43/H43, 0)</f>
        <v/>
      </c>
      <c r="R43" s="305" t="n">
        <v>36097.6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>
        <is>
          <t>TXGU583994</t>
        </is>
      </c>
      <c r="J44" s="300" t="inlineStr">
        <is>
          <t>40FT</t>
        </is>
      </c>
      <c r="K44" s="301" t="inlineStr">
        <is>
          <t>94042120 HE:0 - 1.0000 PIECE (PCE) - INDONESIA (ID) 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F.MFM.06F.004.BD</t>
        </is>
      </c>
      <c r="O44" s="303" t="n"/>
      <c r="P44" s="303" t="n"/>
      <c r="Q44" s="304">
        <f>IFERROR(R44/H44, 0)</f>
        <v/>
      </c>
      <c r="R44" s="305" t="n">
        <v>36097.6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>
        <is>
          <t>TXGU583994</t>
        </is>
      </c>
      <c r="J45" s="300" t="inlineStr">
        <is>
          <t>40FT</t>
        </is>
      </c>
      <c r="K45" s="301" t="inlineStr">
        <is>
          <t>94042120 HE:0 - 1,138.0000 PIECE (PCE) - INDONESIA (ID) 26,925.08 - 5IN GREEN TEA MF MATTRESS TW</t>
        </is>
      </c>
      <c r="L45" s="302" t="inlineStr">
        <is>
          <t>ZU-</t>
        </is>
      </c>
      <c r="M45" s="300" t="inlineStr">
        <is>
          <t>4JWS37TM</t>
        </is>
      </c>
      <c r="N45" s="301" t="inlineStr">
        <is>
          <t>F.MFM.06F.004.BD</t>
        </is>
      </c>
      <c r="O45" s="303" t="n"/>
      <c r="P45" s="303" t="n"/>
      <c r="Q45" s="304">
        <f>IFERROR(R45/H45, 0)</f>
        <v/>
      </c>
      <c r="R45" s="305" t="n">
        <v>36097.6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>
      <c r="A47" s="295" t="n">
        <v>5</v>
      </c>
      <c r="B47" s="296" t="inlineStr">
        <is>
          <t>000030ZIK4802026072100498</t>
        </is>
      </c>
      <c r="C47" s="297" t="n">
        <v>450560</v>
      </c>
      <c r="D47" s="297" t="n">
        <v>450510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>
        <is>
          <t>TXGU584005</t>
        </is>
      </c>
      <c r="J47" s="300" t="inlineStr">
        <is>
          <t>40FT</t>
        </is>
      </c>
      <c r="K47" s="301" t="inlineStr">
        <is>
          <t>94042120 HE:0 - 966.0000 PIECE (PCE) - INDONESIA (ID)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F.MFM.06F.005.BD</t>
        </is>
      </c>
      <c r="O47" s="303" t="n">
        <v>59508.26</v>
      </c>
      <c r="P47" s="303" t="n">
        <v>53820.16</v>
      </c>
      <c r="Q47" s="304">
        <f>IFERROR(R47/H47, 0)</f>
        <v/>
      </c>
      <c r="R47" s="305" t="n">
        <v>40018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>
        <is>
          <t>SAVANNAH</t>
        </is>
      </c>
      <c r="X47" s="300" t="inlineStr"/>
      <c r="Y47" s="308" t="inlineStr">
        <is>
          <t>EGLV080600441905</t>
        </is>
      </c>
      <c r="Z47" s="298" t="n">
        <v>46225</v>
      </c>
    </row>
    <row r="48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TXGU584005</t>
        </is>
      </c>
      <c r="J48" s="300" t="inlineStr">
        <is>
          <t>40FT</t>
        </is>
      </c>
      <c r="K48" s="301" t="inlineStr">
        <is>
          <t>94042120 HE:0 - 1,145.0000 PIECE (PCE) - INDONESIA (ID) 27,090.7 - 5IN GREEN TEA MF MATTRESS TW</t>
        </is>
      </c>
      <c r="L48" s="302" t="inlineStr">
        <is>
          <t>ZU-</t>
        </is>
      </c>
      <c r="M48" s="300" t="inlineStr">
        <is>
          <t>4I3CD5IH</t>
        </is>
      </c>
      <c r="N48" s="301" t="inlineStr">
        <is>
          <t>F.MFM.06F.005.BD</t>
        </is>
      </c>
      <c r="O48" s="303" t="n"/>
      <c r="P48" s="303" t="n"/>
      <c r="Q48" s="304">
        <f>IFERROR(R48/H48, 0)</f>
        <v/>
      </c>
      <c r="R48" s="305" t="n">
        <v>40018</v>
      </c>
      <c r="S48" s="306" t="n">
        <v>18056</v>
      </c>
      <c r="T48" s="306">
        <f>IFERROR(S48*R48, 0)</f>
        <v/>
      </c>
      <c r="U48" s="307" t="n"/>
      <c r="V48" s="308" t="n"/>
      <c r="W48" s="309" t="inlineStr">
        <is>
          <t>ETD : 27-07-2026</t>
        </is>
      </c>
      <c r="X48" s="300" t="n"/>
      <c r="Y48" s="308" t="n"/>
      <c r="Z48" s="298" t="n"/>
    </row>
    <row r="49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TXGU584005</t>
        </is>
      </c>
      <c r="J49" s="300" t="inlineStr">
        <is>
          <t>40FT</t>
        </is>
      </c>
      <c r="K49" s="301" t="inlineStr">
        <is>
          <t>94042120 HE:0 - 1,144.0000 PIECE (PCE) - INDONESIA (ID) 27,067.04 - 5IN GREEN TEA MF MATTRESS TW</t>
        </is>
      </c>
      <c r="L49" s="302" t="inlineStr">
        <is>
          <t>ZU-</t>
        </is>
      </c>
      <c r="M49" s="300" t="inlineStr">
        <is>
          <t>88Y96MHS</t>
        </is>
      </c>
      <c r="N49" s="301" t="inlineStr">
        <is>
          <t>F.MFM.06F.005.BD</t>
        </is>
      </c>
      <c r="O49" s="303" t="n"/>
      <c r="P49" s="303" t="n"/>
      <c r="Q49" s="304">
        <f>IFERROR(R49/H49, 0)</f>
        <v/>
      </c>
      <c r="R49" s="305" t="n">
        <v>40018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TXGU584005</t>
        </is>
      </c>
      <c r="J50" s="300" t="inlineStr">
        <is>
          <t>40FT</t>
        </is>
      </c>
      <c r="K50" s="301" t="inlineStr">
        <is>
          <t>94042120 HE:0 - 502.0000 PIECE (PCE) - INDONESIA (ID) 42,062.58 - 12IN GREEN TEA MF MATTRESS QN</t>
        </is>
      </c>
      <c r="L50" s="302" t="inlineStr">
        <is>
          <t>ZU-</t>
        </is>
      </c>
      <c r="M50" s="300" t="inlineStr">
        <is>
          <t>8B4RWISK</t>
        </is>
      </c>
      <c r="N50" s="301" t="inlineStr">
        <is>
          <t>F.MFM.06F.005.BD</t>
        </is>
      </c>
      <c r="O50" s="303" t="n"/>
      <c r="P50" s="303" t="n"/>
      <c r="Q50" s="304">
        <f>IFERROR(R50/H50, 0)</f>
        <v/>
      </c>
      <c r="R50" s="305" t="n">
        <v>40018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TXGU584005</t>
        </is>
      </c>
      <c r="J51" s="300" t="inlineStr">
        <is>
          <t>40FT</t>
        </is>
      </c>
      <c r="K51" s="301" t="inlineStr">
        <is>
          <t>94042120 HE:0 - 3.0000 PIECE (PCE) - INDONESIA (ID)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F.MFM.06F.005.BD</t>
        </is>
      </c>
      <c r="O51" s="303" t="n"/>
      <c r="P51" s="303" t="n"/>
      <c r="Q51" s="304">
        <f>IFERROR(R51/H51, 0)</f>
        <v/>
      </c>
      <c r="R51" s="305" t="n">
        <v>40018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TXGU584005</t>
        </is>
      </c>
      <c r="J52" s="300" t="inlineStr">
        <is>
          <t>40FT</t>
        </is>
      </c>
      <c r="K52" s="301" t="inlineStr">
        <is>
          <t>94042120 HE:0 - 400.0000 PIECE (PCE) - INDONESIA (ID) 14,372 - 8IN GREEN TEA MF MATTRESS TW</t>
        </is>
      </c>
      <c r="L52" s="302" t="inlineStr">
        <is>
          <t>ZU-</t>
        </is>
      </c>
      <c r="M52" s="300" t="inlineStr">
        <is>
          <t>8GO2PUDD</t>
        </is>
      </c>
      <c r="N52" s="301" t="inlineStr">
        <is>
          <t>F.MFM.06F.005.BD</t>
        </is>
      </c>
      <c r="O52" s="303" t="n"/>
      <c r="P52" s="303" t="n"/>
      <c r="Q52" s="304">
        <f>IFERROR(R52/H52, 0)</f>
        <v/>
      </c>
      <c r="R52" s="305" t="n">
        <v>40018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TXGU584005</t>
        </is>
      </c>
      <c r="J53" s="300" t="inlineStr">
        <is>
          <t>40FT</t>
        </is>
      </c>
      <c r="K53" s="301" t="inlineStr">
        <is>
          <t>94042120 HE:0 - 206.0000 PIECE (PCE) - INDONESIA (ID) 17,260.74 - 12IN GREEN TEA MF MATTRESS QN</t>
        </is>
      </c>
      <c r="L53" s="302" t="inlineStr">
        <is>
          <t>ZU-</t>
        </is>
      </c>
      <c r="M53" s="300" t="inlineStr">
        <is>
          <t>8GO2PUDD</t>
        </is>
      </c>
      <c r="N53" s="301" t="inlineStr">
        <is>
          <t>F.MFM.06F.005.BD</t>
        </is>
      </c>
      <c r="O53" s="303" t="n"/>
      <c r="P53" s="303" t="n"/>
      <c r="Q53" s="304">
        <f>IFERROR(R53/H53, 0)</f>
        <v/>
      </c>
      <c r="R53" s="305" t="n">
        <v>40018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>
        <is>
          <t>TXGU584005</t>
        </is>
      </c>
      <c r="J54" s="300" t="inlineStr">
        <is>
          <t>40FT</t>
        </is>
      </c>
      <c r="K54" s="301" t="inlineStr">
        <is>
          <t>94042120 HE:0 - 605.0000 PIECE (PCE) - INDONESIA (ID)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F.MFM.06F.005.BD</t>
        </is>
      </c>
      <c r="O54" s="303" t="n"/>
      <c r="P54" s="303" t="n"/>
      <c r="Q54" s="304">
        <f>IFERROR(R54/H54, 0)</f>
        <v/>
      </c>
      <c r="R54" s="305" t="n">
        <v>40018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>
        <is>
          <t>TXGU584005</t>
        </is>
      </c>
      <c r="J55" s="300" t="inlineStr">
        <is>
          <t>40FT</t>
        </is>
      </c>
      <c r="K55" s="301" t="inlineStr">
        <is>
          <t>94042120 HE:0 - 427.0000 PIECE (PCE) - INDONESIA (ID) 10,102.82 - 5IN GREEN TEA MF MATTRESS TW</t>
        </is>
      </c>
      <c r="L55" s="302" t="inlineStr">
        <is>
          <t>ZU-</t>
        </is>
      </c>
      <c r="M55" s="300" t="inlineStr">
        <is>
          <t>8VH5JQ8T</t>
        </is>
      </c>
      <c r="N55" s="301" t="inlineStr">
        <is>
          <t>F.MFM.06F.005.BD</t>
        </is>
      </c>
      <c r="O55" s="303" t="n"/>
      <c r="P55" s="303" t="n"/>
      <c r="Q55" s="304">
        <f>IFERROR(R55/H55, 0)</f>
        <v/>
      </c>
      <c r="R55" s="305" t="n">
        <v>40018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>
        <is>
          <t>TXGU584005</t>
        </is>
      </c>
      <c r="J56" s="300" t="inlineStr">
        <is>
          <t>40FT</t>
        </is>
      </c>
      <c r="K56" s="301" t="inlineStr">
        <is>
          <t>94042120 HE:0 - 1.0000 PIECE (PCE) - INDONESIA (ID) 83.79 - 12IN GREEN TEA MF MATTRESS QN</t>
        </is>
      </c>
      <c r="L56" s="302" t="inlineStr">
        <is>
          <t>ZU-</t>
        </is>
      </c>
      <c r="M56" s="300" t="inlineStr">
        <is>
          <t>8VH5JQ8T</t>
        </is>
      </c>
      <c r="N56" s="301" t="inlineStr">
        <is>
          <t>F.MFM.06F.005.BD</t>
        </is>
      </c>
      <c r="O56" s="303" t="n"/>
      <c r="P56" s="303" t="n"/>
      <c r="Q56" s="304">
        <f>IFERROR(R56/H56, 0)</f>
        <v/>
      </c>
      <c r="R56" s="305" t="n">
        <v>40018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>
      <c r="A58" s="295" t="n">
        <v>6</v>
      </c>
      <c r="B58" s="296" t="inlineStr">
        <is>
          <t>000030ZIK4802026072100499</t>
        </is>
      </c>
      <c r="C58" s="297" t="n">
        <v>450575</v>
      </c>
      <c r="D58" s="297" t="n">
        <v>450525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>
        <is>
          <t>TXGU584016</t>
        </is>
      </c>
      <c r="J58" s="300" t="inlineStr">
        <is>
          <t>40FT</t>
        </is>
      </c>
      <c r="K58" s="301" t="inlineStr">
        <is>
          <t>94042120 HE:0 - 182.0000 PIECE (PCE) - INDONESIA (ID) 10,437.7 - 10IN GREEN TEA MF MATTRESS TX</t>
        </is>
      </c>
      <c r="L58" s="302" t="inlineStr">
        <is>
          <t>OLC-FMS-</t>
        </is>
      </c>
      <c r="M58" s="300" t="inlineStr">
        <is>
          <t>5FFUUH8B</t>
        </is>
      </c>
      <c r="N58" s="301" t="inlineStr">
        <is>
          <t>F.MFM.06F.006.BD</t>
        </is>
      </c>
      <c r="O58" s="303" t="n">
        <v>71144.70000000001</v>
      </c>
      <c r="P58" s="303" t="n">
        <v>64342.7</v>
      </c>
      <c r="Q58" s="304">
        <f>IFERROR(R58/H58, 0)</f>
        <v/>
      </c>
      <c r="R58" s="305" t="n">
        <v>36097.6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>
        <is>
          <t>SAVANNAH</t>
        </is>
      </c>
      <c r="X58" s="300" t="inlineStr"/>
      <c r="Y58" s="308" t="inlineStr">
        <is>
          <t>EGLV080600441906</t>
        </is>
      </c>
      <c r="Z58" s="298" t="n">
        <v>46225</v>
      </c>
    </row>
    <row r="59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TXGU584016</t>
        </is>
      </c>
      <c r="J59" s="300" t="inlineStr">
        <is>
          <t>40FT</t>
        </is>
      </c>
      <c r="K59" s="301" t="inlineStr">
        <is>
          <t>94042120 HE:0 - 101.0000 PIECE (PCE) - INDONESIA (ID) 5,225.74 - 12IN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F.MFM.06F.006.BD</t>
        </is>
      </c>
      <c r="O59" s="303" t="n"/>
      <c r="P59" s="303" t="n"/>
      <c r="Q59" s="304">
        <f>IFERROR(R59/H59, 0)</f>
        <v/>
      </c>
      <c r="R59" s="305" t="n">
        <v>36097.6</v>
      </c>
      <c r="S59" s="306" t="n">
        <v>18056</v>
      </c>
      <c r="T59" s="306">
        <f>IFERROR(S59*R59, 0)</f>
        <v/>
      </c>
      <c r="U59" s="307" t="n"/>
      <c r="V59" s="308" t="n"/>
      <c r="W59" s="309" t="inlineStr">
        <is>
          <t>ETD : 27-07-2026</t>
        </is>
      </c>
      <c r="X59" s="300" t="n"/>
      <c r="Y59" s="308" t="n"/>
      <c r="Z59" s="298" t="n"/>
    </row>
    <row r="60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TXGU584016</t>
        </is>
      </c>
      <c r="J60" s="300" t="inlineStr">
        <is>
          <t>40FT</t>
        </is>
      </c>
      <c r="K60" s="301" t="inlineStr">
        <is>
          <t>94042120 HE:0 - 174.0000 PIECE (PCE) - INDONESIA (ID) 9,978.9 - 10IN GREEN TEA MF MATTRESS TX</t>
        </is>
      </c>
      <c r="L60" s="302" t="inlineStr">
        <is>
          <t>OLC-FMS-</t>
        </is>
      </c>
      <c r="M60" s="300" t="inlineStr">
        <is>
          <t>77K91MJU</t>
        </is>
      </c>
      <c r="N60" s="301" t="inlineStr">
        <is>
          <t>F.MFM.06F.006.BD</t>
        </is>
      </c>
      <c r="O60" s="303" t="n"/>
      <c r="P60" s="303" t="n"/>
      <c r="Q60" s="304">
        <f>IFERROR(R60/H60, 0)</f>
        <v/>
      </c>
      <c r="R60" s="305" t="n">
        <v>36097.6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TXGU584016</t>
        </is>
      </c>
      <c r="J61" s="300" t="inlineStr">
        <is>
          <t>40FT</t>
        </is>
      </c>
      <c r="K61" s="301" t="inlineStr">
        <is>
          <t>94042120 HE:0 - 64.0000 PIECE (PCE) - INDONESIA (ID) 3,311.36 - 12IN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F.MFM.06F.006.BD</t>
        </is>
      </c>
      <c r="O61" s="303" t="n"/>
      <c r="P61" s="303" t="n"/>
      <c r="Q61" s="304">
        <f>IFERROR(R61/H61, 0)</f>
        <v/>
      </c>
      <c r="R61" s="305" t="n">
        <v>36097.6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TXGU584016</t>
        </is>
      </c>
      <c r="J62" s="300" t="inlineStr">
        <is>
          <t>40FT</t>
        </is>
      </c>
      <c r="K62" s="301" t="inlineStr">
        <is>
          <t>94042120 HE:0 - 99.0000 PIECE (PCE) - INDONESIA (ID) 5,677.65 - 10IN GREEN TEA MF MATTRESS TX</t>
        </is>
      </c>
      <c r="L62" s="302" t="inlineStr">
        <is>
          <t>OLC-FMS-</t>
        </is>
      </c>
      <c r="M62" s="300" t="inlineStr">
        <is>
          <t>7D4ITY4N</t>
        </is>
      </c>
      <c r="N62" s="301" t="inlineStr">
        <is>
          <t>F.MFM.06F.006.BD</t>
        </is>
      </c>
      <c r="O62" s="303" t="n"/>
      <c r="P62" s="303" t="n"/>
      <c r="Q62" s="304">
        <f>IFERROR(R62/H62, 0)</f>
        <v/>
      </c>
      <c r="R62" s="305" t="n">
        <v>36097.6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>
        <is>
          <t>TXGU584016</t>
        </is>
      </c>
      <c r="J63" s="300" t="inlineStr">
        <is>
          <t>40FT</t>
        </is>
      </c>
      <c r="K63" s="301" t="inlineStr">
        <is>
          <t>94042120 HE:0 - 1.0000 PIECE (PCE) - INDONESIA (ID) 57.35 - 10IN GREEN TEA MF MATTRESS TX</t>
        </is>
      </c>
      <c r="L63" s="302" t="inlineStr">
        <is>
          <t>OLC-FMS-</t>
        </is>
      </c>
      <c r="M63" s="300" t="inlineStr">
        <is>
          <t>7MO3ZAUN</t>
        </is>
      </c>
      <c r="N63" s="301" t="inlineStr">
        <is>
          <t>F.MFM.06F.006.BD</t>
        </is>
      </c>
      <c r="O63" s="303" t="n"/>
      <c r="P63" s="303" t="n"/>
      <c r="Q63" s="304">
        <f>IFERROR(R63/H63, 0)</f>
        <v/>
      </c>
      <c r="R63" s="305" t="n">
        <v>36097.6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>
        <is>
          <t>TXGU584016</t>
        </is>
      </c>
      <c r="J64" s="300" t="inlineStr">
        <is>
          <t>40FT</t>
        </is>
      </c>
      <c r="K64" s="301" t="inlineStr">
        <is>
          <t>94042120 HE:0 - 152.0000 PIECE (PCE) - INDONESIA (ID) 7,864.48 - 12IN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F.MFM.06F.006.BD</t>
        </is>
      </c>
      <c r="O64" s="303" t="n"/>
      <c r="P64" s="303" t="n"/>
      <c r="Q64" s="304">
        <f>IFERROR(R64/H64, 0)</f>
        <v/>
      </c>
      <c r="R64" s="305" t="n">
        <v>36097.6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>
        <is>
          <t>TXGU584016</t>
        </is>
      </c>
      <c r="J65" s="300" t="inlineStr">
        <is>
          <t>40FT</t>
        </is>
      </c>
      <c r="K65" s="301" t="inlineStr">
        <is>
          <t>94049000 HE:0 - 390.0000 PIECE (PCE) - INDONESIA (ID) 5,697.9 - 3IN CV LAVENDER MF TOPPER FL</t>
        </is>
      </c>
      <c r="L65" s="302" t="inlineStr">
        <is>
          <t>ECMF-03FL-</t>
        </is>
      </c>
      <c r="M65" s="300" t="inlineStr">
        <is>
          <t>5FFUUH8B</t>
        </is>
      </c>
      <c r="N65" s="301" t="inlineStr">
        <is>
          <t>F.MFM.06F.006.BD</t>
        </is>
      </c>
      <c r="O65" s="303" t="n"/>
      <c r="P65" s="303" t="n"/>
      <c r="Q65" s="304">
        <f>IFERROR(R65/H65, 0)</f>
        <v/>
      </c>
      <c r="R65" s="305" t="n">
        <v>36097.6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>
        <is>
          <t>TXGU584016</t>
        </is>
      </c>
      <c r="J66" s="300" t="inlineStr">
        <is>
          <t>40FT</t>
        </is>
      </c>
      <c r="K66" s="301" t="inlineStr">
        <is>
          <t>94049000 HE:0 - 874.0000 PIECE (PCE) - INDONESIA (ID) 9,657.7 - 3IN CV LAVENDER MF TOPPER TW</t>
        </is>
      </c>
      <c r="L66" s="302" t="inlineStr">
        <is>
          <t>ECMF-</t>
        </is>
      </c>
      <c r="M66" s="300" t="inlineStr">
        <is>
          <t>5FFUUH8B</t>
        </is>
      </c>
      <c r="N66" s="301" t="inlineStr">
        <is>
          <t>F.MFM.06F.006.BD</t>
        </is>
      </c>
      <c r="O66" s="303" t="n"/>
      <c r="P66" s="303" t="n"/>
      <c r="Q66" s="304">
        <f>IFERROR(R66/H66, 0)</f>
        <v/>
      </c>
      <c r="R66" s="305" t="n">
        <v>36097.6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>
        <is>
          <t>TXGU584016</t>
        </is>
      </c>
      <c r="J67" s="300" t="inlineStr">
        <is>
          <t>40FT</t>
        </is>
      </c>
      <c r="K67" s="301" t="inlineStr">
        <is>
          <t>94049000 HE:0 - 455.0000 PIECE (PCE) - INDONESIA (ID) 6,647.55 - 3IN CV LAVENDER MF TOPPER FL</t>
        </is>
      </c>
      <c r="L67" s="302" t="inlineStr">
        <is>
          <t>ECMF-03FL-</t>
        </is>
      </c>
      <c r="M67" s="300" t="inlineStr">
        <is>
          <t>77K91MJU</t>
        </is>
      </c>
      <c r="N67" s="301" t="inlineStr">
        <is>
          <t>F.MFM.06F.006.BD</t>
        </is>
      </c>
      <c r="O67" s="303" t="n"/>
      <c r="P67" s="303" t="n"/>
      <c r="Q67" s="304">
        <f>IFERROR(R67/H67, 0)</f>
        <v/>
      </c>
      <c r="R67" s="305" t="n">
        <v>36097.6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>
        <is>
          <t>TXGU584016</t>
        </is>
      </c>
      <c r="J68" s="300" t="inlineStr">
        <is>
          <t>40FT</t>
        </is>
      </c>
      <c r="K68" s="301" t="inlineStr">
        <is>
          <t>94049000 HE:0 - 196.0000 PIECE (PCE) - INDONESIA (ID) 3,661.28 - 3IN CV LAVENDER MF TOPPER QN</t>
        </is>
      </c>
      <c r="L68" s="302" t="inlineStr">
        <is>
          <t>ECMF-</t>
        </is>
      </c>
      <c r="M68" s="300" t="inlineStr">
        <is>
          <t>77K91MJU</t>
        </is>
      </c>
      <c r="N68" s="301" t="inlineStr">
        <is>
          <t>F.MFM.06F.006.BD</t>
        </is>
      </c>
      <c r="O68" s="303" t="n"/>
      <c r="P68" s="303" t="n"/>
      <c r="Q68" s="304">
        <f>IFERROR(R68/H68, 0)</f>
        <v/>
      </c>
      <c r="R68" s="305" t="n">
        <v>36097.6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>
        <is>
          <t>TXGU584016</t>
        </is>
      </c>
      <c r="J69" s="300" t="inlineStr">
        <is>
          <t>40FT</t>
        </is>
      </c>
      <c r="K69" s="301" t="inlineStr">
        <is>
          <t>94049000 HE:0 - 500.0000 PIECE (PCE) - INDONESIA (ID) 5,525 - 3IN CV LAVENDER MF TOPPER TW</t>
        </is>
      </c>
      <c r="L69" s="302" t="inlineStr">
        <is>
          <t>ECMF-03TL-</t>
        </is>
      </c>
      <c r="M69" s="300" t="inlineStr">
        <is>
          <t>77K91MJU</t>
        </is>
      </c>
      <c r="N69" s="301" t="inlineStr">
        <is>
          <t>F.MFM.06F.006.BD</t>
        </is>
      </c>
      <c r="O69" s="303" t="n"/>
      <c r="P69" s="303" t="n"/>
      <c r="Q69" s="304">
        <f>IFERROR(R69/H69, 0)</f>
        <v/>
      </c>
      <c r="R69" s="305" t="n">
        <v>36097.6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>
        <is>
          <t>TXGU584016</t>
        </is>
      </c>
      <c r="J70" s="300" t="inlineStr">
        <is>
          <t>40FT</t>
        </is>
      </c>
      <c r="K70" s="301" t="inlineStr">
        <is>
          <t>94049000 HE:0 - 8.0000 PIECE (PCE) - INDONESIA (ID) 96.16 - 3IN CV LAVENDER MF TOPPER TX</t>
        </is>
      </c>
      <c r="L70" s="302" t="inlineStr">
        <is>
          <t>ECMF-</t>
        </is>
      </c>
      <c r="M70" s="300" t="inlineStr">
        <is>
          <t>77K91MJU</t>
        </is>
      </c>
      <c r="N70" s="301" t="inlineStr">
        <is>
          <t>F.MFM.06F.006.BD</t>
        </is>
      </c>
      <c r="O70" s="303" t="n"/>
      <c r="P70" s="303" t="n"/>
      <c r="Q70" s="304">
        <f>IFERROR(R70/H70, 0)</f>
        <v/>
      </c>
      <c r="R70" s="305" t="n">
        <v>36097.6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>
        <is>
          <t>TXGU584016</t>
        </is>
      </c>
      <c r="J71" s="300" t="inlineStr">
        <is>
          <t>40FT</t>
        </is>
      </c>
      <c r="K71" s="301" t="inlineStr">
        <is>
          <t>94049000 HE:0 - 31.0000 PIECE (PCE) - INDONESIA (ID) 438.34 - 4IN CV LAVENDER MF TOPPER TW</t>
        </is>
      </c>
      <c r="L71" s="302" t="inlineStr">
        <is>
          <t>ECMF-</t>
        </is>
      </c>
      <c r="M71" s="300" t="inlineStr">
        <is>
          <t>77K91MJU</t>
        </is>
      </c>
      <c r="N71" s="301" t="inlineStr">
        <is>
          <t>F.MFM.06F.006.BD</t>
        </is>
      </c>
      <c r="O71" s="303" t="n"/>
      <c r="P71" s="303" t="n"/>
      <c r="Q71" s="304">
        <f>IFERROR(R71/H71, 0)</f>
        <v/>
      </c>
      <c r="R71" s="305" t="n">
        <v>36097.6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>
        <is>
          <t>TXGU584016</t>
        </is>
      </c>
      <c r="J72" s="300" t="inlineStr">
        <is>
          <t>40FT</t>
        </is>
      </c>
      <c r="K72" s="301" t="inlineStr">
        <is>
          <t>94049000 HE:0 - 284.0000 PIECE (PCE) - INDONESIA (ID) 4,149.24 - 3IN CV LAVENDER MF TOPPER FL</t>
        </is>
      </c>
      <c r="L72" s="302" t="inlineStr">
        <is>
          <t>ECMF-03FL-</t>
        </is>
      </c>
      <c r="M72" s="300" t="inlineStr">
        <is>
          <t>7D4ITY4N</t>
        </is>
      </c>
      <c r="N72" s="301" t="inlineStr">
        <is>
          <t>F.MFM.06F.006.BD</t>
        </is>
      </c>
      <c r="O72" s="303" t="n"/>
      <c r="P72" s="303" t="n"/>
      <c r="Q72" s="304">
        <f>IFERROR(R72/H72, 0)</f>
        <v/>
      </c>
      <c r="R72" s="305" t="n">
        <v>36097.6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>
        <is>
          <t>TXGU584016</t>
        </is>
      </c>
      <c r="J73" s="300" t="inlineStr">
        <is>
          <t>40FT</t>
        </is>
      </c>
      <c r="K73" s="301" t="inlineStr">
        <is>
          <t>94049000 HE:0 - 337.0000 PIECE (PCE) - INDONESIA (ID) 6,295.16 - 3IN CV LAVENDER MF TOPPER QN</t>
        </is>
      </c>
      <c r="L73" s="302" t="inlineStr">
        <is>
          <t>ECMF-03QL-</t>
        </is>
      </c>
      <c r="M73" s="300" t="inlineStr">
        <is>
          <t>7D4ITY4N</t>
        </is>
      </c>
      <c r="N73" s="301" t="inlineStr">
        <is>
          <t>F.MFM.06F.006.BD</t>
        </is>
      </c>
      <c r="O73" s="303" t="n"/>
      <c r="P73" s="303" t="n"/>
      <c r="Q73" s="304">
        <f>IFERROR(R73/H73, 0)</f>
        <v/>
      </c>
      <c r="R73" s="305" t="n">
        <v>36097.6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>
        <is>
          <t>TXGU584016</t>
        </is>
      </c>
      <c r="J74" s="300" t="inlineStr">
        <is>
          <t>40FT</t>
        </is>
      </c>
      <c r="K74" s="301" t="inlineStr">
        <is>
          <t>94049000 HE:0 - 715.0000 PIECE (PCE) - INDONESIA (ID) 7,900.75 - 3IN CV LAVENDER MF TOPPER TW</t>
        </is>
      </c>
      <c r="L74" s="302" t="inlineStr">
        <is>
          <t>ECMF-03TL-</t>
        </is>
      </c>
      <c r="M74" s="300" t="inlineStr">
        <is>
          <t>7D4ITY4N</t>
        </is>
      </c>
      <c r="N74" s="301" t="inlineStr">
        <is>
          <t>F.MFM.06F.006.BD</t>
        </is>
      </c>
      <c r="O74" s="303" t="n"/>
      <c r="P74" s="303" t="n"/>
      <c r="Q74" s="304">
        <f>IFERROR(R74/H74, 0)</f>
        <v/>
      </c>
      <c r="R74" s="305" t="n">
        <v>36097.6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>
        <is>
          <t>TXGU584016</t>
        </is>
      </c>
      <c r="J75" s="300" t="inlineStr">
        <is>
          <t>40FT</t>
        </is>
      </c>
      <c r="K75" s="301" t="inlineStr">
        <is>
          <t>94049000 HE:0 - 37.0000 PIECE (PCE) - INDONESIA (ID) 444.74 - 3IN CV LAVENDER MF TOPPER TX</t>
        </is>
      </c>
      <c r="L75" s="302" t="inlineStr">
        <is>
          <t>ECMF-</t>
        </is>
      </c>
      <c r="M75" s="300" t="inlineStr">
        <is>
          <t>7D4ITY4N</t>
        </is>
      </c>
      <c r="N75" s="301" t="inlineStr">
        <is>
          <t>F.MFM.06F.006.BD</t>
        </is>
      </c>
      <c r="O75" s="303" t="n"/>
      <c r="P75" s="303" t="n"/>
      <c r="Q75" s="304">
        <f>IFERROR(R75/H75, 0)</f>
        <v/>
      </c>
      <c r="R75" s="305" t="n">
        <v>36097.6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>
        <is>
          <t>TXGU584016</t>
        </is>
      </c>
      <c r="J76" s="300" t="inlineStr">
        <is>
          <t>40FT</t>
        </is>
      </c>
      <c r="K76" s="301" t="inlineStr">
        <is>
          <t>94049000 HE:0 - 3.0000 PIECE (PCE) - INDONESIA (ID) 36.39 - 2IN CV LAVENDER MF TOPPER QN</t>
        </is>
      </c>
      <c r="L76" s="302" t="inlineStr">
        <is>
          <t>ECMF-LV2Q-</t>
        </is>
      </c>
      <c r="M76" s="300" t="inlineStr">
        <is>
          <t>7D4ITY4N</t>
        </is>
      </c>
      <c r="N76" s="301" t="inlineStr">
        <is>
          <t>F.MFM.06F.006.BD</t>
        </is>
      </c>
      <c r="O76" s="303" t="n"/>
      <c r="P76" s="303" t="n"/>
      <c r="Q76" s="304">
        <f>IFERROR(R76/H76, 0)</f>
        <v/>
      </c>
      <c r="R76" s="305" t="n">
        <v>36097.6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>
        <is>
          <t>TXGU584016</t>
        </is>
      </c>
      <c r="J77" s="300" t="inlineStr">
        <is>
          <t>40FT</t>
        </is>
      </c>
      <c r="K77" s="301" t="inlineStr">
        <is>
          <t>94049000 HE:0 - 86.0000 PIECE (PCE) - INDONESIA (ID) 1,216.04 - 4IN CV LAVENDER MF TOPPER TW</t>
        </is>
      </c>
      <c r="L77" s="302" t="inlineStr">
        <is>
          <t>ECMF-LV4T-</t>
        </is>
      </c>
      <c r="M77" s="300" t="inlineStr">
        <is>
          <t>7D4ITY4N</t>
        </is>
      </c>
      <c r="N77" s="301" t="inlineStr">
        <is>
          <t>F.MFM.06F.006.BD</t>
        </is>
      </c>
      <c r="O77" s="303" t="n"/>
      <c r="P77" s="303" t="n"/>
      <c r="Q77" s="304">
        <f>IFERROR(R77/H77, 0)</f>
        <v/>
      </c>
      <c r="R77" s="305" t="n">
        <v>36097.6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>
        <is>
          <t>TXGU584016</t>
        </is>
      </c>
      <c r="J78" s="300" t="inlineStr">
        <is>
          <t>40FT</t>
        </is>
      </c>
      <c r="K78" s="301" t="inlineStr">
        <is>
          <t>94049000 HE:0 - 455.0000 PIECE (PCE) - INDONESIA (ID) 8,499.4 - 3IN CV LAVENDER MF TOPPER QN</t>
        </is>
      </c>
      <c r="L78" s="302" t="inlineStr">
        <is>
          <t>ECMF-</t>
        </is>
      </c>
      <c r="M78" s="300" t="inlineStr">
        <is>
          <t>7MO3ZAUN</t>
        </is>
      </c>
      <c r="N78" s="301" t="inlineStr">
        <is>
          <t>F.MFM.06F.006.BD</t>
        </is>
      </c>
      <c r="O78" s="303" t="n"/>
      <c r="P78" s="303" t="n"/>
      <c r="Q78" s="304">
        <f>IFERROR(R78/H78, 0)</f>
        <v/>
      </c>
      <c r="R78" s="305" t="n">
        <v>36097.6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>
        <is>
          <t>TXGU584016</t>
        </is>
      </c>
      <c r="J79" s="300" t="inlineStr">
        <is>
          <t>40FT</t>
        </is>
      </c>
      <c r="K79" s="301" t="inlineStr">
        <is>
          <t>94049000 HE:0 - 1,490.0000 PIECE (PCE) - INDONESIA (ID) 16,464.5 - 3IN CV LAVENDER MF TOPPER TW</t>
        </is>
      </c>
      <c r="L79" s="302" t="inlineStr">
        <is>
          <t>ECMF-</t>
        </is>
      </c>
      <c r="M79" s="300" t="inlineStr">
        <is>
          <t>7MO3ZAUN</t>
        </is>
      </c>
      <c r="N79" s="301" t="inlineStr">
        <is>
          <t>F.MFM.06F.006.BD</t>
        </is>
      </c>
      <c r="O79" s="303" t="n"/>
      <c r="P79" s="303" t="n"/>
      <c r="Q79" s="304">
        <f>IFERROR(R79/H79, 0)</f>
        <v/>
      </c>
      <c r="R79" s="305" t="n">
        <v>36097.6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>
        <is>
          <t>TXGU584016</t>
        </is>
      </c>
      <c r="J80" s="300" t="inlineStr">
        <is>
          <t>40FT</t>
        </is>
      </c>
      <c r="K80" s="301" t="inlineStr">
        <is>
          <t>94049000 HE:0 - 35.0000 PIECE (PCE) - INDONESIA (ID) 420.7 - 3IN CV LAVENDER MF TOPPER TX</t>
        </is>
      </c>
      <c r="L80" s="302" t="inlineStr">
        <is>
          <t>ECMF-</t>
        </is>
      </c>
      <c r="M80" s="300" t="inlineStr">
        <is>
          <t>7MO3ZAUN</t>
        </is>
      </c>
      <c r="N80" s="301" t="inlineStr">
        <is>
          <t>F.MFM.06F.006.BD</t>
        </is>
      </c>
      <c r="O80" s="303" t="n"/>
      <c r="P80" s="303" t="n"/>
      <c r="Q80" s="304">
        <f>IFERROR(R80/H80, 0)</f>
        <v/>
      </c>
      <c r="R80" s="305" t="n">
        <v>36097.6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>
        <is>
          <t>TXGU584016</t>
        </is>
      </c>
      <c r="J81" s="300" t="inlineStr">
        <is>
          <t>40FT</t>
        </is>
      </c>
      <c r="K81" s="301" t="inlineStr">
        <is>
          <t>94049000 HE:0 - 119.0000 PIECE (PCE) - INDONESIA (ID) 1,682.66 - 4IN CV LAVENDER MF TOPPER TW</t>
        </is>
      </c>
      <c r="L81" s="302" t="inlineStr">
        <is>
          <t>ECMF-</t>
        </is>
      </c>
      <c r="M81" s="300" t="inlineStr">
        <is>
          <t>7MO3ZAUN</t>
        </is>
      </c>
      <c r="N81" s="301" t="inlineStr">
        <is>
          <t>F.MFM.06F.006.BD</t>
        </is>
      </c>
      <c r="O81" s="303" t="n"/>
      <c r="P81" s="303" t="n"/>
      <c r="Q81" s="304">
        <f>IFERROR(R81/H81, 0)</f>
        <v/>
      </c>
      <c r="R81" s="305" t="n">
        <v>36097.6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>
        <is>
          <t>TXGU584016</t>
        </is>
      </c>
      <c r="J82" s="300" t="inlineStr">
        <is>
          <t>40FT</t>
        </is>
      </c>
      <c r="K82" s="301" t="inlineStr">
        <is>
          <t>94049000 HE:0 - 470.0000 PIECE (PCE) - INDONESIA (ID) 8,779.6 - 3IN CV LAVENDER MF TOPPER QN</t>
        </is>
      </c>
      <c r="L82" s="302" t="inlineStr">
        <is>
          <t>ECMF-</t>
        </is>
      </c>
      <c r="M82" s="300" t="inlineStr">
        <is>
          <t>8Y39N9EN</t>
        </is>
      </c>
      <c r="N82" s="301" t="inlineStr">
        <is>
          <t>F.MFM.06F.006.BD</t>
        </is>
      </c>
      <c r="O82" s="303" t="n"/>
      <c r="P82" s="303" t="n"/>
      <c r="Q82" s="304">
        <f>IFERROR(R82/H82, 0)</f>
        <v/>
      </c>
      <c r="R82" s="305" t="n">
        <v>36097.6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>
        <is>
          <t>TXGU584016</t>
        </is>
      </c>
      <c r="J83" s="300" t="inlineStr">
        <is>
          <t>40FT</t>
        </is>
      </c>
      <c r="K83" s="301" t="inlineStr">
        <is>
          <t>94049000 HE:0 - 323.0000 PIECE (PCE) - INDONESIA (ID) 3,882.46 - 3IN CV LAVENDER MF TOPPER TX</t>
        </is>
      </c>
      <c r="L83" s="302" t="inlineStr">
        <is>
          <t>ECMF-</t>
        </is>
      </c>
      <c r="M83" s="300" t="inlineStr">
        <is>
          <t>8Y39N9EN</t>
        </is>
      </c>
      <c r="N83" s="301" t="inlineStr">
        <is>
          <t>F.MFM.06F.006.BD</t>
        </is>
      </c>
      <c r="O83" s="303" t="n"/>
      <c r="P83" s="303" t="n"/>
      <c r="Q83" s="304">
        <f>IFERROR(R83/H83, 0)</f>
        <v/>
      </c>
      <c r="R83" s="305" t="n">
        <v>36097.6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>
        <is>
          <t>TXGU584016</t>
        </is>
      </c>
      <c r="J84" s="300" t="inlineStr">
        <is>
          <t>40FT</t>
        </is>
      </c>
      <c r="K84" s="301" t="inlineStr">
        <is>
          <t>94049000 HE:0 - 19.0000 PIECE (PCE) - INDONESIA (ID) 230.47 - 2IN CV LAVENDER MF TOPPER QN</t>
        </is>
      </c>
      <c r="L84" s="302" t="inlineStr">
        <is>
          <t>ECMF-</t>
        </is>
      </c>
      <c r="M84" s="300" t="inlineStr">
        <is>
          <t>8Y39N9EN</t>
        </is>
      </c>
      <c r="N84" s="301" t="inlineStr">
        <is>
          <t>F.MFM.06F.006.BD</t>
        </is>
      </c>
      <c r="O84" s="303" t="n"/>
      <c r="P84" s="303" t="n"/>
      <c r="Q84" s="304">
        <f>IFERROR(R84/H84, 0)</f>
        <v/>
      </c>
      <c r="R84" s="305" t="n">
        <v>36097.6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>
        <is>
          <t>TXGU584016</t>
        </is>
      </c>
      <c r="J85" s="300" t="inlineStr">
        <is>
          <t>40FT</t>
        </is>
      </c>
      <c r="K85" s="301" t="inlineStr">
        <is>
          <t>94049000 HE:0 - 127.0000 PIECE (PCE) - INDONESIA (ID) 1,795.78 - 4IN CV LAVENDER MF TOPPER TW</t>
        </is>
      </c>
      <c r="L85" s="302" t="inlineStr">
        <is>
          <t>ECMF-</t>
        </is>
      </c>
      <c r="M85" s="300" t="inlineStr">
        <is>
          <t>8Y39N9EN</t>
        </is>
      </c>
      <c r="N85" s="301" t="inlineStr">
        <is>
          <t>F.MFM.06F.006.BD</t>
        </is>
      </c>
      <c r="O85" s="303" t="n"/>
      <c r="P85" s="303" t="n"/>
      <c r="Q85" s="304">
        <f>IFERROR(R85/H85, 0)</f>
        <v/>
      </c>
      <c r="R85" s="305" t="n">
        <v>36097.6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1" t="n"/>
      <c r="L88" s="221" t="n"/>
      <c r="M88" s="221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1" t="n"/>
      <c r="L89" s="221" t="n"/>
      <c r="M89" s="221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1" t="n"/>
      <c r="L91" s="221" t="n"/>
      <c r="M91" s="221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1" t="n"/>
      <c r="L93" s="221" t="n"/>
      <c r="M93" s="221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1" t="n"/>
      <c r="L94" s="221" t="n"/>
      <c r="M94" s="221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1" t="n"/>
      <c r="L95" s="221" t="n"/>
      <c r="M95" s="221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1" t="n"/>
      <c r="L96" s="221" t="n"/>
      <c r="M96" s="221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1" t="n"/>
      <c r="L97" s="221" t="n"/>
      <c r="M97" s="221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1" t="n"/>
      <c r="L98" s="221" t="n"/>
      <c r="M98" s="221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1" t="n"/>
      <c r="L99" s="221" t="n"/>
      <c r="M99" s="221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2026-07-25T17:53:16Z</dcterms:modified>
  <cp:lastModifiedBy>Chiswa Dian Hermansyah(ZINUS ZDI)</cp:lastModifiedBy>
</cp:coreProperties>
</file>