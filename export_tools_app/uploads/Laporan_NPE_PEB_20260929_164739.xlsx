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7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  <numFmt numFmtId="179" formatCode="yyyy-mm-dd"/>
    <numFmt numFmtId="180" formatCode="dd-mm-yyyy"/>
  </numFmts>
  <fonts count="31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Calibri"/>
      <sz val="11"/>
    </font>
    <font>
      <name val="Calibri"/>
      <sz val="12"/>
    </font>
    <font>
      <name val="Calibri"/>
      <b val="1"/>
      <sz val="12"/>
    </font>
    <font>
      <name val="Times New Roman"/>
      <b val="1"/>
      <sz val="12"/>
    </font>
    <font>
      <name val="Times New Roman"/>
      <color rgb="00FFFFFF"/>
      <sz val="12"/>
    </font>
    <font>
      <name val="Times New Roman"/>
      <sz val="11"/>
    </font>
    <font>
      <name val="Times New Roman"/>
      <b val="1"/>
      <sz val="14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A6A6A6"/>
        <bgColor rgb="FFA6A6A6"/>
      </patternFill>
    </fill>
  </fills>
  <borders count="4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double">
        <color rgb="00000000"/>
      </left>
      <top style="double">
        <color rgb="00000000"/>
      </top>
    </border>
    <border>
      <top style="double">
        <color rgb="00000000"/>
      </top>
    </border>
    <border>
      <right style="double">
        <color rgb="00000000"/>
      </right>
      <top style="double">
        <color rgb="00000000"/>
      </top>
    </border>
    <border>
      <left style="double">
        <color rgb="00000000"/>
      </left>
    </border>
    <border>
      <right style="double">
        <color rgb="00000000"/>
      </right>
    </border>
    <border>
      <left/>
      <right style="double">
        <color rgb="00000000"/>
      </right>
      <top/>
      <bottom/>
      <diagonal/>
    </border>
    <border>
      <left style="double">
        <color rgb="00000000"/>
      </left>
      <bottom style="double">
        <color rgb="00000000"/>
      </bottom>
    </border>
    <border>
      <bottom style="double">
        <color rgb="00000000"/>
      </bottom>
    </border>
    <border>
      <right style="double">
        <color rgb="00000000"/>
      </right>
      <bottom style="double">
        <color rgb="00000000"/>
      </bottom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285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0" fontId="0" fillId="0" borderId="0" pivotButton="0" quotePrefix="0" xfId="0"/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0" fontId="24" fillId="0" borderId="30" applyAlignment="1" pivotButton="0" quotePrefix="0" xfId="0">
      <alignment horizontal="center" vertical="center"/>
    </xf>
    <xf numFmtId="180" fontId="24" fillId="0" borderId="30" applyAlignment="1" pivotButton="0" quotePrefix="0" xfId="0">
      <alignment horizontal="center" vertical="center"/>
    </xf>
    <xf numFmtId="3" fontId="24" fillId="0" borderId="30" applyAlignment="1" pivotButton="0" quotePrefix="0" xfId="0">
      <alignment horizontal="center" vertical="center"/>
    </xf>
    <xf numFmtId="0" fontId="25" fillId="0" borderId="30" applyAlignment="1" pivotButton="0" quotePrefix="0" xfId="0">
      <alignment horizontal="center" vertical="center"/>
    </xf>
    <xf numFmtId="4" fontId="24" fillId="0" borderId="30" applyAlignment="1" pivotButton="0" quotePrefix="0" xfId="0">
      <alignment horizontal="center" vertical="center"/>
    </xf>
    <xf numFmtId="166" fontId="24" fillId="0" borderId="30" applyAlignment="1" pivotButton="0" quotePrefix="0" xfId="0">
      <alignment horizontal="center" vertical="center"/>
    </xf>
    <xf numFmtId="172" fontId="24" fillId="0" borderId="30" applyAlignment="1" pivotButton="0" quotePrefix="0" xfId="0">
      <alignment horizontal="center" vertical="center"/>
    </xf>
    <xf numFmtId="168" fontId="24" fillId="0" borderId="30" applyAlignment="1" pivotButton="0" quotePrefix="0" xfId="0">
      <alignment horizontal="center" vertical="center"/>
    </xf>
    <xf numFmtId="41" fontId="9" fillId="0" borderId="0" applyAlignment="1" pivotButton="0" quotePrefix="0" xfId="4">
      <alignment vertical="center" wrapText="1"/>
    </xf>
    <xf numFmtId="0" fontId="26" fillId="6" borderId="30" applyAlignment="1" pivotButton="0" quotePrefix="0" xfId="0">
      <alignment horizontal="center" vertical="center"/>
    </xf>
    <xf numFmtId="3" fontId="26" fillId="6" borderId="30" applyAlignment="1" pivotButton="0" quotePrefix="0" xfId="0">
      <alignment horizontal="center" vertical="center"/>
    </xf>
    <xf numFmtId="4" fontId="26" fillId="6" borderId="30" applyAlignment="1" pivotButton="0" quotePrefix="0" xfId="0">
      <alignment horizontal="center" vertical="center"/>
    </xf>
    <xf numFmtId="172" fontId="26" fillId="6" borderId="30" applyAlignment="1" pivotButton="0" quotePrefix="0" xfId="0">
      <alignment horizontal="center" vertical="center"/>
    </xf>
    <xf numFmtId="168" fontId="26" fillId="6" borderId="30" applyAlignment="1" pivotButton="0" quotePrefix="0" xfId="0">
      <alignment horizontal="center" vertical="center"/>
    </xf>
    <xf numFmtId="1" fontId="27" fillId="0" borderId="31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3" fontId="27" fillId="0" borderId="31" applyAlignment="1" pivotButton="0" quotePrefix="0" xfId="0">
      <alignment horizontal="center" vertical="center"/>
    </xf>
    <xf numFmtId="4" fontId="27" fillId="0" borderId="31" applyAlignment="1" pivotButton="0" quotePrefix="0" xfId="0">
      <alignment horizontal="center" vertical="center"/>
    </xf>
    <xf numFmtId="172" fontId="27" fillId="0" borderId="31" applyAlignment="1" pivotButton="0" quotePrefix="0" xfId="0">
      <alignment horizontal="center" vertical="center"/>
    </xf>
    <xf numFmtId="168" fontId="27" fillId="0" borderId="31" applyAlignment="1" pivotButton="0" quotePrefix="0" xfId="0">
      <alignment horizontal="center" vertical="center"/>
    </xf>
    <xf numFmtId="0" fontId="28" fillId="7" borderId="0" applyAlignment="1" pivotButton="0" quotePrefix="0" xfId="0">
      <alignment horizontal="center" vertical="center"/>
    </xf>
    <xf numFmtId="3" fontId="27" fillId="7" borderId="0" applyAlignment="1" pivotButton="0" quotePrefix="0" xfId="0">
      <alignment horizontal="center" vertical="center"/>
    </xf>
    <xf numFmtId="0" fontId="28" fillId="8" borderId="0" applyAlignment="1" pivotButton="0" quotePrefix="0" xfId="0">
      <alignment horizontal="center" vertical="center"/>
    </xf>
    <xf numFmtId="0" fontId="27" fillId="8" borderId="0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29" fillId="0" borderId="0" applyAlignment="1" pivotButton="0" quotePrefix="0" xfId="0">
      <alignment horizontal="left" vertical="center"/>
    </xf>
    <xf numFmtId="0" fontId="30" fillId="0" borderId="35" pivotButton="0" quotePrefix="0" xfId="0"/>
    <xf numFmtId="173" fontId="30" fillId="0" borderId="36" applyAlignment="1" pivotButton="0" quotePrefix="0" xfId="0">
      <alignment horizontal="left" vertical="center"/>
    </xf>
    <xf numFmtId="0" fontId="0" fillId="0" borderId="37" pivotButton="0" quotePrefix="0" xfId="0"/>
    <xf numFmtId="174" fontId="30" fillId="0" borderId="36" applyAlignment="1" pivotButton="0" quotePrefix="0" xfId="0">
      <alignment horizontal="left" vertical="center"/>
    </xf>
    <xf numFmtId="175" fontId="30" fillId="0" borderId="36" applyAlignment="1" pivotButton="0" quotePrefix="0" xfId="0">
      <alignment horizontal="left" vertical="center"/>
    </xf>
    <xf numFmtId="176" fontId="30" fillId="0" borderId="36" applyAlignment="1" pivotButton="0" quotePrefix="0" xfId="0">
      <alignment horizontal="left" vertical="center"/>
    </xf>
    <xf numFmtId="0" fontId="0" fillId="0" borderId="35" pivotButton="0" quotePrefix="0" xfId="0"/>
    <xf numFmtId="177" fontId="30" fillId="0" borderId="36" applyAlignment="1" pivotButton="0" quotePrefix="0" xfId="0">
      <alignment horizontal="left" vertical="center"/>
    </xf>
    <xf numFmtId="178" fontId="30" fillId="0" borderId="36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1"/>
  <sheetViews>
    <sheetView tabSelected="1" zoomScale="50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G26" sqref="G26"/>
    </sheetView>
  </sheetViews>
  <sheetFormatPr baseColWidth="8" defaultColWidth="9.109375" defaultRowHeight="15.6"/>
  <cols>
    <col width="6.55" customWidth="1" style="17" min="1" max="1"/>
    <col width="34.11" customWidth="1" style="6" min="2" max="2"/>
    <col width="27.33" customWidth="1" style="3" min="3" max="4"/>
    <col width="16" customWidth="1" style="202" min="4" max="4"/>
    <col width="16.11" customWidth="1" style="4" min="5" max="5"/>
    <col width="27.66" customWidth="1" style="5" min="6" max="6"/>
    <col width="13.11" customWidth="1" style="5" min="7" max="7"/>
    <col width="13.55" customWidth="1" style="6" min="8" max="8"/>
    <col width="19.11" customWidth="1" style="6" min="9" max="9"/>
    <col width="5.66" customWidth="1" style="6" min="10" max="10"/>
    <col width="92.11" customWidth="1" style="203" min="11" max="11"/>
    <col width="63.44" customWidth="1" style="203" min="12" max="12"/>
    <col width="16.55" customWidth="1" style="203" min="13" max="13"/>
    <col width="21.55" customWidth="1" style="204" min="14" max="14"/>
    <col width="16.33" customWidth="1" style="205" min="15" max="16"/>
    <col width="16.33" customWidth="1" style="202" min="16" max="16"/>
    <col width="13.89" customWidth="1" style="206" min="17" max="17"/>
    <col width="20.33" customWidth="1" style="207" min="18" max="18"/>
    <col width="15.55" customWidth="1" style="208" min="19" max="19"/>
    <col width="28.44" customWidth="1" style="208" min="20" max="20"/>
    <col width="22.33" customWidth="1" style="209" min="21" max="21"/>
    <col width="18.66" customWidth="1" style="209" min="22" max="22"/>
    <col width="33.55" customWidth="1" style="209" min="23" max="23"/>
    <col width="64" customWidth="1" style="209" min="24" max="24"/>
    <col width="26.66" customWidth="1" style="209" min="25" max="25"/>
    <col width="22.55" customWidth="1" style="209" min="26" max="26"/>
    <col width="9.109375" customWidth="1" style="210" min="27" max="289"/>
    <col width="24.88671875" bestFit="1" customWidth="1" style="210" min="290" max="290"/>
    <col width="9.109375" customWidth="1" style="210" min="291" max="16384"/>
  </cols>
  <sheetData>
    <row r="1" hidden="1" ht="18" customHeight="1" s="202">
      <c r="A1" s="1" t="inlineStr">
        <is>
          <t>KEMENTERIAN KEUANGAN REPUBLIK INDONESIA</t>
        </is>
      </c>
      <c r="B1" s="2" t="n"/>
    </row>
    <row r="2" hidden="1" ht="18" customHeight="1" s="202">
      <c r="A2" s="1" t="inlineStr">
        <is>
          <t>DIREKTORAT JENDERAL BEA DAN CUKAI</t>
        </is>
      </c>
      <c r="B2" s="2" t="n"/>
    </row>
    <row r="3" hidden="1" ht="18" customHeight="1" s="202">
      <c r="A3" s="15" t="inlineStr">
        <is>
          <t>KANTOR WILAYAH DJBC BANTEN</t>
        </is>
      </c>
      <c r="B3" s="16" t="n"/>
    </row>
    <row r="4" hidden="1" ht="18" customHeight="1" s="202">
      <c r="A4" s="15" t="inlineStr">
        <is>
          <t>KANTOR PENGAWASAN DAN PELAYANAN BEA DAN CUKAI TIPE MADYA PABEAN A TANGERANG</t>
        </is>
      </c>
      <c r="B4" s="16" t="n"/>
    </row>
    <row r="5" ht="14.25" customHeight="1" s="202"/>
    <row r="6" ht="24.75" customHeight="1" s="202">
      <c r="A6" s="211" t="inlineStr">
        <is>
          <t>LAPORAN BULANAN  EKSPOR (BC 3.0)</t>
        </is>
      </c>
    </row>
    <row r="7" ht="24.75" customHeight="1" s="202">
      <c r="A7" s="211" t="inlineStr">
        <is>
          <t>PT. ZINUS DREAM INDONESIA</t>
        </is>
      </c>
    </row>
    <row r="8" ht="24.75" customHeight="1" s="202">
      <c r="A8" s="166" t="inlineStr">
        <is>
          <t>BULAN : SEPTEMBER 2026</t>
        </is>
      </c>
    </row>
    <row r="9" ht="14.25" customHeight="1" s="202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12" t="n"/>
      <c r="L9" s="212" t="n"/>
      <c r="M9" s="212" t="n"/>
      <c r="N9" s="213" t="n"/>
      <c r="O9" s="214" t="n"/>
      <c r="P9" s="214" t="n"/>
      <c r="Q9" s="215" t="n"/>
      <c r="R9" s="216" t="n"/>
      <c r="S9" s="217" t="n"/>
      <c r="T9" s="217" t="n"/>
      <c r="U9" s="212" t="n"/>
      <c r="V9" s="212" t="n"/>
      <c r="W9" s="212" t="n"/>
      <c r="X9" s="212" t="n"/>
    </row>
    <row r="10" ht="20.1" customFormat="1" customHeight="1" s="218" thickBot="1">
      <c r="A10" s="219" t="inlineStr">
        <is>
          <t>NO</t>
        </is>
      </c>
      <c r="B10" s="220" t="inlineStr">
        <is>
          <t>NO AJU</t>
        </is>
      </c>
      <c r="C10" s="221" t="inlineStr">
        <is>
          <t>NOMOR</t>
        </is>
      </c>
      <c r="D10" s="222" t="n"/>
      <c r="E10" s="223" t="inlineStr">
        <is>
          <t>TANGGAL</t>
        </is>
      </c>
      <c r="F10" s="223" t="inlineStr">
        <is>
          <t>INVOICE</t>
        </is>
      </c>
      <c r="G10" s="224" t="inlineStr">
        <is>
          <t>TANGGAL INVOICE</t>
        </is>
      </c>
      <c r="H10" s="225" t="inlineStr">
        <is>
          <t>JUMLAH BARANG</t>
        </is>
      </c>
      <c r="I10" s="169" t="inlineStr">
        <is>
          <t>KONTAINER/SIZE</t>
        </is>
      </c>
      <c r="J10" s="226" t="n"/>
      <c r="K10" s="221" t="inlineStr">
        <is>
          <t>URAIAN JENIS BARANG</t>
        </is>
      </c>
      <c r="L10" s="223" t="inlineStr">
        <is>
          <t>SKU</t>
        </is>
      </c>
      <c r="M10" s="221" t="inlineStr">
        <is>
          <t>Nomor PO</t>
        </is>
      </c>
      <c r="N10" s="227" t="inlineStr">
        <is>
          <t>F-CODE</t>
        </is>
      </c>
      <c r="O10" s="228" t="inlineStr">
        <is>
          <t>BRUTO</t>
        </is>
      </c>
      <c r="P10" s="228" t="inlineStr">
        <is>
          <t>NETTO</t>
        </is>
      </c>
      <c r="Q10" s="229" t="inlineStr">
        <is>
          <t>UNIT PRICE</t>
        </is>
      </c>
      <c r="R10" s="230" t="inlineStr">
        <is>
          <t>FOB</t>
        </is>
      </c>
      <c r="S10" s="231" t="inlineStr">
        <is>
          <t>KURS</t>
        </is>
      </c>
      <c r="T10" s="231" t="inlineStr">
        <is>
          <t>IDR</t>
        </is>
      </c>
      <c r="U10" s="232" t="inlineStr">
        <is>
          <t>KANTOR PABEAN</t>
        </is>
      </c>
      <c r="V10" s="232" t="inlineStr">
        <is>
          <t>PELABUHAN</t>
        </is>
      </c>
      <c r="W10" s="232" t="inlineStr">
        <is>
          <t>NEGARA</t>
        </is>
      </c>
      <c r="X10" s="233" t="inlineStr">
        <is>
          <t>PENERIMA BARANG</t>
        </is>
      </c>
      <c r="Y10" s="233" t="inlineStr">
        <is>
          <t>NOMOR B/L / AWB</t>
        </is>
      </c>
      <c r="Z10" s="233" t="inlineStr">
        <is>
          <t>TANGGAL B/L</t>
        </is>
      </c>
    </row>
    <row r="11" ht="20.1" customFormat="1" customHeight="1" s="218" thickBot="1">
      <c r="A11" s="234" t="n"/>
      <c r="B11" s="234" t="n"/>
      <c r="C11" s="221" t="inlineStr">
        <is>
          <t xml:space="preserve">PEB </t>
        </is>
      </c>
      <c r="D11" s="35" t="inlineStr">
        <is>
          <t>NPE</t>
        </is>
      </c>
      <c r="E11" s="234" t="n"/>
      <c r="F11" s="234" t="n"/>
      <c r="G11" s="235" t="n"/>
      <c r="H11" s="236" t="n"/>
      <c r="I11" s="237" t="n"/>
      <c r="J11" s="238" t="n"/>
      <c r="K11" s="234" t="n"/>
      <c r="L11" s="234" t="n"/>
      <c r="M11" s="234" t="n"/>
      <c r="N11" s="234" t="n"/>
      <c r="O11" s="239" t="inlineStr">
        <is>
          <t>(KG)</t>
        </is>
      </c>
      <c r="P11" s="240" t="inlineStr">
        <is>
          <t>(KG)</t>
        </is>
      </c>
      <c r="Q11" s="234" t="n"/>
      <c r="R11" s="241" t="inlineStr">
        <is>
          <t>(USD)</t>
        </is>
      </c>
      <c r="S11" s="242" t="n"/>
      <c r="T11" s="242" t="n"/>
      <c r="U11" s="243" t="inlineStr">
        <is>
          <t>MUAT / EKSPOR</t>
        </is>
      </c>
      <c r="V11" s="243" t="inlineStr">
        <is>
          <t>MUAT</t>
        </is>
      </c>
      <c r="W11" s="243" t="inlineStr">
        <is>
          <t>TUJUAN</t>
        </is>
      </c>
      <c r="X11" s="234" t="n"/>
      <c r="Y11" s="234" t="n"/>
      <c r="Z11" s="234" t="n"/>
    </row>
    <row r="12" ht="16.5" customFormat="1" customHeight="1" s="244">
      <c r="A12" s="245" t="n">
        <v>1</v>
      </c>
      <c r="B12" s="245" t="inlineStr">
        <is>
          <t>000030ZIK48020260828000723</t>
        </is>
      </c>
      <c r="C12" s="245" t="n">
        <v>551420</v>
      </c>
      <c r="D12" s="245" t="n">
        <v>551373</v>
      </c>
      <c r="E12" s="246" t="n">
        <v>46266</v>
      </c>
      <c r="F12" s="245" t="inlineStr">
        <is>
          <t>ID2608-8315</t>
        </is>
      </c>
      <c r="G12" s="246" t="n">
        <v>46262</v>
      </c>
      <c r="H12" s="247" t="n">
        <v>475</v>
      </c>
      <c r="I12" s="245" t="inlineStr">
        <is>
          <t>YMMU4094237</t>
        </is>
      </c>
      <c r="J12" s="245" t="inlineStr">
        <is>
          <t>40FT</t>
        </is>
      </c>
      <c r="K12" s="245" t="inlineStr">
        <is>
          <t>6IN GREEN TEA MF MATTRESS FL</t>
        </is>
      </c>
      <c r="L12" s="245" t="inlineStr">
        <is>
          <t>EB-FMS-0600F-IN</t>
        </is>
      </c>
      <c r="M12" s="248" t="inlineStr">
        <is>
          <t>43FNUL7Y</t>
        </is>
      </c>
      <c r="N12" s="245" t="inlineStr">
        <is>
          <t>F.MFM.06F.002.BD</t>
        </is>
      </c>
      <c r="O12" s="249" t="n">
        <v>22196.8</v>
      </c>
      <c r="P12" s="249" t="n">
        <v>17634.96</v>
      </c>
      <c r="Q12" s="250">
        <f>R12/H12</f>
        <v/>
      </c>
      <c r="R12" s="251" t="n">
        <v>22363</v>
      </c>
      <c r="S12" s="249" t="n">
        <v>17796</v>
      </c>
      <c r="T12" s="252">
        <f>S12*R12</f>
        <v/>
      </c>
      <c r="U12" s="245" t="inlineStr">
        <is>
          <t>040300/KPPBC</t>
        </is>
      </c>
      <c r="V12" s="245" t="inlineStr">
        <is>
          <t>TG. PRIOK</t>
        </is>
      </c>
      <c r="W12" s="245" t="inlineStr">
        <is>
          <t>NEW YORK, US</t>
        </is>
      </c>
      <c r="X12" s="245" t="inlineStr">
        <is>
          <t>AMAZON.COM SERVICES LLC</t>
        </is>
      </c>
      <c r="Y12" s="245" t="inlineStr">
        <is>
          <t>YMJAE425911711</t>
        </is>
      </c>
      <c r="Z12" s="246" t="n">
        <v>46266</v>
      </c>
    </row>
    <row r="13" ht="16.5" customFormat="1" customHeight="1" s="244">
      <c r="A13" s="245" t="n"/>
      <c r="B13" s="245" t="n"/>
      <c r="C13" s="245" t="n"/>
      <c r="D13" s="245" t="n"/>
      <c r="E13" s="245" t="n"/>
      <c r="F13" s="245" t="n"/>
      <c r="G13" s="245" t="n"/>
      <c r="H13" s="247" t="n">
        <v>470</v>
      </c>
      <c r="I13" s="245" t="inlineStr">
        <is>
          <t>MAGU5769055</t>
        </is>
      </c>
      <c r="J13" s="245" t="inlineStr">
        <is>
          <t>40FT</t>
        </is>
      </c>
      <c r="K13" s="245" t="inlineStr">
        <is>
          <t>5IN GEL FOAM MATTRESS TW</t>
        </is>
      </c>
      <c r="L13" s="245" t="inlineStr">
        <is>
          <t>GFM-5T</t>
        </is>
      </c>
      <c r="M13" s="248" t="inlineStr">
        <is>
          <t>43FNUL7Y</t>
        </is>
      </c>
      <c r="N13" s="245" t="inlineStr">
        <is>
          <t>F.MFG.05T.000.BD</t>
        </is>
      </c>
      <c r="O13" s="245" t="n"/>
      <c r="P13" s="245" t="n"/>
      <c r="Q13" s="250">
        <f>R13/H13</f>
        <v/>
      </c>
      <c r="R13" s="251" t="n">
        <v>13893.2</v>
      </c>
      <c r="S13" s="249" t="n">
        <v>17796</v>
      </c>
      <c r="T13" s="252">
        <f>S13*R13</f>
        <v/>
      </c>
      <c r="U13" s="245" t="n"/>
      <c r="V13" s="245" t="n"/>
      <c r="W13" s="245" t="inlineStr">
        <is>
          <t>ETD : 05-09-2026</t>
        </is>
      </c>
      <c r="X13" s="245" t="n"/>
      <c r="Y13" s="245" t="n"/>
      <c r="Z13" s="245" t="n"/>
    </row>
    <row r="14" ht="16.5" customFormat="1" customHeight="1" s="244">
      <c r="A14" s="245" t="n"/>
      <c r="B14" s="245" t="n"/>
      <c r="C14" s="245" t="n"/>
      <c r="D14" s="245" t="n"/>
      <c r="E14" s="245" t="n"/>
      <c r="F14" s="245" t="n"/>
      <c r="G14" s="245" t="n"/>
      <c r="H14" s="247" t="n">
        <v>91</v>
      </c>
      <c r="I14" s="245" t="inlineStr"/>
      <c r="J14" s="245" t="inlineStr"/>
      <c r="K14" s="245" t="inlineStr">
        <is>
          <t>6IN GREEN TEA MF MATTRESS FL</t>
        </is>
      </c>
      <c r="L14" s="245" t="inlineStr">
        <is>
          <t>EB-FMS-0600F-IN</t>
        </is>
      </c>
      <c r="M14" s="248" t="inlineStr">
        <is>
          <t>6QDRMEOU</t>
        </is>
      </c>
      <c r="N14" s="245" t="inlineStr">
        <is>
          <t>F.MFM.06F.002.BD</t>
        </is>
      </c>
      <c r="O14" s="245" t="n"/>
      <c r="P14" s="245" t="n"/>
      <c r="Q14" s="250">
        <f>R14/H14</f>
        <v/>
      </c>
      <c r="R14" s="251" t="n">
        <v>4284.28</v>
      </c>
      <c r="S14" s="249" t="n">
        <v>17796</v>
      </c>
      <c r="T14" s="252">
        <f>S14*R14</f>
        <v/>
      </c>
      <c r="U14" s="245" t="n"/>
      <c r="V14" s="245" t="n"/>
      <c r="W14" s="245" t="n"/>
      <c r="X14" s="245" t="n"/>
      <c r="Y14" s="245" t="n"/>
      <c r="Z14" s="245" t="n"/>
    </row>
    <row r="15" ht="16.5" customFormat="1" customHeight="1" s="244">
      <c r="A15" s="245" t="n"/>
      <c r="B15" s="245" t="n"/>
      <c r="C15" s="245" t="n"/>
      <c r="D15" s="245" t="n"/>
      <c r="E15" s="245" t="n"/>
      <c r="F15" s="245" t="n"/>
      <c r="G15" s="245" t="n"/>
      <c r="H15" s="247" t="n">
        <v>16</v>
      </c>
      <c r="I15" s="245" t="inlineStr"/>
      <c r="J15" s="245" t="inlineStr"/>
      <c r="K15" s="245" t="inlineStr">
        <is>
          <t>10IN GEL FOAM MATTRESS TW</t>
        </is>
      </c>
      <c r="L15" s="245" t="inlineStr">
        <is>
          <t>GFM-10T</t>
        </is>
      </c>
      <c r="M15" s="248" t="inlineStr">
        <is>
          <t>6QDRMEOU</t>
        </is>
      </c>
      <c r="N15" s="245" t="inlineStr">
        <is>
          <t>F.MFG.10T.000.BD</t>
        </is>
      </c>
      <c r="O15" s="245" t="n"/>
      <c r="P15" s="245" t="n"/>
      <c r="Q15" s="250">
        <f>R15/H15</f>
        <v/>
      </c>
      <c r="R15" s="251" t="n">
        <v>768.64</v>
      </c>
      <c r="S15" s="249" t="n">
        <v>17796</v>
      </c>
      <c r="T15" s="252">
        <f>S15*R15</f>
        <v/>
      </c>
      <c r="U15" s="245" t="n"/>
      <c r="V15" s="245" t="n"/>
      <c r="W15" s="245" t="n"/>
      <c r="X15" s="245" t="n"/>
      <c r="Y15" s="245" t="n"/>
      <c r="Z15" s="245" t="n"/>
    </row>
    <row r="16" ht="16.5" customFormat="1" customHeight="1" s="244">
      <c r="A16" s="245" t="n"/>
      <c r="B16" s="245" t="n"/>
      <c r="C16" s="245" t="n"/>
      <c r="D16" s="245" t="n"/>
      <c r="E16" s="245" t="n"/>
      <c r="F16" s="245" t="n"/>
      <c r="G16" s="245" t="n"/>
      <c r="H16" s="247" t="n">
        <v>109</v>
      </c>
      <c r="I16" s="245" t="inlineStr"/>
      <c r="J16" s="245" t="inlineStr"/>
      <c r="K16" s="245" t="inlineStr">
        <is>
          <t>Uraian : GASKET 3,222.04-5IN GEL FOAM MATTRESS TW</t>
        </is>
      </c>
      <c r="L16" s="245" t="inlineStr">
        <is>
          <t>GFM-5T</t>
        </is>
      </c>
      <c r="M16" s="248" t="inlineStr">
        <is>
          <t>6QDRMEOU</t>
        </is>
      </c>
      <c r="N16" s="245" t="inlineStr">
        <is>
          <t>F.MFG.05T.000.BD</t>
        </is>
      </c>
      <c r="O16" s="245" t="n"/>
      <c r="P16" s="245" t="n"/>
      <c r="Q16" s="250">
        <f>R16/H16</f>
        <v/>
      </c>
      <c r="R16" s="251" t="n">
        <v>0</v>
      </c>
      <c r="S16" s="249" t="n">
        <v>17796</v>
      </c>
      <c r="T16" s="252">
        <f>S16*R16</f>
        <v/>
      </c>
      <c r="U16" s="245" t="n"/>
      <c r="V16" s="245" t="n"/>
      <c r="W16" s="245" t="n"/>
      <c r="X16" s="245" t="n"/>
      <c r="Y16" s="245" t="n"/>
      <c r="Z16" s="245" t="n"/>
    </row>
    <row r="17" ht="16.5" customFormat="1" customHeight="1" s="253">
      <c r="A17" s="245" t="n"/>
      <c r="B17" s="245" t="n"/>
      <c r="C17" s="245" t="n"/>
      <c r="D17" s="245" t="n"/>
      <c r="E17" s="245" t="n"/>
      <c r="F17" s="245" t="n"/>
      <c r="G17" s="245" t="n"/>
      <c r="H17" s="247" t="n">
        <v>34</v>
      </c>
      <c r="I17" s="245" t="inlineStr"/>
      <c r="J17" s="245" t="inlineStr"/>
      <c r="K17" s="245" t="inlineStr">
        <is>
          <t>8IN GEL FOAM MATTRESS FL</t>
        </is>
      </c>
      <c r="L17" s="245" t="inlineStr">
        <is>
          <t>GFM-8F</t>
        </is>
      </c>
      <c r="M17" s="248" t="inlineStr">
        <is>
          <t>6QDRMEOU</t>
        </is>
      </c>
      <c r="N17" s="245" t="inlineStr">
        <is>
          <t>F.MFG.08F.000.BD</t>
        </is>
      </c>
      <c r="O17" s="245" t="n"/>
      <c r="P17" s="245" t="n"/>
      <c r="Q17" s="250">
        <f>R17/H17</f>
        <v/>
      </c>
      <c r="R17" s="251" t="n">
        <v>1755.76</v>
      </c>
      <c r="S17" s="249" t="n">
        <v>17796</v>
      </c>
      <c r="T17" s="252">
        <f>S17*R17</f>
        <v/>
      </c>
      <c r="U17" s="245" t="n"/>
      <c r="V17" s="245" t="n"/>
      <c r="W17" s="245" t="n"/>
      <c r="X17" s="245" t="n"/>
      <c r="Y17" s="245" t="n"/>
      <c r="Z17" s="245" t="n"/>
    </row>
    <row r="18" ht="16.5" customHeight="1" s="202" thickBot="1">
      <c r="A18" s="245" t="n"/>
      <c r="B18" s="245" t="n"/>
      <c r="C18" s="245" t="n"/>
      <c r="D18" s="245" t="n"/>
      <c r="E18" s="245" t="n"/>
      <c r="F18" s="245" t="n"/>
      <c r="G18" s="245" t="n"/>
      <c r="H18" s="247" t="n">
        <v>107</v>
      </c>
      <c r="I18" s="245" t="inlineStr"/>
      <c r="J18" s="245" t="inlineStr"/>
      <c r="K18" s="245" t="inlineStr">
        <is>
          <t>8IN GEL FOAM MATTRESS TW</t>
        </is>
      </c>
      <c r="L18" s="245" t="inlineStr">
        <is>
          <t>GFM-8T</t>
        </is>
      </c>
      <c r="M18" s="248" t="inlineStr">
        <is>
          <t>6QDRMEOU</t>
        </is>
      </c>
      <c r="N18" s="245" t="inlineStr">
        <is>
          <t>F.MFG.08T.000.BD</t>
        </is>
      </c>
      <c r="O18" s="245" t="n"/>
      <c r="P18" s="245" t="n"/>
      <c r="Q18" s="250">
        <f>R18/H18</f>
        <v/>
      </c>
      <c r="R18" s="251" t="n">
        <v>4160.16</v>
      </c>
      <c r="S18" s="249" t="n">
        <v>17796</v>
      </c>
      <c r="T18" s="252">
        <f>S18*R18</f>
        <v/>
      </c>
      <c r="U18" s="245" t="n"/>
      <c r="V18" s="245" t="n"/>
      <c r="W18" s="245" t="n"/>
      <c r="X18" s="245" t="n"/>
      <c r="Y18" s="245" t="n"/>
      <c r="Z18" s="245" t="n"/>
    </row>
    <row r="19" ht="16.5" customFormat="1" customHeight="1" s="218" thickBot="1">
      <c r="A19" s="245" t="n"/>
      <c r="B19" s="245" t="n"/>
      <c r="C19" s="245" t="n"/>
      <c r="D19" s="245" t="n"/>
      <c r="E19" s="245" t="n"/>
      <c r="F19" s="245" t="n"/>
      <c r="G19" s="245" t="n"/>
      <c r="H19" s="247" t="n">
        <v>74</v>
      </c>
      <c r="I19" s="245" t="inlineStr"/>
      <c r="J19" s="245" t="inlineStr"/>
      <c r="K19" s="245" t="inlineStr">
        <is>
          <t>2IN CV LAVENDER MF TOPPER QN</t>
        </is>
      </c>
      <c r="L19" s="245" t="inlineStr">
        <is>
          <t>ECMF-LV2Q-IN</t>
        </is>
      </c>
      <c r="M19" s="248" t="inlineStr">
        <is>
          <t>43FNUL7Y</t>
        </is>
      </c>
      <c r="N19" s="245" t="inlineStr">
        <is>
          <t>F.TMT.02Q.008.BD</t>
        </is>
      </c>
      <c r="O19" s="245" t="n"/>
      <c r="P19" s="245" t="n"/>
      <c r="Q19" s="250">
        <f>R19/H19</f>
        <v/>
      </c>
      <c r="R19" s="251" t="n">
        <v>897.62</v>
      </c>
      <c r="S19" s="249" t="n">
        <v>17796</v>
      </c>
      <c r="T19" s="252">
        <f>S19*R19</f>
        <v/>
      </c>
      <c r="U19" s="245" t="n"/>
      <c r="V19" s="245" t="n"/>
      <c r="W19" s="245" t="n"/>
      <c r="X19" s="245" t="n"/>
      <c r="Y19" s="245" t="n"/>
      <c r="Z19" s="245" t="n"/>
    </row>
    <row r="20" ht="16.5" customHeight="1" s="202">
      <c r="A20" s="245" t="n"/>
      <c r="B20" s="245" t="n"/>
      <c r="C20" s="245" t="n"/>
      <c r="D20" s="245" t="n"/>
      <c r="E20" s="245" t="n"/>
      <c r="F20" s="245" t="n"/>
      <c r="G20" s="245" t="n"/>
      <c r="H20" s="247" t="n">
        <v>59</v>
      </c>
      <c r="I20" s="245" t="inlineStr"/>
      <c r="J20" s="245" t="inlineStr"/>
      <c r="K20" s="245" t="inlineStr">
        <is>
          <t>3IN CV LAVENDER MF TOPPER FL</t>
        </is>
      </c>
      <c r="L20" s="245" t="inlineStr">
        <is>
          <t>ECMF-03FL-IN</t>
        </is>
      </c>
      <c r="M20" s="248" t="inlineStr">
        <is>
          <t>6QDRMEOU</t>
        </is>
      </c>
      <c r="N20" s="245" t="inlineStr">
        <is>
          <t>F.TMT.03F.010.BD</t>
        </is>
      </c>
      <c r="O20" s="245" t="n"/>
      <c r="P20" s="245" t="n"/>
      <c r="Q20" s="250">
        <f>R20/H20</f>
        <v/>
      </c>
      <c r="R20" s="251" t="n">
        <v>861.99</v>
      </c>
      <c r="S20" s="249" t="n">
        <v>17796</v>
      </c>
      <c r="T20" s="252">
        <f>S20*R20</f>
        <v/>
      </c>
      <c r="U20" s="245" t="n"/>
      <c r="V20" s="245" t="n"/>
      <c r="W20" s="245" t="n"/>
      <c r="X20" s="245" t="n"/>
      <c r="Y20" s="245" t="n"/>
      <c r="Z20" s="245" t="n"/>
    </row>
    <row r="21" ht="16.5" customHeight="1" s="202">
      <c r="A21" s="245" t="n"/>
      <c r="B21" s="245" t="n"/>
      <c r="C21" s="245" t="n"/>
      <c r="D21" s="245" t="n"/>
      <c r="E21" s="245" t="n"/>
      <c r="F21" s="245" t="n"/>
      <c r="G21" s="245" t="n"/>
      <c r="H21" s="247" t="n">
        <v>24</v>
      </c>
      <c r="I21" s="245" t="inlineStr"/>
      <c r="J21" s="245" t="inlineStr"/>
      <c r="K21" s="245" t="inlineStr">
        <is>
          <t>3IN CV LAVENDER MF TOPPER EK</t>
        </is>
      </c>
      <c r="L21" s="245" t="inlineStr">
        <is>
          <t>ECMF-03KL-IN</t>
        </is>
      </c>
      <c r="M21" s="248" t="inlineStr">
        <is>
          <t>6QDRMEOU</t>
        </is>
      </c>
      <c r="N21" s="245" t="inlineStr">
        <is>
          <t>F.TMT.03K.010.BD</t>
        </is>
      </c>
      <c r="O21" s="245" t="n"/>
      <c r="P21" s="245" t="n"/>
      <c r="Q21" s="250">
        <f>R21/H21</f>
        <v/>
      </c>
      <c r="R21" s="251" t="n">
        <v>497.76</v>
      </c>
      <c r="S21" s="249" t="n">
        <v>17796</v>
      </c>
      <c r="T21" s="252">
        <f>S21*R21</f>
        <v/>
      </c>
      <c r="U21" s="245" t="n"/>
      <c r="V21" s="245" t="n"/>
      <c r="W21" s="245" t="n"/>
      <c r="X21" s="245" t="n"/>
      <c r="Y21" s="245" t="n"/>
      <c r="Z21" s="245" t="n"/>
    </row>
    <row r="22" ht="16.5" customHeight="1" s="202">
      <c r="A22" s="245" t="n"/>
      <c r="B22" s="245" t="n"/>
      <c r="C22" s="245" t="n"/>
      <c r="D22" s="245" t="n"/>
      <c r="E22" s="245" t="n"/>
      <c r="F22" s="245" t="n"/>
      <c r="G22" s="245" t="n"/>
      <c r="H22" s="247" t="n">
        <v>262</v>
      </c>
      <c r="I22" s="245" t="inlineStr"/>
      <c r="J22" s="245" t="inlineStr"/>
      <c r="K22" s="245" t="inlineStr">
        <is>
          <t>3IN CV LAVENDER MF TOPPER TW</t>
        </is>
      </c>
      <c r="L22" s="245" t="inlineStr">
        <is>
          <t>ECMF-03TL-IN</t>
        </is>
      </c>
      <c r="M22" s="248" t="inlineStr">
        <is>
          <t>6QDRMEOU</t>
        </is>
      </c>
      <c r="N22" s="245" t="inlineStr">
        <is>
          <t>F.TMT.03T.010.BD</t>
        </is>
      </c>
      <c r="O22" s="245" t="n"/>
      <c r="P22" s="245" t="n"/>
      <c r="Q22" s="250">
        <f>R22/H22</f>
        <v/>
      </c>
      <c r="R22" s="251" t="n">
        <v>2895.1</v>
      </c>
      <c r="S22" s="249" t="n">
        <v>17796</v>
      </c>
      <c r="T22" s="252">
        <f>S22*R22</f>
        <v/>
      </c>
      <c r="U22" s="245" t="n"/>
      <c r="V22" s="245" t="n"/>
      <c r="W22" s="245" t="n"/>
      <c r="X22" s="245" t="n"/>
      <c r="Y22" s="245" t="n"/>
      <c r="Z22" s="245" t="n"/>
    </row>
    <row r="23" ht="16.5" customHeight="1" s="202" thickBot="1">
      <c r="A23" s="245" t="n"/>
      <c r="B23" s="245" t="n"/>
      <c r="C23" s="245" t="n"/>
      <c r="D23" s="245" t="n"/>
      <c r="E23" s="245" t="n"/>
      <c r="F23" s="245" t="n"/>
      <c r="G23" s="245" t="n"/>
      <c r="H23" s="247" t="n">
        <v>6</v>
      </c>
      <c r="I23" s="245" t="inlineStr"/>
      <c r="J23" s="245" t="inlineStr"/>
      <c r="K23" s="245" t="inlineStr">
        <is>
          <t>3IN CV LAVENDER MF TOPPER TX</t>
        </is>
      </c>
      <c r="L23" s="245" t="inlineStr">
        <is>
          <t>ECMF-03TXLL-IN</t>
        </is>
      </c>
      <c r="M23" s="248" t="inlineStr">
        <is>
          <t>6QDRMEOU</t>
        </is>
      </c>
      <c r="N23" s="245" t="inlineStr">
        <is>
          <t>F.TMT.03X.010.BD</t>
        </is>
      </c>
      <c r="O23" s="245" t="n"/>
      <c r="P23" s="245" t="n"/>
      <c r="Q23" s="250">
        <f>R23/H23</f>
        <v/>
      </c>
      <c r="R23" s="251" t="n">
        <v>72.12</v>
      </c>
      <c r="S23" s="249" t="n">
        <v>17796</v>
      </c>
      <c r="T23" s="252">
        <f>S23*R23</f>
        <v/>
      </c>
      <c r="U23" s="245" t="n"/>
      <c r="V23" s="245" t="n"/>
      <c r="W23" s="245" t="n"/>
      <c r="X23" s="245" t="n"/>
      <c r="Y23" s="245" t="n"/>
      <c r="Z23" s="245" t="n"/>
    </row>
    <row r="24" ht="16.5" customHeight="1" s="202" thickTop="1">
      <c r="A24" s="245" t="n"/>
      <c r="B24" s="245" t="n"/>
      <c r="C24" s="245" t="n"/>
      <c r="D24" s="245" t="n"/>
      <c r="E24" s="245" t="n"/>
      <c r="F24" s="245" t="n"/>
      <c r="G24" s="245" t="n"/>
      <c r="H24" s="247" t="n">
        <v>12</v>
      </c>
      <c r="I24" s="245" t="inlineStr"/>
      <c r="J24" s="245" t="inlineStr"/>
      <c r="K24" s="245" t="inlineStr">
        <is>
          <t>2IN CV LAVENDER MF TOPPER FL</t>
        </is>
      </c>
      <c r="L24" s="245" t="inlineStr">
        <is>
          <t>ECMF- N</t>
        </is>
      </c>
      <c r="M24" s="248" t="inlineStr">
        <is>
          <t>6QDRMEOU</t>
        </is>
      </c>
      <c r="N24" s="245" t="inlineStr">
        <is>
          <t>F.TMT.02F.008.BD</t>
        </is>
      </c>
      <c r="O24" s="245" t="n"/>
      <c r="P24" s="245" t="n"/>
      <c r="Q24" s="250">
        <f>R24/H24</f>
        <v/>
      </c>
      <c r="R24" s="251" t="n">
        <v>118.68</v>
      </c>
      <c r="S24" s="249" t="n">
        <v>17796</v>
      </c>
      <c r="T24" s="252">
        <f>S24*R24</f>
        <v/>
      </c>
      <c r="U24" s="245" t="n"/>
      <c r="V24" s="245" t="n"/>
      <c r="W24" s="245" t="n"/>
      <c r="X24" s="245" t="n"/>
      <c r="Y24" s="245" t="n"/>
      <c r="Z24" s="245" t="n"/>
    </row>
    <row r="25" ht="16.5" customHeight="1" s="202">
      <c r="A25" s="245" t="n"/>
      <c r="B25" s="245" t="n"/>
      <c r="C25" s="245" t="n"/>
      <c r="D25" s="245" t="n"/>
      <c r="E25" s="245" t="n"/>
      <c r="F25" s="245" t="n"/>
      <c r="G25" s="245" t="n"/>
      <c r="H25" s="247" t="n">
        <v>43</v>
      </c>
      <c r="I25" s="245" t="inlineStr"/>
      <c r="J25" s="245" t="inlineStr"/>
      <c r="K25" s="245" t="inlineStr">
        <is>
          <t>2IN CV LAVENDER MF TOPPER EK</t>
        </is>
      </c>
      <c r="L25" s="245" t="inlineStr">
        <is>
          <t>ECMF-LV2K-IN</t>
        </is>
      </c>
      <c r="M25" s="248" t="inlineStr">
        <is>
          <t>6QDRMEOU</t>
        </is>
      </c>
      <c r="N25" s="245" t="inlineStr">
        <is>
          <t>F.TMT.02K.008.BD</t>
        </is>
      </c>
      <c r="O25" s="245" t="n"/>
      <c r="P25" s="245" t="n"/>
      <c r="Q25" s="250">
        <f>R25/H25</f>
        <v/>
      </c>
      <c r="R25" s="251" t="n">
        <v>598.13</v>
      </c>
      <c r="S25" s="249" t="n">
        <v>17796</v>
      </c>
      <c r="T25" s="252">
        <f>S25*R25</f>
        <v/>
      </c>
      <c r="U25" s="245" t="n"/>
      <c r="V25" s="245" t="n"/>
      <c r="W25" s="245" t="n"/>
      <c r="X25" s="245" t="n"/>
      <c r="Y25" s="245" t="n"/>
      <c r="Z25" s="245" t="n"/>
    </row>
    <row r="26" ht="16.5" customHeight="1" s="202">
      <c r="A26" s="245" t="n"/>
      <c r="B26" s="245" t="n"/>
      <c r="C26" s="245" t="n"/>
      <c r="D26" s="245" t="n"/>
      <c r="E26" s="245" t="n"/>
      <c r="F26" s="245" t="n"/>
      <c r="G26" s="245" t="n"/>
      <c r="H26" s="247" t="n">
        <v>19</v>
      </c>
      <c r="I26" s="245" t="inlineStr"/>
      <c r="J26" s="245" t="inlineStr"/>
      <c r="K26" s="245" t="inlineStr">
        <is>
          <t>2IN CV LAVENDER MF TOPPER QN</t>
        </is>
      </c>
      <c r="L26" s="245" t="inlineStr">
        <is>
          <t>ECMF-LV2Q-IN</t>
        </is>
      </c>
      <c r="M26" s="248" t="inlineStr">
        <is>
          <t>6QDRMEOU</t>
        </is>
      </c>
      <c r="N26" s="245" t="inlineStr">
        <is>
          <t>F.TMT.02Q.008.BD</t>
        </is>
      </c>
      <c r="O26" s="245" t="n"/>
      <c r="P26" s="245" t="n"/>
      <c r="Q26" s="250">
        <f>R26/H26</f>
        <v/>
      </c>
      <c r="R26" s="251" t="n">
        <v>230.47</v>
      </c>
      <c r="S26" s="249" t="n">
        <v>17796</v>
      </c>
      <c r="T26" s="252">
        <f>S26*R26</f>
        <v/>
      </c>
      <c r="U26" s="245" t="n"/>
      <c r="V26" s="245" t="n"/>
      <c r="W26" s="245" t="n"/>
      <c r="X26" s="245" t="n"/>
      <c r="Y26" s="245" t="n"/>
      <c r="Z26" s="245" t="n"/>
    </row>
    <row r="27" ht="16.5" customHeight="1" s="202">
      <c r="A27" s="245" t="n"/>
      <c r="B27" s="245" t="n"/>
      <c r="C27" s="245" t="n"/>
      <c r="D27" s="245" t="n"/>
      <c r="E27" s="245" t="n"/>
      <c r="F27" s="245" t="n"/>
      <c r="G27" s="245" t="n"/>
      <c r="H27" s="247" t="n">
        <v>12</v>
      </c>
      <c r="I27" s="245" t="inlineStr"/>
      <c r="J27" s="245" t="inlineStr"/>
      <c r="K27" s="245" t="inlineStr">
        <is>
          <t>4IN CV LAVENDER MF TOPPER QN</t>
        </is>
      </c>
      <c r="L27" s="245" t="inlineStr">
        <is>
          <t>ECMF-LV4Q-IN</t>
        </is>
      </c>
      <c r="M27" s="248" t="inlineStr">
        <is>
          <t>6QDRMEOU</t>
        </is>
      </c>
      <c r="N27" s="245" t="inlineStr">
        <is>
          <t>F.TMT.04Q.012.BD</t>
        </is>
      </c>
      <c r="O27" s="245" t="n"/>
      <c r="P27" s="245" t="n"/>
      <c r="Q27" s="250">
        <f>R27/H27</f>
        <v/>
      </c>
      <c r="R27" s="251" t="n">
        <v>265.8</v>
      </c>
      <c r="S27" s="249" t="n">
        <v>17796</v>
      </c>
      <c r="T27" s="252">
        <f>S27*R27</f>
        <v/>
      </c>
      <c r="U27" s="245" t="n"/>
      <c r="V27" s="245" t="n"/>
      <c r="W27" s="245" t="n"/>
      <c r="X27" s="245" t="n"/>
      <c r="Y27" s="245" t="n"/>
      <c r="Z27" s="245" t="n"/>
    </row>
    <row r="28" ht="16.5" customHeight="1" s="202">
      <c r="A28" s="245" t="n"/>
      <c r="B28" s="245" t="n"/>
      <c r="C28" s="245" t="n"/>
      <c r="D28" s="245" t="n"/>
      <c r="E28" s="245" t="n"/>
      <c r="F28" s="245" t="n"/>
      <c r="G28" s="245" t="n"/>
      <c r="H28" s="247" t="n">
        <v>44</v>
      </c>
      <c r="I28" s="245" t="inlineStr"/>
      <c r="J28" s="245" t="inlineStr"/>
      <c r="K28" s="245" t="inlineStr">
        <is>
          <t>1.5IN VT GEL MF TOPPER FL</t>
        </is>
      </c>
      <c r="L28" s="245" t="inlineStr">
        <is>
          <t>GMT1.5F-IN</t>
        </is>
      </c>
      <c r="M28" s="248" t="inlineStr">
        <is>
          <t>6QDRMEOU</t>
        </is>
      </c>
      <c r="N28" s="245" t="inlineStr">
        <is>
          <t>F.TGT.01F.004.BD</t>
        </is>
      </c>
      <c r="O28" s="245" t="n"/>
      <c r="P28" s="245" t="n"/>
      <c r="Q28" s="250">
        <f>R28/H28</f>
        <v/>
      </c>
      <c r="R28" s="251" t="n">
        <v>458.92</v>
      </c>
      <c r="S28" s="249" t="n">
        <v>17796</v>
      </c>
      <c r="T28" s="252">
        <f>S28*R28</f>
        <v/>
      </c>
      <c r="U28" s="245" t="n"/>
      <c r="V28" s="245" t="n"/>
      <c r="W28" s="245" t="n"/>
      <c r="X28" s="245" t="n"/>
      <c r="Y28" s="245" t="n"/>
      <c r="Z28" s="245" t="n"/>
    </row>
    <row r="29" ht="16.5" customHeight="1" s="202">
      <c r="A29" s="245" t="n"/>
      <c r="B29" s="245" t="n"/>
      <c r="C29" s="245" t="n"/>
      <c r="D29" s="245" t="n"/>
      <c r="E29" s="245" t="n"/>
      <c r="F29" s="245" t="n"/>
      <c r="G29" s="245" t="n"/>
      <c r="H29" s="247" t="n">
        <v>5</v>
      </c>
      <c r="I29" s="245" t="inlineStr"/>
      <c r="J29" s="245" t="inlineStr"/>
      <c r="K29" s="245" t="inlineStr">
        <is>
          <t>1.5IN VT GEL MF TOPPER TW</t>
        </is>
      </c>
      <c r="L29" s="245" t="inlineStr">
        <is>
          <t>GMT1.5T-IN</t>
        </is>
      </c>
      <c r="M29" s="248" t="inlineStr">
        <is>
          <t>6QDRMEOU</t>
        </is>
      </c>
      <c r="N29" s="245" t="inlineStr">
        <is>
          <t>F.TGT.01T.004.BD</t>
        </is>
      </c>
      <c r="O29" s="245" t="n"/>
      <c r="P29" s="245" t="n"/>
      <c r="Q29" s="250">
        <f>R29/H29</f>
        <v/>
      </c>
      <c r="R29" s="251" t="n">
        <v>41.75</v>
      </c>
      <c r="S29" s="249" t="n">
        <v>17796</v>
      </c>
      <c r="T29" s="252">
        <f>S29*R29</f>
        <v/>
      </c>
      <c r="U29" s="245" t="n"/>
      <c r="V29" s="245" t="n"/>
      <c r="W29" s="245" t="n"/>
      <c r="X29" s="245" t="n"/>
      <c r="Y29" s="245" t="n"/>
      <c r="Z29" s="245" t="n"/>
    </row>
    <row r="30" ht="16.5" customHeight="1" s="202">
      <c r="A30" s="245" t="n"/>
      <c r="B30" s="245" t="n"/>
      <c r="C30" s="245" t="n"/>
      <c r="D30" s="245" t="n"/>
      <c r="E30" s="245" t="n"/>
      <c r="F30" s="245" t="n"/>
      <c r="G30" s="245" t="n"/>
      <c r="H30" s="247" t="n">
        <v>12</v>
      </c>
      <c r="I30" s="245" t="inlineStr"/>
      <c r="J30" s="245" t="inlineStr"/>
      <c r="K30" s="245" t="inlineStr">
        <is>
          <t>4IN VT GEL MF TOPPER EK</t>
        </is>
      </c>
      <c r="L30" s="245" t="inlineStr">
        <is>
          <t>GMT4K-IN</t>
        </is>
      </c>
      <c r="M30" s="248" t="inlineStr">
        <is>
          <t>6QDRMEOU</t>
        </is>
      </c>
      <c r="N30" s="245" t="inlineStr">
        <is>
          <t>F.TGT.04K.005.BD</t>
        </is>
      </c>
      <c r="O30" s="245" t="n"/>
      <c r="P30" s="245" t="n"/>
      <c r="Q30" s="250">
        <f>R30/H30</f>
        <v/>
      </c>
      <c r="R30" s="251" t="n">
        <v>396.6</v>
      </c>
      <c r="S30" s="249" t="n">
        <v>17796</v>
      </c>
      <c r="T30" s="252">
        <f>S30*R30</f>
        <v/>
      </c>
      <c r="U30" s="245" t="n"/>
      <c r="V30" s="245" t="n"/>
      <c r="W30" s="245" t="n"/>
      <c r="X30" s="245" t="n"/>
      <c r="Y30" s="245" t="n"/>
      <c r="Z30" s="245" t="n"/>
    </row>
    <row r="31" ht="16.5" customHeight="1" s="202">
      <c r="A31" s="245" t="n"/>
      <c r="B31" s="245" t="n"/>
      <c r="C31" s="245" t="n"/>
      <c r="D31" s="245" t="n"/>
      <c r="E31" s="245" t="n"/>
      <c r="F31" s="245" t="n"/>
      <c r="G31" s="245" t="n"/>
      <c r="H31" s="247" t="n">
        <v>82</v>
      </c>
      <c r="I31" s="245" t="inlineStr"/>
      <c r="J31" s="245" t="inlineStr"/>
      <c r="K31" s="245" t="inlineStr">
        <is>
          <t>4IN VT GEL MF TOPPER QN</t>
        </is>
      </c>
      <c r="L31" s="245" t="inlineStr">
        <is>
          <t>GMT4Q-IN</t>
        </is>
      </c>
      <c r="M31" s="248" t="inlineStr">
        <is>
          <t>6QDRMEOU</t>
        </is>
      </c>
      <c r="N31" s="245" t="inlineStr">
        <is>
          <t>F.TGT.04Q.005.BD</t>
        </is>
      </c>
      <c r="O31" s="245" t="n"/>
      <c r="P31" s="245" t="n"/>
      <c r="Q31" s="250">
        <f>R31/H31</f>
        <v/>
      </c>
      <c r="R31" s="251" t="n">
        <v>2153.32</v>
      </c>
      <c r="S31" s="249" t="n">
        <v>17796</v>
      </c>
      <c r="T31" s="252">
        <f>S31*R31</f>
        <v/>
      </c>
      <c r="U31" s="245" t="n"/>
      <c r="V31" s="245" t="n"/>
      <c r="W31" s="245" t="n"/>
      <c r="X31" s="245" t="n"/>
      <c r="Y31" s="245" t="n"/>
      <c r="Z31" s="245" t="n"/>
    </row>
    <row r="32" ht="17.1" customHeight="1" s="202" thickBot="1">
      <c r="A32" s="254" t="n"/>
      <c r="B32" s="254" t="n"/>
      <c r="C32" s="254" t="n"/>
      <c r="D32" s="254" t="n"/>
      <c r="E32" s="254" t="n"/>
      <c r="F32" s="254" t="n"/>
      <c r="G32" s="254" t="n"/>
      <c r="H32" s="255">
        <f>SUM(H12:H31)</f>
        <v/>
      </c>
      <c r="I32" s="254">
        <f>COUNTA(I12:I31)</f>
        <v/>
      </c>
      <c r="J32" s="254" t="n"/>
      <c r="K32" s="254" t="n"/>
      <c r="L32" s="254" t="n"/>
      <c r="M32" s="254" t="n"/>
      <c r="N32" s="254" t="n"/>
      <c r="O32" s="256">
        <f>SUM(O12:O31)</f>
        <v/>
      </c>
      <c r="P32" s="256">
        <f>SUM(P12:P31)</f>
        <v/>
      </c>
      <c r="Q32" s="254" t="n"/>
      <c r="R32" s="257">
        <f>SUM(R12:R31)</f>
        <v/>
      </c>
      <c r="S32" s="254" t="n"/>
      <c r="T32" s="258">
        <f>SUM(T12:T31)</f>
        <v/>
      </c>
      <c r="U32" s="254" t="n"/>
      <c r="V32" s="254" t="n"/>
      <c r="W32" s="254" t="n"/>
      <c r="X32" s="254" t="n"/>
      <c r="Y32" s="254" t="n"/>
      <c r="Z32" s="254" t="n"/>
    </row>
    <row r="33" ht="16.5" customFormat="1" customHeight="1" s="17" thickTop="1">
      <c r="A33" s="245" t="n">
        <v>2</v>
      </c>
      <c r="B33" s="245" t="inlineStr">
        <is>
          <t>000030ZIK48020260916000788</t>
        </is>
      </c>
      <c r="C33" s="245" t="n">
        <v>470416</v>
      </c>
      <c r="D33" s="245" t="n">
        <v>470188</v>
      </c>
      <c r="E33" s="246" t="n">
        <v>46281</v>
      </c>
      <c r="F33" s="245" t="inlineStr">
        <is>
          <t>SAMPLE-ZIID26-0078-NCV</t>
        </is>
      </c>
      <c r="G33" s="246" t="n">
        <v>46280</v>
      </c>
      <c r="H33" s="247" t="n">
        <v>2</v>
      </c>
      <c r="I33" s="245" t="inlineStr"/>
      <c r="J33" s="245" t="inlineStr"/>
      <c r="K33" s="245" t="inlineStr">
        <is>
          <t>FOAM MATTRESS</t>
        </is>
      </c>
      <c r="L33" s="245" t="inlineStr">
        <is>
          <t>NYKIL</t>
        </is>
      </c>
      <c r="M33" s="248" t="inlineStr"/>
      <c r="N33" s="245" t="inlineStr">
        <is>
          <t>F.MFM.SAMP</t>
        </is>
      </c>
      <c r="O33" s="249" t="n">
        <v>56.56</v>
      </c>
      <c r="P33" s="249" t="n">
        <v>49.68</v>
      </c>
      <c r="Q33" s="250">
        <f>R33/H33</f>
        <v/>
      </c>
      <c r="R33" s="251" t="n">
        <v>69.72</v>
      </c>
      <c r="S33" s="249" t="n">
        <v>17594</v>
      </c>
      <c r="T33" s="252">
        <f>S33*R33</f>
        <v/>
      </c>
      <c r="U33" s="245" t="inlineStr">
        <is>
          <t>050100/KPPBC</t>
        </is>
      </c>
      <c r="V33" s="245" t="inlineStr">
        <is>
          <t>S. HATTA</t>
        </is>
      </c>
      <c r="W33" s="245" t="inlineStr">
        <is>
          <t>MALMO, US</t>
        </is>
      </c>
      <c r="X33" s="245" t="inlineStr">
        <is>
          <t>IKEA OF SWEDEN AB</t>
        </is>
      </c>
      <c r="Y33" s="245" t="inlineStr"/>
      <c r="Z33" s="245" t="inlineStr"/>
    </row>
    <row r="34" ht="16.5" customHeight="1" s="202">
      <c r="A34" s="245" t="n"/>
      <c r="B34" s="245" t="n"/>
      <c r="C34" s="245" t="n"/>
      <c r="D34" s="245" t="n"/>
      <c r="E34" s="245" t="n"/>
      <c r="F34" s="245" t="n"/>
      <c r="G34" s="245" t="n"/>
      <c r="H34" s="247" t="n">
        <v>2</v>
      </c>
      <c r="I34" s="245" t="inlineStr"/>
      <c r="J34" s="245" t="inlineStr"/>
      <c r="K34" s="245" t="inlineStr">
        <is>
          <t>FOAM MATTRESS</t>
        </is>
      </c>
      <c r="L34" s="245" t="inlineStr">
        <is>
          <t>LIKUPANG</t>
        </is>
      </c>
      <c r="M34" s="248" t="inlineStr"/>
      <c r="N34" s="245" t="inlineStr">
        <is>
          <t>F.MFM.SAMP</t>
        </is>
      </c>
      <c r="O34" s="245" t="n"/>
      <c r="P34" s="245" t="n"/>
      <c r="Q34" s="250">
        <f>R34/H34</f>
        <v/>
      </c>
      <c r="R34" s="251" t="n">
        <v>52.24</v>
      </c>
      <c r="S34" s="249" t="n">
        <v>17594</v>
      </c>
      <c r="T34" s="252">
        <f>S34*R34</f>
        <v/>
      </c>
      <c r="U34" s="245" t="n"/>
      <c r="V34" s="245" t="n"/>
      <c r="W34" s="245" t="inlineStr">
        <is>
          <t>ETD : 23-09-2026</t>
        </is>
      </c>
      <c r="X34" s="245" t="n"/>
      <c r="Y34" s="245" t="n"/>
      <c r="Z34" s="245" t="n"/>
    </row>
    <row r="35" ht="17.1" customHeight="1" s="202">
      <c r="A35" s="254" t="n"/>
      <c r="B35" s="254" t="n"/>
      <c r="C35" s="254" t="n"/>
      <c r="D35" s="254" t="n"/>
      <c r="E35" s="254" t="n"/>
      <c r="F35" s="254" t="n"/>
      <c r="G35" s="254" t="n"/>
      <c r="H35" s="255">
        <f>SUM(H33:H34)</f>
        <v/>
      </c>
      <c r="I35" s="254">
        <f>COUNTA(I33:I34)</f>
        <v/>
      </c>
      <c r="J35" s="254" t="n"/>
      <c r="K35" s="254" t="n"/>
      <c r="L35" s="254" t="n"/>
      <c r="M35" s="254" t="n"/>
      <c r="N35" s="254" t="n"/>
      <c r="O35" s="256">
        <f>SUM(O33:O34)</f>
        <v/>
      </c>
      <c r="P35" s="256">
        <f>SUM(P33:P34)</f>
        <v/>
      </c>
      <c r="Q35" s="254" t="n"/>
      <c r="R35" s="257">
        <f>SUM(R33:R34)</f>
        <v/>
      </c>
      <c r="S35" s="254" t="n"/>
      <c r="T35" s="258">
        <f>SUM(T33:T34)</f>
        <v/>
      </c>
      <c r="U35" s="254" t="n"/>
      <c r="V35" s="254" t="n"/>
      <c r="W35" s="254" t="n"/>
      <c r="X35" s="254" t="n"/>
      <c r="Y35" s="254" t="n"/>
      <c r="Z35" s="254" t="n"/>
    </row>
    <row r="36" ht="16.5" customHeight="1" s="202">
      <c r="A36" s="245" t="n">
        <v>3</v>
      </c>
      <c r="B36" s="245" t="inlineStr">
        <is>
          <t>000030ZIK48020260916000789</t>
        </is>
      </c>
      <c r="C36" s="245" t="n">
        <v>586801</v>
      </c>
      <c r="D36" s="245" t="n">
        <v>586726</v>
      </c>
      <c r="E36" s="246" t="n">
        <v>46281</v>
      </c>
      <c r="F36" s="245" t="inlineStr">
        <is>
          <t>ID2609-8482</t>
        </is>
      </c>
      <c r="G36" s="246" t="n">
        <v>46281</v>
      </c>
      <c r="H36" s="247" t="n">
        <v>1040</v>
      </c>
      <c r="I36" s="245" t="inlineStr">
        <is>
          <t>TCNU3761499</t>
        </is>
      </c>
      <c r="J36" s="245" t="inlineStr">
        <is>
          <t>40FT</t>
        </is>
      </c>
      <c r="K36" s="245" t="inlineStr">
        <is>
          <t>8IN GREEN TEA MF MATTRESS FL</t>
        </is>
      </c>
      <c r="L36" s="245" t="inlineStr">
        <is>
          <t>SCF-STR-800F</t>
        </is>
      </c>
      <c r="M36" s="248" t="inlineStr">
        <is>
          <t>0993630709</t>
        </is>
      </c>
      <c r="N36" s="245" t="inlineStr">
        <is>
          <t>F.MFM.08F.000.WS</t>
        </is>
      </c>
      <c r="O36" s="249" t="n">
        <v>21236.8</v>
      </c>
      <c r="P36" s="249" t="n">
        <v>18740.8</v>
      </c>
      <c r="Q36" s="250">
        <f>R36/H36</f>
        <v/>
      </c>
      <c r="R36" s="251" t="n">
        <v>82960.8</v>
      </c>
      <c r="S36" s="249" t="n">
        <v>17594</v>
      </c>
      <c r="T36" s="252">
        <f>S36*R36</f>
        <v/>
      </c>
      <c r="U36" s="245" t="inlineStr">
        <is>
          <t>040300/KPPBC</t>
        </is>
      </c>
      <c r="V36" s="245" t="inlineStr">
        <is>
          <t>TG. PRIOK</t>
        </is>
      </c>
      <c r="W36" s="245" t="inlineStr">
        <is>
          <t>NORFOLK, US</t>
        </is>
      </c>
      <c r="X36" s="245" t="inlineStr">
        <is>
          <t>WALMART, INC.</t>
        </is>
      </c>
      <c r="Y36" s="245" t="inlineStr">
        <is>
          <t>HLCUJK1260978989</t>
        </is>
      </c>
      <c r="Z36" s="246" t="n">
        <v>46281</v>
      </c>
    </row>
    <row r="37" ht="16.5" customHeight="1" s="202">
      <c r="A37" s="245" t="n"/>
      <c r="B37" s="245" t="n"/>
      <c r="C37" s="245" t="n"/>
      <c r="D37" s="245" t="n"/>
      <c r="E37" s="245" t="n"/>
      <c r="F37" s="245" t="n"/>
      <c r="G37" s="245" t="n"/>
      <c r="H37" s="245" t="n"/>
      <c r="I37" s="245" t="inlineStr">
        <is>
          <t>UACU5970648</t>
        </is>
      </c>
      <c r="J37" s="245" t="inlineStr">
        <is>
          <t>40FT</t>
        </is>
      </c>
      <c r="K37" s="245" t="n"/>
      <c r="L37" s="245" t="n"/>
      <c r="M37" s="245" t="n"/>
      <c r="N37" s="245" t="n"/>
      <c r="O37" s="245" t="n"/>
      <c r="P37" s="245" t="n"/>
      <c r="Q37" s="245" t="n"/>
      <c r="R37" s="245" t="n"/>
      <c r="S37" s="245" t="n"/>
      <c r="T37" s="245" t="n"/>
      <c r="U37" s="245" t="n"/>
      <c r="V37" s="245" t="n"/>
      <c r="W37" s="245" t="inlineStr">
        <is>
          <t>ETD : 20-09-2026</t>
        </is>
      </c>
      <c r="X37" s="245" t="n"/>
      <c r="Y37" s="245" t="n"/>
      <c r="Z37" s="245" t="n"/>
    </row>
    <row r="38" ht="17.1" customHeight="1" s="202">
      <c r="A38" s="254" t="n"/>
      <c r="B38" s="254" t="n"/>
      <c r="C38" s="254" t="n"/>
      <c r="D38" s="254" t="n"/>
      <c r="E38" s="254" t="n"/>
      <c r="F38" s="254" t="n"/>
      <c r="G38" s="254" t="n"/>
      <c r="H38" s="255">
        <f>SUM(H36:H37)</f>
        <v/>
      </c>
      <c r="I38" s="254">
        <f>COUNTA(I36:I37)</f>
        <v/>
      </c>
      <c r="J38" s="254" t="n"/>
      <c r="K38" s="254" t="n"/>
      <c r="L38" s="254" t="n"/>
      <c r="M38" s="254" t="n"/>
      <c r="N38" s="254" t="n"/>
      <c r="O38" s="256">
        <f>SUM(O36:O37)</f>
        <v/>
      </c>
      <c r="P38" s="256">
        <f>SUM(P36:P37)</f>
        <v/>
      </c>
      <c r="Q38" s="254" t="n"/>
      <c r="R38" s="257">
        <f>SUM(R36:R37)</f>
        <v/>
      </c>
      <c r="S38" s="254" t="n"/>
      <c r="T38" s="258">
        <f>SUM(T36:T37)</f>
        <v/>
      </c>
      <c r="U38" s="254" t="n"/>
      <c r="V38" s="254" t="n"/>
      <c r="W38" s="254" t="n"/>
      <c r="X38" s="254" t="n"/>
      <c r="Y38" s="254" t="n"/>
      <c r="Z38" s="254" t="n"/>
    </row>
    <row r="39" ht="16.5" customHeight="1" s="202">
      <c r="A39" s="245" t="n">
        <v>4</v>
      </c>
      <c r="B39" s="245" t="inlineStr">
        <is>
          <t>000030ZIK48020260916000790</t>
        </is>
      </c>
      <c r="C39" s="245" t="n">
        <v>586873</v>
      </c>
      <c r="D39" s="245" t="n">
        <v>586797</v>
      </c>
      <c r="E39" s="246" t="n">
        <v>46281</v>
      </c>
      <c r="F39" s="245" t="inlineStr">
        <is>
          <t>ID2609-8483</t>
        </is>
      </c>
      <c r="G39" s="246" t="n">
        <v>46281</v>
      </c>
      <c r="H39" s="247" t="n">
        <v>900</v>
      </c>
      <c r="I39" s="245" t="inlineStr">
        <is>
          <t>FANU1390487</t>
        </is>
      </c>
      <c r="J39" s="245" t="inlineStr">
        <is>
          <t>40FT</t>
        </is>
      </c>
      <c r="K39" s="245" t="inlineStr">
        <is>
          <t>8IN GREEN TEA MF MATTRESS QN</t>
        </is>
      </c>
      <c r="L39" s="245" t="inlineStr">
        <is>
          <t>SCF-STR-800Q</t>
        </is>
      </c>
      <c r="M39" s="248" t="inlineStr">
        <is>
          <t>0993630544</t>
        </is>
      </c>
      <c r="N39" s="245" t="inlineStr">
        <is>
          <t>F.MFM.08Q.000.WS</t>
        </is>
      </c>
      <c r="O39" s="249" t="n">
        <v>21510</v>
      </c>
      <c r="P39" s="249" t="n">
        <v>19188</v>
      </c>
      <c r="Q39" s="250">
        <f>R39/H39</f>
        <v/>
      </c>
      <c r="R39" s="251" t="n">
        <v>84573</v>
      </c>
      <c r="S39" s="249" t="n">
        <v>17594</v>
      </c>
      <c r="T39" s="252">
        <f>S39*R39</f>
        <v/>
      </c>
      <c r="U39" s="245" t="inlineStr">
        <is>
          <t>040300/KPPBC</t>
        </is>
      </c>
      <c r="V39" s="245" t="inlineStr">
        <is>
          <t>TG. PRIOK</t>
        </is>
      </c>
      <c r="W39" s="245" t="inlineStr">
        <is>
          <t>NORFOLK, US</t>
        </is>
      </c>
      <c r="X39" s="245" t="inlineStr">
        <is>
          <t>WALMART, INC.</t>
        </is>
      </c>
      <c r="Y39" s="245" t="inlineStr">
        <is>
          <t>HLCUJK12608ASQT4</t>
        </is>
      </c>
      <c r="Z39" s="246" t="n">
        <v>46281</v>
      </c>
    </row>
    <row r="40" ht="16.5" customHeight="1" s="202">
      <c r="A40" s="245" t="n"/>
      <c r="B40" s="245" t="n"/>
      <c r="C40" s="245" t="n"/>
      <c r="D40" s="245" t="n"/>
      <c r="E40" s="245" t="n"/>
      <c r="F40" s="245" t="n"/>
      <c r="G40" s="245" t="n"/>
      <c r="H40" s="245" t="n"/>
      <c r="I40" s="245" t="inlineStr">
        <is>
          <t>CAAU5686470</t>
        </is>
      </c>
      <c r="J40" s="245" t="inlineStr">
        <is>
          <t>40FT</t>
        </is>
      </c>
      <c r="K40" s="245" t="n"/>
      <c r="L40" s="245" t="n"/>
      <c r="M40" s="245" t="n"/>
      <c r="N40" s="245" t="n"/>
      <c r="O40" s="245" t="n"/>
      <c r="P40" s="245" t="n"/>
      <c r="Q40" s="245" t="n"/>
      <c r="R40" s="245" t="n"/>
      <c r="S40" s="245" t="n"/>
      <c r="T40" s="245" t="n"/>
      <c r="U40" s="245" t="n"/>
      <c r="V40" s="245" t="n"/>
      <c r="W40" s="245" t="inlineStr">
        <is>
          <t>ETD : 20-09-2026</t>
        </is>
      </c>
      <c r="X40" s="245" t="n"/>
      <c r="Y40" s="245" t="n"/>
      <c r="Z40" s="245" t="n"/>
    </row>
    <row r="41" ht="17.1" customHeight="1" s="202">
      <c r="A41" s="254" t="n"/>
      <c r="B41" s="254" t="n"/>
      <c r="C41" s="254" t="n"/>
      <c r="D41" s="254" t="n"/>
      <c r="E41" s="254" t="n"/>
      <c r="F41" s="254" t="n"/>
      <c r="G41" s="254" t="n"/>
      <c r="H41" s="255">
        <f>SUM(H39:H40)</f>
        <v/>
      </c>
      <c r="I41" s="254">
        <f>COUNTA(I39:I40)</f>
        <v/>
      </c>
      <c r="J41" s="254" t="n"/>
      <c r="K41" s="254" t="n"/>
      <c r="L41" s="254" t="n"/>
      <c r="M41" s="254" t="n"/>
      <c r="N41" s="254" t="n"/>
      <c r="O41" s="256">
        <f>SUM(O39:O40)</f>
        <v/>
      </c>
      <c r="P41" s="256">
        <f>SUM(P39:P40)</f>
        <v/>
      </c>
      <c r="Q41" s="254" t="n"/>
      <c r="R41" s="257">
        <f>SUM(R39:R40)</f>
        <v/>
      </c>
      <c r="S41" s="254" t="n"/>
      <c r="T41" s="258">
        <f>SUM(T39:T40)</f>
        <v/>
      </c>
      <c r="U41" s="254" t="n"/>
      <c r="V41" s="254" t="n"/>
      <c r="W41" s="254" t="n"/>
      <c r="X41" s="254" t="n"/>
      <c r="Y41" s="254" t="n"/>
      <c r="Z41" s="254" t="n"/>
    </row>
    <row r="42" ht="16.5" customHeight="1" s="202">
      <c r="A42" s="245" t="n">
        <v>5</v>
      </c>
      <c r="B42" s="245" t="inlineStr">
        <is>
          <t>000030ZIK48020260916000791</t>
        </is>
      </c>
      <c r="C42" s="245" t="n">
        <v>471977</v>
      </c>
      <c r="D42" s="245" t="n">
        <v>471728</v>
      </c>
      <c r="E42" s="246" t="n">
        <v>46281</v>
      </c>
      <c r="F42" s="245" t="inlineStr">
        <is>
          <t>SAMPLE-ZIID26-0079-NCV</t>
        </is>
      </c>
      <c r="G42" s="246" t="n">
        <v>46276</v>
      </c>
      <c r="H42" s="247" t="n">
        <v>1</v>
      </c>
      <c r="I42" s="245" t="inlineStr"/>
      <c r="J42" s="245" t="inlineStr"/>
      <c r="K42" s="245" t="inlineStr">
        <is>
          <t>GEL MATTRESS</t>
        </is>
      </c>
      <c r="L42" s="245" t="inlineStr">
        <is>
          <t>10 HUSH ARCTECH MF MATTRESS</t>
        </is>
      </c>
      <c r="M42" s="248" t="inlineStr"/>
      <c r="N42" s="245" t="inlineStr">
        <is>
          <t>F.MFG.SAMP</t>
        </is>
      </c>
      <c r="O42" s="249" t="n">
        <v>102.95</v>
      </c>
      <c r="P42" s="249" t="n">
        <v>92.95</v>
      </c>
      <c r="Q42" s="250">
        <f>R42/H42</f>
        <v/>
      </c>
      <c r="R42" s="251" t="n">
        <v>103.52</v>
      </c>
      <c r="S42" s="249" t="n">
        <v>17594</v>
      </c>
      <c r="T42" s="252">
        <f>S42*R42</f>
        <v/>
      </c>
      <c r="U42" s="245" t="inlineStr">
        <is>
          <t>050100/KPPBC</t>
        </is>
      </c>
      <c r="V42" s="245" t="inlineStr">
        <is>
          <t>S. HATTA</t>
        </is>
      </c>
      <c r="W42" s="245" t="inlineStr">
        <is>
          <t>SALT LAKE CITY, US</t>
        </is>
      </c>
      <c r="X42" s="245" t="inlineStr">
        <is>
          <t>R&amp;D OFFICE</t>
        </is>
      </c>
      <c r="Y42" s="245" t="inlineStr">
        <is>
          <t>877279358793</t>
        </is>
      </c>
      <c r="Z42" s="246" t="n">
        <v>46281</v>
      </c>
    </row>
    <row r="43" ht="16.5" customHeight="1" s="202">
      <c r="A43" s="245" t="n"/>
      <c r="B43" s="245" t="n"/>
      <c r="C43" s="245" t="n"/>
      <c r="D43" s="245" t="n"/>
      <c r="E43" s="245" t="n"/>
      <c r="F43" s="245" t="n"/>
      <c r="G43" s="245" t="n"/>
      <c r="H43" s="247" t="n">
        <v>1</v>
      </c>
      <c r="I43" s="245" t="inlineStr"/>
      <c r="J43" s="245" t="inlineStr"/>
      <c r="K43" s="245" t="inlineStr">
        <is>
          <t>GEL MATTRESS</t>
        </is>
      </c>
      <c r="L43" s="245" t="inlineStr">
        <is>
          <t>11 HUSH ARCTECH MF MATTRESS</t>
        </is>
      </c>
      <c r="M43" s="248" t="inlineStr"/>
      <c r="N43" s="245" t="inlineStr">
        <is>
          <t>F.MFG.SAMP</t>
        </is>
      </c>
      <c r="O43" s="245" t="n"/>
      <c r="P43" s="245" t="n"/>
      <c r="Q43" s="250">
        <f>R43/H43</f>
        <v/>
      </c>
      <c r="R43" s="251" t="n">
        <v>112.05</v>
      </c>
      <c r="S43" s="249" t="n">
        <v>17594</v>
      </c>
      <c r="T43" s="252">
        <f>S43*R43</f>
        <v/>
      </c>
      <c r="U43" s="245" t="n"/>
      <c r="V43" s="245" t="n"/>
      <c r="W43" s="245" t="inlineStr">
        <is>
          <t>ETD : 23-09-2026</t>
        </is>
      </c>
      <c r="X43" s="245" t="n"/>
      <c r="Y43" s="245" t="n"/>
      <c r="Z43" s="245" t="n"/>
    </row>
    <row r="44" ht="16.5" customHeight="1" s="202">
      <c r="A44" s="245" t="n"/>
      <c r="B44" s="245" t="n"/>
      <c r="C44" s="245" t="n"/>
      <c r="D44" s="245" t="n"/>
      <c r="E44" s="245" t="n"/>
      <c r="F44" s="245" t="n"/>
      <c r="G44" s="245" t="n"/>
      <c r="H44" s="247" t="n">
        <v>1</v>
      </c>
      <c r="I44" s="245" t="inlineStr"/>
      <c r="J44" s="245" t="inlineStr"/>
      <c r="K44" s="245" t="inlineStr">
        <is>
          <t>GEL MATTRESS</t>
        </is>
      </c>
      <c r="L44" s="245" t="inlineStr">
        <is>
          <t>12 HUSH ARCTECH MF MATTRESS</t>
        </is>
      </c>
      <c r="M44" s="248" t="inlineStr"/>
      <c r="N44" s="245" t="inlineStr">
        <is>
          <t>F.MFG.SAMP</t>
        </is>
      </c>
      <c r="O44" s="245" t="n"/>
      <c r="P44" s="245" t="n"/>
      <c r="Q44" s="250">
        <f>R44/H44</f>
        <v/>
      </c>
      <c r="R44" s="251" t="n">
        <v>126.95</v>
      </c>
      <c r="S44" s="249" t="n">
        <v>17594</v>
      </c>
      <c r="T44" s="252">
        <f>S44*R44</f>
        <v/>
      </c>
      <c r="U44" s="245" t="n"/>
      <c r="V44" s="245" t="n"/>
      <c r="W44" s="245" t="n"/>
      <c r="X44" s="245" t="n"/>
      <c r="Y44" s="245" t="n"/>
      <c r="Z44" s="245" t="n"/>
    </row>
    <row r="45" ht="17.1" customHeight="1" s="202">
      <c r="A45" s="254" t="n"/>
      <c r="B45" s="254" t="n"/>
      <c r="C45" s="254" t="n"/>
      <c r="D45" s="254" t="n"/>
      <c r="E45" s="254" t="n"/>
      <c r="F45" s="254" t="n"/>
      <c r="G45" s="254" t="n"/>
      <c r="H45" s="255">
        <f>SUM(H42:H44)</f>
        <v/>
      </c>
      <c r="I45" s="254">
        <f>COUNTA(I42:I44)</f>
        <v/>
      </c>
      <c r="J45" s="254" t="n"/>
      <c r="K45" s="254" t="n"/>
      <c r="L45" s="254" t="n"/>
      <c r="M45" s="254" t="n"/>
      <c r="N45" s="254" t="n"/>
      <c r="O45" s="256">
        <f>SUM(O42:O44)</f>
        <v/>
      </c>
      <c r="P45" s="256">
        <f>SUM(P42:P44)</f>
        <v/>
      </c>
      <c r="Q45" s="254" t="n"/>
      <c r="R45" s="257">
        <f>SUM(R42:R44)</f>
        <v/>
      </c>
      <c r="S45" s="254" t="n"/>
      <c r="T45" s="258">
        <f>SUM(T42:T44)</f>
        <v/>
      </c>
      <c r="U45" s="254" t="n"/>
      <c r="V45" s="254" t="n"/>
      <c r="W45" s="254" t="n"/>
      <c r="X45" s="254" t="n"/>
      <c r="Y45" s="254" t="n"/>
      <c r="Z45" s="254" t="n"/>
    </row>
    <row r="46" ht="16.5" customHeight="1" s="202">
      <c r="A46" s="245" t="n">
        <v>6</v>
      </c>
      <c r="B46" s="245" t="inlineStr">
        <is>
          <t>000030ZIK48020260916000792</t>
        </is>
      </c>
      <c r="C46" s="245" t="n">
        <v>472032</v>
      </c>
      <c r="D46" s="245" t="n">
        <v>471783</v>
      </c>
      <c r="E46" s="246" t="n">
        <v>46281</v>
      </c>
      <c r="F46" s="245" t="inlineStr">
        <is>
          <t>SPL/037/ZDI/IX/2026</t>
        </is>
      </c>
      <c r="G46" s="246" t="n">
        <v>46281</v>
      </c>
      <c r="H46" s="247" t="n">
        <v>1</v>
      </c>
      <c r="I46" s="245" t="inlineStr"/>
      <c r="J46" s="245" t="inlineStr"/>
      <c r="K46" s="245" t="inlineStr">
        <is>
          <t>FOAM CUTTING SAMPLE</t>
        </is>
      </c>
      <c r="L46" s="245" t="inlineStr">
        <is>
          <t>TIF 32D_9ILD</t>
        </is>
      </c>
      <c r="M46" s="248" t="inlineStr"/>
      <c r="N46" s="245" t="inlineStr">
        <is>
          <t>-</t>
        </is>
      </c>
      <c r="O46" s="249" t="n">
        <v>4.4</v>
      </c>
      <c r="P46" s="249" t="n">
        <v>2.4</v>
      </c>
      <c r="Q46" s="250">
        <f>R46/H46</f>
        <v/>
      </c>
      <c r="R46" s="251" t="n">
        <v>2.68</v>
      </c>
      <c r="S46" s="249" t="n">
        <v>17594</v>
      </c>
      <c r="T46" s="252">
        <f>S46*R46</f>
        <v/>
      </c>
      <c r="U46" s="245" t="inlineStr">
        <is>
          <t>050100/KPPBC</t>
        </is>
      </c>
      <c r="V46" s="245" t="inlineStr">
        <is>
          <t>S. HATTA</t>
        </is>
      </c>
      <c r="W46" s="245" t="inlineStr">
        <is>
          <t>TULSA, US</t>
        </is>
      </c>
      <c r="X46" s="245" t="inlineStr">
        <is>
          <t>PETERSON CHEMICAL TECHNOLOGY, LLC.</t>
        </is>
      </c>
      <c r="Y46" s="245" t="inlineStr">
        <is>
          <t>877280669163</t>
        </is>
      </c>
      <c r="Z46" s="246" t="n">
        <v>46281</v>
      </c>
    </row>
    <row r="47" ht="16.5" customHeight="1" s="202">
      <c r="A47" s="245" t="n"/>
      <c r="B47" s="245" t="n"/>
      <c r="C47" s="245" t="n"/>
      <c r="D47" s="245" t="n"/>
      <c r="E47" s="245" t="n"/>
      <c r="F47" s="245" t="n"/>
      <c r="G47" s="245" t="n"/>
      <c r="H47" s="247" t="n">
        <v>1</v>
      </c>
      <c r="I47" s="245" t="inlineStr"/>
      <c r="J47" s="245" t="inlineStr"/>
      <c r="K47" s="245" t="inlineStr">
        <is>
          <t>FOAM CUTTING SAMPLE</t>
        </is>
      </c>
      <c r="L47" s="245" t="inlineStr">
        <is>
          <t>TIF 27D_9ILD</t>
        </is>
      </c>
      <c r="M47" s="248" t="inlineStr"/>
      <c r="N47" s="245" t="inlineStr">
        <is>
          <t>-</t>
        </is>
      </c>
      <c r="O47" s="245" t="n"/>
      <c r="P47" s="245" t="n"/>
      <c r="Q47" s="250">
        <f>R47/H47</f>
        <v/>
      </c>
      <c r="R47" s="251" t="n">
        <v>2.68</v>
      </c>
      <c r="S47" s="249" t="n">
        <v>17594</v>
      </c>
      <c r="T47" s="252">
        <f>S47*R47</f>
        <v/>
      </c>
      <c r="U47" s="245" t="n"/>
      <c r="V47" s="245" t="n"/>
      <c r="W47" s="245" t="inlineStr">
        <is>
          <t>ETD : 23-09-2026</t>
        </is>
      </c>
      <c r="X47" s="245" t="n"/>
      <c r="Y47" s="245" t="n"/>
      <c r="Z47" s="245" t="n"/>
    </row>
    <row r="48" ht="16.5" customHeight="1" s="202">
      <c r="A48" s="245" t="n"/>
      <c r="B48" s="245" t="n"/>
      <c r="C48" s="245" t="n"/>
      <c r="D48" s="245" t="n"/>
      <c r="E48" s="245" t="n"/>
      <c r="F48" s="245" t="n"/>
      <c r="G48" s="245" t="n"/>
      <c r="H48" s="247" t="n">
        <v>1</v>
      </c>
      <c r="I48" s="245" t="inlineStr"/>
      <c r="J48" s="245" t="inlineStr"/>
      <c r="K48" s="245" t="inlineStr">
        <is>
          <t>FOAM CUTTING SAMPLE</t>
        </is>
      </c>
      <c r="L48" s="245" t="inlineStr">
        <is>
          <t>UPF 32D_9ILD</t>
        </is>
      </c>
      <c r="M48" s="248" t="inlineStr"/>
      <c r="N48" s="245" t="inlineStr">
        <is>
          <t>S.SMPL.Z0002</t>
        </is>
      </c>
      <c r="O48" s="245" t="n"/>
      <c r="P48" s="245" t="n"/>
      <c r="Q48" s="250">
        <f>R48/H48</f>
        <v/>
      </c>
      <c r="R48" s="251" t="n">
        <v>2.71</v>
      </c>
      <c r="S48" s="249" t="n">
        <v>17594</v>
      </c>
      <c r="T48" s="252">
        <f>S48*R48</f>
        <v/>
      </c>
      <c r="U48" s="245" t="n"/>
      <c r="V48" s="245" t="n"/>
      <c r="W48" s="245" t="n"/>
      <c r="X48" s="245" t="n"/>
      <c r="Y48" s="245" t="n"/>
      <c r="Z48" s="245" t="n"/>
    </row>
    <row r="49" ht="16.5" customHeight="1" s="202">
      <c r="A49" s="245" t="n"/>
      <c r="B49" s="245" t="n"/>
      <c r="C49" s="245" t="n"/>
      <c r="D49" s="245" t="n"/>
      <c r="E49" s="245" t="n"/>
      <c r="F49" s="245" t="n"/>
      <c r="G49" s="245" t="n"/>
      <c r="H49" s="247" t="n">
        <v>1</v>
      </c>
      <c r="I49" s="245" t="inlineStr"/>
      <c r="J49" s="245" t="inlineStr"/>
      <c r="K49" s="245" t="inlineStr">
        <is>
          <t>FOAM CUTTING SAMPLE</t>
        </is>
      </c>
      <c r="L49" s="245" t="inlineStr">
        <is>
          <t>SAF 24D_7ILD</t>
        </is>
      </c>
      <c r="M49" s="248" t="inlineStr"/>
      <c r="N49" s="245" t="inlineStr">
        <is>
          <t>S.SMPL.Z0002</t>
        </is>
      </c>
      <c r="O49" s="245" t="n"/>
      <c r="P49" s="245" t="n"/>
      <c r="Q49" s="250">
        <f>R49/H49</f>
        <v/>
      </c>
      <c r="R49" s="251" t="n">
        <v>2.68</v>
      </c>
      <c r="S49" s="249" t="n">
        <v>17594</v>
      </c>
      <c r="T49" s="252">
        <f>S49*R49</f>
        <v/>
      </c>
      <c r="U49" s="245" t="n"/>
      <c r="V49" s="245" t="n"/>
      <c r="W49" s="245" t="n"/>
      <c r="X49" s="245" t="n"/>
      <c r="Y49" s="245" t="n"/>
      <c r="Z49" s="245" t="n"/>
    </row>
    <row r="50" ht="16.5" customHeight="1" s="202">
      <c r="A50" s="245" t="n"/>
      <c r="B50" s="245" t="n"/>
      <c r="C50" s="245" t="n"/>
      <c r="D50" s="245" t="n"/>
      <c r="E50" s="245" t="n"/>
      <c r="F50" s="245" t="n"/>
      <c r="G50" s="245" t="n"/>
      <c r="H50" s="247" t="n">
        <v>1</v>
      </c>
      <c r="I50" s="245" t="inlineStr"/>
      <c r="J50" s="245" t="inlineStr"/>
      <c r="K50" s="245" t="inlineStr">
        <is>
          <t>FOAM CUTTING SAMPLE</t>
        </is>
      </c>
      <c r="L50" s="245" t="inlineStr">
        <is>
          <t>MF 32D_9ILD GR</t>
        </is>
      </c>
      <c r="M50" s="248" t="inlineStr"/>
      <c r="N50" s="245" t="inlineStr">
        <is>
          <t>S.SMPL.Z0002</t>
        </is>
      </c>
      <c r="O50" s="245" t="n"/>
      <c r="P50" s="245" t="n"/>
      <c r="Q50" s="250">
        <f>R50/H50</f>
        <v/>
      </c>
      <c r="R50" s="251" t="n">
        <v>2.62</v>
      </c>
      <c r="S50" s="249" t="n">
        <v>17594</v>
      </c>
      <c r="T50" s="252">
        <f>S50*R50</f>
        <v/>
      </c>
      <c r="U50" s="245" t="n"/>
      <c r="V50" s="245" t="n"/>
      <c r="W50" s="245" t="n"/>
      <c r="X50" s="245" t="n"/>
      <c r="Y50" s="245" t="n"/>
      <c r="Z50" s="245" t="n"/>
    </row>
    <row r="51" ht="17.1" customHeight="1" s="202">
      <c r="A51" s="254" t="n"/>
      <c r="B51" s="254" t="n"/>
      <c r="C51" s="254" t="n"/>
      <c r="D51" s="254" t="n"/>
      <c r="E51" s="254" t="n"/>
      <c r="F51" s="254" t="n"/>
      <c r="G51" s="254" t="n"/>
      <c r="H51" s="255">
        <f>SUM(H46:H50)</f>
        <v/>
      </c>
      <c r="I51" s="254">
        <f>COUNTA(I46:I50)</f>
        <v/>
      </c>
      <c r="J51" s="254" t="n"/>
      <c r="K51" s="254" t="n"/>
      <c r="L51" s="254" t="n"/>
      <c r="M51" s="254" t="n"/>
      <c r="N51" s="254" t="n"/>
      <c r="O51" s="256">
        <f>SUM(O46:O50)</f>
        <v/>
      </c>
      <c r="P51" s="256">
        <f>SUM(P46:P50)</f>
        <v/>
      </c>
      <c r="Q51" s="254" t="n"/>
      <c r="R51" s="257">
        <f>SUM(R46:R50)</f>
        <v/>
      </c>
      <c r="S51" s="254" t="n"/>
      <c r="T51" s="258">
        <f>SUM(T46:T50)</f>
        <v/>
      </c>
      <c r="U51" s="254" t="n"/>
      <c r="V51" s="254" t="n"/>
      <c r="W51" s="254" t="n"/>
      <c r="X51" s="254" t="n"/>
      <c r="Y51" s="254" t="n"/>
      <c r="Z51" s="254" t="n"/>
    </row>
    <row r="52" ht="16.5" customHeight="1" s="202">
      <c r="A52" s="245" t="n">
        <v>7</v>
      </c>
      <c r="B52" s="245" t="inlineStr">
        <is>
          <t>000030ZIK48020260923000848</t>
        </is>
      </c>
      <c r="C52" s="245" t="n">
        <v>608938</v>
      </c>
      <c r="D52" s="245" t="n">
        <v>608873</v>
      </c>
      <c r="E52" s="246" t="n">
        <v>46290</v>
      </c>
      <c r="F52" s="245" t="inlineStr">
        <is>
          <t>ID2609-8554</t>
        </is>
      </c>
      <c r="G52" s="246" t="n">
        <v>46288</v>
      </c>
      <c r="H52" s="247" t="n">
        <v>520</v>
      </c>
      <c r="I52" s="245" t="inlineStr">
        <is>
          <t>CMAU9706461</t>
        </is>
      </c>
      <c r="J52" s="245" t="inlineStr">
        <is>
          <t>40FT</t>
        </is>
      </c>
      <c r="K52" s="245" t="inlineStr">
        <is>
          <t>8IN GREEN TEA MF MATTRESS FL</t>
        </is>
      </c>
      <c r="L52" s="245" t="inlineStr">
        <is>
          <t>SCF-STR-800F</t>
        </is>
      </c>
      <c r="M52" s="248" t="inlineStr">
        <is>
          <t>0993630803</t>
        </is>
      </c>
      <c r="N52" s="245" t="inlineStr">
        <is>
          <t>F.MFM.08F.000.WS</t>
        </is>
      </c>
      <c r="O52" s="249" t="n">
        <v>10618.4</v>
      </c>
      <c r="P52" s="249" t="n">
        <v>9370.4</v>
      </c>
      <c r="Q52" s="250">
        <f>R52/H52</f>
        <v/>
      </c>
      <c r="R52" s="251" t="n">
        <v>41480.4</v>
      </c>
      <c r="S52" s="249" t="n">
        <v>17707</v>
      </c>
      <c r="T52" s="252">
        <f>S52*R52</f>
        <v/>
      </c>
      <c r="U52" s="245" t="inlineStr">
        <is>
          <t>040300/KPPBC</t>
        </is>
      </c>
      <c r="V52" s="245" t="inlineStr">
        <is>
          <t>TG. PRIOK</t>
        </is>
      </c>
      <c r="W52" s="245" t="inlineStr">
        <is>
          <t>SAVANNAH, US</t>
        </is>
      </c>
      <c r="X52" s="245" t="inlineStr">
        <is>
          <t>WALMART, INC.</t>
        </is>
      </c>
      <c r="Y52" s="245" t="inlineStr">
        <is>
          <t>CMDUDJA1541754</t>
        </is>
      </c>
      <c r="Z52" s="246" t="n">
        <v>46290</v>
      </c>
    </row>
    <row r="53" ht="16.5" customHeight="1" s="202">
      <c r="A53" s="245" t="n"/>
      <c r="B53" s="245" t="n"/>
      <c r="C53" s="245" t="n"/>
      <c r="D53" s="245" t="n"/>
      <c r="E53" s="245" t="n"/>
      <c r="F53" s="245" t="n"/>
      <c r="G53" s="245" t="n"/>
      <c r="H53" s="245" t="n"/>
      <c r="I53" s="245" t="n"/>
      <c r="J53" s="245" t="n"/>
      <c r="K53" s="245" t="n"/>
      <c r="L53" s="245" t="n"/>
      <c r="M53" s="245" t="n"/>
      <c r="N53" s="245" t="n"/>
      <c r="O53" s="245" t="n"/>
      <c r="P53" s="245" t="n"/>
      <c r="Q53" s="245" t="n"/>
      <c r="R53" s="245" t="n"/>
      <c r="S53" s="245" t="n"/>
      <c r="T53" s="245" t="n"/>
      <c r="U53" s="245" t="n"/>
      <c r="V53" s="245" t="n"/>
      <c r="W53" s="245" t="inlineStr">
        <is>
          <t>ETD : 29-09-2026</t>
        </is>
      </c>
      <c r="X53" s="245" t="n"/>
      <c r="Y53" s="245" t="n"/>
      <c r="Z53" s="245" t="n"/>
    </row>
    <row r="54" ht="17.1" customHeight="1" s="202">
      <c r="A54" s="254" t="n"/>
      <c r="B54" s="254" t="n"/>
      <c r="C54" s="254" t="n"/>
      <c r="D54" s="254" t="n"/>
      <c r="E54" s="254" t="n"/>
      <c r="F54" s="254" t="n"/>
      <c r="G54" s="254" t="n"/>
      <c r="H54" s="255">
        <f>SUM(H52:H53)</f>
        <v/>
      </c>
      <c r="I54" s="254">
        <f>COUNTA(I52:I53)</f>
        <v/>
      </c>
      <c r="J54" s="254" t="n"/>
      <c r="K54" s="254" t="n"/>
      <c r="L54" s="254" t="n"/>
      <c r="M54" s="254" t="n"/>
      <c r="N54" s="254" t="n"/>
      <c r="O54" s="256">
        <f>SUM(O52:O53)</f>
        <v/>
      </c>
      <c r="P54" s="256">
        <f>SUM(P52:P53)</f>
        <v/>
      </c>
      <c r="Q54" s="254" t="n"/>
      <c r="R54" s="257">
        <f>SUM(R52:R53)</f>
        <v/>
      </c>
      <c r="S54" s="254" t="n"/>
      <c r="T54" s="258">
        <f>SUM(T52:T53)</f>
        <v/>
      </c>
      <c r="U54" s="254" t="n"/>
      <c r="V54" s="254" t="n"/>
      <c r="W54" s="254" t="n"/>
      <c r="X54" s="254" t="n"/>
      <c r="Y54" s="254" t="n"/>
      <c r="Z54" s="254" t="n"/>
    </row>
    <row r="55" ht="16.5" customHeight="1" s="202">
      <c r="A55" s="245" t="n">
        <v>8</v>
      </c>
      <c r="B55" s="245" t="inlineStr">
        <is>
          <t>000030ZIK48020260924000849</t>
        </is>
      </c>
      <c r="C55" s="245" t="n">
        <v>610139</v>
      </c>
      <c r="D55" s="245" t="n">
        <v>610073</v>
      </c>
      <c r="E55" s="246" t="n">
        <v>46290</v>
      </c>
      <c r="F55" s="245" t="inlineStr">
        <is>
          <t>ID2609-9297</t>
        </is>
      </c>
      <c r="G55" s="246" t="n">
        <v>46289</v>
      </c>
      <c r="H55" s="247" t="n">
        <v>350</v>
      </c>
      <c r="I55" s="245" t="inlineStr">
        <is>
          <t>FSCU8344193</t>
        </is>
      </c>
      <c r="J55" s="245" t="inlineStr">
        <is>
          <t>40FT</t>
        </is>
      </c>
      <c r="K55" s="245" t="inlineStr">
        <is>
          <t>12IN MYGEL FOAM MATTRESS KING</t>
        </is>
      </c>
      <c r="L55" s="245" t="inlineStr">
        <is>
          <t>ZU-MFGN1YZI-12K</t>
        </is>
      </c>
      <c r="M55" s="248" t="inlineStr">
        <is>
          <t>8GHY1D8T</t>
        </is>
      </c>
      <c r="N55" s="245" t="inlineStr">
        <is>
          <t>F.MFG.12K.002.AD</t>
        </is>
      </c>
      <c r="O55" s="249" t="n">
        <v>77536.39999999999</v>
      </c>
      <c r="P55" s="249" t="n">
        <v>68149.69</v>
      </c>
      <c r="Q55" s="250">
        <f>R55/H55</f>
        <v/>
      </c>
      <c r="R55" s="251" t="n">
        <v>35623</v>
      </c>
      <c r="S55" s="249" t="n">
        <v>17707</v>
      </c>
      <c r="T55" s="252">
        <f>S55*R55</f>
        <v/>
      </c>
      <c r="U55" s="245" t="inlineStr">
        <is>
          <t>040300/KPPBC</t>
        </is>
      </c>
      <c r="V55" s="245" t="inlineStr">
        <is>
          <t>TG. PRIOK</t>
        </is>
      </c>
      <c r="W55" s="245" t="inlineStr">
        <is>
          <t>LONG BEACH, US</t>
        </is>
      </c>
      <c r="X55" s="245" t="inlineStr">
        <is>
          <t>AMAZON.COM SERVICES LLC</t>
        </is>
      </c>
      <c r="Y55" s="245" t="inlineStr">
        <is>
          <t>MEDUKU810470</t>
        </is>
      </c>
      <c r="Z55" s="246" t="n">
        <v>46290</v>
      </c>
    </row>
    <row r="56" ht="16.5" customHeight="1" s="202">
      <c r="A56" s="245" t="n"/>
      <c r="B56" s="245" t="n"/>
      <c r="C56" s="245" t="n"/>
      <c r="D56" s="245" t="n"/>
      <c r="E56" s="245" t="n"/>
      <c r="F56" s="245" t="n"/>
      <c r="G56" s="245" t="n"/>
      <c r="H56" s="247" t="n">
        <v>350</v>
      </c>
      <c r="I56" s="245" t="inlineStr">
        <is>
          <t>TCLU9880902</t>
        </is>
      </c>
      <c r="J56" s="245" t="inlineStr">
        <is>
          <t>40FT</t>
        </is>
      </c>
      <c r="K56" s="245" t="inlineStr">
        <is>
          <t>12IN MYGEL FOAM MATTRESS KING</t>
        </is>
      </c>
      <c r="L56" s="245" t="inlineStr">
        <is>
          <t>ZU-MFGN1YZI-12K</t>
        </is>
      </c>
      <c r="M56" s="248" t="inlineStr">
        <is>
          <t>8GHY1D8T</t>
        </is>
      </c>
      <c r="N56" s="245" t="inlineStr">
        <is>
          <t>F.MFG.12K.002.AD</t>
        </is>
      </c>
      <c r="O56" s="245" t="n"/>
      <c r="P56" s="245" t="n"/>
      <c r="Q56" s="250">
        <f>R56/H56</f>
        <v/>
      </c>
      <c r="R56" s="251" t="n">
        <v>35623</v>
      </c>
      <c r="S56" s="249" t="n">
        <v>17707</v>
      </c>
      <c r="T56" s="252">
        <f>S56*R56</f>
        <v/>
      </c>
      <c r="U56" s="245" t="n"/>
      <c r="V56" s="245" t="n"/>
      <c r="W56" s="245" t="inlineStr">
        <is>
          <t>ETD : 01-10-2026</t>
        </is>
      </c>
      <c r="X56" s="245" t="n"/>
      <c r="Y56" s="245" t="n"/>
      <c r="Z56" s="245" t="n"/>
    </row>
    <row r="57" ht="16.5" customHeight="1" s="202">
      <c r="A57" s="245" t="n"/>
      <c r="B57" s="245" t="n"/>
      <c r="C57" s="245" t="n"/>
      <c r="D57" s="245" t="n"/>
      <c r="E57" s="245" t="n"/>
      <c r="F57" s="245" t="n"/>
      <c r="G57" s="245" t="n"/>
      <c r="H57" s="247" t="n">
        <v>285</v>
      </c>
      <c r="I57" s="245" t="inlineStr">
        <is>
          <t>CAIU4573759</t>
        </is>
      </c>
      <c r="J57" s="245" t="inlineStr">
        <is>
          <t>40FT</t>
        </is>
      </c>
      <c r="K57" s="245" t="inlineStr">
        <is>
          <t>10IN GREEN TEA FOAM MATTRESS TWIN XL</t>
        </is>
      </c>
      <c r="L57" s="245" t="inlineStr">
        <is>
          <t>ZU-MFMA1ZZI-10X</t>
        </is>
      </c>
      <c r="M57" s="248" t="inlineStr">
        <is>
          <t>8GHY1D8T</t>
        </is>
      </c>
      <c r="N57" s="245" t="inlineStr">
        <is>
          <t>F.MFM.10X.007.AD</t>
        </is>
      </c>
      <c r="O57" s="245" t="n"/>
      <c r="P57" s="245" t="n"/>
      <c r="Q57" s="250">
        <f>R57/H57</f>
        <v/>
      </c>
      <c r="R57" s="251" t="n">
        <v>14349.75</v>
      </c>
      <c r="S57" s="249" t="n">
        <v>17707</v>
      </c>
      <c r="T57" s="252">
        <f>S57*R57</f>
        <v/>
      </c>
      <c r="U57" s="245" t="n"/>
      <c r="V57" s="245" t="n"/>
      <c r="W57" s="245" t="n"/>
      <c r="X57" s="245" t="n"/>
      <c r="Y57" s="245" t="n"/>
      <c r="Z57" s="245" t="n"/>
    </row>
    <row r="58" ht="16.5" customHeight="1" s="202">
      <c r="A58" s="245" t="n"/>
      <c r="B58" s="245" t="n"/>
      <c r="C58" s="245" t="n"/>
      <c r="D58" s="245" t="n"/>
      <c r="E58" s="245" t="n"/>
      <c r="F58" s="245" t="n"/>
      <c r="G58" s="245" t="n"/>
      <c r="H58" s="247" t="n">
        <v>585</v>
      </c>
      <c r="I58" s="245" t="inlineStr">
        <is>
          <t>TGCU5258872</t>
        </is>
      </c>
      <c r="J58" s="245" t="inlineStr">
        <is>
          <t>40FT</t>
        </is>
      </c>
      <c r="K58" s="245" t="inlineStr">
        <is>
          <t>5IN GREEN TEA FOAM MATTRESS TWIN</t>
        </is>
      </c>
      <c r="L58" s="245" t="inlineStr">
        <is>
          <t>ZU-MFMA1ZZI-05T</t>
        </is>
      </c>
      <c r="M58" s="248" t="inlineStr">
        <is>
          <t>8GHY1D8T</t>
        </is>
      </c>
      <c r="N58" s="245" t="inlineStr">
        <is>
          <t>F.MFM.05T.007.AD</t>
        </is>
      </c>
      <c r="O58" s="245" t="n"/>
      <c r="P58" s="245" t="n"/>
      <c r="Q58" s="250">
        <f>R58/H58</f>
        <v/>
      </c>
      <c r="R58" s="251" t="n">
        <v>13841.1</v>
      </c>
      <c r="S58" s="249" t="n">
        <v>17707</v>
      </c>
      <c r="T58" s="252">
        <f>S58*R58</f>
        <v/>
      </c>
      <c r="U58" s="245" t="n"/>
      <c r="V58" s="245" t="n"/>
      <c r="W58" s="245" t="n"/>
      <c r="X58" s="245" t="n"/>
      <c r="Y58" s="245" t="n"/>
      <c r="Z58" s="245" t="n"/>
    </row>
    <row r="59" ht="16.5" customHeight="1" s="202">
      <c r="A59" s="245" t="n"/>
      <c r="B59" s="245" t="n"/>
      <c r="C59" s="245" t="n"/>
      <c r="D59" s="245" t="n"/>
      <c r="E59" s="245" t="n"/>
      <c r="F59" s="245" t="n"/>
      <c r="G59" s="245" t="n"/>
      <c r="H59" s="247" t="n">
        <v>13</v>
      </c>
      <c r="I59" s="245" t="inlineStr">
        <is>
          <t>MSNU5785982</t>
        </is>
      </c>
      <c r="J59" s="245" t="inlineStr">
        <is>
          <t>40FT</t>
        </is>
      </c>
      <c r="K59" s="245" t="inlineStr">
        <is>
          <t>12IN GREEN TEA FOAM MATTRESS TWIN</t>
        </is>
      </c>
      <c r="L59" s="245" t="inlineStr">
        <is>
          <t>ZU-MFMA1ZZI-12T</t>
        </is>
      </c>
      <c r="M59" s="248" t="inlineStr">
        <is>
          <t>8GHY1D8T</t>
        </is>
      </c>
      <c r="N59" s="245" t="inlineStr">
        <is>
          <t>F.MFM.12T.006.AD</t>
        </is>
      </c>
      <c r="O59" s="245" t="n"/>
      <c r="P59" s="245" t="n"/>
      <c r="Q59" s="250">
        <f>R59/H59</f>
        <v/>
      </c>
      <c r="R59" s="251" t="n">
        <v>821.6</v>
      </c>
      <c r="S59" s="249" t="n">
        <v>17707</v>
      </c>
      <c r="T59" s="252">
        <f>S59*R59</f>
        <v/>
      </c>
      <c r="U59" s="245" t="n"/>
      <c r="V59" s="245" t="n"/>
      <c r="W59" s="245" t="n"/>
      <c r="X59" s="245" t="n"/>
      <c r="Y59" s="245" t="n"/>
      <c r="Z59" s="245" t="n"/>
    </row>
    <row r="60" ht="16.5" customHeight="1" s="202">
      <c r="A60" s="245" t="n"/>
      <c r="B60" s="245" t="n"/>
      <c r="C60" s="245" t="n"/>
      <c r="D60" s="245" t="n"/>
      <c r="E60" s="245" t="n"/>
      <c r="F60" s="245" t="n"/>
      <c r="G60" s="245" t="n"/>
      <c r="H60" s="247" t="n">
        <v>146</v>
      </c>
      <c r="I60" s="245" t="inlineStr">
        <is>
          <t>MSNU7931807</t>
        </is>
      </c>
      <c r="J60" s="245" t="inlineStr">
        <is>
          <t>40FT</t>
        </is>
      </c>
      <c r="K60" s="245" t="inlineStr">
        <is>
          <t>10IN GREEN TEA ESSENTIAL TWIN MATTRESS</t>
        </is>
      </c>
      <c r="L60" s="245" t="inlineStr">
        <is>
          <t>ZU-MFMA1RZI-10T</t>
        </is>
      </c>
      <c r="M60" s="248" t="inlineStr">
        <is>
          <t>8GHY1D8T</t>
        </is>
      </c>
      <c r="N60" s="245" t="inlineStr">
        <is>
          <t>F.MFM.10T.014.AD</t>
        </is>
      </c>
      <c r="O60" s="245" t="n"/>
      <c r="P60" s="245" t="n"/>
      <c r="Q60" s="250">
        <f>R60/H60</f>
        <v/>
      </c>
      <c r="R60" s="251" t="n">
        <v>5683.78</v>
      </c>
      <c r="S60" s="249" t="n">
        <v>17707</v>
      </c>
      <c r="T60" s="252">
        <f>S60*R60</f>
        <v/>
      </c>
      <c r="U60" s="245" t="n"/>
      <c r="V60" s="245" t="n"/>
      <c r="W60" s="245" t="n"/>
      <c r="X60" s="245" t="n"/>
      <c r="Y60" s="245" t="n"/>
      <c r="Z60" s="245" t="n"/>
    </row>
    <row r="61" ht="16.5" customHeight="1" s="202">
      <c r="A61" s="245" t="n"/>
      <c r="B61" s="245" t="n"/>
      <c r="C61" s="245" t="n"/>
      <c r="D61" s="245" t="n"/>
      <c r="E61" s="245" t="n"/>
      <c r="F61" s="245" t="n"/>
      <c r="G61" s="245" t="n"/>
      <c r="H61" s="247" t="n">
        <v>101</v>
      </c>
      <c r="I61" s="245" t="inlineStr"/>
      <c r="J61" s="245" t="inlineStr"/>
      <c r="K61" s="245" t="inlineStr">
        <is>
          <t>5IN COOLING ESSENTIAL TWIN MATTRESS</t>
        </is>
      </c>
      <c r="L61" s="245" t="inlineStr">
        <is>
          <t>ZU-MFMA1OZI-05T</t>
        </is>
      </c>
      <c r="M61" s="248" t="inlineStr">
        <is>
          <t>8GHY1D8T</t>
        </is>
      </c>
      <c r="N61" s="245" t="inlineStr">
        <is>
          <t>F.MFM.05T.008.AD</t>
        </is>
      </c>
      <c r="O61" s="245" t="n"/>
      <c r="P61" s="245" t="n"/>
      <c r="Q61" s="250">
        <f>R61/H61</f>
        <v/>
      </c>
      <c r="R61" s="251" t="n">
        <v>2418.95</v>
      </c>
      <c r="S61" s="249" t="n">
        <v>17707</v>
      </c>
      <c r="T61" s="252">
        <f>S61*R61</f>
        <v/>
      </c>
      <c r="U61" s="245" t="n"/>
      <c r="V61" s="245" t="n"/>
      <c r="W61" s="245" t="n"/>
      <c r="X61" s="245" t="n"/>
      <c r="Y61" s="245" t="n"/>
      <c r="Z61" s="245" t="n"/>
    </row>
    <row r="62" ht="16.5" customHeight="1" s="202">
      <c r="A62" s="245" t="n"/>
      <c r="B62" s="245" t="n"/>
      <c r="C62" s="245" t="n"/>
      <c r="D62" s="245" t="n"/>
      <c r="E62" s="245" t="n"/>
      <c r="F62" s="245" t="n"/>
      <c r="G62" s="245" t="n"/>
      <c r="H62" s="247" t="n">
        <v>515</v>
      </c>
      <c r="I62" s="245" t="inlineStr"/>
      <c r="J62" s="245" t="inlineStr"/>
      <c r="K62" s="245" t="inlineStr">
        <is>
          <t>6IN GREEN TEA FOAM MATTRESS QUEEN</t>
        </is>
      </c>
      <c r="L62" s="245" t="inlineStr">
        <is>
          <t>ZU-MFMA1ZZI-06Q</t>
        </is>
      </c>
      <c r="M62" s="248" t="inlineStr">
        <is>
          <t>8GHY1D8T</t>
        </is>
      </c>
      <c r="N62" s="245" t="inlineStr">
        <is>
          <t>F.MFM.06Q.007.AD</t>
        </is>
      </c>
      <c r="O62" s="245" t="n"/>
      <c r="P62" s="245" t="n"/>
      <c r="Q62" s="250">
        <f>R62/H62</f>
        <v/>
      </c>
      <c r="R62" s="251" t="n">
        <v>23437.65</v>
      </c>
      <c r="S62" s="249" t="n">
        <v>17707</v>
      </c>
      <c r="T62" s="252">
        <f>S62*R62</f>
        <v/>
      </c>
      <c r="U62" s="245" t="n"/>
      <c r="V62" s="245" t="n"/>
      <c r="W62" s="245" t="n"/>
      <c r="X62" s="245" t="n"/>
      <c r="Y62" s="245" t="n"/>
      <c r="Z62" s="245" t="n"/>
    </row>
    <row r="63" ht="16.5" customHeight="1" s="202">
      <c r="A63" s="245" t="n"/>
      <c r="B63" s="245" t="n"/>
      <c r="C63" s="245" t="n"/>
      <c r="D63" s="245" t="n"/>
      <c r="E63" s="245" t="n"/>
      <c r="F63" s="245" t="n"/>
      <c r="G63" s="245" t="n"/>
      <c r="H63" s="247" t="n">
        <v>360</v>
      </c>
      <c r="I63" s="245" t="inlineStr"/>
      <c r="J63" s="245" t="inlineStr"/>
      <c r="K63" s="245" t="inlineStr">
        <is>
          <t>10IN GREEN TEA FOAM MATTRESS TWIN</t>
        </is>
      </c>
      <c r="L63" s="245" t="inlineStr">
        <is>
          <t>ZU-MFMA1ZZI-10T</t>
        </is>
      </c>
      <c r="M63" s="248" t="inlineStr">
        <is>
          <t>8GHY1D8T</t>
        </is>
      </c>
      <c r="N63" s="245" t="inlineStr">
        <is>
          <t>F.MFM.10T.007.AD</t>
        </is>
      </c>
      <c r="O63" s="245" t="n"/>
      <c r="P63" s="245" t="n"/>
      <c r="Q63" s="250">
        <f>R63/H63</f>
        <v/>
      </c>
      <c r="R63" s="251" t="n">
        <v>19886.4</v>
      </c>
      <c r="S63" s="249" t="n">
        <v>17707</v>
      </c>
      <c r="T63" s="252">
        <f>S63*R63</f>
        <v/>
      </c>
      <c r="U63" s="245" t="n"/>
      <c r="V63" s="245" t="n"/>
      <c r="W63" s="245" t="n"/>
      <c r="X63" s="245" t="n"/>
      <c r="Y63" s="245" t="n"/>
      <c r="Z63" s="245" t="n"/>
    </row>
    <row r="64" ht="16.5" customHeight="1" s="202">
      <c r="A64" s="245" t="n"/>
      <c r="B64" s="245" t="n"/>
      <c r="C64" s="245" t="n"/>
      <c r="D64" s="245" t="n"/>
      <c r="E64" s="245" t="n"/>
      <c r="F64" s="245" t="n"/>
      <c r="G64" s="245" t="n"/>
      <c r="H64" s="247" t="n">
        <v>295</v>
      </c>
      <c r="I64" s="245" t="inlineStr"/>
      <c r="J64" s="245" t="inlineStr"/>
      <c r="K64" s="245" t="inlineStr">
        <is>
          <t>10IN GREEN TEA FOAM MATTRESS FULL</t>
        </is>
      </c>
      <c r="L64" s="245" t="inlineStr">
        <is>
          <t>ZU-MFMA1ZZI-10F</t>
        </is>
      </c>
      <c r="M64" s="248" t="inlineStr">
        <is>
          <t>8GHY1D8T</t>
        </is>
      </c>
      <c r="N64" s="245" t="inlineStr">
        <is>
          <t>F.MFM.10F.007.AD</t>
        </is>
      </c>
      <c r="O64" s="245" t="n"/>
      <c r="P64" s="245" t="n"/>
      <c r="Q64" s="250">
        <f>R64/H64</f>
        <v/>
      </c>
      <c r="R64" s="251" t="n">
        <v>18307.7</v>
      </c>
      <c r="S64" s="249" t="n">
        <v>17707</v>
      </c>
      <c r="T64" s="252">
        <f>S64*R64</f>
        <v/>
      </c>
      <c r="U64" s="245" t="n"/>
      <c r="V64" s="245" t="n"/>
      <c r="W64" s="245" t="n"/>
      <c r="X64" s="245" t="n"/>
      <c r="Y64" s="245" t="n"/>
      <c r="Z64" s="245" t="n"/>
    </row>
    <row r="65" ht="16.5" customHeight="1" s="202">
      <c r="A65" s="245" t="n"/>
      <c r="B65" s="245" t="n"/>
      <c r="C65" s="245" t="n"/>
      <c r="D65" s="245" t="n"/>
      <c r="E65" s="245" t="n"/>
      <c r="F65" s="245" t="n"/>
      <c r="G65" s="245" t="n"/>
      <c r="H65" s="247" t="n">
        <v>44</v>
      </c>
      <c r="I65" s="245" t="inlineStr"/>
      <c r="J65" s="245" t="inlineStr"/>
      <c r="K65" s="245" t="inlineStr">
        <is>
          <t>12IN MYGEL FOAM MATTRESS KING</t>
        </is>
      </c>
      <c r="L65" s="245" t="inlineStr">
        <is>
          <t>ZU-MFGN1YZI-12K</t>
        </is>
      </c>
      <c r="M65" s="248" t="inlineStr">
        <is>
          <t>8GHY1D8T</t>
        </is>
      </c>
      <c r="N65" s="245" t="inlineStr">
        <is>
          <t>F.MFG.12K.002.AD</t>
        </is>
      </c>
      <c r="O65" s="245" t="n"/>
      <c r="P65" s="245" t="n"/>
      <c r="Q65" s="250">
        <f>R65/H65</f>
        <v/>
      </c>
      <c r="R65" s="251" t="n">
        <v>4478.32</v>
      </c>
      <c r="S65" s="249" t="n">
        <v>17707</v>
      </c>
      <c r="T65" s="252">
        <f>S65*R65</f>
        <v/>
      </c>
      <c r="U65" s="245" t="n"/>
      <c r="V65" s="245" t="n"/>
      <c r="W65" s="245" t="n"/>
      <c r="X65" s="245" t="n"/>
      <c r="Y65" s="245" t="n"/>
      <c r="Z65" s="245" t="n"/>
    </row>
    <row r="66" ht="16.5" customHeight="1" s="202">
      <c r="A66" s="245" t="n"/>
      <c r="B66" s="245" t="n"/>
      <c r="C66" s="245" t="n"/>
      <c r="D66" s="245" t="n"/>
      <c r="E66" s="245" t="n"/>
      <c r="F66" s="245" t="n"/>
      <c r="G66" s="245" t="n"/>
      <c r="H66" s="247" t="n">
        <v>82</v>
      </c>
      <c r="I66" s="245" t="inlineStr"/>
      <c r="J66" s="245" t="inlineStr"/>
      <c r="K66" s="245" t="inlineStr">
        <is>
          <t>10IN GREEN TEA FOAM MATTRESS TWIN</t>
        </is>
      </c>
      <c r="L66" s="245" t="inlineStr">
        <is>
          <t>ZU-MFMA1ZZI-10T</t>
        </is>
      </c>
      <c r="M66" s="248" t="inlineStr">
        <is>
          <t>8GHY1D8T</t>
        </is>
      </c>
      <c r="N66" s="245" t="inlineStr">
        <is>
          <t>F.MFM.10T.007.AD</t>
        </is>
      </c>
      <c r="O66" s="245" t="n"/>
      <c r="P66" s="245" t="n"/>
      <c r="Q66" s="250">
        <f>R66/H66</f>
        <v/>
      </c>
      <c r="R66" s="251" t="n">
        <v>4529.68</v>
      </c>
      <c r="S66" s="249" t="n">
        <v>17707</v>
      </c>
      <c r="T66" s="252">
        <f>S66*R66</f>
        <v/>
      </c>
      <c r="U66" s="245" t="n"/>
      <c r="V66" s="245" t="n"/>
      <c r="W66" s="245" t="n"/>
      <c r="X66" s="245" t="n"/>
      <c r="Y66" s="245" t="n"/>
      <c r="Z66" s="245" t="n"/>
    </row>
    <row r="67" ht="16.5" customHeight="1" s="202">
      <c r="A67" s="245" t="n"/>
      <c r="B67" s="245" t="n"/>
      <c r="C67" s="245" t="n"/>
      <c r="D67" s="245" t="n"/>
      <c r="E67" s="245" t="n"/>
      <c r="F67" s="245" t="n"/>
      <c r="G67" s="245" t="n"/>
      <c r="H67" s="247" t="n">
        <v>361</v>
      </c>
      <c r="I67" s="245" t="inlineStr"/>
      <c r="J67" s="245" t="inlineStr"/>
      <c r="K67" s="245" t="inlineStr">
        <is>
          <t>10IN MYGEL FOAM MATTRESS FULL</t>
        </is>
      </c>
      <c r="L67" s="245" t="inlineStr">
        <is>
          <t>ZU-MFGN1YZI-10F</t>
        </is>
      </c>
      <c r="M67" s="248" t="inlineStr">
        <is>
          <t>8GHY1D8T</t>
        </is>
      </c>
      <c r="N67" s="245" t="inlineStr">
        <is>
          <t>F.MFG.10F.002.AD</t>
        </is>
      </c>
      <c r="O67" s="245" t="n"/>
      <c r="P67" s="245" t="n"/>
      <c r="Q67" s="250">
        <f>R67/H67</f>
        <v/>
      </c>
      <c r="R67" s="251" t="n">
        <v>21201.53</v>
      </c>
      <c r="S67" s="249" t="n">
        <v>17707</v>
      </c>
      <c r="T67" s="252">
        <f>S67*R67</f>
        <v/>
      </c>
      <c r="U67" s="245" t="n"/>
      <c r="V67" s="245" t="n"/>
      <c r="W67" s="245" t="n"/>
      <c r="X67" s="245" t="n"/>
      <c r="Y67" s="245" t="n"/>
      <c r="Z67" s="245" t="n"/>
    </row>
    <row r="68" ht="16.5" customHeight="1" s="202">
      <c r="A68" s="245" t="n"/>
      <c r="B68" s="245" t="n"/>
      <c r="C68" s="245" t="n"/>
      <c r="D68" s="245" t="n"/>
      <c r="E68" s="245" t="n"/>
      <c r="F68" s="245" t="n"/>
      <c r="G68" s="245" t="n"/>
      <c r="H68" s="247" t="n">
        <v>87</v>
      </c>
      <c r="I68" s="245" t="inlineStr"/>
      <c r="J68" s="245" t="inlineStr"/>
      <c r="K68" s="245" t="inlineStr">
        <is>
          <t>8IN GREEN TEA FOAM MATTRESS TWIN</t>
        </is>
      </c>
      <c r="L68" s="245" t="inlineStr">
        <is>
          <t>ZU-MFMA1ZZI-08T</t>
        </is>
      </c>
      <c r="M68" s="248" t="inlineStr">
        <is>
          <t>8GHY1D8T</t>
        </is>
      </c>
      <c r="N68" s="245" t="inlineStr">
        <is>
          <t>F.MFM.08T.008.AD</t>
        </is>
      </c>
      <c r="O68" s="245" t="n"/>
      <c r="P68" s="245" t="n"/>
      <c r="Q68" s="250">
        <f>R68/H68</f>
        <v/>
      </c>
      <c r="R68" s="251" t="n">
        <v>3125.91</v>
      </c>
      <c r="S68" s="249" t="n">
        <v>17707</v>
      </c>
      <c r="T68" s="252">
        <f>S68*R68</f>
        <v/>
      </c>
      <c r="U68" s="245" t="n"/>
      <c r="V68" s="245" t="n"/>
      <c r="W68" s="245" t="n"/>
      <c r="X68" s="245" t="n"/>
      <c r="Y68" s="245" t="n"/>
      <c r="Z68" s="245" t="n"/>
    </row>
    <row r="69" ht="17.1" customHeight="1" s="202">
      <c r="A69" s="254" t="n"/>
      <c r="B69" s="254" t="n"/>
      <c r="C69" s="254" t="n"/>
      <c r="D69" s="254" t="n"/>
      <c r="E69" s="254" t="n"/>
      <c r="F69" s="254" t="n"/>
      <c r="G69" s="254" t="n"/>
      <c r="H69" s="255">
        <f>SUM(H55:H68)</f>
        <v/>
      </c>
      <c r="I69" s="254">
        <f>COUNTA(I55:I68)</f>
        <v/>
      </c>
      <c r="J69" s="254" t="n"/>
      <c r="K69" s="254" t="n"/>
      <c r="L69" s="254" t="n"/>
      <c r="M69" s="254" t="n"/>
      <c r="N69" s="254" t="n"/>
      <c r="O69" s="256">
        <f>SUM(O55:O68)</f>
        <v/>
      </c>
      <c r="P69" s="256">
        <f>SUM(P55:P68)</f>
        <v/>
      </c>
      <c r="Q69" s="254" t="n"/>
      <c r="R69" s="257">
        <f>SUM(R55:R68)</f>
        <v/>
      </c>
      <c r="S69" s="254" t="n"/>
      <c r="T69" s="258">
        <f>SUM(T55:T68)</f>
        <v/>
      </c>
      <c r="U69" s="254" t="n"/>
      <c r="V69" s="254" t="n"/>
      <c r="W69" s="254" t="n"/>
      <c r="X69" s="254" t="n"/>
      <c r="Y69" s="254" t="n"/>
      <c r="Z69" s="254" t="n"/>
    </row>
    <row r="70" ht="16.5" customHeight="1" s="202">
      <c r="A70" s="245" t="n">
        <v>9</v>
      </c>
      <c r="B70" s="245" t="inlineStr">
        <is>
          <t>000030ZIK48020260925000850</t>
        </is>
      </c>
      <c r="C70" s="245" t="n">
        <v>613603</v>
      </c>
      <c r="D70" s="245" t="n">
        <v>613543</v>
      </c>
      <c r="E70" s="246" t="n">
        <v>46293</v>
      </c>
      <c r="F70" s="245" t="inlineStr">
        <is>
          <t>ID2609-8590</t>
        </is>
      </c>
      <c r="G70" s="246" t="n">
        <v>46290</v>
      </c>
      <c r="H70" s="247" t="n">
        <v>1350</v>
      </c>
      <c r="I70" s="245" t="inlineStr">
        <is>
          <t>CMAU7512410</t>
        </is>
      </c>
      <c r="J70" s="245" t="inlineStr">
        <is>
          <t>40FT</t>
        </is>
      </c>
      <c r="K70" s="245" t="inlineStr">
        <is>
          <t>8IN GREEN TEA MF MATTRESS QN</t>
        </is>
      </c>
      <c r="L70" s="245" t="inlineStr">
        <is>
          <t>SCF-STR-800Q</t>
        </is>
      </c>
      <c r="M70" s="248" t="inlineStr">
        <is>
          <t>0993630595</t>
        </is>
      </c>
      <c r="N70" s="245" t="inlineStr">
        <is>
          <t>F.MFM.08Q.000.WS</t>
        </is>
      </c>
      <c r="O70" s="249" t="n">
        <v>32265</v>
      </c>
      <c r="P70" s="249" t="n">
        <v>28782</v>
      </c>
      <c r="Q70" s="250">
        <f>R70/H70</f>
        <v/>
      </c>
      <c r="R70" s="251" t="n">
        <v>126859.5</v>
      </c>
      <c r="S70" s="249" t="n">
        <v>17707</v>
      </c>
      <c r="T70" s="252">
        <f>S70*R70</f>
        <v/>
      </c>
      <c r="U70" s="245" t="inlineStr">
        <is>
          <t>040300/KPPBC</t>
        </is>
      </c>
      <c r="V70" s="245" t="inlineStr">
        <is>
          <t>TG. PRIOK</t>
        </is>
      </c>
      <c r="W70" s="245" t="inlineStr">
        <is>
          <t>CHARLESTON, US</t>
        </is>
      </c>
      <c r="X70" s="245" t="inlineStr">
        <is>
          <t>WALMART, INC.</t>
        </is>
      </c>
      <c r="Y70" s="245" t="inlineStr">
        <is>
          <t>CMDUDJA1538987</t>
        </is>
      </c>
      <c r="Z70" s="246" t="n">
        <v>46293</v>
      </c>
    </row>
    <row r="71" ht="16.5" customHeight="1" s="202">
      <c r="A71" s="245" t="n"/>
      <c r="B71" s="245" t="n"/>
      <c r="C71" s="245" t="n"/>
      <c r="D71" s="245" t="n"/>
      <c r="E71" s="245" t="n"/>
      <c r="F71" s="245" t="n"/>
      <c r="G71" s="245" t="n"/>
      <c r="H71" s="245" t="n"/>
      <c r="I71" s="245" t="inlineStr">
        <is>
          <t>CMAU9872354</t>
        </is>
      </c>
      <c r="J71" s="245" t="inlineStr">
        <is>
          <t>40FT</t>
        </is>
      </c>
      <c r="K71" s="245" t="n"/>
      <c r="L71" s="245" t="n"/>
      <c r="M71" s="245" t="n"/>
      <c r="N71" s="245" t="n"/>
      <c r="O71" s="245" t="n"/>
      <c r="P71" s="245" t="n"/>
      <c r="Q71" s="245" t="n"/>
      <c r="R71" s="245" t="n"/>
      <c r="S71" s="245" t="n"/>
      <c r="T71" s="245" t="n"/>
      <c r="U71" s="245" t="n"/>
      <c r="V71" s="245" t="n"/>
      <c r="W71" s="245" t="inlineStr">
        <is>
          <t>ETD : 02-10-2026</t>
        </is>
      </c>
      <c r="X71" s="245" t="n"/>
      <c r="Y71" s="245" t="n"/>
      <c r="Z71" s="245" t="n"/>
    </row>
    <row r="72" ht="16.5" customHeight="1" s="202">
      <c r="A72" s="245" t="n"/>
      <c r="B72" s="245" t="n"/>
      <c r="C72" s="245" t="n"/>
      <c r="D72" s="245" t="n"/>
      <c r="E72" s="245" t="n"/>
      <c r="F72" s="245" t="n"/>
      <c r="G72" s="245" t="n"/>
      <c r="H72" s="245" t="n"/>
      <c r="I72" s="245" t="inlineStr">
        <is>
          <t>TXGU6676789</t>
        </is>
      </c>
      <c r="J72" s="245" t="inlineStr">
        <is>
          <t>40FT</t>
        </is>
      </c>
      <c r="K72" s="245" t="n"/>
      <c r="L72" s="245" t="n"/>
      <c r="M72" s="245" t="n"/>
      <c r="N72" s="245" t="n"/>
      <c r="O72" s="245" t="n"/>
      <c r="P72" s="245" t="n"/>
      <c r="Q72" s="245" t="n"/>
      <c r="R72" s="245" t="n"/>
      <c r="S72" s="245" t="n"/>
      <c r="T72" s="245" t="n"/>
      <c r="U72" s="245" t="n"/>
      <c r="V72" s="245" t="n"/>
      <c r="W72" s="245" t="n"/>
      <c r="X72" s="245" t="n"/>
      <c r="Y72" s="245" t="n"/>
      <c r="Z72" s="245" t="n"/>
    </row>
    <row r="73" ht="17.1" customHeight="1" s="202">
      <c r="A73" s="254" t="n"/>
      <c r="B73" s="254" t="n"/>
      <c r="C73" s="254" t="n"/>
      <c r="D73" s="254" t="n"/>
      <c r="E73" s="254" t="n"/>
      <c r="F73" s="254" t="n"/>
      <c r="G73" s="254" t="n"/>
      <c r="H73" s="255">
        <f>SUM(H70:H72)</f>
        <v/>
      </c>
      <c r="I73" s="254">
        <f>COUNTA(I70:I72)</f>
        <v/>
      </c>
      <c r="J73" s="254" t="n"/>
      <c r="K73" s="254" t="n"/>
      <c r="L73" s="254" t="n"/>
      <c r="M73" s="254" t="n"/>
      <c r="N73" s="254" t="n"/>
      <c r="O73" s="256">
        <f>SUM(O70:O72)</f>
        <v/>
      </c>
      <c r="P73" s="256">
        <f>SUM(P70:P72)</f>
        <v/>
      </c>
      <c r="Q73" s="254" t="n"/>
      <c r="R73" s="257">
        <f>SUM(R70:R72)</f>
        <v/>
      </c>
      <c r="S73" s="254" t="n"/>
      <c r="T73" s="258">
        <f>SUM(T70:T72)</f>
        <v/>
      </c>
      <c r="U73" s="254" t="n"/>
      <c r="V73" s="254" t="n"/>
      <c r="W73" s="254" t="n"/>
      <c r="X73" s="254" t="n"/>
      <c r="Y73" s="254" t="n"/>
      <c r="Z73" s="254" t="n"/>
    </row>
    <row r="74" ht="16.5" customHeight="1" s="202">
      <c r="A74" s="245" t="n">
        <v>10</v>
      </c>
      <c r="B74" s="245" t="inlineStr">
        <is>
          <t>000030ZIK48020260925000851</t>
        </is>
      </c>
      <c r="C74" s="245" t="n">
        <v>613616</v>
      </c>
      <c r="D74" s="245" t="n">
        <v>613556</v>
      </c>
      <c r="E74" s="246" t="n">
        <v>46293</v>
      </c>
      <c r="F74" s="245" t="inlineStr">
        <is>
          <t>ID2609-8591</t>
        </is>
      </c>
      <c r="G74" s="246" t="n">
        <v>46290</v>
      </c>
      <c r="H74" s="247" t="n">
        <v>900</v>
      </c>
      <c r="I74" s="245" t="inlineStr">
        <is>
          <t>TXGU4416273</t>
        </is>
      </c>
      <c r="J74" s="245" t="inlineStr">
        <is>
          <t>40FT</t>
        </is>
      </c>
      <c r="K74" s="245" t="inlineStr">
        <is>
          <t>8IN GREEN TEA MF MATTRESS QN</t>
        </is>
      </c>
      <c r="L74" s="245" t="inlineStr">
        <is>
          <t>SCF-STR-800Q</t>
        </is>
      </c>
      <c r="M74" s="248" t="inlineStr">
        <is>
          <t>0993630569</t>
        </is>
      </c>
      <c r="N74" s="245" t="inlineStr">
        <is>
          <t>F.MFM.08Q.000.WS</t>
        </is>
      </c>
      <c r="O74" s="249" t="n">
        <v>21510</v>
      </c>
      <c r="P74" s="249" t="n">
        <v>19188</v>
      </c>
      <c r="Q74" s="250">
        <f>R74/H74</f>
        <v/>
      </c>
      <c r="R74" s="251" t="n">
        <v>84573</v>
      </c>
      <c r="S74" s="249" t="n">
        <v>17707</v>
      </c>
      <c r="T74" s="252">
        <f>S74*R74</f>
        <v/>
      </c>
      <c r="U74" s="245" t="inlineStr">
        <is>
          <t>040300/KPPBC</t>
        </is>
      </c>
      <c r="V74" s="245" t="inlineStr">
        <is>
          <t>TG. PRIOK</t>
        </is>
      </c>
      <c r="W74" s="245" t="inlineStr">
        <is>
          <t>SAVANNAH, US</t>
        </is>
      </c>
      <c r="X74" s="245" t="inlineStr">
        <is>
          <t>WALMART, INC.</t>
        </is>
      </c>
      <c r="Y74" s="245" t="inlineStr">
        <is>
          <t>CMDUDJA1542733</t>
        </is>
      </c>
      <c r="Z74" s="246" t="n">
        <v>46293</v>
      </c>
    </row>
    <row r="75" ht="16.5" customHeight="1" s="202">
      <c r="A75" s="245" t="n"/>
      <c r="B75" s="245" t="n"/>
      <c r="C75" s="245" t="n"/>
      <c r="D75" s="245" t="n"/>
      <c r="E75" s="245" t="n"/>
      <c r="F75" s="245" t="n"/>
      <c r="G75" s="245" t="n"/>
      <c r="H75" s="245" t="n"/>
      <c r="I75" s="245" t="inlineStr">
        <is>
          <t>CMAU6896115</t>
        </is>
      </c>
      <c r="J75" s="245" t="inlineStr">
        <is>
          <t>40FT</t>
        </is>
      </c>
      <c r="K75" s="245" t="n"/>
      <c r="L75" s="245" t="n"/>
      <c r="M75" s="245" t="n"/>
      <c r="N75" s="245" t="n"/>
      <c r="O75" s="245" t="n"/>
      <c r="P75" s="245" t="n"/>
      <c r="Q75" s="245" t="n"/>
      <c r="R75" s="245" t="n"/>
      <c r="S75" s="245" t="n"/>
      <c r="T75" s="245" t="n"/>
      <c r="U75" s="245" t="n"/>
      <c r="V75" s="245" t="n"/>
      <c r="W75" s="245" t="inlineStr">
        <is>
          <t>ETD : 02-10-2026</t>
        </is>
      </c>
      <c r="X75" s="245" t="n"/>
      <c r="Y75" s="245" t="n"/>
      <c r="Z75" s="245" t="n"/>
    </row>
    <row r="76" ht="17.1" customHeight="1" s="202">
      <c r="A76" s="254" t="n"/>
      <c r="B76" s="254" t="n"/>
      <c r="C76" s="254" t="n"/>
      <c r="D76" s="254" t="n"/>
      <c r="E76" s="254" t="n"/>
      <c r="F76" s="254" t="n"/>
      <c r="G76" s="254" t="n"/>
      <c r="H76" s="255">
        <f>SUM(H74:H75)</f>
        <v/>
      </c>
      <c r="I76" s="254">
        <f>COUNTA(I74:I75)</f>
        <v/>
      </c>
      <c r="J76" s="254" t="n"/>
      <c r="K76" s="254" t="n"/>
      <c r="L76" s="254" t="n"/>
      <c r="M76" s="254" t="n"/>
      <c r="N76" s="254" t="n"/>
      <c r="O76" s="256">
        <f>SUM(O74:O75)</f>
        <v/>
      </c>
      <c r="P76" s="256">
        <f>SUM(P74:P75)</f>
        <v/>
      </c>
      <c r="Q76" s="254" t="n"/>
      <c r="R76" s="257">
        <f>SUM(R74:R75)</f>
        <v/>
      </c>
      <c r="S76" s="254" t="n"/>
      <c r="T76" s="258">
        <f>SUM(T74:T75)</f>
        <v/>
      </c>
      <c r="U76" s="254" t="n"/>
      <c r="V76" s="254" t="n"/>
      <c r="W76" s="254" t="n"/>
      <c r="X76" s="254" t="n"/>
      <c r="Y76" s="254" t="n"/>
      <c r="Z76" s="254" t="n"/>
    </row>
    <row r="77" ht="16.5" customHeight="1" s="202">
      <c r="A77" s="245" t="n">
        <v>11</v>
      </c>
      <c r="B77" s="245" t="inlineStr">
        <is>
          <t>000030ZIK48020260925000852</t>
        </is>
      </c>
      <c r="C77" s="245" t="n">
        <v>613906</v>
      </c>
      <c r="D77" s="245" t="n">
        <v>613846</v>
      </c>
      <c r="E77" s="246" t="n">
        <v>46293</v>
      </c>
      <c r="F77" s="245" t="inlineStr">
        <is>
          <t>ID2609-8592</t>
        </is>
      </c>
      <c r="G77" s="246" t="n">
        <v>46290</v>
      </c>
      <c r="H77" s="247" t="n">
        <v>1350</v>
      </c>
      <c r="I77" s="245" t="inlineStr">
        <is>
          <t>ECMU7486550</t>
        </is>
      </c>
      <c r="J77" s="245" t="inlineStr">
        <is>
          <t>40FT</t>
        </is>
      </c>
      <c r="K77" s="245" t="inlineStr">
        <is>
          <t>8IN GREEN TEA MF MATTRESS QN</t>
        </is>
      </c>
      <c r="L77" s="245" t="inlineStr">
        <is>
          <t>SCF-STR-800Q</t>
        </is>
      </c>
      <c r="M77" s="248" t="inlineStr">
        <is>
          <t>0993630560</t>
        </is>
      </c>
      <c r="N77" s="245" t="inlineStr">
        <is>
          <t>F.MFM.08Q.000.WS</t>
        </is>
      </c>
      <c r="O77" s="249" t="n">
        <v>32265</v>
      </c>
      <c r="P77" s="249" t="n">
        <v>28782</v>
      </c>
      <c r="Q77" s="250">
        <f>R77/H77</f>
        <v/>
      </c>
      <c r="R77" s="251" t="n">
        <v>126859.5</v>
      </c>
      <c r="S77" s="249" t="n">
        <v>17707</v>
      </c>
      <c r="T77" s="252">
        <f>S77*R77</f>
        <v/>
      </c>
      <c r="U77" s="245" t="inlineStr">
        <is>
          <t>040300/KPPBC</t>
        </is>
      </c>
      <c r="V77" s="245" t="inlineStr">
        <is>
          <t>TG. PRIOK</t>
        </is>
      </c>
      <c r="W77" s="245" t="inlineStr">
        <is>
          <t>LOS ANGELES, US</t>
        </is>
      </c>
      <c r="X77" s="245" t="inlineStr">
        <is>
          <t>WALMART, INC.</t>
        </is>
      </c>
      <c r="Y77" s="245" t="inlineStr">
        <is>
          <t>CMDUDJA1541667</t>
        </is>
      </c>
      <c r="Z77" s="246" t="n">
        <v>46293</v>
      </c>
    </row>
    <row r="78" ht="16.5" customHeight="1" s="202">
      <c r="A78" s="245" t="n"/>
      <c r="B78" s="245" t="n"/>
      <c r="C78" s="245" t="n"/>
      <c r="D78" s="245" t="n"/>
      <c r="E78" s="245" t="n"/>
      <c r="F78" s="245" t="n"/>
      <c r="G78" s="245" t="n"/>
      <c r="H78" s="245" t="n"/>
      <c r="I78" s="245" t="inlineStr">
        <is>
          <t>CMAU9330918</t>
        </is>
      </c>
      <c r="J78" s="245" t="inlineStr">
        <is>
          <t>40FT</t>
        </is>
      </c>
      <c r="K78" s="245" t="n"/>
      <c r="L78" s="245" t="n"/>
      <c r="M78" s="245" t="n"/>
      <c r="N78" s="245" t="n"/>
      <c r="O78" s="245" t="n"/>
      <c r="P78" s="245" t="n"/>
      <c r="Q78" s="245" t="n"/>
      <c r="R78" s="245" t="n"/>
      <c r="S78" s="245" t="n"/>
      <c r="T78" s="245" t="n"/>
      <c r="U78" s="245" t="n"/>
      <c r="V78" s="245" t="n"/>
      <c r="W78" s="245" t="inlineStr">
        <is>
          <t>ETD : 02-10-2026</t>
        </is>
      </c>
      <c r="X78" s="245" t="n"/>
      <c r="Y78" s="245" t="n"/>
      <c r="Z78" s="245" t="n"/>
    </row>
    <row r="79" ht="16.5" customHeight="1" s="202">
      <c r="A79" s="245" t="n"/>
      <c r="B79" s="245" t="n"/>
      <c r="C79" s="245" t="n"/>
      <c r="D79" s="245" t="n"/>
      <c r="E79" s="245" t="n"/>
      <c r="F79" s="245" t="n"/>
      <c r="G79" s="245" t="n"/>
      <c r="H79" s="245" t="n"/>
      <c r="I79" s="245" t="inlineStr">
        <is>
          <t>CMAU4209945</t>
        </is>
      </c>
      <c r="J79" s="245" t="inlineStr">
        <is>
          <t>40FT</t>
        </is>
      </c>
      <c r="K79" s="245" t="n"/>
      <c r="L79" s="245" t="n"/>
      <c r="M79" s="245" t="n"/>
      <c r="N79" s="245" t="n"/>
      <c r="O79" s="245" t="n"/>
      <c r="P79" s="245" t="n"/>
      <c r="Q79" s="245" t="n"/>
      <c r="R79" s="245" t="n"/>
      <c r="S79" s="245" t="n"/>
      <c r="T79" s="245" t="n"/>
      <c r="U79" s="245" t="n"/>
      <c r="V79" s="245" t="n"/>
      <c r="W79" s="245" t="n"/>
      <c r="X79" s="245" t="n"/>
      <c r="Y79" s="245" t="n"/>
      <c r="Z79" s="245" t="n"/>
    </row>
    <row r="80" ht="17.1" customHeight="1" s="202">
      <c r="A80" s="254" t="n"/>
      <c r="B80" s="254" t="n"/>
      <c r="C80" s="254" t="n"/>
      <c r="D80" s="254" t="n"/>
      <c r="E80" s="254" t="n"/>
      <c r="F80" s="254" t="n"/>
      <c r="G80" s="254" t="n"/>
      <c r="H80" s="255">
        <f>SUM(H77:H79)</f>
        <v/>
      </c>
      <c r="I80" s="254">
        <f>COUNTA(I77:I79)</f>
        <v/>
      </c>
      <c r="J80" s="254" t="n"/>
      <c r="K80" s="254" t="n"/>
      <c r="L80" s="254" t="n"/>
      <c r="M80" s="254" t="n"/>
      <c r="N80" s="254" t="n"/>
      <c r="O80" s="256">
        <f>SUM(O77:O79)</f>
        <v/>
      </c>
      <c r="P80" s="256">
        <f>SUM(P77:P79)</f>
        <v/>
      </c>
      <c r="Q80" s="254" t="n"/>
      <c r="R80" s="257">
        <f>SUM(R77:R79)</f>
        <v/>
      </c>
      <c r="S80" s="254" t="n"/>
      <c r="T80" s="258">
        <f>SUM(T77:T79)</f>
        <v/>
      </c>
      <c r="U80" s="254" t="n"/>
      <c r="V80" s="254" t="n"/>
      <c r="W80" s="254" t="n"/>
      <c r="X80" s="254" t="n"/>
      <c r="Y80" s="254" t="n"/>
      <c r="Z80" s="254" t="n"/>
    </row>
    <row r="81" ht="16.5" customHeight="1" s="202">
      <c r="A81" s="245" t="n">
        <v>12</v>
      </c>
      <c r="B81" s="245" t="inlineStr">
        <is>
          <t>000030ZIK48020260925000853</t>
        </is>
      </c>
      <c r="C81" s="245" t="n">
        <v>613618</v>
      </c>
      <c r="D81" s="245" t="n">
        <v>613558</v>
      </c>
      <c r="E81" s="246" t="n">
        <v>46293</v>
      </c>
      <c r="F81" s="245" t="inlineStr">
        <is>
          <t>ID2609-8593</t>
        </is>
      </c>
      <c r="G81" s="246" t="n">
        <v>46290</v>
      </c>
      <c r="H81" s="247" t="n">
        <v>1040</v>
      </c>
      <c r="I81" s="245" t="inlineStr">
        <is>
          <t>TXGU4188126</t>
        </is>
      </c>
      <c r="J81" s="245" t="inlineStr">
        <is>
          <t>40FT</t>
        </is>
      </c>
      <c r="K81" s="245" t="inlineStr">
        <is>
          <t>8IN GREEN TEA MF MATTRESS FL</t>
        </is>
      </c>
      <c r="L81" s="245" t="inlineStr">
        <is>
          <t>SCF-STR-800F</t>
        </is>
      </c>
      <c r="M81" s="248" t="inlineStr">
        <is>
          <t>0993630733</t>
        </is>
      </c>
      <c r="N81" s="245" t="inlineStr">
        <is>
          <t>F.MFM.08F.000.WS</t>
        </is>
      </c>
      <c r="O81" s="249" t="n">
        <v>21236.8</v>
      </c>
      <c r="P81" s="249" t="n">
        <v>18740.8</v>
      </c>
      <c r="Q81" s="250">
        <f>R81/H81</f>
        <v/>
      </c>
      <c r="R81" s="251" t="n">
        <v>82960.8</v>
      </c>
      <c r="S81" s="249" t="n">
        <v>17707</v>
      </c>
      <c r="T81" s="252">
        <f>S81*R81</f>
        <v/>
      </c>
      <c r="U81" s="245" t="inlineStr">
        <is>
          <t>040300/KPPBC</t>
        </is>
      </c>
      <c r="V81" s="245" t="inlineStr">
        <is>
          <t>TG. PRIOK</t>
        </is>
      </c>
      <c r="W81" s="245" t="inlineStr">
        <is>
          <t>LOS ANGELES, US</t>
        </is>
      </c>
      <c r="X81" s="245" t="inlineStr">
        <is>
          <t>WALMART, INC.</t>
        </is>
      </c>
      <c r="Y81" s="245" t="inlineStr">
        <is>
          <t>CMDUDJA1541663</t>
        </is>
      </c>
      <c r="Z81" s="246" t="n">
        <v>46293</v>
      </c>
    </row>
    <row r="82" ht="16.5" customHeight="1" s="202">
      <c r="A82" s="245" t="n"/>
      <c r="B82" s="245" t="n"/>
      <c r="C82" s="245" t="n"/>
      <c r="D82" s="245" t="n"/>
      <c r="E82" s="245" t="n"/>
      <c r="F82" s="245" t="n"/>
      <c r="G82" s="245" t="n"/>
      <c r="H82" s="245" t="n"/>
      <c r="I82" s="245" t="inlineStr">
        <is>
          <t>TCNU6103423</t>
        </is>
      </c>
      <c r="J82" s="245" t="inlineStr">
        <is>
          <t>40FT</t>
        </is>
      </c>
      <c r="K82" s="245" t="n"/>
      <c r="L82" s="245" t="n"/>
      <c r="M82" s="245" t="n"/>
      <c r="N82" s="245" t="n"/>
      <c r="O82" s="245" t="n"/>
      <c r="P82" s="245" t="n"/>
      <c r="Q82" s="245" t="n"/>
      <c r="R82" s="245" t="n"/>
      <c r="S82" s="245" t="n"/>
      <c r="T82" s="245" t="n"/>
      <c r="U82" s="245" t="n"/>
      <c r="V82" s="245" t="n"/>
      <c r="W82" s="245" t="inlineStr">
        <is>
          <t>ETD : 02-10-2026</t>
        </is>
      </c>
      <c r="X82" s="245" t="n"/>
      <c r="Y82" s="245" t="n"/>
      <c r="Z82" s="245" t="n"/>
    </row>
    <row r="83" ht="17.1" customHeight="1" s="202">
      <c r="A83" s="254" t="n"/>
      <c r="B83" s="254" t="n"/>
      <c r="C83" s="254" t="n"/>
      <c r="D83" s="254" t="n"/>
      <c r="E83" s="254" t="n"/>
      <c r="F83" s="254" t="n"/>
      <c r="G83" s="254" t="n"/>
      <c r="H83" s="255">
        <f>SUM(H81:H82)</f>
        <v/>
      </c>
      <c r="I83" s="254">
        <f>COUNTA(I81:I82)</f>
        <v/>
      </c>
      <c r="J83" s="254" t="n"/>
      <c r="K83" s="254" t="n"/>
      <c r="L83" s="254" t="n"/>
      <c r="M83" s="254" t="n"/>
      <c r="N83" s="254" t="n"/>
      <c r="O83" s="256">
        <f>SUM(O81:O82)</f>
        <v/>
      </c>
      <c r="P83" s="256">
        <f>SUM(P81:P82)</f>
        <v/>
      </c>
      <c r="Q83" s="254" t="n"/>
      <c r="R83" s="257">
        <f>SUM(R81:R82)</f>
        <v/>
      </c>
      <c r="S83" s="254" t="n"/>
      <c r="T83" s="258">
        <f>SUM(T81:T82)</f>
        <v/>
      </c>
      <c r="U83" s="254" t="n"/>
      <c r="V83" s="254" t="n"/>
      <c r="W83" s="254" t="n"/>
      <c r="X83" s="254" t="n"/>
      <c r="Y83" s="254" t="n"/>
      <c r="Z83" s="254" t="n"/>
    </row>
    <row r="84" ht="16.5" customHeight="1" s="202">
      <c r="A84" s="245" t="n">
        <v>13</v>
      </c>
      <c r="B84" s="245" t="inlineStr">
        <is>
          <t>000030ZIK48020260925000854</t>
        </is>
      </c>
      <c r="C84" s="245" t="n">
        <v>613619</v>
      </c>
      <c r="D84" s="245" t="n">
        <v>613559</v>
      </c>
      <c r="E84" s="246" t="n">
        <v>46293</v>
      </c>
      <c r="F84" s="245" t="inlineStr">
        <is>
          <t>ID2609-8594</t>
        </is>
      </c>
      <c r="G84" s="246" t="n">
        <v>46290</v>
      </c>
      <c r="H84" s="247" t="n">
        <v>450</v>
      </c>
      <c r="I84" s="245" t="inlineStr">
        <is>
          <t>TCKU6275578</t>
        </is>
      </c>
      <c r="J84" s="245" t="inlineStr">
        <is>
          <t>40FT</t>
        </is>
      </c>
      <c r="K84" s="245" t="inlineStr">
        <is>
          <t>8IN GREEN TEA MF MATTRESS QN</t>
        </is>
      </c>
      <c r="L84" s="245" t="inlineStr">
        <is>
          <t>SCF-STR-800Q</t>
        </is>
      </c>
      <c r="M84" s="248" t="inlineStr">
        <is>
          <t>0993630573</t>
        </is>
      </c>
      <c r="N84" s="245" t="inlineStr">
        <is>
          <t>F.MFM.08Q.000.WS</t>
        </is>
      </c>
      <c r="O84" s="249" t="n">
        <v>10755</v>
      </c>
      <c r="P84" s="249" t="n">
        <v>9594</v>
      </c>
      <c r="Q84" s="250">
        <f>R84/H84</f>
        <v/>
      </c>
      <c r="R84" s="251" t="n">
        <v>42286.5</v>
      </c>
      <c r="S84" s="249" t="n">
        <v>17707</v>
      </c>
      <c r="T84" s="252">
        <f>S84*R84</f>
        <v/>
      </c>
      <c r="U84" s="245" t="inlineStr">
        <is>
          <t>040300/KPPBC</t>
        </is>
      </c>
      <c r="V84" s="245" t="inlineStr">
        <is>
          <t>TG. PRIOK</t>
        </is>
      </c>
      <c r="W84" s="245" t="inlineStr">
        <is>
          <t>LOS ANGELES, US</t>
        </is>
      </c>
      <c r="X84" s="245" t="inlineStr">
        <is>
          <t>WALMART, INC.</t>
        </is>
      </c>
      <c r="Y84" s="245" t="inlineStr">
        <is>
          <t>CMDUDJA1541019A</t>
        </is>
      </c>
      <c r="Z84" s="246" t="n">
        <v>46293</v>
      </c>
    </row>
    <row r="85" ht="16.5" customHeight="1" s="202">
      <c r="A85" s="245" t="n"/>
      <c r="B85" s="245" t="n"/>
      <c r="C85" s="245" t="n"/>
      <c r="D85" s="245" t="n"/>
      <c r="E85" s="245" t="n"/>
      <c r="F85" s="245" t="n"/>
      <c r="G85" s="245" t="n"/>
      <c r="H85" s="245" t="n"/>
      <c r="I85" s="245" t="n"/>
      <c r="J85" s="245" t="n"/>
      <c r="K85" s="245" t="n"/>
      <c r="L85" s="245" t="n"/>
      <c r="M85" s="245" t="n"/>
      <c r="N85" s="245" t="n"/>
      <c r="O85" s="245" t="n"/>
      <c r="P85" s="245" t="n"/>
      <c r="Q85" s="245" t="n"/>
      <c r="R85" s="245" t="n"/>
      <c r="S85" s="245" t="n"/>
      <c r="T85" s="245" t="n"/>
      <c r="U85" s="245" t="n"/>
      <c r="V85" s="245" t="n"/>
      <c r="W85" s="245" t="inlineStr">
        <is>
          <t>ETD : 02-10-2026</t>
        </is>
      </c>
      <c r="X85" s="245" t="n"/>
      <c r="Y85" s="245" t="n"/>
      <c r="Z85" s="245" t="n"/>
    </row>
    <row r="86" ht="17.1" customHeight="1" s="202">
      <c r="A86" s="254" t="n"/>
      <c r="B86" s="254" t="n"/>
      <c r="C86" s="254" t="n"/>
      <c r="D86" s="254" t="n"/>
      <c r="E86" s="254" t="n"/>
      <c r="F86" s="254" t="n"/>
      <c r="G86" s="254" t="n"/>
      <c r="H86" s="255">
        <f>SUM(H84:H85)</f>
        <v/>
      </c>
      <c r="I86" s="254">
        <f>COUNTA(I84:I85)</f>
        <v/>
      </c>
      <c r="J86" s="254" t="n"/>
      <c r="K86" s="254" t="n"/>
      <c r="L86" s="254" t="n"/>
      <c r="M86" s="254" t="n"/>
      <c r="N86" s="254" t="n"/>
      <c r="O86" s="256">
        <f>SUM(O84:O85)</f>
        <v/>
      </c>
      <c r="P86" s="256">
        <f>SUM(P84:P85)</f>
        <v/>
      </c>
      <c r="Q86" s="254" t="n"/>
      <c r="R86" s="257">
        <f>SUM(R84:R85)</f>
        <v/>
      </c>
      <c r="S86" s="254" t="n"/>
      <c r="T86" s="258">
        <f>SUM(T84:T85)</f>
        <v/>
      </c>
      <c r="U86" s="254" t="n"/>
      <c r="V86" s="254" t="n"/>
      <c r="W86" s="254" t="n"/>
      <c r="X86" s="254" t="n"/>
      <c r="Y86" s="254" t="n"/>
      <c r="Z86" s="254" t="n"/>
    </row>
    <row r="87" ht="16.5" customHeight="1" s="202">
      <c r="A87" s="245" t="n">
        <v>14</v>
      </c>
      <c r="B87" s="245" t="inlineStr">
        <is>
          <t>000030ZIK48020260925000855</t>
        </is>
      </c>
      <c r="C87" s="245" t="n">
        <v>613789</v>
      </c>
      <c r="D87" s="245" t="n">
        <v>613729</v>
      </c>
      <c r="E87" s="246" t="n">
        <v>46293</v>
      </c>
      <c r="F87" s="245" t="inlineStr">
        <is>
          <t>ID2609-8595</t>
        </is>
      </c>
      <c r="G87" s="246" t="n">
        <v>46290</v>
      </c>
      <c r="H87" s="247" t="n">
        <v>520</v>
      </c>
      <c r="I87" s="245" t="inlineStr">
        <is>
          <t>TCKU6300120</t>
        </is>
      </c>
      <c r="J87" s="245" t="inlineStr">
        <is>
          <t>40FT</t>
        </is>
      </c>
      <c r="K87" s="245" t="inlineStr">
        <is>
          <t>8IN GREEN TEA MF MATTRESS FL</t>
        </is>
      </c>
      <c r="L87" s="245" t="inlineStr">
        <is>
          <t>SCF-STR-800F</t>
        </is>
      </c>
      <c r="M87" s="248" t="inlineStr">
        <is>
          <t>0993630723</t>
        </is>
      </c>
      <c r="N87" s="245" t="inlineStr">
        <is>
          <t>F.MFM.08F.000.WS</t>
        </is>
      </c>
      <c r="O87" s="249" t="n">
        <v>10618.4</v>
      </c>
      <c r="P87" s="249" t="n">
        <v>9370.4</v>
      </c>
      <c r="Q87" s="250">
        <f>R87/H87</f>
        <v/>
      </c>
      <c r="R87" s="251" t="n">
        <v>41480.4</v>
      </c>
      <c r="S87" s="249" t="n">
        <v>17707</v>
      </c>
      <c r="T87" s="252">
        <f>S87*R87</f>
        <v/>
      </c>
      <c r="U87" s="245" t="inlineStr">
        <is>
          <t>040300/KPPBC</t>
        </is>
      </c>
      <c r="V87" s="245" t="inlineStr">
        <is>
          <t>TG. PRIOK</t>
        </is>
      </c>
      <c r="W87" s="245" t="inlineStr">
        <is>
          <t>LOS ANGELES, US</t>
        </is>
      </c>
      <c r="X87" s="245" t="inlineStr">
        <is>
          <t>WALMART, INC.</t>
        </is>
      </c>
      <c r="Y87" s="245" t="inlineStr">
        <is>
          <t>CMDUDJA1541019B</t>
        </is>
      </c>
      <c r="Z87" s="246" t="n">
        <v>46293</v>
      </c>
    </row>
    <row r="88" ht="16.5" customHeight="1" s="202">
      <c r="A88" s="245" t="n"/>
      <c r="B88" s="245" t="n"/>
      <c r="C88" s="245" t="n"/>
      <c r="D88" s="245" t="n"/>
      <c r="E88" s="245" t="n"/>
      <c r="F88" s="245" t="n"/>
      <c r="G88" s="245" t="n"/>
      <c r="H88" s="245" t="n"/>
      <c r="I88" s="245" t="n"/>
      <c r="J88" s="245" t="n"/>
      <c r="K88" s="245" t="n"/>
      <c r="L88" s="245" t="n"/>
      <c r="M88" s="245" t="n"/>
      <c r="N88" s="245" t="n"/>
      <c r="O88" s="245" t="n"/>
      <c r="P88" s="245" t="n"/>
      <c r="Q88" s="245" t="n"/>
      <c r="R88" s="245" t="n"/>
      <c r="S88" s="245" t="n"/>
      <c r="T88" s="245" t="n"/>
      <c r="U88" s="245" t="n"/>
      <c r="V88" s="245" t="n"/>
      <c r="W88" s="245" t="inlineStr">
        <is>
          <t>ETD : 02-10-2026</t>
        </is>
      </c>
      <c r="X88" s="245" t="n"/>
      <c r="Y88" s="245" t="n"/>
      <c r="Z88" s="245" t="n"/>
    </row>
    <row r="89" ht="17.1" customHeight="1" s="202">
      <c r="A89" s="254" t="n"/>
      <c r="B89" s="254" t="n"/>
      <c r="C89" s="254" t="n"/>
      <c r="D89" s="254" t="n"/>
      <c r="E89" s="254" t="n"/>
      <c r="F89" s="254" t="n"/>
      <c r="G89" s="254" t="n"/>
      <c r="H89" s="255">
        <f>SUM(H87:H88)</f>
        <v/>
      </c>
      <c r="I89" s="254">
        <f>COUNTA(I87:I88)</f>
        <v/>
      </c>
      <c r="J89" s="254" t="n"/>
      <c r="K89" s="254" t="n"/>
      <c r="L89" s="254" t="n"/>
      <c r="M89" s="254" t="n"/>
      <c r="N89" s="254" t="n"/>
      <c r="O89" s="256">
        <f>SUM(O87:O88)</f>
        <v/>
      </c>
      <c r="P89" s="256">
        <f>SUM(P87:P88)</f>
        <v/>
      </c>
      <c r="Q89" s="254" t="n"/>
      <c r="R89" s="257">
        <f>SUM(R87:R88)</f>
        <v/>
      </c>
      <c r="S89" s="254" t="n"/>
      <c r="T89" s="258">
        <f>SUM(T87:T88)</f>
        <v/>
      </c>
      <c r="U89" s="254" t="n"/>
      <c r="V89" s="254" t="n"/>
      <c r="W89" s="254" t="n"/>
      <c r="X89" s="254" t="n"/>
      <c r="Y89" s="254" t="n"/>
      <c r="Z89" s="254" t="n"/>
    </row>
    <row r="90" ht="16.5" customHeight="1" s="202">
      <c r="A90" s="245" t="n">
        <v>15</v>
      </c>
      <c r="B90" s="245" t="inlineStr">
        <is>
          <t>000030ZIK48020260925000856</t>
        </is>
      </c>
      <c r="C90" s="245" t="n">
        <v>613737</v>
      </c>
      <c r="D90" s="245" t="n">
        <v>613677</v>
      </c>
      <c r="E90" s="246" t="n">
        <v>46293</v>
      </c>
      <c r="F90" s="245" t="inlineStr">
        <is>
          <t>ID2609-8596</t>
        </is>
      </c>
      <c r="G90" s="246" t="n">
        <v>46290</v>
      </c>
      <c r="H90" s="247" t="n">
        <v>693</v>
      </c>
      <c r="I90" s="245" t="inlineStr">
        <is>
          <t>CMAU8559200</t>
        </is>
      </c>
      <c r="J90" s="245" t="inlineStr">
        <is>
          <t>40FT</t>
        </is>
      </c>
      <c r="K90" s="245" t="inlineStr">
        <is>
          <t>8IN GREEN TEA MF MATTRESS TW</t>
        </is>
      </c>
      <c r="L90" s="245" t="inlineStr">
        <is>
          <t>SCF-STR-800T</t>
        </is>
      </c>
      <c r="M90" s="248" t="inlineStr">
        <is>
          <t>0993631081</t>
        </is>
      </c>
      <c r="N90" s="245" t="inlineStr">
        <is>
          <t>F.MFM.08T.000.WS</t>
        </is>
      </c>
      <c r="O90" s="249" t="n">
        <v>10526.67</v>
      </c>
      <c r="P90" s="249" t="n">
        <v>9140.67</v>
      </c>
      <c r="Q90" s="250">
        <f>R90/H90</f>
        <v/>
      </c>
      <c r="R90" s="251" t="n">
        <v>42619.5</v>
      </c>
      <c r="S90" s="249" t="n">
        <v>17707</v>
      </c>
      <c r="T90" s="252">
        <f>S90*R90</f>
        <v/>
      </c>
      <c r="U90" s="245" t="inlineStr">
        <is>
          <t>040300/KPPBC</t>
        </is>
      </c>
      <c r="V90" s="245" t="inlineStr">
        <is>
          <t>TG. PRIOK</t>
        </is>
      </c>
      <c r="W90" s="245" t="inlineStr">
        <is>
          <t>LOS ANGELES, US</t>
        </is>
      </c>
      <c r="X90" s="245" t="inlineStr">
        <is>
          <t>WALMART, INC.</t>
        </is>
      </c>
      <c r="Y90" s="245" t="inlineStr">
        <is>
          <t>CMDUDJA1541019C</t>
        </is>
      </c>
      <c r="Z90" s="246" t="n">
        <v>46293</v>
      </c>
    </row>
    <row r="91" ht="16.5" customHeight="1" s="202">
      <c r="A91" s="245" t="n"/>
      <c r="B91" s="245" t="n"/>
      <c r="C91" s="245" t="n"/>
      <c r="D91" s="245" t="n"/>
      <c r="E91" s="245" t="n"/>
      <c r="F91" s="245" t="n"/>
      <c r="G91" s="245" t="n"/>
      <c r="H91" s="245" t="n"/>
      <c r="I91" s="245" t="n"/>
      <c r="J91" s="245" t="n"/>
      <c r="K91" s="245" t="n"/>
      <c r="L91" s="245" t="n"/>
      <c r="M91" s="245" t="n"/>
      <c r="N91" s="245" t="n"/>
      <c r="O91" s="245" t="n"/>
      <c r="P91" s="245" t="n"/>
      <c r="Q91" s="245" t="n"/>
      <c r="R91" s="245" t="n"/>
      <c r="S91" s="245" t="n"/>
      <c r="T91" s="245" t="n"/>
      <c r="U91" s="245" t="n"/>
      <c r="V91" s="245" t="n"/>
      <c r="W91" s="245" t="inlineStr">
        <is>
          <t>ETD : 02-10-2026</t>
        </is>
      </c>
      <c r="X91" s="245" t="n"/>
      <c r="Y91" s="245" t="n"/>
      <c r="Z91" s="245" t="n"/>
    </row>
    <row r="92" ht="17.1" customHeight="1" s="202">
      <c r="A92" s="254" t="n"/>
      <c r="B92" s="254" t="n"/>
      <c r="C92" s="254" t="n"/>
      <c r="D92" s="254" t="n"/>
      <c r="E92" s="254" t="n"/>
      <c r="F92" s="254" t="n"/>
      <c r="G92" s="254" t="n"/>
      <c r="H92" s="255">
        <f>SUM(H90:H91)</f>
        <v/>
      </c>
      <c r="I92" s="254">
        <f>COUNTA(I90:I91)</f>
        <v/>
      </c>
      <c r="J92" s="254" t="n"/>
      <c r="K92" s="254" t="n"/>
      <c r="L92" s="254" t="n"/>
      <c r="M92" s="254" t="n"/>
      <c r="N92" s="254" t="n"/>
      <c r="O92" s="256">
        <f>SUM(O90:O91)</f>
        <v/>
      </c>
      <c r="P92" s="256">
        <f>SUM(P90:P91)</f>
        <v/>
      </c>
      <c r="Q92" s="254" t="n"/>
      <c r="R92" s="257">
        <f>SUM(R90:R91)</f>
        <v/>
      </c>
      <c r="S92" s="254" t="n"/>
      <c r="T92" s="258">
        <f>SUM(T90:T91)</f>
        <v/>
      </c>
      <c r="U92" s="254" t="n"/>
      <c r="V92" s="254" t="n"/>
      <c r="W92" s="254" t="n"/>
      <c r="X92" s="254" t="n"/>
      <c r="Y92" s="254" t="n"/>
      <c r="Z92" s="254" t="n"/>
    </row>
    <row r="93" ht="16.5" customHeight="1" s="202">
      <c r="A93" s="245" t="n">
        <v>16</v>
      </c>
      <c r="B93" s="245" t="inlineStr">
        <is>
          <t>000030ZIK48020260925000857</t>
        </is>
      </c>
      <c r="C93" s="245" t="n">
        <v>613967</v>
      </c>
      <c r="D93" s="245" t="n">
        <v>613907</v>
      </c>
      <c r="E93" s="246" t="n">
        <v>46293</v>
      </c>
      <c r="F93" s="245" t="inlineStr">
        <is>
          <t>ID2609-8618</t>
        </is>
      </c>
      <c r="G93" s="246" t="n">
        <v>46290</v>
      </c>
      <c r="H93" s="247" t="n">
        <v>1560</v>
      </c>
      <c r="I93" s="245" t="inlineStr">
        <is>
          <t>CAIU9603331</t>
        </is>
      </c>
      <c r="J93" s="245" t="inlineStr">
        <is>
          <t>40FT</t>
        </is>
      </c>
      <c r="K93" s="245" t="inlineStr">
        <is>
          <t>8IN GREEN TEA MF MATTRESS FL</t>
        </is>
      </c>
      <c r="L93" s="245" t="inlineStr">
        <is>
          <t>SCF-STR-800F</t>
        </is>
      </c>
      <c r="M93" s="248" t="inlineStr">
        <is>
          <t>0993630713</t>
        </is>
      </c>
      <c r="N93" s="245" t="inlineStr">
        <is>
          <t>F.MFM.08F.000.WS</t>
        </is>
      </c>
      <c r="O93" s="249" t="n">
        <v>31855.2</v>
      </c>
      <c r="P93" s="249" t="n">
        <v>28111.2</v>
      </c>
      <c r="Q93" s="250">
        <f>R93/H93</f>
        <v/>
      </c>
      <c r="R93" s="251" t="n">
        <v>124441.2</v>
      </c>
      <c r="S93" s="249" t="n">
        <v>17707</v>
      </c>
      <c r="T93" s="252">
        <f>S93*R93</f>
        <v/>
      </c>
      <c r="U93" s="245" t="inlineStr">
        <is>
          <t>040300/KPPBC</t>
        </is>
      </c>
      <c r="V93" s="245" t="inlineStr">
        <is>
          <t>TG. PRIOK</t>
        </is>
      </c>
      <c r="W93" s="245" t="inlineStr">
        <is>
          <t>HOUSTON, US</t>
        </is>
      </c>
      <c r="X93" s="245" t="inlineStr">
        <is>
          <t>WALMART, INC.</t>
        </is>
      </c>
      <c r="Y93" s="245" t="inlineStr">
        <is>
          <t>CMDUDJA1541862A</t>
        </is>
      </c>
      <c r="Z93" s="246" t="n">
        <v>46293</v>
      </c>
    </row>
    <row r="94" ht="16.5" customHeight="1" s="202">
      <c r="A94" s="245" t="n"/>
      <c r="B94" s="245" t="n"/>
      <c r="C94" s="245" t="n"/>
      <c r="D94" s="245" t="n"/>
      <c r="E94" s="245" t="n"/>
      <c r="F94" s="245" t="n"/>
      <c r="G94" s="245" t="n"/>
      <c r="H94" s="245" t="n"/>
      <c r="I94" s="245" t="inlineStr">
        <is>
          <t>SEGU6438694</t>
        </is>
      </c>
      <c r="J94" s="245" t="inlineStr">
        <is>
          <t>40FT</t>
        </is>
      </c>
      <c r="K94" s="245" t="n"/>
      <c r="L94" s="245" t="n"/>
      <c r="M94" s="245" t="n"/>
      <c r="N94" s="245" t="n"/>
      <c r="O94" s="245" t="n"/>
      <c r="P94" s="245" t="n"/>
      <c r="Q94" s="245" t="n"/>
      <c r="R94" s="245" t="n"/>
      <c r="S94" s="245" t="n"/>
      <c r="T94" s="245" t="n"/>
      <c r="U94" s="245" t="n"/>
      <c r="V94" s="245" t="n"/>
      <c r="W94" s="245" t="inlineStr">
        <is>
          <t>ETD : 02-10-2026</t>
        </is>
      </c>
      <c r="X94" s="245" t="n"/>
      <c r="Y94" s="245" t="n"/>
      <c r="Z94" s="245" t="n"/>
    </row>
    <row r="95" ht="16.5" customHeight="1" s="202">
      <c r="A95" s="245" t="n"/>
      <c r="B95" s="245" t="n"/>
      <c r="C95" s="245" t="n"/>
      <c r="D95" s="245" t="n"/>
      <c r="E95" s="245" t="n"/>
      <c r="F95" s="245" t="n"/>
      <c r="G95" s="245" t="n"/>
      <c r="H95" s="245" t="n"/>
      <c r="I95" s="245" t="inlineStr">
        <is>
          <t>SEGU5159925</t>
        </is>
      </c>
      <c r="J95" s="245" t="inlineStr">
        <is>
          <t>40FT</t>
        </is>
      </c>
      <c r="K95" s="245" t="n"/>
      <c r="L95" s="245" t="n"/>
      <c r="M95" s="245" t="n"/>
      <c r="N95" s="245" t="n"/>
      <c r="O95" s="245" t="n"/>
      <c r="P95" s="245" t="n"/>
      <c r="Q95" s="245" t="n"/>
      <c r="R95" s="245" t="n"/>
      <c r="S95" s="245" t="n"/>
      <c r="T95" s="245" t="n"/>
      <c r="U95" s="245" t="n"/>
      <c r="V95" s="245" t="n"/>
      <c r="W95" s="245" t="n"/>
      <c r="X95" s="245" t="n"/>
      <c r="Y95" s="245" t="n"/>
      <c r="Z95" s="245" t="n"/>
    </row>
    <row r="96" ht="17.1" customHeight="1" s="202">
      <c r="A96" s="254" t="n"/>
      <c r="B96" s="254" t="n"/>
      <c r="C96" s="254" t="n"/>
      <c r="D96" s="254" t="n"/>
      <c r="E96" s="254" t="n"/>
      <c r="F96" s="254" t="n"/>
      <c r="G96" s="254" t="n"/>
      <c r="H96" s="255">
        <f>SUM(H93:H95)</f>
        <v/>
      </c>
      <c r="I96" s="254">
        <f>COUNTA(I93:I95)</f>
        <v/>
      </c>
      <c r="J96" s="254" t="n"/>
      <c r="K96" s="254" t="n"/>
      <c r="L96" s="254" t="n"/>
      <c r="M96" s="254" t="n"/>
      <c r="N96" s="254" t="n"/>
      <c r="O96" s="256">
        <f>SUM(O93:O95)</f>
        <v/>
      </c>
      <c r="P96" s="256">
        <f>SUM(P93:P95)</f>
        <v/>
      </c>
      <c r="Q96" s="254" t="n"/>
      <c r="R96" s="257">
        <f>SUM(R93:R95)</f>
        <v/>
      </c>
      <c r="S96" s="254" t="n"/>
      <c r="T96" s="258">
        <f>SUM(T93:T95)</f>
        <v/>
      </c>
      <c r="U96" s="254" t="n"/>
      <c r="V96" s="254" t="n"/>
      <c r="W96" s="254" t="n"/>
      <c r="X96" s="254" t="n"/>
      <c r="Y96" s="254" t="n"/>
      <c r="Z96" s="254" t="n"/>
    </row>
    <row r="97" ht="16.5" customHeight="1" s="202">
      <c r="A97" s="245" t="n">
        <v>17</v>
      </c>
      <c r="B97" s="245" t="inlineStr">
        <is>
          <t>000030ZIK48020260925000858</t>
        </is>
      </c>
      <c r="C97" s="245" t="n">
        <v>615743</v>
      </c>
      <c r="D97" s="245" t="n">
        <v>615677</v>
      </c>
      <c r="E97" s="246" t="n">
        <v>46293</v>
      </c>
      <c r="F97" s="245" t="inlineStr">
        <is>
          <t>ID2609-8598</t>
        </is>
      </c>
      <c r="G97" s="246" t="n">
        <v>46290</v>
      </c>
      <c r="H97" s="247" t="n">
        <v>1386</v>
      </c>
      <c r="I97" s="245" t="inlineStr">
        <is>
          <t>ONEU1757314</t>
        </is>
      </c>
      <c r="J97" s="245" t="inlineStr">
        <is>
          <t>40FT</t>
        </is>
      </c>
      <c r="K97" s="245" t="inlineStr">
        <is>
          <t>8IN GREEN TEA MF MATTRESS TW</t>
        </is>
      </c>
      <c r="L97" s="245" t="inlineStr">
        <is>
          <t>SCF-STR-800T</t>
        </is>
      </c>
      <c r="M97" s="248" t="inlineStr">
        <is>
          <t>0993631118</t>
        </is>
      </c>
      <c r="N97" s="245" t="inlineStr">
        <is>
          <t>F.MFM.08T.000.WS</t>
        </is>
      </c>
      <c r="O97" s="249" t="n">
        <v>21053.34</v>
      </c>
      <c r="P97" s="249" t="n">
        <v>18281.34</v>
      </c>
      <c r="Q97" s="250">
        <f>R97/H97</f>
        <v/>
      </c>
      <c r="R97" s="251" t="n">
        <v>85239</v>
      </c>
      <c r="S97" s="249" t="n">
        <v>17707</v>
      </c>
      <c r="T97" s="252">
        <f>S97*R97</f>
        <v/>
      </c>
      <c r="U97" s="245" t="inlineStr">
        <is>
          <t>040300/KPPBC</t>
        </is>
      </c>
      <c r="V97" s="245" t="inlineStr">
        <is>
          <t>TG. PRIOK</t>
        </is>
      </c>
      <c r="W97" s="245" t="inlineStr">
        <is>
          <t>HOUSTON, US</t>
        </is>
      </c>
      <c r="X97" s="245" t="inlineStr">
        <is>
          <t>WALMART, INC.</t>
        </is>
      </c>
      <c r="Y97" s="245" t="inlineStr">
        <is>
          <t>ONEYJKTG80720500</t>
        </is>
      </c>
      <c r="Z97" s="246" t="n">
        <v>46293</v>
      </c>
    </row>
    <row r="98" ht="16.5" customHeight="1" s="202">
      <c r="A98" s="245" t="n"/>
      <c r="B98" s="245" t="n"/>
      <c r="C98" s="245" t="n"/>
      <c r="D98" s="245" t="n"/>
      <c r="E98" s="245" t="n"/>
      <c r="F98" s="245" t="n"/>
      <c r="G98" s="245" t="n"/>
      <c r="H98" s="245" t="n"/>
      <c r="I98" s="245" t="inlineStr">
        <is>
          <t>FFAU6798821</t>
        </is>
      </c>
      <c r="J98" s="245" t="inlineStr">
        <is>
          <t>40FT</t>
        </is>
      </c>
      <c r="K98" s="245" t="n"/>
      <c r="L98" s="245" t="n"/>
      <c r="M98" s="245" t="n"/>
      <c r="N98" s="245" t="n"/>
      <c r="O98" s="245" t="n"/>
      <c r="P98" s="245" t="n"/>
      <c r="Q98" s="245" t="n"/>
      <c r="R98" s="245" t="n"/>
      <c r="S98" s="245" t="n"/>
      <c r="T98" s="245" t="n"/>
      <c r="U98" s="245" t="n"/>
      <c r="V98" s="245" t="n"/>
      <c r="W98" s="245" t="inlineStr">
        <is>
          <t>ETD : 05-10-2026</t>
        </is>
      </c>
      <c r="X98" s="245" t="n"/>
      <c r="Y98" s="245" t="n"/>
      <c r="Z98" s="245" t="n"/>
    </row>
    <row r="99" ht="17.1" customHeight="1" s="202">
      <c r="A99" s="254" t="n"/>
      <c r="B99" s="254" t="n"/>
      <c r="C99" s="254" t="n"/>
      <c r="D99" s="254" t="n"/>
      <c r="E99" s="254" t="n"/>
      <c r="F99" s="254" t="n"/>
      <c r="G99" s="254" t="n"/>
      <c r="H99" s="255">
        <f>SUM(H97:H98)</f>
        <v/>
      </c>
      <c r="I99" s="254">
        <f>COUNTA(I97:I98)</f>
        <v/>
      </c>
      <c r="J99" s="254" t="n"/>
      <c r="K99" s="254" t="n"/>
      <c r="L99" s="254" t="n"/>
      <c r="M99" s="254" t="n"/>
      <c r="N99" s="254" t="n"/>
      <c r="O99" s="256">
        <f>SUM(O97:O98)</f>
        <v/>
      </c>
      <c r="P99" s="256">
        <f>SUM(P97:P98)</f>
        <v/>
      </c>
      <c r="Q99" s="254" t="n"/>
      <c r="R99" s="257">
        <f>SUM(R97:R98)</f>
        <v/>
      </c>
      <c r="S99" s="254" t="n"/>
      <c r="T99" s="258">
        <f>SUM(T97:T98)</f>
        <v/>
      </c>
      <c r="U99" s="254" t="n"/>
      <c r="V99" s="254" t="n"/>
      <c r="W99" s="254" t="n"/>
      <c r="X99" s="254" t="n"/>
      <c r="Y99" s="254" t="n"/>
      <c r="Z99" s="254" t="n"/>
    </row>
    <row r="100" ht="16.5" customHeight="1" s="202">
      <c r="A100" s="245" t="n">
        <v>18</v>
      </c>
      <c r="B100" s="245" t="inlineStr">
        <is>
          <t>000030ZIK48020260925000859</t>
        </is>
      </c>
      <c r="C100" s="245" t="n">
        <v>614030</v>
      </c>
      <c r="D100" s="245" t="n">
        <v>613970</v>
      </c>
      <c r="E100" s="246" t="n">
        <v>46293</v>
      </c>
      <c r="F100" s="245" t="inlineStr">
        <is>
          <t>ID2609-8619</t>
        </is>
      </c>
      <c r="G100" s="246" t="n">
        <v>46290</v>
      </c>
      <c r="H100" s="247" t="n">
        <v>1800</v>
      </c>
      <c r="I100" s="245" t="inlineStr">
        <is>
          <t>FSCU8382866</t>
        </is>
      </c>
      <c r="J100" s="245" t="inlineStr">
        <is>
          <t>40FT</t>
        </is>
      </c>
      <c r="K100" s="245" t="inlineStr">
        <is>
          <t>8IN GREEN TEA MF MATTRESS QN</t>
        </is>
      </c>
      <c r="L100" s="245" t="inlineStr">
        <is>
          <t>SCF-STR-800Q</t>
        </is>
      </c>
      <c r="M100" s="248" t="inlineStr">
        <is>
          <t>0993630592</t>
        </is>
      </c>
      <c r="N100" s="245" t="inlineStr">
        <is>
          <t>F.MFM.08Q.000.WS</t>
        </is>
      </c>
      <c r="O100" s="249" t="n">
        <v>43020</v>
      </c>
      <c r="P100" s="249" t="n">
        <v>38376</v>
      </c>
      <c r="Q100" s="250">
        <f>R100/H100</f>
        <v/>
      </c>
      <c r="R100" s="251" t="n">
        <v>169146</v>
      </c>
      <c r="S100" s="249" t="n">
        <v>17707</v>
      </c>
      <c r="T100" s="252">
        <f>S100*R100</f>
        <v/>
      </c>
      <c r="U100" s="245" t="inlineStr">
        <is>
          <t>040300/KPPBC</t>
        </is>
      </c>
      <c r="V100" s="245" t="inlineStr">
        <is>
          <t>TG. PRIOK</t>
        </is>
      </c>
      <c r="W100" s="245" t="inlineStr">
        <is>
          <t>HOUSTON, US</t>
        </is>
      </c>
      <c r="X100" s="245" t="inlineStr">
        <is>
          <t>WALMART, INC.</t>
        </is>
      </c>
      <c r="Y100" s="245" t="inlineStr">
        <is>
          <t>CMDUDJA1541862B</t>
        </is>
      </c>
      <c r="Z100" s="246" t="n">
        <v>46293</v>
      </c>
    </row>
    <row r="101" ht="16.5" customHeight="1" s="202">
      <c r="A101" s="245" t="n"/>
      <c r="B101" s="245" t="n"/>
      <c r="C101" s="245" t="n"/>
      <c r="D101" s="245" t="n"/>
      <c r="E101" s="245" t="n"/>
      <c r="F101" s="245" t="n"/>
      <c r="G101" s="245" t="n"/>
      <c r="H101" s="245" t="n"/>
      <c r="I101" s="245" t="inlineStr">
        <is>
          <t>CMAU6646667</t>
        </is>
      </c>
      <c r="J101" s="245" t="inlineStr">
        <is>
          <t>40FT</t>
        </is>
      </c>
      <c r="K101" s="245" t="n"/>
      <c r="L101" s="245" t="n"/>
      <c r="M101" s="245" t="n"/>
      <c r="N101" s="245" t="n"/>
      <c r="O101" s="245" t="n"/>
      <c r="P101" s="245" t="n"/>
      <c r="Q101" s="245" t="n"/>
      <c r="R101" s="245" t="n"/>
      <c r="S101" s="245" t="n"/>
      <c r="T101" s="245" t="n"/>
      <c r="U101" s="245" t="n"/>
      <c r="V101" s="245" t="n"/>
      <c r="W101" s="245" t="inlineStr">
        <is>
          <t>ETD : 02-10-2026</t>
        </is>
      </c>
      <c r="X101" s="245" t="n"/>
      <c r="Y101" s="245" t="n"/>
      <c r="Z101" s="245" t="n"/>
    </row>
    <row r="102" ht="16.5" customHeight="1" s="202">
      <c r="A102" s="245" t="n"/>
      <c r="B102" s="245" t="n"/>
      <c r="C102" s="245" t="n"/>
      <c r="D102" s="245" t="n"/>
      <c r="E102" s="245" t="n"/>
      <c r="F102" s="245" t="n"/>
      <c r="G102" s="245" t="n"/>
      <c r="H102" s="245" t="n"/>
      <c r="I102" s="245" t="inlineStr">
        <is>
          <t>CAAU6232050</t>
        </is>
      </c>
      <c r="J102" s="245" t="inlineStr">
        <is>
          <t>40FT</t>
        </is>
      </c>
      <c r="K102" s="245" t="n"/>
      <c r="L102" s="245" t="n"/>
      <c r="M102" s="245" t="n"/>
      <c r="N102" s="245" t="n"/>
      <c r="O102" s="245" t="n"/>
      <c r="P102" s="245" t="n"/>
      <c r="Q102" s="245" t="n"/>
      <c r="R102" s="245" t="n"/>
      <c r="S102" s="245" t="n"/>
      <c r="T102" s="245" t="n"/>
      <c r="U102" s="245" t="n"/>
      <c r="V102" s="245" t="n"/>
      <c r="W102" s="245" t="n"/>
      <c r="X102" s="245" t="n"/>
      <c r="Y102" s="245" t="n"/>
      <c r="Z102" s="245" t="n"/>
    </row>
    <row r="103" ht="16.5" customHeight="1" s="202">
      <c r="A103" s="245" t="n"/>
      <c r="B103" s="245" t="n"/>
      <c r="C103" s="245" t="n"/>
      <c r="D103" s="245" t="n"/>
      <c r="E103" s="245" t="n"/>
      <c r="F103" s="245" t="n"/>
      <c r="G103" s="245" t="n"/>
      <c r="H103" s="245" t="n"/>
      <c r="I103" s="245" t="inlineStr">
        <is>
          <t>CMAU6717930</t>
        </is>
      </c>
      <c r="J103" s="245" t="inlineStr">
        <is>
          <t>40FT</t>
        </is>
      </c>
      <c r="K103" s="245" t="n"/>
      <c r="L103" s="245" t="n"/>
      <c r="M103" s="245" t="n"/>
      <c r="N103" s="245" t="n"/>
      <c r="O103" s="245" t="n"/>
      <c r="P103" s="245" t="n"/>
      <c r="Q103" s="245" t="n"/>
      <c r="R103" s="245" t="n"/>
      <c r="S103" s="245" t="n"/>
      <c r="T103" s="245" t="n"/>
      <c r="U103" s="245" t="n"/>
      <c r="V103" s="245" t="n"/>
      <c r="W103" s="245" t="n"/>
      <c r="X103" s="245" t="n"/>
      <c r="Y103" s="245" t="n"/>
      <c r="Z103" s="245" t="n"/>
    </row>
    <row r="104" ht="17.1" customHeight="1" s="202">
      <c r="A104" s="254" t="n"/>
      <c r="B104" s="254" t="n"/>
      <c r="C104" s="254" t="n"/>
      <c r="D104" s="254" t="n"/>
      <c r="E104" s="254" t="n"/>
      <c r="F104" s="254" t="n"/>
      <c r="G104" s="254" t="n"/>
      <c r="H104" s="255">
        <f>SUM(H100:H103)</f>
        <v/>
      </c>
      <c r="I104" s="254">
        <f>COUNTA(I100:I103)</f>
        <v/>
      </c>
      <c r="J104" s="254" t="n"/>
      <c r="K104" s="254" t="n"/>
      <c r="L104" s="254" t="n"/>
      <c r="M104" s="254" t="n"/>
      <c r="N104" s="254" t="n"/>
      <c r="O104" s="256">
        <f>SUM(O100:O103)</f>
        <v/>
      </c>
      <c r="P104" s="256">
        <f>SUM(P100:P103)</f>
        <v/>
      </c>
      <c r="Q104" s="254" t="n"/>
      <c r="R104" s="257">
        <f>SUM(R100:R103)</f>
        <v/>
      </c>
      <c r="S104" s="254" t="n"/>
      <c r="T104" s="258">
        <f>SUM(T100:T103)</f>
        <v/>
      </c>
      <c r="U104" s="254" t="n"/>
      <c r="V104" s="254" t="n"/>
      <c r="W104" s="254" t="n"/>
      <c r="X104" s="254" t="n"/>
      <c r="Y104" s="254" t="n"/>
      <c r="Z104" s="254" t="n"/>
    </row>
    <row r="105" ht="16.5" customHeight="1" s="202">
      <c r="A105" s="245" t="n">
        <v>19</v>
      </c>
      <c r="B105" s="245" t="inlineStr">
        <is>
          <t>000030ZIK48020260925000860</t>
        </is>
      </c>
      <c r="C105" s="245" t="n">
        <v>615904</v>
      </c>
      <c r="D105" s="245" t="n">
        <v>615838</v>
      </c>
      <c r="E105" s="246" t="n">
        <v>46293</v>
      </c>
      <c r="F105" s="245" t="inlineStr">
        <is>
          <t>ID2609-8614</t>
        </is>
      </c>
      <c r="G105" s="246" t="n">
        <v>46290</v>
      </c>
      <c r="H105" s="247" t="n">
        <v>112</v>
      </c>
      <c r="I105" s="245" t="inlineStr">
        <is>
          <t>MSMU7648748</t>
        </is>
      </c>
      <c r="J105" s="245" t="inlineStr">
        <is>
          <t>40FT</t>
        </is>
      </c>
      <c r="K105" s="245" t="inlineStr">
        <is>
          <t>10IN GREEN TEA MF MATTRESS QN</t>
        </is>
      </c>
      <c r="L105" s="245" t="inlineStr">
        <is>
          <t>ZU-MFMA1ZZI-10Q</t>
        </is>
      </c>
      <c r="M105" s="248" t="inlineStr">
        <is>
          <t>63H36GGV</t>
        </is>
      </c>
      <c r="N105" s="245" t="inlineStr">
        <is>
          <t>F.MFM.10Q.007.AD</t>
        </is>
      </c>
      <c r="O105" s="249" t="n">
        <v>97258.98</v>
      </c>
      <c r="P105" s="249" t="n">
        <v>87021.2</v>
      </c>
      <c r="Q105" s="250">
        <f>R105/H105</f>
        <v/>
      </c>
      <c r="R105" s="251" t="n">
        <v>7378.56</v>
      </c>
      <c r="S105" s="249" t="n">
        <v>17707</v>
      </c>
      <c r="T105" s="252">
        <f>S105*R105</f>
        <v/>
      </c>
      <c r="U105" s="245" t="inlineStr">
        <is>
          <t>040300/KPPBC</t>
        </is>
      </c>
      <c r="V105" s="245" t="inlineStr">
        <is>
          <t>TG. PRIOK</t>
        </is>
      </c>
      <c r="W105" s="245" t="inlineStr">
        <is>
          <t>LONG BEACH, US</t>
        </is>
      </c>
      <c r="X105" s="245" t="inlineStr">
        <is>
          <t>AMAZON.COM SERVICES LLC</t>
        </is>
      </c>
      <c r="Y105" s="245" t="inlineStr">
        <is>
          <t>MEDUKU720547</t>
        </is>
      </c>
      <c r="Z105" s="246" t="n">
        <v>46293</v>
      </c>
    </row>
    <row r="106" ht="16.5" customHeight="1" s="202">
      <c r="A106" s="245" t="n"/>
      <c r="B106" s="245" t="n"/>
      <c r="C106" s="245" t="n"/>
      <c r="D106" s="245" t="n"/>
      <c r="E106" s="245" t="n"/>
      <c r="F106" s="245" t="n"/>
      <c r="G106" s="245" t="n"/>
      <c r="H106" s="247" t="n">
        <v>2982</v>
      </c>
      <c r="I106" s="245" t="inlineStr">
        <is>
          <t>SEGU6815231</t>
        </is>
      </c>
      <c r="J106" s="245" t="inlineStr">
        <is>
          <t>40FT</t>
        </is>
      </c>
      <c r="K106" s="245" t="inlineStr">
        <is>
          <t>12IN GREEN TEA MF MATTRESS QN</t>
        </is>
      </c>
      <c r="L106" s="245" t="inlineStr">
        <is>
          <t>ZU-MFMA1ZZI-12Q</t>
        </is>
      </c>
      <c r="M106" s="248" t="inlineStr">
        <is>
          <t>63H36GGV</t>
        </is>
      </c>
      <c r="N106" s="245" t="inlineStr">
        <is>
          <t>F.MFM.12Q.006.AD</t>
        </is>
      </c>
      <c r="O106" s="245" t="n"/>
      <c r="P106" s="245" t="n"/>
      <c r="Q106" s="250">
        <f>R106/H106</f>
        <v/>
      </c>
      <c r="R106" s="251" t="n">
        <v>249861.78</v>
      </c>
      <c r="S106" s="249" t="n">
        <v>17707</v>
      </c>
      <c r="T106" s="252">
        <f>S106*R106</f>
        <v/>
      </c>
      <c r="U106" s="245" t="n"/>
      <c r="V106" s="245" t="n"/>
      <c r="W106" s="245" t="inlineStr">
        <is>
          <t>ETD : 01-10-2026</t>
        </is>
      </c>
      <c r="X106" s="245" t="n"/>
      <c r="Y106" s="245" t="n"/>
      <c r="Z106" s="245" t="n"/>
    </row>
    <row r="107" ht="16.5" customHeight="1" s="202">
      <c r="A107" s="245" t="n"/>
      <c r="B107" s="245" t="n"/>
      <c r="C107" s="245" t="n"/>
      <c r="D107" s="245" t="n"/>
      <c r="E107" s="245" t="n"/>
      <c r="F107" s="245" t="n"/>
      <c r="G107" s="245" t="n"/>
      <c r="H107" s="245" t="n"/>
      <c r="I107" s="245" t="inlineStr">
        <is>
          <t>SEGU6162944</t>
        </is>
      </c>
      <c r="J107" s="245" t="inlineStr">
        <is>
          <t>40FT</t>
        </is>
      </c>
      <c r="K107" s="245" t="n"/>
      <c r="L107" s="245" t="n"/>
      <c r="M107" s="245" t="n"/>
      <c r="N107" s="245" t="n"/>
      <c r="O107" s="245" t="n"/>
      <c r="P107" s="245" t="n"/>
      <c r="Q107" s="245" t="n"/>
      <c r="R107" s="245" t="n"/>
      <c r="S107" s="245" t="n"/>
      <c r="T107" s="245" t="n"/>
      <c r="U107" s="245" t="n"/>
      <c r="V107" s="245" t="n"/>
      <c r="W107" s="245" t="n"/>
      <c r="X107" s="245" t="n"/>
      <c r="Y107" s="245" t="n"/>
      <c r="Z107" s="245" t="n"/>
    </row>
    <row r="108" ht="16.5" customHeight="1" s="202">
      <c r="A108" s="245" t="n"/>
      <c r="B108" s="245" t="n"/>
      <c r="C108" s="245" t="n"/>
      <c r="D108" s="245" t="n"/>
      <c r="E108" s="245" t="n"/>
      <c r="F108" s="245" t="n"/>
      <c r="G108" s="245" t="n"/>
      <c r="H108" s="245" t="n"/>
      <c r="I108" s="245" t="inlineStr">
        <is>
          <t>TCNU5455055</t>
        </is>
      </c>
      <c r="J108" s="245" t="inlineStr">
        <is>
          <t>40FT</t>
        </is>
      </c>
      <c r="K108" s="245" t="n"/>
      <c r="L108" s="245" t="n"/>
      <c r="M108" s="245" t="n"/>
      <c r="N108" s="245" t="n"/>
      <c r="O108" s="245" t="n"/>
      <c r="P108" s="245" t="n"/>
      <c r="Q108" s="245" t="n"/>
      <c r="R108" s="245" t="n"/>
      <c r="S108" s="245" t="n"/>
      <c r="T108" s="245" t="n"/>
      <c r="U108" s="245" t="n"/>
      <c r="V108" s="245" t="n"/>
      <c r="W108" s="245" t="n"/>
      <c r="X108" s="245" t="n"/>
      <c r="Y108" s="245" t="n"/>
      <c r="Z108" s="245" t="n"/>
    </row>
    <row r="109" ht="16.5" customHeight="1" s="202">
      <c r="A109" s="245" t="n"/>
      <c r="B109" s="245" t="n"/>
      <c r="C109" s="245" t="n"/>
      <c r="D109" s="245" t="n"/>
      <c r="E109" s="245" t="n"/>
      <c r="F109" s="245" t="n"/>
      <c r="G109" s="245" t="n"/>
      <c r="H109" s="245" t="n"/>
      <c r="I109" s="245" t="inlineStr">
        <is>
          <t>MSMU8069910</t>
        </is>
      </c>
      <c r="J109" s="245" t="inlineStr">
        <is>
          <t>40FT</t>
        </is>
      </c>
      <c r="K109" s="245" t="n"/>
      <c r="L109" s="245" t="n"/>
      <c r="M109" s="245" t="n"/>
      <c r="N109" s="245" t="n"/>
      <c r="O109" s="245" t="n"/>
      <c r="P109" s="245" t="n"/>
      <c r="Q109" s="245" t="n"/>
      <c r="R109" s="245" t="n"/>
      <c r="S109" s="245" t="n"/>
      <c r="T109" s="245" t="n"/>
      <c r="U109" s="245" t="n"/>
      <c r="V109" s="245" t="n"/>
      <c r="W109" s="245" t="n"/>
      <c r="X109" s="245" t="n"/>
      <c r="Y109" s="245" t="n"/>
      <c r="Z109" s="245" t="n"/>
    </row>
    <row r="110" ht="16.5" customHeight="1" s="202">
      <c r="A110" s="245" t="n"/>
      <c r="B110" s="245" t="n"/>
      <c r="C110" s="245" t="n"/>
      <c r="D110" s="245" t="n"/>
      <c r="E110" s="245" t="n"/>
      <c r="F110" s="245" t="n"/>
      <c r="G110" s="245" t="n"/>
      <c r="H110" s="245" t="n"/>
      <c r="I110" s="245" t="inlineStr">
        <is>
          <t>MSDU7694428</t>
        </is>
      </c>
      <c r="J110" s="245" t="inlineStr">
        <is>
          <t>40FT</t>
        </is>
      </c>
      <c r="K110" s="245" t="n"/>
      <c r="L110" s="245" t="n"/>
      <c r="M110" s="245" t="n"/>
      <c r="N110" s="245" t="n"/>
      <c r="O110" s="245" t="n"/>
      <c r="P110" s="245" t="n"/>
      <c r="Q110" s="245" t="n"/>
      <c r="R110" s="245" t="n"/>
      <c r="S110" s="245" t="n"/>
      <c r="T110" s="245" t="n"/>
      <c r="U110" s="245" t="n"/>
      <c r="V110" s="245" t="n"/>
      <c r="W110" s="245" t="n"/>
      <c r="X110" s="245" t="n"/>
      <c r="Y110" s="245" t="n"/>
      <c r="Z110" s="245" t="n"/>
    </row>
    <row r="111" ht="16.5" customHeight="1" s="202">
      <c r="A111" s="245" t="n"/>
      <c r="B111" s="245" t="n"/>
      <c r="C111" s="245" t="n"/>
      <c r="D111" s="245" t="n"/>
      <c r="E111" s="245" t="n"/>
      <c r="F111" s="245" t="n"/>
      <c r="G111" s="245" t="n"/>
      <c r="H111" s="245" t="n"/>
      <c r="I111" s="245" t="inlineStr">
        <is>
          <t>FFAU2194280</t>
        </is>
      </c>
      <c r="J111" s="245" t="inlineStr">
        <is>
          <t>40FT</t>
        </is>
      </c>
      <c r="K111" s="245" t="n"/>
      <c r="L111" s="245" t="n"/>
      <c r="M111" s="245" t="n"/>
      <c r="N111" s="245" t="n"/>
      <c r="O111" s="245" t="n"/>
      <c r="P111" s="245" t="n"/>
      <c r="Q111" s="245" t="n"/>
      <c r="R111" s="245" t="n"/>
      <c r="S111" s="245" t="n"/>
      <c r="T111" s="245" t="n"/>
      <c r="U111" s="245" t="n"/>
      <c r="V111" s="245" t="n"/>
      <c r="W111" s="245" t="n"/>
      <c r="X111" s="245" t="n"/>
      <c r="Y111" s="245" t="n"/>
      <c r="Z111" s="245" t="n"/>
    </row>
    <row r="112" ht="17.1" customHeight="1" s="202">
      <c r="A112" s="254" t="n"/>
      <c r="B112" s="254" t="n"/>
      <c r="C112" s="254" t="n"/>
      <c r="D112" s="254" t="n"/>
      <c r="E112" s="254" t="n"/>
      <c r="F112" s="254" t="n"/>
      <c r="G112" s="254" t="n"/>
      <c r="H112" s="255">
        <f>SUM(H105:H111)</f>
        <v/>
      </c>
      <c r="I112" s="254">
        <f>COUNTA(I105:I111)</f>
        <v/>
      </c>
      <c r="J112" s="254" t="n"/>
      <c r="K112" s="254" t="n"/>
      <c r="L112" s="254" t="n"/>
      <c r="M112" s="254" t="n"/>
      <c r="N112" s="254" t="n"/>
      <c r="O112" s="256">
        <f>SUM(O105:O111)</f>
        <v/>
      </c>
      <c r="P112" s="256">
        <f>SUM(P105:P111)</f>
        <v/>
      </c>
      <c r="Q112" s="254" t="n"/>
      <c r="R112" s="257">
        <f>SUM(R105:R111)</f>
        <v/>
      </c>
      <c r="S112" s="254" t="n"/>
      <c r="T112" s="258">
        <f>SUM(T105:T111)</f>
        <v/>
      </c>
      <c r="U112" s="254" t="n"/>
      <c r="V112" s="254" t="n"/>
      <c r="W112" s="254" t="n"/>
      <c r="X112" s="254" t="n"/>
      <c r="Y112" s="254" t="n"/>
      <c r="Z112" s="254" t="n"/>
    </row>
    <row r="113" ht="16.5" customHeight="1" s="202">
      <c r="A113" s="245" t="n">
        <v>20</v>
      </c>
      <c r="B113" s="245" t="inlineStr">
        <is>
          <t>000030ZIK48020260928000861</t>
        </is>
      </c>
      <c r="C113" s="245" t="n">
        <v>617956</v>
      </c>
      <c r="D113" s="245" t="n">
        <v>617885</v>
      </c>
      <c r="E113" s="246" t="n">
        <v>46294</v>
      </c>
      <c r="F113" s="245" t="inlineStr">
        <is>
          <t>ID2609-8621</t>
        </is>
      </c>
      <c r="G113" s="246" t="n">
        <v>46293</v>
      </c>
      <c r="H113" s="247" t="n">
        <v>6</v>
      </c>
      <c r="I113" s="245" t="inlineStr">
        <is>
          <t>TCKU7257028</t>
        </is>
      </c>
      <c r="J113" s="245" t="inlineStr">
        <is>
          <t>40FT</t>
        </is>
      </c>
      <c r="K113" s="245" t="inlineStr">
        <is>
          <t>10IN GREEN TEA MF MATTRESS QN</t>
        </is>
      </c>
      <c r="L113" s="245" t="inlineStr">
        <is>
          <t>ZU-MFMA1ZZI-10Q</t>
        </is>
      </c>
      <c r="M113" s="248" t="inlineStr">
        <is>
          <t>14J3SAOU</t>
        </is>
      </c>
      <c r="N113" s="245" t="inlineStr">
        <is>
          <t>F.MFM.10Q.007.AD</t>
        </is>
      </c>
      <c r="O113" s="249" t="n">
        <v>51057.01</v>
      </c>
      <c r="P113" s="249" t="n">
        <v>45714.91</v>
      </c>
      <c r="Q113" s="250">
        <f>R113/H113</f>
        <v/>
      </c>
      <c r="R113" s="251" t="n">
        <v>395.28</v>
      </c>
      <c r="S113" s="249" t="n">
        <v>17707</v>
      </c>
      <c r="T113" s="252">
        <f>S113*R113</f>
        <v/>
      </c>
      <c r="U113" s="245" t="inlineStr">
        <is>
          <t>040300/KPPBC</t>
        </is>
      </c>
      <c r="V113" s="245" t="inlineStr">
        <is>
          <t>TG. PRIOK</t>
        </is>
      </c>
      <c r="W113" s="245" t="inlineStr">
        <is>
          <t>NEWARK, US</t>
        </is>
      </c>
      <c r="X113" s="245" t="inlineStr">
        <is>
          <t>AMAZON.COM SERVICES LLC</t>
        </is>
      </c>
      <c r="Y113" s="245" t="inlineStr">
        <is>
          <t>MAEU276589850</t>
        </is>
      </c>
      <c r="Z113" s="246" t="n">
        <v>46294</v>
      </c>
    </row>
    <row r="114" ht="16.5" customHeight="1" s="202">
      <c r="A114" s="245" t="n"/>
      <c r="B114" s="245" t="n"/>
      <c r="C114" s="245" t="n"/>
      <c r="D114" s="245" t="n"/>
      <c r="E114" s="245" t="n"/>
      <c r="F114" s="245" t="n"/>
      <c r="G114" s="245" t="n"/>
      <c r="H114" s="247" t="n">
        <v>350</v>
      </c>
      <c r="I114" s="245" t="inlineStr">
        <is>
          <t>TCNU2847324</t>
        </is>
      </c>
      <c r="J114" s="245" t="inlineStr">
        <is>
          <t>40FT</t>
        </is>
      </c>
      <c r="K114" s="245" t="inlineStr">
        <is>
          <t>12IN GREEN TEA MF MATTRESS EK</t>
        </is>
      </c>
      <c r="L114" s="245" t="inlineStr">
        <is>
          <t>ZU-MFMA1ZZI-12K</t>
        </is>
      </c>
      <c r="M114" s="248" t="inlineStr">
        <is>
          <t>14J3SAOU</t>
        </is>
      </c>
      <c r="N114" s="245" t="inlineStr">
        <is>
          <t>F.MFM.12K.006.AD</t>
        </is>
      </c>
      <c r="O114" s="245" t="n"/>
      <c r="P114" s="245" t="n"/>
      <c r="Q114" s="250">
        <f>R114/H114</f>
        <v/>
      </c>
      <c r="R114" s="251" t="n">
        <v>35689.5</v>
      </c>
      <c r="S114" s="249" t="n">
        <v>17707</v>
      </c>
      <c r="T114" s="252">
        <f>S114*R114</f>
        <v/>
      </c>
      <c r="U114" s="245" t="n"/>
      <c r="V114" s="245" t="n"/>
      <c r="W114" s="245" t="inlineStr">
        <is>
          <t>ETD : 04-10-2026</t>
        </is>
      </c>
      <c r="X114" s="245" t="n"/>
      <c r="Y114" s="245" t="n"/>
      <c r="Z114" s="245" t="n"/>
    </row>
    <row r="115" ht="16.5" customHeight="1" s="202">
      <c r="A115" s="245" t="n"/>
      <c r="B115" s="245" t="n"/>
      <c r="C115" s="245" t="n"/>
      <c r="D115" s="245" t="n"/>
      <c r="E115" s="245" t="n"/>
      <c r="F115" s="245" t="n"/>
      <c r="G115" s="245" t="n"/>
      <c r="H115" s="247" t="n">
        <v>82</v>
      </c>
      <c r="I115" s="245" t="inlineStr">
        <is>
          <t>MRKU2592140</t>
        </is>
      </c>
      <c r="J115" s="245" t="inlineStr">
        <is>
          <t>40FT</t>
        </is>
      </c>
      <c r="K115" s="245" t="inlineStr">
        <is>
          <t>8IN GREEN TEA MF MATTRESS FL</t>
        </is>
      </c>
      <c r="L115" s="245" t="inlineStr">
        <is>
          <t>ZU-MFMA1ZZI-08F</t>
        </is>
      </c>
      <c r="M115" s="248" t="inlineStr">
        <is>
          <t>3OO51U4M</t>
        </is>
      </c>
      <c r="N115" s="245" t="inlineStr">
        <is>
          <t>F.MFM.08F.008.AD</t>
        </is>
      </c>
      <c r="O115" s="245" t="n"/>
      <c r="P115" s="245" t="n"/>
      <c r="Q115" s="250">
        <f>R115/H115</f>
        <v/>
      </c>
      <c r="R115" s="251" t="n">
        <v>4591.18</v>
      </c>
      <c r="S115" s="249" t="n">
        <v>17707</v>
      </c>
      <c r="T115" s="252">
        <f>S115*R115</f>
        <v/>
      </c>
      <c r="U115" s="245" t="n"/>
      <c r="V115" s="245" t="n"/>
      <c r="W115" s="245" t="n"/>
      <c r="X115" s="245" t="n"/>
      <c r="Y115" s="245" t="n"/>
      <c r="Z115" s="245" t="n"/>
    </row>
    <row r="116" ht="16.5" customHeight="1" s="202">
      <c r="A116" s="245" t="n"/>
      <c r="B116" s="245" t="n"/>
      <c r="C116" s="245" t="n"/>
      <c r="D116" s="245" t="n"/>
      <c r="E116" s="245" t="n"/>
      <c r="F116" s="245" t="n"/>
      <c r="G116" s="245" t="n"/>
      <c r="H116" s="247" t="n">
        <v>31</v>
      </c>
      <c r="I116" s="245" t="inlineStr">
        <is>
          <t>TCKU7442638</t>
        </is>
      </c>
      <c r="J116" s="245" t="inlineStr">
        <is>
          <t>40FT</t>
        </is>
      </c>
      <c r="K116" s="245" t="inlineStr">
        <is>
          <t>10IN GREEN TEA MF MATTRESS QN</t>
        </is>
      </c>
      <c r="L116" s="245" t="inlineStr">
        <is>
          <t>ZU-MFMA1ZZI-10Q</t>
        </is>
      </c>
      <c r="M116" s="248" t="inlineStr">
        <is>
          <t>3OO51U4M</t>
        </is>
      </c>
      <c r="N116" s="245" t="inlineStr">
        <is>
          <t>F.MFM.10Q.007.AD</t>
        </is>
      </c>
      <c r="O116" s="245" t="n"/>
      <c r="P116" s="245" t="n"/>
      <c r="Q116" s="250">
        <f>R116/H116</f>
        <v/>
      </c>
      <c r="R116" s="251" t="n">
        <v>2042.28</v>
      </c>
      <c r="S116" s="249" t="n">
        <v>17707</v>
      </c>
      <c r="T116" s="252">
        <f>S116*R116</f>
        <v/>
      </c>
      <c r="U116" s="245" t="n"/>
      <c r="V116" s="245" t="n"/>
      <c r="W116" s="245" t="n"/>
      <c r="X116" s="245" t="n"/>
      <c r="Y116" s="245" t="n"/>
      <c r="Z116" s="245" t="n"/>
    </row>
    <row r="117" ht="16.5" customHeight="1" s="202">
      <c r="A117" s="245" t="n"/>
      <c r="B117" s="245" t="n"/>
      <c r="C117" s="245" t="n"/>
      <c r="D117" s="245" t="n"/>
      <c r="E117" s="245" t="n"/>
      <c r="F117" s="245" t="n"/>
      <c r="G117" s="245" t="n"/>
      <c r="H117" s="247" t="n">
        <v>230</v>
      </c>
      <c r="I117" s="245" t="inlineStr"/>
      <c r="J117" s="245" t="inlineStr"/>
      <c r="K117" s="245" t="inlineStr">
        <is>
          <t>10IN GREEN TEA MF MATTRESS QN</t>
        </is>
      </c>
      <c r="L117" s="245" t="inlineStr">
        <is>
          <t>ZU-MFMA1ZZI-10Q</t>
        </is>
      </c>
      <c r="M117" s="248" t="inlineStr">
        <is>
          <t>53X82W8J</t>
        </is>
      </c>
      <c r="N117" s="245" t="inlineStr">
        <is>
          <t>F.MFM.10Q.007.AD</t>
        </is>
      </c>
      <c r="O117" s="245" t="n"/>
      <c r="P117" s="245" t="n"/>
      <c r="Q117" s="250">
        <f>R117/H117</f>
        <v/>
      </c>
      <c r="R117" s="251" t="n">
        <v>15152.4</v>
      </c>
      <c r="S117" s="249" t="n">
        <v>17707</v>
      </c>
      <c r="T117" s="252">
        <f>S117*R117</f>
        <v/>
      </c>
      <c r="U117" s="245" t="n"/>
      <c r="V117" s="245" t="n"/>
      <c r="W117" s="245" t="n"/>
      <c r="X117" s="245" t="n"/>
      <c r="Y117" s="245" t="n"/>
      <c r="Z117" s="245" t="n"/>
    </row>
    <row r="118" ht="16.5" customHeight="1" s="202">
      <c r="A118" s="245" t="n"/>
      <c r="B118" s="245" t="n"/>
      <c r="C118" s="245" t="n"/>
      <c r="D118" s="245" t="n"/>
      <c r="E118" s="245" t="n"/>
      <c r="F118" s="245" t="n"/>
      <c r="G118" s="245" t="n"/>
      <c r="H118" s="247" t="n">
        <v>540</v>
      </c>
      <c r="I118" s="245" t="inlineStr"/>
      <c r="J118" s="245" t="inlineStr"/>
      <c r="K118" s="245" t="inlineStr">
        <is>
          <t>10IN GREEN TEA MF MATTRESS FL</t>
        </is>
      </c>
      <c r="L118" s="245" t="inlineStr">
        <is>
          <t>ZU-MFMA1ZZI-10F</t>
        </is>
      </c>
      <c r="M118" s="248" t="inlineStr">
        <is>
          <t>5FHZAG4Y</t>
        </is>
      </c>
      <c r="N118" s="245" t="inlineStr">
        <is>
          <t>F.MFM.10F.007.AD</t>
        </is>
      </c>
      <c r="O118" s="245" t="n"/>
      <c r="P118" s="245" t="n"/>
      <c r="Q118" s="250">
        <f>R118/H118</f>
        <v/>
      </c>
      <c r="R118" s="251" t="n">
        <v>33512.4</v>
      </c>
      <c r="S118" s="249" t="n">
        <v>17707</v>
      </c>
      <c r="T118" s="252">
        <f>S118*R118</f>
        <v/>
      </c>
      <c r="U118" s="245" t="n"/>
      <c r="V118" s="245" t="n"/>
      <c r="W118" s="245" t="n"/>
      <c r="X118" s="245" t="n"/>
      <c r="Y118" s="245" t="n"/>
      <c r="Z118" s="245" t="n"/>
    </row>
    <row r="119" ht="16.5" customHeight="1" s="202">
      <c r="A119" s="245" t="n"/>
      <c r="B119" s="245" t="n"/>
      <c r="C119" s="245" t="n"/>
      <c r="D119" s="245" t="n"/>
      <c r="E119" s="245" t="n"/>
      <c r="F119" s="245" t="n"/>
      <c r="G119" s="245" t="n"/>
      <c r="H119" s="247" t="n">
        <v>1</v>
      </c>
      <c r="I119" s="245" t="inlineStr"/>
      <c r="J119" s="245" t="inlineStr"/>
      <c r="K119" s="245" t="inlineStr">
        <is>
          <t>10IN GREEN TEA MF MATTRESS QN</t>
        </is>
      </c>
      <c r="L119" s="245" t="inlineStr">
        <is>
          <t>ZU-MFMA1ZZI-10Q</t>
        </is>
      </c>
      <c r="M119" s="248" t="inlineStr">
        <is>
          <t>5FHZAG4Y</t>
        </is>
      </c>
      <c r="N119" s="245" t="inlineStr">
        <is>
          <t>F.MFM.10Q.007.AD</t>
        </is>
      </c>
      <c r="O119" s="245" t="n"/>
      <c r="P119" s="245" t="n"/>
      <c r="Q119" s="250">
        <f>R119/H119</f>
        <v/>
      </c>
      <c r="R119" s="251" t="n">
        <v>65.88</v>
      </c>
      <c r="S119" s="249" t="n">
        <v>17707</v>
      </c>
      <c r="T119" s="252">
        <f>S119*R119</f>
        <v/>
      </c>
      <c r="U119" s="245" t="n"/>
      <c r="V119" s="245" t="n"/>
      <c r="W119" s="245" t="n"/>
      <c r="X119" s="245" t="n"/>
      <c r="Y119" s="245" t="n"/>
      <c r="Z119" s="245" t="n"/>
    </row>
    <row r="120" ht="16.5" customHeight="1" s="202">
      <c r="A120" s="245" t="n"/>
      <c r="B120" s="245" t="n"/>
      <c r="C120" s="245" t="n"/>
      <c r="D120" s="245" t="n"/>
      <c r="E120" s="245" t="n"/>
      <c r="F120" s="245" t="n"/>
      <c r="G120" s="245" t="n"/>
      <c r="H120" s="247" t="n">
        <v>3</v>
      </c>
      <c r="I120" s="245" t="inlineStr"/>
      <c r="J120" s="245" t="inlineStr"/>
      <c r="K120" s="245" t="inlineStr">
        <is>
          <t>10IN GREEN TEA MF MATTRESS FL</t>
        </is>
      </c>
      <c r="L120" s="245" t="inlineStr">
        <is>
          <t>ZU-MFMA1ZZI-10F</t>
        </is>
      </c>
      <c r="M120" s="248" t="inlineStr">
        <is>
          <t>5KL2HVXO</t>
        </is>
      </c>
      <c r="N120" s="245" t="inlineStr">
        <is>
          <t>F.MFM.10F.007.AD</t>
        </is>
      </c>
      <c r="O120" s="245" t="n"/>
      <c r="P120" s="245" t="n"/>
      <c r="Q120" s="250">
        <f>R120/H120</f>
        <v/>
      </c>
      <c r="R120" s="251" t="n">
        <v>186.18</v>
      </c>
      <c r="S120" s="249" t="n">
        <v>17707</v>
      </c>
      <c r="T120" s="252">
        <f>S120*R120</f>
        <v/>
      </c>
      <c r="U120" s="245" t="n"/>
      <c r="V120" s="245" t="n"/>
      <c r="W120" s="245" t="n"/>
      <c r="X120" s="245" t="n"/>
      <c r="Y120" s="245" t="n"/>
      <c r="Z120" s="245" t="n"/>
    </row>
    <row r="121" ht="16.5" customHeight="1" s="202">
      <c r="A121" s="245" t="n"/>
      <c r="B121" s="245" t="n"/>
      <c r="C121" s="245" t="n"/>
      <c r="D121" s="245" t="n"/>
      <c r="E121" s="245" t="n"/>
      <c r="F121" s="245" t="n"/>
      <c r="G121" s="245" t="n"/>
      <c r="H121" s="247" t="n">
        <v>133</v>
      </c>
      <c r="I121" s="245" t="inlineStr"/>
      <c r="J121" s="245" t="inlineStr"/>
      <c r="K121" s="245" t="inlineStr">
        <is>
          <t>10IN GREEN TEA MF MATTRESS FL</t>
        </is>
      </c>
      <c r="L121" s="245" t="inlineStr">
        <is>
          <t>ZU-MFMA1ZZI-10F</t>
        </is>
      </c>
      <c r="M121" s="248" t="inlineStr">
        <is>
          <t>5XJDPNXP</t>
        </is>
      </c>
      <c r="N121" s="245" t="inlineStr">
        <is>
          <t>F.MFM.10F.007.AD</t>
        </is>
      </c>
      <c r="O121" s="245" t="n"/>
      <c r="P121" s="245" t="n"/>
      <c r="Q121" s="250">
        <f>R121/H121</f>
        <v/>
      </c>
      <c r="R121" s="251" t="n">
        <v>8253.98</v>
      </c>
      <c r="S121" s="249" t="n">
        <v>17707</v>
      </c>
      <c r="T121" s="252">
        <f>S121*R121</f>
        <v/>
      </c>
      <c r="U121" s="245" t="n"/>
      <c r="V121" s="245" t="n"/>
      <c r="W121" s="245" t="n"/>
      <c r="X121" s="245" t="n"/>
      <c r="Y121" s="245" t="n"/>
      <c r="Z121" s="245" t="n"/>
    </row>
    <row r="122" ht="16.5" customHeight="1" s="202">
      <c r="A122" s="245" t="n"/>
      <c r="B122" s="245" t="n"/>
      <c r="C122" s="245" t="n"/>
      <c r="D122" s="245" t="n"/>
      <c r="E122" s="245" t="n"/>
      <c r="F122" s="245" t="n"/>
      <c r="G122" s="245" t="n"/>
      <c r="H122" s="247" t="n">
        <v>245</v>
      </c>
      <c r="I122" s="245" t="inlineStr"/>
      <c r="J122" s="245" t="inlineStr"/>
      <c r="K122" s="245" t="inlineStr">
        <is>
          <t>10IN GREEN TEA MF MATTRESS QN</t>
        </is>
      </c>
      <c r="L122" s="245" t="inlineStr">
        <is>
          <t>ZU-MFMA1ZZI-10Q</t>
        </is>
      </c>
      <c r="M122" s="248" t="inlineStr">
        <is>
          <t>5XJDPNXP</t>
        </is>
      </c>
      <c r="N122" s="245" t="inlineStr">
        <is>
          <t>F.MFM.10Q.007.AD</t>
        </is>
      </c>
      <c r="O122" s="245" t="n"/>
      <c r="P122" s="245" t="n"/>
      <c r="Q122" s="250">
        <f>R122/H122</f>
        <v/>
      </c>
      <c r="R122" s="251" t="n">
        <v>16140.6</v>
      </c>
      <c r="S122" s="249" t="n">
        <v>17707</v>
      </c>
      <c r="T122" s="252">
        <f>S122*R122</f>
        <v/>
      </c>
      <c r="U122" s="245" t="n"/>
      <c r="V122" s="245" t="n"/>
      <c r="W122" s="245" t="n"/>
      <c r="X122" s="245" t="n"/>
      <c r="Y122" s="245" t="n"/>
      <c r="Z122" s="245" t="n"/>
    </row>
    <row r="123" ht="16.5" customHeight="1" s="202">
      <c r="A123" s="245" t="n"/>
      <c r="B123" s="245" t="n"/>
      <c r="C123" s="245" t="n"/>
      <c r="D123" s="245" t="n"/>
      <c r="E123" s="245" t="n"/>
      <c r="F123" s="245" t="n"/>
      <c r="G123" s="245" t="n"/>
      <c r="H123" s="247" t="n">
        <v>2</v>
      </c>
      <c r="I123" s="245" t="inlineStr"/>
      <c r="J123" s="245" t="inlineStr"/>
      <c r="K123" s="245" t="inlineStr">
        <is>
          <t>10IN GREEN TEA MF MATTRESS FL</t>
        </is>
      </c>
      <c r="L123" s="245" t="inlineStr">
        <is>
          <t>ZU-MFMA1ZZI-10F</t>
        </is>
      </c>
      <c r="M123" s="248" t="inlineStr">
        <is>
          <t>69LYW9GV</t>
        </is>
      </c>
      <c r="N123" s="245" t="inlineStr">
        <is>
          <t>F.MFM.10F.007.AD</t>
        </is>
      </c>
      <c r="O123" s="245" t="n"/>
      <c r="P123" s="245" t="n"/>
      <c r="Q123" s="250">
        <f>R123/H123</f>
        <v/>
      </c>
      <c r="R123" s="251" t="n">
        <v>124.12</v>
      </c>
      <c r="S123" s="249" t="n">
        <v>17707</v>
      </c>
      <c r="T123" s="252">
        <f>S123*R123</f>
        <v/>
      </c>
      <c r="U123" s="245" t="n"/>
      <c r="V123" s="245" t="n"/>
      <c r="W123" s="245" t="n"/>
      <c r="X123" s="245" t="n"/>
      <c r="Y123" s="245" t="n"/>
      <c r="Z123" s="245" t="n"/>
    </row>
    <row r="124" ht="16.5" customHeight="1" s="202">
      <c r="A124" s="245" t="n"/>
      <c r="B124" s="245" t="n"/>
      <c r="C124" s="245" t="n"/>
      <c r="D124" s="245" t="n"/>
      <c r="E124" s="245" t="n"/>
      <c r="F124" s="245" t="n"/>
      <c r="G124" s="245" t="n"/>
      <c r="H124" s="247" t="n">
        <v>183</v>
      </c>
      <c r="I124" s="245" t="inlineStr"/>
      <c r="J124" s="245" t="inlineStr"/>
      <c r="K124" s="245" t="inlineStr">
        <is>
          <t>10IN GREEN TEA MF MATTRESS QN</t>
        </is>
      </c>
      <c r="L124" s="245" t="inlineStr">
        <is>
          <t>ZU-MFMA1ZZI-10Q</t>
        </is>
      </c>
      <c r="M124" s="248" t="inlineStr">
        <is>
          <t>69LYW9GV</t>
        </is>
      </c>
      <c r="N124" s="245" t="inlineStr">
        <is>
          <t>F.MFM.10Q.007.AD</t>
        </is>
      </c>
      <c r="O124" s="245" t="n"/>
      <c r="P124" s="245" t="n"/>
      <c r="Q124" s="250">
        <f>R124/H124</f>
        <v/>
      </c>
      <c r="R124" s="251" t="n">
        <v>12056.04</v>
      </c>
      <c r="S124" s="249" t="n">
        <v>17707</v>
      </c>
      <c r="T124" s="252">
        <f>S124*R124</f>
        <v/>
      </c>
      <c r="U124" s="245" t="n"/>
      <c r="V124" s="245" t="n"/>
      <c r="W124" s="245" t="n"/>
      <c r="X124" s="245" t="n"/>
      <c r="Y124" s="245" t="n"/>
      <c r="Z124" s="245" t="n"/>
    </row>
    <row r="125" ht="16.5" customHeight="1" s="202">
      <c r="A125" s="245" t="n"/>
      <c r="B125" s="245" t="n"/>
      <c r="C125" s="245" t="n"/>
      <c r="D125" s="245" t="n"/>
      <c r="E125" s="245" t="n"/>
      <c r="F125" s="245" t="n"/>
      <c r="G125" s="245" t="n"/>
      <c r="H125" s="247" t="n">
        <v>40</v>
      </c>
      <c r="I125" s="245" t="inlineStr"/>
      <c r="J125" s="245" t="inlineStr"/>
      <c r="K125" s="245" t="inlineStr">
        <is>
          <t>12IN GREEN TEA MF MATTRESS TW</t>
        </is>
      </c>
      <c r="L125" s="245" t="inlineStr">
        <is>
          <t>ZU-MFMA1ZZI-12T</t>
        </is>
      </c>
      <c r="M125" s="248" t="inlineStr">
        <is>
          <t>69LYW9GV</t>
        </is>
      </c>
      <c r="N125" s="245" t="inlineStr">
        <is>
          <t>F.MFM.12T.006.AD</t>
        </is>
      </c>
      <c r="O125" s="245" t="n"/>
      <c r="P125" s="245" t="n"/>
      <c r="Q125" s="250">
        <f>R125/H125</f>
        <v/>
      </c>
      <c r="R125" s="251" t="n">
        <v>2528</v>
      </c>
      <c r="S125" s="249" t="n">
        <v>17707</v>
      </c>
      <c r="T125" s="252">
        <f>S125*R125</f>
        <v/>
      </c>
      <c r="U125" s="245" t="n"/>
      <c r="V125" s="245" t="n"/>
      <c r="W125" s="245" t="n"/>
      <c r="X125" s="245" t="n"/>
      <c r="Y125" s="245" t="n"/>
      <c r="Z125" s="245" t="n"/>
    </row>
    <row r="126" ht="16.5" customHeight="1" s="202">
      <c r="A126" s="245" t="n"/>
      <c r="B126" s="245" t="n"/>
      <c r="C126" s="245" t="n"/>
      <c r="D126" s="245" t="n"/>
      <c r="E126" s="245" t="n"/>
      <c r="F126" s="245" t="n"/>
      <c r="G126" s="245" t="n"/>
      <c r="H126" s="247" t="n">
        <v>1</v>
      </c>
      <c r="I126" s="245" t="inlineStr"/>
      <c r="J126" s="245" t="inlineStr"/>
      <c r="K126" s="245" t="inlineStr">
        <is>
          <t>12IN GREEN TEA MF MATTRESS EK</t>
        </is>
      </c>
      <c r="L126" s="245" t="inlineStr">
        <is>
          <t>ZU-MFMA1ZZI-12K</t>
        </is>
      </c>
      <c r="M126" s="248" t="inlineStr">
        <is>
          <t>6T7CSSOY</t>
        </is>
      </c>
      <c r="N126" s="245" t="inlineStr">
        <is>
          <t>F.MFM.12K.006.AD</t>
        </is>
      </c>
      <c r="O126" s="245" t="n"/>
      <c r="P126" s="245" t="n"/>
      <c r="Q126" s="250">
        <f>R126/H126</f>
        <v/>
      </c>
      <c r="R126" s="251" t="n">
        <v>101.97</v>
      </c>
      <c r="S126" s="249" t="n">
        <v>17707</v>
      </c>
      <c r="T126" s="252">
        <f>S126*R126</f>
        <v/>
      </c>
      <c r="U126" s="245" t="n"/>
      <c r="V126" s="245" t="n"/>
      <c r="W126" s="245" t="n"/>
      <c r="X126" s="245" t="n"/>
      <c r="Y126" s="245" t="n"/>
      <c r="Z126" s="245" t="n"/>
    </row>
    <row r="127" ht="17.1" customHeight="1" s="202">
      <c r="A127" s="254" t="n"/>
      <c r="B127" s="254" t="n"/>
      <c r="C127" s="254" t="n"/>
      <c r="D127" s="254" t="n"/>
      <c r="E127" s="254" t="n"/>
      <c r="F127" s="254" t="n"/>
      <c r="G127" s="254" t="n"/>
      <c r="H127" s="255">
        <f>SUM(H113:H126)</f>
        <v/>
      </c>
      <c r="I127" s="254">
        <f>COUNTA(I113:I126)</f>
        <v/>
      </c>
      <c r="J127" s="254" t="n"/>
      <c r="K127" s="254" t="n"/>
      <c r="L127" s="254" t="n"/>
      <c r="M127" s="254" t="n"/>
      <c r="N127" s="254" t="n"/>
      <c r="O127" s="256">
        <f>SUM(O113:O126)</f>
        <v/>
      </c>
      <c r="P127" s="256">
        <f>SUM(P113:P126)</f>
        <v/>
      </c>
      <c r="Q127" s="254" t="n"/>
      <c r="R127" s="257">
        <f>SUM(R113:R126)</f>
        <v/>
      </c>
      <c r="S127" s="254" t="n"/>
      <c r="T127" s="258">
        <f>SUM(T113:T126)</f>
        <v/>
      </c>
      <c r="U127" s="254" t="n"/>
      <c r="V127" s="254" t="n"/>
      <c r="W127" s="254" t="n"/>
      <c r="X127" s="254" t="n"/>
      <c r="Y127" s="254" t="n"/>
      <c r="Z127" s="254" t="n"/>
    </row>
    <row r="128" ht="16.5" customHeight="1" s="202">
      <c r="A128" s="245" t="n">
        <v>21</v>
      </c>
      <c r="B128" s="245" t="inlineStr">
        <is>
          <t>000030ZIK48020260928000862</t>
        </is>
      </c>
      <c r="C128" s="245" t="n">
        <v>616991</v>
      </c>
      <c r="D128" s="245" t="n">
        <v>616921</v>
      </c>
      <c r="E128" s="246" t="n">
        <v>46294</v>
      </c>
      <c r="F128" s="245" t="inlineStr">
        <is>
          <t>ID2609-8622</t>
        </is>
      </c>
      <c r="G128" s="246" t="n">
        <v>46293</v>
      </c>
      <c r="H128" s="247" t="n">
        <v>440</v>
      </c>
      <c r="I128" s="245" t="inlineStr">
        <is>
          <t>MRSU5164852</t>
        </is>
      </c>
      <c r="J128" s="245" t="inlineStr">
        <is>
          <t>40FT</t>
        </is>
      </c>
      <c r="K128" s="245" t="inlineStr">
        <is>
          <t>10IN MYGEL FOAM MATTRESS QN</t>
        </is>
      </c>
      <c r="L128" s="245" t="inlineStr">
        <is>
          <t>ZU-MFGN1YZI-10Q</t>
        </is>
      </c>
      <c r="M128" s="248" t="inlineStr">
        <is>
          <t>3CY15M2U</t>
        </is>
      </c>
      <c r="N128" s="245" t="inlineStr">
        <is>
          <t>F.MFG.10Q.002.AD</t>
        </is>
      </c>
      <c r="O128" s="249" t="n">
        <v>23646.15</v>
      </c>
      <c r="P128" s="249" t="n">
        <v>20745.31</v>
      </c>
      <c r="Q128" s="250">
        <f>R128/H128</f>
        <v/>
      </c>
      <c r="R128" s="251" t="n">
        <v>28987.2</v>
      </c>
      <c r="S128" s="249" t="n">
        <v>17707</v>
      </c>
      <c r="T128" s="252">
        <f>S128*R128</f>
        <v/>
      </c>
      <c r="U128" s="245" t="inlineStr">
        <is>
          <t>040300/KPPBC</t>
        </is>
      </c>
      <c r="V128" s="245" t="inlineStr">
        <is>
          <t>TG. PRIOK</t>
        </is>
      </c>
      <c r="W128" s="245" t="inlineStr">
        <is>
          <t>NEWARK, US</t>
        </is>
      </c>
      <c r="X128" s="245" t="inlineStr">
        <is>
          <t>AMAZON.COM SERVICES LLC</t>
        </is>
      </c>
      <c r="Y128" s="245" t="inlineStr">
        <is>
          <t>MAEU277004702</t>
        </is>
      </c>
      <c r="Z128" s="246" t="n">
        <v>46294</v>
      </c>
    </row>
    <row r="129" ht="16.5" customHeight="1" s="202">
      <c r="A129" s="245" t="n"/>
      <c r="B129" s="245" t="n"/>
      <c r="C129" s="245" t="n"/>
      <c r="D129" s="245" t="n"/>
      <c r="E129" s="245" t="n"/>
      <c r="F129" s="245" t="n"/>
      <c r="G129" s="245" t="n"/>
      <c r="H129" s="247" t="n">
        <v>1</v>
      </c>
      <c r="I129" s="245" t="inlineStr">
        <is>
          <t>HASU4132470</t>
        </is>
      </c>
      <c r="J129" s="245" t="inlineStr">
        <is>
          <t>40FT</t>
        </is>
      </c>
      <c r="K129" s="245" t="inlineStr">
        <is>
          <t>12IN MYGEL FOAM MATTRESS FL</t>
        </is>
      </c>
      <c r="L129" s="245" t="inlineStr">
        <is>
          <t>ZU-MFGN1YZI-12F</t>
        </is>
      </c>
      <c r="M129" s="248" t="inlineStr">
        <is>
          <t>3CY15M2U</t>
        </is>
      </c>
      <c r="N129" s="245" t="inlineStr">
        <is>
          <t>F.MFG.12F.002.AD</t>
        </is>
      </c>
      <c r="O129" s="245" t="n"/>
      <c r="P129" s="245" t="n"/>
      <c r="Q129" s="250">
        <f>R129/H129</f>
        <v/>
      </c>
      <c r="R129" s="251" t="n">
        <v>70.81</v>
      </c>
      <c r="S129" s="249" t="n">
        <v>17707</v>
      </c>
      <c r="T129" s="252">
        <f>S129*R129</f>
        <v/>
      </c>
      <c r="U129" s="245" t="n"/>
      <c r="V129" s="245" t="n"/>
      <c r="W129" s="245" t="inlineStr">
        <is>
          <t>ETD : 04-10-2026</t>
        </is>
      </c>
      <c r="X129" s="245" t="n"/>
      <c r="Y129" s="245" t="n"/>
      <c r="Z129" s="245" t="n"/>
    </row>
    <row r="130" ht="16.5" customHeight="1" s="202">
      <c r="A130" s="245" t="n"/>
      <c r="B130" s="245" t="n"/>
      <c r="C130" s="245" t="n"/>
      <c r="D130" s="245" t="n"/>
      <c r="E130" s="245" t="n"/>
      <c r="F130" s="245" t="n"/>
      <c r="G130" s="245" t="n"/>
      <c r="H130" s="247" t="n">
        <v>1</v>
      </c>
      <c r="I130" s="245" t="inlineStr"/>
      <c r="J130" s="245" t="inlineStr"/>
      <c r="K130" s="245" t="inlineStr">
        <is>
          <t>8IN OPP HD TW</t>
        </is>
      </c>
      <c r="L130" s="245" t="inlineStr">
        <is>
          <t>ZU-MFMA1OZI-08T</t>
        </is>
      </c>
      <c r="M130" s="248" t="inlineStr">
        <is>
          <t>3CY15M2U</t>
        </is>
      </c>
      <c r="N130" s="245" t="inlineStr">
        <is>
          <t>F.MFM.08T.013.AD</t>
        </is>
      </c>
      <c r="O130" s="245" t="n"/>
      <c r="P130" s="245" t="n"/>
      <c r="Q130" s="250">
        <f>R130/H130</f>
        <v/>
      </c>
      <c r="R130" s="251" t="n">
        <v>29.94</v>
      </c>
      <c r="S130" s="249" t="n">
        <v>17707</v>
      </c>
      <c r="T130" s="252">
        <f>S130*R130</f>
        <v/>
      </c>
      <c r="U130" s="245" t="n"/>
      <c r="V130" s="245" t="n"/>
      <c r="W130" s="245" t="n"/>
      <c r="X130" s="245" t="n"/>
      <c r="Y130" s="245" t="n"/>
      <c r="Z130" s="245" t="n"/>
    </row>
    <row r="131" ht="16.5" customHeight="1" s="202">
      <c r="A131" s="245" t="n"/>
      <c r="B131" s="245" t="n"/>
      <c r="C131" s="245" t="n"/>
      <c r="D131" s="245" t="n"/>
      <c r="E131" s="245" t="n"/>
      <c r="F131" s="245" t="n"/>
      <c r="G131" s="245" t="n"/>
      <c r="H131" s="247" t="n">
        <v>1</v>
      </c>
      <c r="I131" s="245" t="inlineStr"/>
      <c r="J131" s="245" t="inlineStr"/>
      <c r="K131" s="245" t="inlineStr">
        <is>
          <t>10IN GREEN TEA MF MATTRESS QN</t>
        </is>
      </c>
      <c r="L131" s="245" t="inlineStr">
        <is>
          <t>ZU-MFMA1ZZI-10Q</t>
        </is>
      </c>
      <c r="M131" s="248" t="inlineStr">
        <is>
          <t>3CY15M2U</t>
        </is>
      </c>
      <c r="N131" s="245" t="inlineStr">
        <is>
          <t>F.MFM.10Q.007.AD</t>
        </is>
      </c>
      <c r="O131" s="245" t="n"/>
      <c r="P131" s="245" t="n"/>
      <c r="Q131" s="250">
        <f>R131/H131</f>
        <v/>
      </c>
      <c r="R131" s="251" t="n">
        <v>65.88</v>
      </c>
      <c r="S131" s="249" t="n">
        <v>17707</v>
      </c>
      <c r="T131" s="252">
        <f>S131*R131</f>
        <v/>
      </c>
      <c r="U131" s="245" t="n"/>
      <c r="V131" s="245" t="n"/>
      <c r="W131" s="245" t="n"/>
      <c r="X131" s="245" t="n"/>
      <c r="Y131" s="245" t="n"/>
      <c r="Z131" s="245" t="n"/>
    </row>
    <row r="132" ht="16.5" customHeight="1" s="202">
      <c r="A132" s="245" t="n"/>
      <c r="B132" s="245" t="n"/>
      <c r="C132" s="245" t="n"/>
      <c r="D132" s="245" t="n"/>
      <c r="E132" s="245" t="n"/>
      <c r="F132" s="245" t="n"/>
      <c r="G132" s="245" t="n"/>
      <c r="H132" s="247" t="n">
        <v>92</v>
      </c>
      <c r="I132" s="245" t="inlineStr"/>
      <c r="J132" s="245" t="inlineStr"/>
      <c r="K132" s="245" t="inlineStr">
        <is>
          <t>10IN MYGEL FOAM MATTRESS QN</t>
        </is>
      </c>
      <c r="L132" s="245" t="inlineStr">
        <is>
          <t>ZU-MFGN1YZI-10Q</t>
        </is>
      </c>
      <c r="M132" s="248" t="inlineStr">
        <is>
          <t>56JYEOAE</t>
        </is>
      </c>
      <c r="N132" s="245" t="inlineStr">
        <is>
          <t>F.MFG.10Q.002.AD</t>
        </is>
      </c>
      <c r="O132" s="245" t="n"/>
      <c r="P132" s="245" t="n"/>
      <c r="Q132" s="250">
        <f>R132/H132</f>
        <v/>
      </c>
      <c r="R132" s="251" t="n">
        <v>6060.96</v>
      </c>
      <c r="S132" s="249" t="n">
        <v>17707</v>
      </c>
      <c r="T132" s="252">
        <f>S132*R132</f>
        <v/>
      </c>
      <c r="U132" s="245" t="n"/>
      <c r="V132" s="245" t="n"/>
      <c r="W132" s="245" t="n"/>
      <c r="X132" s="245" t="n"/>
      <c r="Y132" s="245" t="n"/>
      <c r="Z132" s="245" t="n"/>
    </row>
    <row r="133" ht="16.5" customHeight="1" s="202">
      <c r="A133" s="245" t="n"/>
      <c r="B133" s="245" t="n"/>
      <c r="C133" s="245" t="n"/>
      <c r="D133" s="245" t="n"/>
      <c r="E133" s="245" t="n"/>
      <c r="F133" s="245" t="n"/>
      <c r="G133" s="245" t="n"/>
      <c r="H133" s="247" t="n">
        <v>2</v>
      </c>
      <c r="I133" s="245" t="inlineStr"/>
      <c r="J133" s="245" t="inlineStr"/>
      <c r="K133" s="245" t="inlineStr">
        <is>
          <t>12IN MYGEL FOAM MATTRESS FL</t>
        </is>
      </c>
      <c r="L133" s="245" t="inlineStr">
        <is>
          <t>ZU-MFGN1YZI-12F</t>
        </is>
      </c>
      <c r="M133" s="248" t="inlineStr">
        <is>
          <t>56JYEOAE</t>
        </is>
      </c>
      <c r="N133" s="245" t="inlineStr">
        <is>
          <t>F.MFG.12F.002.AD</t>
        </is>
      </c>
      <c r="O133" s="245" t="n"/>
      <c r="P133" s="245" t="n"/>
      <c r="Q133" s="250">
        <f>R133/H133</f>
        <v/>
      </c>
      <c r="R133" s="251" t="n">
        <v>141.62</v>
      </c>
      <c r="S133" s="249" t="n">
        <v>17707</v>
      </c>
      <c r="T133" s="252">
        <f>S133*R133</f>
        <v/>
      </c>
      <c r="U133" s="245" t="n"/>
      <c r="V133" s="245" t="n"/>
      <c r="W133" s="245" t="n"/>
      <c r="X133" s="245" t="n"/>
      <c r="Y133" s="245" t="n"/>
      <c r="Z133" s="245" t="n"/>
    </row>
    <row r="134" ht="16.5" customHeight="1" s="202">
      <c r="A134" s="245" t="n"/>
      <c r="B134" s="245" t="n"/>
      <c r="C134" s="245" t="n"/>
      <c r="D134" s="245" t="n"/>
      <c r="E134" s="245" t="n"/>
      <c r="F134" s="245" t="n"/>
      <c r="G134" s="245" t="n"/>
      <c r="H134" s="247" t="n">
        <v>347</v>
      </c>
      <c r="I134" s="245" t="inlineStr"/>
      <c r="J134" s="245" t="inlineStr"/>
      <c r="K134" s="245" t="inlineStr">
        <is>
          <t>10IN AIRFLOW GEL FOAM MATT QN</t>
        </is>
      </c>
      <c r="L134" s="245" t="inlineStr">
        <is>
          <t>ZU-MFMA1RZI-10Q</t>
        </is>
      </c>
      <c r="M134" s="248" t="inlineStr">
        <is>
          <t>56JYEOAE</t>
        </is>
      </c>
      <c r="N134" s="245" t="inlineStr">
        <is>
          <t>F.MFM.10Q.014.AD</t>
        </is>
      </c>
      <c r="O134" s="245" t="n"/>
      <c r="P134" s="245" t="n"/>
      <c r="Q134" s="250">
        <f>R134/H134</f>
        <v/>
      </c>
      <c r="R134" s="251" t="n">
        <v>18703.3</v>
      </c>
      <c r="S134" s="249" t="n">
        <v>17707</v>
      </c>
      <c r="T134" s="252">
        <f>S134*R134</f>
        <v/>
      </c>
      <c r="U134" s="245" t="n"/>
      <c r="V134" s="245" t="n"/>
      <c r="W134" s="245" t="n"/>
      <c r="X134" s="245" t="n"/>
      <c r="Y134" s="245" t="n"/>
      <c r="Z134" s="245" t="n"/>
    </row>
    <row r="135" ht="16.5" customHeight="1" s="202">
      <c r="A135" s="245" t="n"/>
      <c r="B135" s="245" t="n"/>
      <c r="C135" s="245" t="n"/>
      <c r="D135" s="245" t="n"/>
      <c r="E135" s="245" t="n"/>
      <c r="F135" s="245" t="n"/>
      <c r="G135" s="245" t="n"/>
      <c r="H135" s="247" t="n">
        <v>1</v>
      </c>
      <c r="I135" s="245" t="inlineStr"/>
      <c r="J135" s="245" t="inlineStr"/>
      <c r="K135" s="245" t="inlineStr">
        <is>
          <t>8IN GREEN TEA MF MATTRESS FL</t>
        </is>
      </c>
      <c r="L135" s="245" t="inlineStr">
        <is>
          <t>ZU-MFMA1ZZI-08F</t>
        </is>
      </c>
      <c r="M135" s="248" t="inlineStr">
        <is>
          <t>56JYEOAE</t>
        </is>
      </c>
      <c r="N135" s="245" t="inlineStr">
        <is>
          <t>F.MFM.08F.008.AD</t>
        </is>
      </c>
      <c r="O135" s="245" t="n"/>
      <c r="P135" s="245" t="n"/>
      <c r="Q135" s="250">
        <f>R135/H135</f>
        <v/>
      </c>
      <c r="R135" s="251" t="n">
        <v>55.99</v>
      </c>
      <c r="S135" s="249" t="n">
        <v>17707</v>
      </c>
      <c r="T135" s="252">
        <f>S135*R135</f>
        <v/>
      </c>
      <c r="U135" s="245" t="n"/>
      <c r="V135" s="245" t="n"/>
      <c r="W135" s="245" t="n"/>
      <c r="X135" s="245" t="n"/>
      <c r="Y135" s="245" t="n"/>
      <c r="Z135" s="245" t="n"/>
    </row>
    <row r="136" ht="17.1" customHeight="1" s="202">
      <c r="A136" s="254" t="n"/>
      <c r="B136" s="254" t="n"/>
      <c r="C136" s="254" t="n"/>
      <c r="D136" s="254" t="n"/>
      <c r="E136" s="254" t="n"/>
      <c r="F136" s="254" t="n"/>
      <c r="G136" s="254" t="n"/>
      <c r="H136" s="255">
        <f>SUM(H128:H135)</f>
        <v/>
      </c>
      <c r="I136" s="254">
        <f>COUNTA(I128:I135)</f>
        <v/>
      </c>
      <c r="J136" s="254" t="n"/>
      <c r="K136" s="254" t="n"/>
      <c r="L136" s="254" t="n"/>
      <c r="M136" s="254" t="n"/>
      <c r="N136" s="254" t="n"/>
      <c r="O136" s="256">
        <f>SUM(O128:O135)</f>
        <v/>
      </c>
      <c r="P136" s="256">
        <f>SUM(P128:P135)</f>
        <v/>
      </c>
      <c r="Q136" s="254" t="n"/>
      <c r="R136" s="257">
        <f>SUM(R128:R135)</f>
        <v/>
      </c>
      <c r="S136" s="254" t="n"/>
      <c r="T136" s="258">
        <f>SUM(T128:T135)</f>
        <v/>
      </c>
      <c r="U136" s="254" t="n"/>
      <c r="V136" s="254" t="n"/>
      <c r="W136" s="254" t="n"/>
      <c r="X136" s="254" t="n"/>
      <c r="Y136" s="254" t="n"/>
      <c r="Z136" s="254" t="n"/>
    </row>
    <row r="137" ht="16.5" customHeight="1" s="202">
      <c r="A137" s="245" t="n">
        <v>22</v>
      </c>
      <c r="B137" s="245" t="inlineStr">
        <is>
          <t>000030ZIK48020260928000863</t>
        </is>
      </c>
      <c r="C137" s="245" t="n">
        <v>617558</v>
      </c>
      <c r="D137" s="245" t="n">
        <v>617487</v>
      </c>
      <c r="E137" s="246" t="n">
        <v>46294</v>
      </c>
      <c r="F137" s="245" t="inlineStr">
        <is>
          <t>ID2609-8629</t>
        </is>
      </c>
      <c r="G137" s="246" t="n">
        <v>46293</v>
      </c>
      <c r="H137" s="247" t="n">
        <v>330</v>
      </c>
      <c r="I137" s="245" t="inlineStr">
        <is>
          <t>EITU1715574</t>
        </is>
      </c>
      <c r="J137" s="245" t="inlineStr">
        <is>
          <t>40FT</t>
        </is>
      </c>
      <c r="K137" s="245" t="inlineStr">
        <is>
          <t>10IN GREEN TEA MF MATTRESS QN</t>
        </is>
      </c>
      <c r="L137" s="245" t="inlineStr">
        <is>
          <t>ZU-MFMA1ZZI-10Q</t>
        </is>
      </c>
      <c r="M137" s="248" t="inlineStr">
        <is>
          <t>1WL9YPZO</t>
        </is>
      </c>
      <c r="N137" s="245" t="inlineStr">
        <is>
          <t>F.MFM.10Q.007.AD</t>
        </is>
      </c>
      <c r="O137" s="249" t="n">
        <v>66054.58</v>
      </c>
      <c r="P137" s="249" t="n">
        <v>59804.5</v>
      </c>
      <c r="Q137" s="250">
        <f>R137/H137</f>
        <v/>
      </c>
      <c r="R137" s="251" t="n">
        <v>21740.4</v>
      </c>
      <c r="S137" s="249" t="n">
        <v>17707</v>
      </c>
      <c r="T137" s="252">
        <f>S137*R137</f>
        <v/>
      </c>
      <c r="U137" s="245" t="inlineStr">
        <is>
          <t>040300/KPPBC</t>
        </is>
      </c>
      <c r="V137" s="245" t="inlineStr">
        <is>
          <t>TG. PRIOK</t>
        </is>
      </c>
      <c r="W137" s="245" t="inlineStr">
        <is>
          <t>NORFOLK, US</t>
        </is>
      </c>
      <c r="X137" s="245" t="inlineStr">
        <is>
          <t>AMAZON.COM SERVICES LLC</t>
        </is>
      </c>
      <c r="Y137" s="245" t="inlineStr">
        <is>
          <t>EGLV080600627879</t>
        </is>
      </c>
      <c r="Z137" s="246" t="n">
        <v>46294</v>
      </c>
    </row>
    <row r="138" ht="16.5" customHeight="1" s="202">
      <c r="A138" s="245" t="n"/>
      <c r="B138" s="245" t="n"/>
      <c r="C138" s="245" t="n"/>
      <c r="D138" s="245" t="n"/>
      <c r="E138" s="245" t="n"/>
      <c r="F138" s="245" t="n"/>
      <c r="G138" s="245" t="n"/>
      <c r="H138" s="247" t="n">
        <v>1</v>
      </c>
      <c r="I138" s="245" t="inlineStr">
        <is>
          <t>TGBU7140910</t>
        </is>
      </c>
      <c r="J138" s="245" t="inlineStr">
        <is>
          <t>40FT</t>
        </is>
      </c>
      <c r="K138" s="245" t="inlineStr">
        <is>
          <t>8IN GREEN TEA MF MATTRESS FL</t>
        </is>
      </c>
      <c r="L138" s="245" t="inlineStr">
        <is>
          <t>ZU-MFMA1ZZI-08F</t>
        </is>
      </c>
      <c r="M138" s="248" t="inlineStr">
        <is>
          <t>23628QYO</t>
        </is>
      </c>
      <c r="N138" s="245" t="inlineStr">
        <is>
          <t>F.MFM.08F.008.AD</t>
        </is>
      </c>
      <c r="O138" s="245" t="n"/>
      <c r="P138" s="245" t="n"/>
      <c r="Q138" s="250">
        <f>R138/H138</f>
        <v/>
      </c>
      <c r="R138" s="251" t="n">
        <v>55.99</v>
      </c>
      <c r="S138" s="249" t="n">
        <v>17707</v>
      </c>
      <c r="T138" s="252">
        <f>S138*R138</f>
        <v/>
      </c>
      <c r="U138" s="245" t="n"/>
      <c r="V138" s="245" t="n"/>
      <c r="W138" s="245" t="inlineStr">
        <is>
          <t>ETD : 01-10-2026</t>
        </is>
      </c>
      <c r="X138" s="245" t="n"/>
      <c r="Y138" s="245" t="n"/>
      <c r="Z138" s="245" t="n"/>
    </row>
    <row r="139" ht="16.5" customHeight="1" s="202">
      <c r="A139" s="245" t="n"/>
      <c r="B139" s="245" t="n"/>
      <c r="C139" s="245" t="n"/>
      <c r="D139" s="245" t="n"/>
      <c r="E139" s="245" t="n"/>
      <c r="F139" s="245" t="n"/>
      <c r="G139" s="245" t="n"/>
      <c r="H139" s="247" t="n">
        <v>395</v>
      </c>
      <c r="I139" s="245" t="inlineStr">
        <is>
          <t>EITU9178337</t>
        </is>
      </c>
      <c r="J139" s="245" t="inlineStr">
        <is>
          <t>40FT</t>
        </is>
      </c>
      <c r="K139" s="245" t="inlineStr">
        <is>
          <t>10IN GREEN TEA MF MATTRESS FL</t>
        </is>
      </c>
      <c r="L139" s="245" t="inlineStr">
        <is>
          <t>ZU-MFMA1ZZI-10F</t>
        </is>
      </c>
      <c r="M139" s="248" t="inlineStr">
        <is>
          <t>27RZMQ6Y</t>
        </is>
      </c>
      <c r="N139" s="245" t="inlineStr">
        <is>
          <t>F.MFM.10F.007.AD</t>
        </is>
      </c>
      <c r="O139" s="245" t="n"/>
      <c r="P139" s="245" t="n"/>
      <c r="Q139" s="250">
        <f>R139/H139</f>
        <v/>
      </c>
      <c r="R139" s="251" t="n">
        <v>24513.7</v>
      </c>
      <c r="S139" s="249" t="n">
        <v>17707</v>
      </c>
      <c r="T139" s="252">
        <f>S139*R139</f>
        <v/>
      </c>
      <c r="U139" s="245" t="n"/>
      <c r="V139" s="245" t="n"/>
      <c r="W139" s="245" t="n"/>
      <c r="X139" s="245" t="n"/>
      <c r="Y139" s="245" t="n"/>
      <c r="Z139" s="245" t="n"/>
    </row>
    <row r="140" ht="16.5" customHeight="1" s="202">
      <c r="A140" s="245" t="n"/>
      <c r="B140" s="245" t="n"/>
      <c r="C140" s="245" t="n"/>
      <c r="D140" s="245" t="n"/>
      <c r="E140" s="245" t="n"/>
      <c r="F140" s="245" t="n"/>
      <c r="G140" s="245" t="n"/>
      <c r="H140" s="247" t="n">
        <v>98</v>
      </c>
      <c r="I140" s="245" t="inlineStr">
        <is>
          <t>TRHU6766245</t>
        </is>
      </c>
      <c r="J140" s="245" t="inlineStr">
        <is>
          <t>40FT</t>
        </is>
      </c>
      <c r="K140" s="245" t="inlineStr">
        <is>
          <t>10IN GREEN TEA MF MATTRESS TW</t>
        </is>
      </c>
      <c r="L140" s="245" t="inlineStr">
        <is>
          <t>ZU-MFMA1ZZI-10T</t>
        </is>
      </c>
      <c r="M140" s="248" t="inlineStr">
        <is>
          <t>313GSAPC</t>
        </is>
      </c>
      <c r="N140" s="245" t="inlineStr">
        <is>
          <t>F.MFM.10T.007.AD</t>
        </is>
      </c>
      <c r="O140" s="245" t="n"/>
      <c r="P140" s="245" t="n"/>
      <c r="Q140" s="250">
        <f>R140/H140</f>
        <v/>
      </c>
      <c r="R140" s="251" t="n">
        <v>5413.52</v>
      </c>
      <c r="S140" s="249" t="n">
        <v>17707</v>
      </c>
      <c r="T140" s="252">
        <f>S140*R140</f>
        <v/>
      </c>
      <c r="U140" s="245" t="n"/>
      <c r="V140" s="245" t="n"/>
      <c r="W140" s="245" t="n"/>
      <c r="X140" s="245" t="n"/>
      <c r="Y140" s="245" t="n"/>
      <c r="Z140" s="245" t="n"/>
    </row>
    <row r="141" ht="16.5" customHeight="1" s="202">
      <c r="A141" s="245" t="n"/>
      <c r="B141" s="245" t="n"/>
      <c r="C141" s="245" t="n"/>
      <c r="D141" s="245" t="n"/>
      <c r="E141" s="245" t="n"/>
      <c r="F141" s="245" t="n"/>
      <c r="G141" s="245" t="n"/>
      <c r="H141" s="247" t="n">
        <v>204</v>
      </c>
      <c r="I141" s="245" t="inlineStr">
        <is>
          <t>BEAU5027737</t>
        </is>
      </c>
      <c r="J141" s="245" t="inlineStr">
        <is>
          <t>40FT</t>
        </is>
      </c>
      <c r="K141" s="245" t="inlineStr">
        <is>
          <t>12IN GREEN TEA MF MATTRESS EK</t>
        </is>
      </c>
      <c r="L141" s="245" t="inlineStr">
        <is>
          <t>ZU-MFMA1ZZI-12K</t>
        </is>
      </c>
      <c r="M141" s="248" t="inlineStr">
        <is>
          <t>313GSAPC</t>
        </is>
      </c>
      <c r="N141" s="245" t="inlineStr">
        <is>
          <t>F.MFM.12K.006.AD</t>
        </is>
      </c>
      <c r="O141" s="245" t="n"/>
      <c r="P141" s="245" t="n"/>
      <c r="Q141" s="250">
        <f>R141/H141</f>
        <v/>
      </c>
      <c r="R141" s="251" t="n">
        <v>20801.88</v>
      </c>
      <c r="S141" s="249" t="n">
        <v>17707</v>
      </c>
      <c r="T141" s="252">
        <f>S141*R141</f>
        <v/>
      </c>
      <c r="U141" s="245" t="n"/>
      <c r="V141" s="245" t="n"/>
      <c r="W141" s="245" t="n"/>
      <c r="X141" s="245" t="n"/>
      <c r="Y141" s="245" t="n"/>
      <c r="Z141" s="245" t="n"/>
    </row>
    <row r="142" ht="16.5" customHeight="1" s="202">
      <c r="A142" s="245" t="n"/>
      <c r="B142" s="245" t="n"/>
      <c r="C142" s="245" t="n"/>
      <c r="D142" s="245" t="n"/>
      <c r="E142" s="245" t="n"/>
      <c r="F142" s="245" t="n"/>
      <c r="G142" s="245" t="n"/>
      <c r="H142" s="247" t="n">
        <v>50</v>
      </c>
      <c r="I142" s="245" t="inlineStr"/>
      <c r="J142" s="245" t="inlineStr"/>
      <c r="K142" s="245" t="inlineStr">
        <is>
          <t>12IN GREEN TEA MF MATTRESS EK</t>
        </is>
      </c>
      <c r="L142" s="245" t="inlineStr">
        <is>
          <t>ZU-MFMA1ZZI-12K</t>
        </is>
      </c>
      <c r="M142" s="248" t="inlineStr">
        <is>
          <t>3S2V4ADN</t>
        </is>
      </c>
      <c r="N142" s="245" t="inlineStr">
        <is>
          <t>F.MFM.12K.006.AD</t>
        </is>
      </c>
      <c r="O142" s="245" t="n"/>
      <c r="P142" s="245" t="n"/>
      <c r="Q142" s="250">
        <f>R142/H142</f>
        <v/>
      </c>
      <c r="R142" s="251" t="n">
        <v>5098.5</v>
      </c>
      <c r="S142" s="249" t="n">
        <v>17707</v>
      </c>
      <c r="T142" s="252">
        <f>S142*R142</f>
        <v/>
      </c>
      <c r="U142" s="245" t="n"/>
      <c r="V142" s="245" t="n"/>
      <c r="W142" s="245" t="n"/>
      <c r="X142" s="245" t="n"/>
      <c r="Y142" s="245" t="n"/>
      <c r="Z142" s="245" t="n"/>
    </row>
    <row r="143" ht="16.5" customHeight="1" s="202">
      <c r="A143" s="245" t="n"/>
      <c r="B143" s="245" t="n"/>
      <c r="C143" s="245" t="n"/>
      <c r="D143" s="245" t="n"/>
      <c r="E143" s="245" t="n"/>
      <c r="F143" s="245" t="n"/>
      <c r="G143" s="245" t="n"/>
      <c r="H143" s="247" t="n">
        <v>340</v>
      </c>
      <c r="I143" s="245" t="inlineStr"/>
      <c r="J143" s="245" t="inlineStr"/>
      <c r="K143" s="245" t="inlineStr">
        <is>
          <t>10IN GREEN TEA MF MATTRESS QN</t>
        </is>
      </c>
      <c r="L143" s="245" t="inlineStr">
        <is>
          <t>ZU-MFMA1ZZI-10Q</t>
        </is>
      </c>
      <c r="M143" s="248" t="inlineStr">
        <is>
          <t>51GW78GO</t>
        </is>
      </c>
      <c r="N143" s="245" t="inlineStr">
        <is>
          <t>F.MFM.10Q.007.AD</t>
        </is>
      </c>
      <c r="O143" s="245" t="n"/>
      <c r="P143" s="245" t="n"/>
      <c r="Q143" s="250">
        <f>R143/H143</f>
        <v/>
      </c>
      <c r="R143" s="251" t="n">
        <v>22399.2</v>
      </c>
      <c r="S143" s="249" t="n">
        <v>17707</v>
      </c>
      <c r="T143" s="252">
        <f>S143*R143</f>
        <v/>
      </c>
      <c r="U143" s="245" t="n"/>
      <c r="V143" s="245" t="n"/>
      <c r="W143" s="245" t="n"/>
      <c r="X143" s="245" t="n"/>
      <c r="Y143" s="245" t="n"/>
      <c r="Z143" s="245" t="n"/>
    </row>
    <row r="144" ht="16.5" customHeight="1" s="202">
      <c r="A144" s="245" t="n"/>
      <c r="B144" s="245" t="n"/>
      <c r="C144" s="245" t="n"/>
      <c r="D144" s="245" t="n"/>
      <c r="E144" s="245" t="n"/>
      <c r="F144" s="245" t="n"/>
      <c r="G144" s="245" t="n"/>
      <c r="H144" s="247" t="n">
        <v>30</v>
      </c>
      <c r="I144" s="245" t="inlineStr"/>
      <c r="J144" s="245" t="inlineStr"/>
      <c r="K144" s="245" t="inlineStr">
        <is>
          <t>12IN GREEN TEA MF MATTRESS TW</t>
        </is>
      </c>
      <c r="L144" s="245" t="inlineStr">
        <is>
          <t>ZU-MFMA1ZZI-12T</t>
        </is>
      </c>
      <c r="M144" s="248" t="inlineStr">
        <is>
          <t>51GW78GO</t>
        </is>
      </c>
      <c r="N144" s="245" t="inlineStr">
        <is>
          <t>F.MFM.12T.006.AD</t>
        </is>
      </c>
      <c r="O144" s="245" t="n"/>
      <c r="P144" s="245" t="n"/>
      <c r="Q144" s="250">
        <f>R144/H144</f>
        <v/>
      </c>
      <c r="R144" s="251" t="n">
        <v>1896</v>
      </c>
      <c r="S144" s="249" t="n">
        <v>17707</v>
      </c>
      <c r="T144" s="252">
        <f>S144*R144</f>
        <v/>
      </c>
      <c r="U144" s="245" t="n"/>
      <c r="V144" s="245" t="n"/>
      <c r="W144" s="245" t="n"/>
      <c r="X144" s="245" t="n"/>
      <c r="Y144" s="245" t="n"/>
      <c r="Z144" s="245" t="n"/>
    </row>
    <row r="145" ht="16.5" customHeight="1" s="202">
      <c r="A145" s="245" t="n"/>
      <c r="B145" s="245" t="n"/>
      <c r="C145" s="245" t="n"/>
      <c r="D145" s="245" t="n"/>
      <c r="E145" s="245" t="n"/>
      <c r="F145" s="245" t="n"/>
      <c r="G145" s="245" t="n"/>
      <c r="H145" s="247" t="n">
        <v>2</v>
      </c>
      <c r="I145" s="245" t="inlineStr"/>
      <c r="J145" s="245" t="inlineStr"/>
      <c r="K145" s="245" t="inlineStr">
        <is>
          <t>10IN GREEN TEA MF MATTRESS QN</t>
        </is>
      </c>
      <c r="L145" s="245" t="inlineStr">
        <is>
          <t>ZU-MFMA1ZZI-10Q</t>
        </is>
      </c>
      <c r="M145" s="248" t="inlineStr">
        <is>
          <t>5BSH38EU</t>
        </is>
      </c>
      <c r="N145" s="245" t="inlineStr">
        <is>
          <t>F.MFM.10Q.007.AD</t>
        </is>
      </c>
      <c r="O145" s="245" t="n"/>
      <c r="P145" s="245" t="n"/>
      <c r="Q145" s="250">
        <f>R145/H145</f>
        <v/>
      </c>
      <c r="R145" s="251" t="n">
        <v>131.76</v>
      </c>
      <c r="S145" s="249" t="n">
        <v>17707</v>
      </c>
      <c r="T145" s="252">
        <f>S145*R145</f>
        <v/>
      </c>
      <c r="U145" s="245" t="n"/>
      <c r="V145" s="245" t="n"/>
      <c r="W145" s="245" t="n"/>
      <c r="X145" s="245" t="n"/>
      <c r="Y145" s="245" t="n"/>
      <c r="Z145" s="245" t="n"/>
    </row>
    <row r="146" ht="16.5" customHeight="1" s="202">
      <c r="A146" s="245" t="n"/>
      <c r="B146" s="245" t="n"/>
      <c r="C146" s="245" t="n"/>
      <c r="D146" s="245" t="n"/>
      <c r="E146" s="245" t="n"/>
      <c r="F146" s="245" t="n"/>
      <c r="G146" s="245" t="n"/>
      <c r="H146" s="247" t="n">
        <v>397</v>
      </c>
      <c r="I146" s="245" t="inlineStr"/>
      <c r="J146" s="245" t="inlineStr"/>
      <c r="K146" s="245" t="inlineStr">
        <is>
          <t>12IN GREEN TEA MF MATTRESS EK</t>
        </is>
      </c>
      <c r="L146" s="245" t="inlineStr">
        <is>
          <t>ZU-MFMA1ZZI-12K</t>
        </is>
      </c>
      <c r="M146" s="248" t="inlineStr">
        <is>
          <t>5BSH38EU</t>
        </is>
      </c>
      <c r="N146" s="245" t="inlineStr">
        <is>
          <t>F.MFM.12K.006.AD</t>
        </is>
      </c>
      <c r="O146" s="245" t="n"/>
      <c r="P146" s="245" t="n"/>
      <c r="Q146" s="250">
        <f>R146/H146</f>
        <v/>
      </c>
      <c r="R146" s="251" t="n">
        <v>40482.09</v>
      </c>
      <c r="S146" s="249" t="n">
        <v>17707</v>
      </c>
      <c r="T146" s="252">
        <f>S146*R146</f>
        <v/>
      </c>
      <c r="U146" s="245" t="n"/>
      <c r="V146" s="245" t="n"/>
      <c r="W146" s="245" t="n"/>
      <c r="X146" s="245" t="n"/>
      <c r="Y146" s="245" t="n"/>
      <c r="Z146" s="245" t="n"/>
    </row>
    <row r="147" ht="16.5" customHeight="1" s="202">
      <c r="A147" s="245" t="n"/>
      <c r="B147" s="245" t="n"/>
      <c r="C147" s="245" t="n"/>
      <c r="D147" s="245" t="n"/>
      <c r="E147" s="245" t="n"/>
      <c r="F147" s="245" t="n"/>
      <c r="G147" s="245" t="n"/>
      <c r="H147" s="247" t="n">
        <v>360</v>
      </c>
      <c r="I147" s="245" t="inlineStr"/>
      <c r="J147" s="245" t="inlineStr"/>
      <c r="K147" s="245" t="inlineStr">
        <is>
          <t>10IN GREEN TEA MF MATTRESS QN</t>
        </is>
      </c>
      <c r="L147" s="245" t="inlineStr">
        <is>
          <t>ZU-MFMA1ZZI-10Q</t>
        </is>
      </c>
      <c r="M147" s="248" t="inlineStr">
        <is>
          <t>5XU5UGES</t>
        </is>
      </c>
      <c r="N147" s="245" t="inlineStr">
        <is>
          <t>F.MFM.10Q.007.AD</t>
        </is>
      </c>
      <c r="O147" s="245" t="n"/>
      <c r="P147" s="245" t="n"/>
      <c r="Q147" s="250">
        <f>R147/H147</f>
        <v/>
      </c>
      <c r="R147" s="251" t="n">
        <v>23716.8</v>
      </c>
      <c r="S147" s="249" t="n">
        <v>17707</v>
      </c>
      <c r="T147" s="252">
        <f>S147*R147</f>
        <v/>
      </c>
      <c r="U147" s="245" t="n"/>
      <c r="V147" s="245" t="n"/>
      <c r="W147" s="245" t="n"/>
      <c r="X147" s="245" t="n"/>
      <c r="Y147" s="245" t="n"/>
      <c r="Z147" s="245" t="n"/>
    </row>
    <row r="148" ht="16.5" customHeight="1" s="202">
      <c r="A148" s="245" t="n"/>
      <c r="B148" s="245" t="n"/>
      <c r="C148" s="245" t="n"/>
      <c r="D148" s="245" t="n"/>
      <c r="E148" s="245" t="n"/>
      <c r="F148" s="245" t="n"/>
      <c r="G148" s="245" t="n"/>
      <c r="H148" s="247" t="n">
        <v>17</v>
      </c>
      <c r="I148" s="245" t="inlineStr"/>
      <c r="J148" s="245" t="inlineStr"/>
      <c r="K148" s="245" t="inlineStr">
        <is>
          <t>12IN GREEN TEA MF MATTRESS CK</t>
        </is>
      </c>
      <c r="L148" s="245" t="inlineStr">
        <is>
          <t>ZU-MFMA1ZZI-12C</t>
        </is>
      </c>
      <c r="M148" s="248" t="inlineStr">
        <is>
          <t>5XU5UGES</t>
        </is>
      </c>
      <c r="N148" s="245" t="inlineStr">
        <is>
          <t>F.MFM.12C.006.AD</t>
        </is>
      </c>
      <c r="O148" s="245" t="n"/>
      <c r="P148" s="245" t="n"/>
      <c r="Q148" s="250">
        <f>R148/H148</f>
        <v/>
      </c>
      <c r="R148" s="251" t="n">
        <v>1708.84</v>
      </c>
      <c r="S148" s="249" t="n">
        <v>17707</v>
      </c>
      <c r="T148" s="252">
        <f>S148*R148</f>
        <v/>
      </c>
      <c r="U148" s="245" t="n"/>
      <c r="V148" s="245" t="n"/>
      <c r="W148" s="245" t="n"/>
      <c r="X148" s="245" t="n"/>
      <c r="Y148" s="245" t="n"/>
      <c r="Z148" s="245" t="n"/>
    </row>
    <row r="149" ht="17.1" customHeight="1" s="202">
      <c r="A149" s="254" t="n"/>
      <c r="B149" s="254" t="n"/>
      <c r="C149" s="254" t="n"/>
      <c r="D149" s="254" t="n"/>
      <c r="E149" s="254" t="n"/>
      <c r="F149" s="254" t="n"/>
      <c r="G149" s="254" t="n"/>
      <c r="H149" s="255">
        <f>SUM(H137:H148)</f>
        <v/>
      </c>
      <c r="I149" s="254">
        <f>COUNTA(I137:I148)</f>
        <v/>
      </c>
      <c r="J149" s="254" t="n"/>
      <c r="K149" s="254" t="n"/>
      <c r="L149" s="254" t="n"/>
      <c r="M149" s="254" t="n"/>
      <c r="N149" s="254" t="n"/>
      <c r="O149" s="256">
        <f>SUM(O137:O148)</f>
        <v/>
      </c>
      <c r="P149" s="256">
        <f>SUM(P137:P148)</f>
        <v/>
      </c>
      <c r="Q149" s="254" t="n"/>
      <c r="R149" s="257">
        <f>SUM(R137:R148)</f>
        <v/>
      </c>
      <c r="S149" s="254" t="n"/>
      <c r="T149" s="258">
        <f>SUM(T137:T148)</f>
        <v/>
      </c>
      <c r="U149" s="254" t="n"/>
      <c r="V149" s="254" t="n"/>
      <c r="W149" s="254" t="n"/>
      <c r="X149" s="254" t="n"/>
      <c r="Y149" s="254" t="n"/>
      <c r="Z149" s="254" t="n"/>
    </row>
    <row r="150" ht="16.5" customHeight="1" s="202">
      <c r="A150" s="245" t="n">
        <v>23</v>
      </c>
      <c r="B150" s="245" t="inlineStr">
        <is>
          <t>000030ZIK48020260928000864</t>
        </is>
      </c>
      <c r="C150" s="245" t="n">
        <v>616785</v>
      </c>
      <c r="D150" s="245" t="n">
        <v>616720</v>
      </c>
      <c r="E150" s="246" t="n">
        <v>46294</v>
      </c>
      <c r="F150" s="245" t="inlineStr">
        <is>
          <t>ID2609-8613</t>
        </is>
      </c>
      <c r="G150" s="246" t="n">
        <v>46290</v>
      </c>
      <c r="H150" s="247" t="n">
        <v>2464</v>
      </c>
      <c r="I150" s="245" t="inlineStr">
        <is>
          <t>BMOU6669485</t>
        </is>
      </c>
      <c r="J150" s="245" t="inlineStr">
        <is>
          <t>40FT</t>
        </is>
      </c>
      <c r="K150" s="245" t="inlineStr">
        <is>
          <t>14IN GREEN TEA FOAM MATTRESS Q</t>
        </is>
      </c>
      <c r="L150" s="245" t="inlineStr">
        <is>
          <t>ZU-MFMA1ZZI-14Q</t>
        </is>
      </c>
      <c r="M150" s="248" t="inlineStr">
        <is>
          <t>63H36GGV</t>
        </is>
      </c>
      <c r="N150" s="245" t="inlineStr">
        <is>
          <t>F.MFM.14Q.000.AD</t>
        </is>
      </c>
      <c r="O150" s="249" t="n">
        <v>87003.84</v>
      </c>
      <c r="P150" s="249" t="n">
        <v>78503.03999999999</v>
      </c>
      <c r="Q150" s="250">
        <f>R150/H150</f>
        <v/>
      </c>
      <c r="R150" s="251" t="n">
        <v>252683.2</v>
      </c>
      <c r="S150" s="249" t="n">
        <v>17707</v>
      </c>
      <c r="T150" s="252">
        <f>S150*R150</f>
        <v/>
      </c>
      <c r="U150" s="245" t="inlineStr">
        <is>
          <t>040300/KPPBC</t>
        </is>
      </c>
      <c r="V150" s="245" t="inlineStr">
        <is>
          <t>TG. PRIOK</t>
        </is>
      </c>
      <c r="W150" s="245" t="inlineStr">
        <is>
          <t>LONG BEACH, US</t>
        </is>
      </c>
      <c r="X150" s="245" t="inlineStr">
        <is>
          <t>AMAZON.COM SERVICES LLC</t>
        </is>
      </c>
      <c r="Y150" s="245" t="inlineStr">
        <is>
          <t>MEDUKU701422</t>
        </is>
      </c>
      <c r="Z150" s="246" t="n">
        <v>46294</v>
      </c>
    </row>
    <row r="151" ht="16.5" customHeight="1" s="202">
      <c r="A151" s="245" t="n"/>
      <c r="B151" s="245" t="n"/>
      <c r="C151" s="245" t="n"/>
      <c r="D151" s="245" t="n"/>
      <c r="E151" s="245" t="n"/>
      <c r="F151" s="245" t="n"/>
      <c r="G151" s="245" t="n"/>
      <c r="H151" s="245" t="n"/>
      <c r="I151" s="245" t="inlineStr">
        <is>
          <t>CAAU5845000</t>
        </is>
      </c>
      <c r="J151" s="245" t="inlineStr">
        <is>
          <t>40FT</t>
        </is>
      </c>
      <c r="K151" s="245" t="n"/>
      <c r="L151" s="245" t="n"/>
      <c r="M151" s="245" t="n"/>
      <c r="N151" s="245" t="n"/>
      <c r="O151" s="245" t="n"/>
      <c r="P151" s="245" t="n"/>
      <c r="Q151" s="245" t="n"/>
      <c r="R151" s="245" t="n"/>
      <c r="S151" s="245" t="n"/>
      <c r="T151" s="245" t="n"/>
      <c r="U151" s="245" t="n"/>
      <c r="V151" s="245" t="n"/>
      <c r="W151" s="245" t="inlineStr">
        <is>
          <t>ETD : 01-10-2026</t>
        </is>
      </c>
      <c r="X151" s="245" t="n"/>
      <c r="Y151" s="245" t="n"/>
      <c r="Z151" s="245" t="n"/>
    </row>
    <row r="152" ht="16.5" customHeight="1" s="202">
      <c r="A152" s="245" t="n"/>
      <c r="B152" s="245" t="n"/>
      <c r="C152" s="245" t="n"/>
      <c r="D152" s="245" t="n"/>
      <c r="E152" s="245" t="n"/>
      <c r="F152" s="245" t="n"/>
      <c r="G152" s="245" t="n"/>
      <c r="H152" s="245" t="n"/>
      <c r="I152" s="245" t="inlineStr">
        <is>
          <t>FFAU2493486</t>
        </is>
      </c>
      <c r="J152" s="245" t="inlineStr">
        <is>
          <t>40FT</t>
        </is>
      </c>
      <c r="K152" s="245" t="n"/>
      <c r="L152" s="245" t="n"/>
      <c r="M152" s="245" t="n"/>
      <c r="N152" s="245" t="n"/>
      <c r="O152" s="245" t="n"/>
      <c r="P152" s="245" t="n"/>
      <c r="Q152" s="245" t="n"/>
      <c r="R152" s="245" t="n"/>
      <c r="S152" s="245" t="n"/>
      <c r="T152" s="245" t="n"/>
      <c r="U152" s="245" t="n"/>
      <c r="V152" s="245" t="n"/>
      <c r="W152" s="245" t="n"/>
      <c r="X152" s="245" t="n"/>
      <c r="Y152" s="245" t="n"/>
      <c r="Z152" s="245" t="n"/>
    </row>
    <row r="153" ht="16.5" customHeight="1" s="202">
      <c r="A153" s="245" t="n"/>
      <c r="B153" s="245" t="n"/>
      <c r="C153" s="245" t="n"/>
      <c r="D153" s="245" t="n"/>
      <c r="E153" s="245" t="n"/>
      <c r="F153" s="245" t="n"/>
      <c r="G153" s="245" t="n"/>
      <c r="H153" s="245" t="n"/>
      <c r="I153" s="245" t="inlineStr">
        <is>
          <t>MSMU5597699</t>
        </is>
      </c>
      <c r="J153" s="245" t="inlineStr">
        <is>
          <t>40FT</t>
        </is>
      </c>
      <c r="K153" s="245" t="n"/>
      <c r="L153" s="245" t="n"/>
      <c r="M153" s="245" t="n"/>
      <c r="N153" s="245" t="n"/>
      <c r="O153" s="245" t="n"/>
      <c r="P153" s="245" t="n"/>
      <c r="Q153" s="245" t="n"/>
      <c r="R153" s="245" t="n"/>
      <c r="S153" s="245" t="n"/>
      <c r="T153" s="245" t="n"/>
      <c r="U153" s="245" t="n"/>
      <c r="V153" s="245" t="n"/>
      <c r="W153" s="245" t="n"/>
      <c r="X153" s="245" t="n"/>
      <c r="Y153" s="245" t="n"/>
      <c r="Z153" s="245" t="n"/>
    </row>
    <row r="154" ht="16.5" customHeight="1" s="202">
      <c r="A154" s="245" t="n"/>
      <c r="B154" s="245" t="n"/>
      <c r="C154" s="245" t="n"/>
      <c r="D154" s="245" t="n"/>
      <c r="E154" s="245" t="n"/>
      <c r="F154" s="245" t="n"/>
      <c r="G154" s="245" t="n"/>
      <c r="H154" s="245" t="n"/>
      <c r="I154" s="245" t="inlineStr">
        <is>
          <t>MSMU5046382</t>
        </is>
      </c>
      <c r="J154" s="245" t="inlineStr">
        <is>
          <t>40FT</t>
        </is>
      </c>
      <c r="K154" s="245" t="n"/>
      <c r="L154" s="245" t="n"/>
      <c r="M154" s="245" t="n"/>
      <c r="N154" s="245" t="n"/>
      <c r="O154" s="245" t="n"/>
      <c r="P154" s="245" t="n"/>
      <c r="Q154" s="245" t="n"/>
      <c r="R154" s="245" t="n"/>
      <c r="S154" s="245" t="n"/>
      <c r="T154" s="245" t="n"/>
      <c r="U154" s="245" t="n"/>
      <c r="V154" s="245" t="n"/>
      <c r="W154" s="245" t="n"/>
      <c r="X154" s="245" t="n"/>
      <c r="Y154" s="245" t="n"/>
      <c r="Z154" s="245" t="n"/>
    </row>
    <row r="155" ht="16.5" customHeight="1" s="202">
      <c r="A155" s="245" t="n"/>
      <c r="B155" s="245" t="n"/>
      <c r="C155" s="245" t="n"/>
      <c r="D155" s="245" t="n"/>
      <c r="E155" s="245" t="n"/>
      <c r="F155" s="245" t="n"/>
      <c r="G155" s="245" t="n"/>
      <c r="H155" s="245" t="n"/>
      <c r="I155" s="245" t="inlineStr">
        <is>
          <t>CAIU7458297</t>
        </is>
      </c>
      <c r="J155" s="245" t="inlineStr">
        <is>
          <t>40FT</t>
        </is>
      </c>
      <c r="K155" s="245" t="n"/>
      <c r="L155" s="245" t="n"/>
      <c r="M155" s="245" t="n"/>
      <c r="N155" s="245" t="n"/>
      <c r="O155" s="245" t="n"/>
      <c r="P155" s="245" t="n"/>
      <c r="Q155" s="245" t="n"/>
      <c r="R155" s="245" t="n"/>
      <c r="S155" s="245" t="n"/>
      <c r="T155" s="245" t="n"/>
      <c r="U155" s="245" t="n"/>
      <c r="V155" s="245" t="n"/>
      <c r="W155" s="245" t="n"/>
      <c r="X155" s="245" t="n"/>
      <c r="Y155" s="245" t="n"/>
      <c r="Z155" s="245" t="n"/>
    </row>
    <row r="156" ht="16.5" customHeight="1" s="202">
      <c r="A156" s="245" t="n"/>
      <c r="B156" s="245" t="n"/>
      <c r="C156" s="245" t="n"/>
      <c r="D156" s="245" t="n"/>
      <c r="E156" s="245" t="n"/>
      <c r="F156" s="245" t="n"/>
      <c r="G156" s="245" t="n"/>
      <c r="H156" s="245" t="n"/>
      <c r="I156" s="245" t="inlineStr">
        <is>
          <t>MSGU5921307</t>
        </is>
      </c>
      <c r="J156" s="245" t="inlineStr">
        <is>
          <t>40FT</t>
        </is>
      </c>
      <c r="K156" s="245" t="n"/>
      <c r="L156" s="245" t="n"/>
      <c r="M156" s="245" t="n"/>
      <c r="N156" s="245" t="n"/>
      <c r="O156" s="245" t="n"/>
      <c r="P156" s="245" t="n"/>
      <c r="Q156" s="245" t="n"/>
      <c r="R156" s="245" t="n"/>
      <c r="S156" s="245" t="n"/>
      <c r="T156" s="245" t="n"/>
      <c r="U156" s="245" t="n"/>
      <c r="V156" s="245" t="n"/>
      <c r="W156" s="245" t="n"/>
      <c r="X156" s="245" t="n"/>
      <c r="Y156" s="245" t="n"/>
      <c r="Z156" s="245" t="n"/>
    </row>
    <row r="157" ht="17.1" customHeight="1" s="202">
      <c r="A157" s="254" t="n"/>
      <c r="B157" s="254" t="n"/>
      <c r="C157" s="254" t="n"/>
      <c r="D157" s="254" t="n"/>
      <c r="E157" s="254" t="n"/>
      <c r="F157" s="254" t="n"/>
      <c r="G157" s="254" t="n"/>
      <c r="H157" s="255">
        <f>SUM(H150:H156)</f>
        <v/>
      </c>
      <c r="I157" s="254">
        <f>COUNTA(I150:I156)</f>
        <v/>
      </c>
      <c r="J157" s="254" t="n"/>
      <c r="K157" s="254" t="n"/>
      <c r="L157" s="254" t="n"/>
      <c r="M157" s="254" t="n"/>
      <c r="N157" s="254" t="n"/>
      <c r="O157" s="256">
        <f>SUM(O150:O156)</f>
        <v/>
      </c>
      <c r="P157" s="256">
        <f>SUM(P150:P156)</f>
        <v/>
      </c>
      <c r="Q157" s="254" t="n"/>
      <c r="R157" s="257">
        <f>SUM(R150:R156)</f>
        <v/>
      </c>
      <c r="S157" s="254" t="n"/>
      <c r="T157" s="258">
        <f>SUM(T150:T156)</f>
        <v/>
      </c>
      <c r="U157" s="254" t="n"/>
      <c r="V157" s="254" t="n"/>
      <c r="W157" s="254" t="n"/>
      <c r="X157" s="254" t="n"/>
      <c r="Y157" s="254" t="n"/>
      <c r="Z157" s="254" t="n"/>
    </row>
    <row r="158" ht="16.5" customHeight="1" s="202">
      <c r="A158" s="245" t="n">
        <v>24</v>
      </c>
      <c r="B158" s="245" t="inlineStr">
        <is>
          <t>000030ZIK48020260928000865</t>
        </is>
      </c>
      <c r="C158" s="245" t="n">
        <v>616478</v>
      </c>
      <c r="D158" s="245" t="n">
        <v>616416</v>
      </c>
      <c r="E158" s="246" t="n">
        <v>46294</v>
      </c>
      <c r="F158" s="245" t="inlineStr">
        <is>
          <t>ID2609-8597</t>
        </is>
      </c>
      <c r="G158" s="246" t="n">
        <v>46290</v>
      </c>
      <c r="H158" s="247" t="n">
        <v>1386</v>
      </c>
      <c r="I158" s="245" t="inlineStr">
        <is>
          <t>HLBU1081402</t>
        </is>
      </c>
      <c r="J158" s="245" t="inlineStr">
        <is>
          <t>40FT</t>
        </is>
      </c>
      <c r="K158" s="245" t="inlineStr">
        <is>
          <t>8IN GREEN TEA MF MATTRESS TW</t>
        </is>
      </c>
      <c r="L158" s="245" t="inlineStr">
        <is>
          <t>SCF-STR-800T</t>
        </is>
      </c>
      <c r="M158" s="248" t="inlineStr">
        <is>
          <t>0993631014</t>
        </is>
      </c>
      <c r="N158" s="245" t="inlineStr">
        <is>
          <t>F.MFM.08T.000.WS</t>
        </is>
      </c>
      <c r="O158" s="249" t="n">
        <v>21053.34</v>
      </c>
      <c r="P158" s="249" t="n">
        <v>18281.34</v>
      </c>
      <c r="Q158" s="250">
        <f>R158/H158</f>
        <v/>
      </c>
      <c r="R158" s="251" t="n">
        <v>85239</v>
      </c>
      <c r="S158" s="249" t="n">
        <v>17707</v>
      </c>
      <c r="T158" s="252">
        <f>S158*R158</f>
        <v/>
      </c>
      <c r="U158" s="245" t="inlineStr">
        <is>
          <t>040300/KPPBC</t>
        </is>
      </c>
      <c r="V158" s="245" t="inlineStr">
        <is>
          <t>TG. PRIOK</t>
        </is>
      </c>
      <c r="W158" s="245" t="inlineStr">
        <is>
          <t>LOS ANGELES, US</t>
        </is>
      </c>
      <c r="X158" s="245" t="inlineStr">
        <is>
          <t>WALMART, INC.</t>
        </is>
      </c>
      <c r="Y158" s="245" t="inlineStr">
        <is>
          <t>HLCUJK1260988550</t>
        </is>
      </c>
      <c r="Z158" s="246" t="n">
        <v>46294</v>
      </c>
    </row>
    <row r="159" ht="16.5" customHeight="1" s="202">
      <c r="A159" s="245" t="n"/>
      <c r="B159" s="245" t="n"/>
      <c r="C159" s="245" t="n"/>
      <c r="D159" s="245" t="n"/>
      <c r="E159" s="245" t="n"/>
      <c r="F159" s="245" t="n"/>
      <c r="G159" s="245" t="n"/>
      <c r="H159" s="245" t="n"/>
      <c r="I159" s="245" t="inlineStr">
        <is>
          <t>TEMU7090505</t>
        </is>
      </c>
      <c r="J159" s="245" t="inlineStr">
        <is>
          <t>40FT</t>
        </is>
      </c>
      <c r="K159" s="245" t="n"/>
      <c r="L159" s="245" t="n"/>
      <c r="M159" s="245" t="n"/>
      <c r="N159" s="245" t="n"/>
      <c r="O159" s="245" t="n"/>
      <c r="P159" s="245" t="n"/>
      <c r="Q159" s="245" t="n"/>
      <c r="R159" s="245" t="n"/>
      <c r="S159" s="245" t="n"/>
      <c r="T159" s="245" t="n"/>
      <c r="U159" s="245" t="n"/>
      <c r="V159" s="245" t="n"/>
      <c r="W159" s="245" t="inlineStr">
        <is>
          <t>ETD : 04-10-2026</t>
        </is>
      </c>
      <c r="X159" s="245" t="n"/>
      <c r="Y159" s="245" t="n"/>
      <c r="Z159" s="245" t="n"/>
    </row>
    <row r="160" ht="17.1" customHeight="1" s="202">
      <c r="A160" s="254" t="n"/>
      <c r="B160" s="254" t="n"/>
      <c r="C160" s="254" t="n"/>
      <c r="D160" s="254" t="n"/>
      <c r="E160" s="254" t="n"/>
      <c r="F160" s="254" t="n"/>
      <c r="G160" s="254" t="n"/>
      <c r="H160" s="255">
        <f>SUM(H158:H159)</f>
        <v/>
      </c>
      <c r="I160" s="254">
        <f>COUNTA(I158:I159)</f>
        <v/>
      </c>
      <c r="J160" s="254" t="n"/>
      <c r="K160" s="254" t="n"/>
      <c r="L160" s="254" t="n"/>
      <c r="M160" s="254" t="n"/>
      <c r="N160" s="254" t="n"/>
      <c r="O160" s="256">
        <f>SUM(O158:O159)</f>
        <v/>
      </c>
      <c r="P160" s="256">
        <f>SUM(P158:P159)</f>
        <v/>
      </c>
      <c r="Q160" s="254" t="n"/>
      <c r="R160" s="257">
        <f>SUM(R158:R159)</f>
        <v/>
      </c>
      <c r="S160" s="254" t="n"/>
      <c r="T160" s="258">
        <f>SUM(T158:T159)</f>
        <v/>
      </c>
      <c r="U160" s="254" t="n"/>
      <c r="V160" s="254" t="n"/>
      <c r="W160" s="254" t="n"/>
      <c r="X160" s="254" t="n"/>
      <c r="Y160" s="254" t="n"/>
      <c r="Z160" s="254" t="n"/>
    </row>
    <row r="161" ht="16.5" customHeight="1" s="202">
      <c r="A161" s="245" t="n">
        <v>25</v>
      </c>
      <c r="B161" s="245" t="inlineStr">
        <is>
          <t>000030ZIK48020260928000866</t>
        </is>
      </c>
      <c r="C161" s="245" t="n">
        <v>618036</v>
      </c>
      <c r="D161" s="245" t="n">
        <v>617965</v>
      </c>
      <c r="E161" s="246" t="n">
        <v>46294</v>
      </c>
      <c r="F161" s="245" t="inlineStr">
        <is>
          <t>ID2609-8632</t>
        </is>
      </c>
      <c r="G161" s="246" t="n">
        <v>46293</v>
      </c>
      <c r="H161" s="247" t="n">
        <v>1386</v>
      </c>
      <c r="I161" s="245" t="inlineStr">
        <is>
          <t>MRKU3649240</t>
        </is>
      </c>
      <c r="J161" s="245" t="inlineStr">
        <is>
          <t>40FT</t>
        </is>
      </c>
      <c r="K161" s="245" t="inlineStr">
        <is>
          <t>8IN GREEN TEA MF MATTRESS TW</t>
        </is>
      </c>
      <c r="L161" s="245" t="inlineStr">
        <is>
          <t>SCF-STR-800T</t>
        </is>
      </c>
      <c r="M161" s="248" t="inlineStr">
        <is>
          <t>0993631161</t>
        </is>
      </c>
      <c r="N161" s="245" t="inlineStr">
        <is>
          <t>F.MFM.08T.000.WS</t>
        </is>
      </c>
      <c r="O161" s="249" t="n">
        <v>21053.34</v>
      </c>
      <c r="P161" s="249" t="n">
        <v>18281.34</v>
      </c>
      <c r="Q161" s="250">
        <f>R161/H161</f>
        <v/>
      </c>
      <c r="R161" s="251" t="n">
        <v>85239</v>
      </c>
      <c r="S161" s="249" t="n">
        <v>17707</v>
      </c>
      <c r="T161" s="252">
        <f>S161*R161</f>
        <v/>
      </c>
      <c r="U161" s="245" t="inlineStr">
        <is>
          <t>040300/KPPBC</t>
        </is>
      </c>
      <c r="V161" s="245" t="inlineStr">
        <is>
          <t>TG. PRIOK</t>
        </is>
      </c>
      <c r="W161" s="245" t="inlineStr">
        <is>
          <t>CHARLESTON, US</t>
        </is>
      </c>
      <c r="X161" s="245" t="inlineStr">
        <is>
          <t>WALMART, INC.</t>
        </is>
      </c>
      <c r="Y161" s="245" t="inlineStr">
        <is>
          <t>MAEU276715820</t>
        </is>
      </c>
      <c r="Z161" s="246" t="n">
        <v>46294</v>
      </c>
    </row>
    <row r="162" ht="16.5" customHeight="1" s="202">
      <c r="A162" s="245" t="n"/>
      <c r="B162" s="245" t="n"/>
      <c r="C162" s="245" t="n"/>
      <c r="D162" s="245" t="n"/>
      <c r="E162" s="245" t="n"/>
      <c r="F162" s="245" t="n"/>
      <c r="G162" s="245" t="n"/>
      <c r="H162" s="245" t="n"/>
      <c r="I162" s="245" t="inlineStr">
        <is>
          <t>MRKU2906106</t>
        </is>
      </c>
      <c r="J162" s="245" t="inlineStr">
        <is>
          <t>40FT</t>
        </is>
      </c>
      <c r="K162" s="245" t="n"/>
      <c r="L162" s="245" t="n"/>
      <c r="M162" s="245" t="n"/>
      <c r="N162" s="245" t="n"/>
      <c r="O162" s="245" t="n"/>
      <c r="P162" s="245" t="n"/>
      <c r="Q162" s="245" t="n"/>
      <c r="R162" s="245" t="n"/>
      <c r="S162" s="245" t="n"/>
      <c r="T162" s="245" t="n"/>
      <c r="U162" s="245" t="n"/>
      <c r="V162" s="245" t="n"/>
      <c r="W162" s="245" t="inlineStr">
        <is>
          <t>ETD : 04-10-2026</t>
        </is>
      </c>
      <c r="X162" s="245" t="n"/>
      <c r="Y162" s="245" t="n"/>
      <c r="Z162" s="245" t="n"/>
    </row>
    <row r="163" ht="17.1" customHeight="1" s="202">
      <c r="A163" s="254" t="n"/>
      <c r="B163" s="254" t="n"/>
      <c r="C163" s="254" t="n"/>
      <c r="D163" s="254" t="n"/>
      <c r="E163" s="254" t="n"/>
      <c r="F163" s="254" t="n"/>
      <c r="G163" s="254" t="n"/>
      <c r="H163" s="255">
        <f>SUM(H161:H162)</f>
        <v/>
      </c>
      <c r="I163" s="254">
        <f>COUNTA(I161:I162)</f>
        <v/>
      </c>
      <c r="J163" s="254" t="n"/>
      <c r="K163" s="254" t="n"/>
      <c r="L163" s="254" t="n"/>
      <c r="M163" s="254" t="n"/>
      <c r="N163" s="254" t="n"/>
      <c r="O163" s="256">
        <f>SUM(O161:O162)</f>
        <v/>
      </c>
      <c r="P163" s="256">
        <f>SUM(P161:P162)</f>
        <v/>
      </c>
      <c r="Q163" s="254" t="n"/>
      <c r="R163" s="257">
        <f>SUM(R161:R162)</f>
        <v/>
      </c>
      <c r="S163" s="254" t="n"/>
      <c r="T163" s="258">
        <f>SUM(T161:T162)</f>
        <v/>
      </c>
      <c r="U163" s="254" t="n"/>
      <c r="V163" s="254" t="n"/>
      <c r="W163" s="254" t="n"/>
      <c r="X163" s="254" t="n"/>
      <c r="Y163" s="254" t="n"/>
      <c r="Z163" s="254" t="n"/>
    </row>
    <row r="164" ht="16.5" customHeight="1" s="202">
      <c r="A164" s="245" t="n">
        <v>26</v>
      </c>
      <c r="B164" s="245" t="inlineStr">
        <is>
          <t>000030ZIK48020260929000867</t>
        </is>
      </c>
      <c r="C164" s="245" t="n">
        <v>497936</v>
      </c>
      <c r="D164" s="245" t="n">
        <v>497687</v>
      </c>
      <c r="E164" s="246" t="n">
        <v>46294</v>
      </c>
      <c r="F164" s="245" t="inlineStr">
        <is>
          <t>SPL/002-PRDN/ZDI/IX/2026</t>
        </is>
      </c>
      <c r="G164" s="246" t="n">
        <v>46289</v>
      </c>
      <c r="H164" s="247" t="n">
        <v>1</v>
      </c>
      <c r="I164" s="245" t="inlineStr"/>
      <c r="J164" s="245" t="inlineStr"/>
      <c r="K164" s="245" t="inlineStr">
        <is>
          <t>FR SOCK SHEET</t>
        </is>
      </c>
      <c r="L164" s="245" t="inlineStr">
        <is>
          <t>250GSM.72CM*2.55Y*0.84KG</t>
        </is>
      </c>
      <c r="M164" s="248" t="inlineStr"/>
      <c r="N164" s="245" t="inlineStr">
        <is>
          <t>R.FKRC.I0001</t>
        </is>
      </c>
      <c r="O164" s="249" t="n">
        <v>5.78</v>
      </c>
      <c r="P164" s="249" t="n">
        <v>4.39</v>
      </c>
      <c r="Q164" s="250">
        <f>R164/H164</f>
        <v/>
      </c>
      <c r="R164" s="251" t="n">
        <v>5.12</v>
      </c>
      <c r="S164" s="249" t="n">
        <v>17707</v>
      </c>
      <c r="T164" s="252">
        <f>S164*R164</f>
        <v/>
      </c>
      <c r="U164" s="245" t="inlineStr">
        <is>
          <t>050100/KPPBC</t>
        </is>
      </c>
      <c r="V164" s="245" t="inlineStr">
        <is>
          <t>S. HATTA</t>
        </is>
      </c>
      <c r="W164" s="245" t="inlineStr">
        <is>
          <t>INCHEON INTL APT/SEOUL, KR</t>
        </is>
      </c>
      <c r="X164" s="245" t="inlineStr">
        <is>
          <t>COGNEX KOREA</t>
        </is>
      </c>
      <c r="Y164" s="245" t="inlineStr">
        <is>
          <t>877893358705</t>
        </is>
      </c>
      <c r="Z164" s="246" t="n">
        <v>46294</v>
      </c>
    </row>
    <row r="165" ht="16.5" customHeight="1" s="202">
      <c r="A165" s="245" t="n"/>
      <c r="B165" s="245" t="n"/>
      <c r="C165" s="245" t="n"/>
      <c r="D165" s="245" t="n"/>
      <c r="E165" s="245" t="n"/>
      <c r="F165" s="245" t="n"/>
      <c r="G165" s="245" t="n"/>
      <c r="H165" s="245" t="n"/>
      <c r="I165" s="245" t="n"/>
      <c r="J165" s="245" t="n"/>
      <c r="K165" s="245" t="n"/>
      <c r="L165" s="245" t="n"/>
      <c r="M165" s="245" t="n"/>
      <c r="N165" s="245" t="n"/>
      <c r="O165" s="245" t="n"/>
      <c r="P165" s="245" t="n"/>
      <c r="Q165" s="245" t="n"/>
      <c r="R165" s="245" t="n"/>
      <c r="S165" s="245" t="n"/>
      <c r="T165" s="245" t="n"/>
      <c r="U165" s="245" t="n"/>
      <c r="V165" s="245" t="n"/>
      <c r="W165" s="245" t="inlineStr">
        <is>
          <t>ETD : 06-10-2026</t>
        </is>
      </c>
      <c r="X165" s="245" t="n"/>
      <c r="Y165" s="245" t="n"/>
      <c r="Z165" s="245" t="n"/>
    </row>
    <row r="166" ht="17.1" customHeight="1" s="202">
      <c r="A166" s="254" t="n"/>
      <c r="B166" s="254" t="n"/>
      <c r="C166" s="254" t="n"/>
      <c r="D166" s="254" t="n"/>
      <c r="E166" s="254" t="n"/>
      <c r="F166" s="254" t="n"/>
      <c r="G166" s="254" t="n"/>
      <c r="H166" s="255">
        <f>SUM(H164:H165)</f>
        <v/>
      </c>
      <c r="I166" s="254">
        <f>COUNTA(I164:I165)</f>
        <v/>
      </c>
      <c r="J166" s="254" t="n"/>
      <c r="K166" s="254" t="n"/>
      <c r="L166" s="254" t="n"/>
      <c r="M166" s="254" t="n"/>
      <c r="N166" s="254" t="n"/>
      <c r="O166" s="256">
        <f>SUM(O164:O165)</f>
        <v/>
      </c>
      <c r="P166" s="256">
        <f>SUM(P164:P165)</f>
        <v/>
      </c>
      <c r="Q166" s="254" t="n"/>
      <c r="R166" s="257">
        <f>SUM(R164:R165)</f>
        <v/>
      </c>
      <c r="S166" s="254" t="n"/>
      <c r="T166" s="258">
        <f>SUM(T164:T165)</f>
        <v/>
      </c>
      <c r="U166" s="254" t="n"/>
      <c r="V166" s="254" t="n"/>
      <c r="W166" s="254" t="n"/>
      <c r="X166" s="254" t="n"/>
      <c r="Y166" s="254" t="n"/>
      <c r="Z166" s="254" t="n"/>
    </row>
    <row r="167" ht="8.1" customHeight="1" s="202"/>
    <row r="168" ht="20.1" customHeight="1" s="202">
      <c r="A168" s="259">
        <f>COUNT(A12:A167)</f>
        <v/>
      </c>
      <c r="B168" s="260" t="n"/>
      <c r="C168" s="260" t="n"/>
      <c r="D168" s="260" t="n"/>
      <c r="E168" s="260" t="n"/>
      <c r="F168" s="260" t="n"/>
      <c r="G168" s="260" t="n"/>
      <c r="H168" s="261">
        <f>SUM(H32,H35,H38,H41,H45,H51,H54,H69,H73,H76,H80,H83,H86,H89,H92,H96,H99,H104,H112,H127,H136,H149,H157,H160,H163,H166)</f>
        <v/>
      </c>
      <c r="I168" s="261">
        <f>SUM(I32,I35,I38,I41,I45,I51,I54,I69,I73,I76,I80,I83,I86,I89,I92,I96,I99,I104,I112,I127,I136,I149,I157,I160,I163,I166)</f>
        <v/>
      </c>
      <c r="J168" s="260" t="n"/>
      <c r="K168" s="260" t="n"/>
      <c r="L168" s="260" t="n"/>
      <c r="M168" s="260" t="n"/>
      <c r="N168" s="260" t="n"/>
      <c r="O168" s="262">
        <f>SUM(O32,O35,O38,O41,O45,O51,O54,O69,O73,O76,O80,O83,O86,O89,O92,O96,O99,O104,O112,O127,O136,O149,O157,O160,O163,O166)</f>
        <v/>
      </c>
      <c r="P168" s="262">
        <f>SUM(P32,P35,P38,P41,P45,P51,P54,P69,P73,P76,P80,P83,P86,P89,P92,P96,P99,P104,P112,P127,P136,P149,P157,P160,P163,P166)</f>
        <v/>
      </c>
      <c r="Q168" s="260" t="n"/>
      <c r="R168" s="263">
        <f>SUM(R32,R35,R38,R41,R45,R51,R54,R69,R73,R76,R80,R83,R86,R89,R92,R96,R99,R104,R112,R127,R136,R149,R157,R160,R163,R166)</f>
        <v/>
      </c>
      <c r="S168" s="260" t="n"/>
      <c r="T168" s="264">
        <f>SUM(T32,T35,T38,T41,T45,T51,T54,T69,T73,T76,T80,T83,T86,T89,T92,T96,T99,T104,T112,T127,T136,T149,T157,T160,T163,T166)</f>
        <v/>
      </c>
      <c r="U168" s="260" t="n"/>
      <c r="V168" s="260" t="n"/>
      <c r="W168" s="260" t="n"/>
      <c r="X168" s="260" t="n"/>
      <c r="Y168" s="260" t="n"/>
      <c r="Z168" s="260" t="n"/>
    </row>
    <row r="169" ht="17.1" customHeight="1" s="202"/>
    <row r="170" ht="17.1" customHeight="1" s="202">
      <c r="B170" s="265" t="inlineStr">
        <is>
          <t>Total Qty Export :</t>
        </is>
      </c>
      <c r="C170" s="266">
        <f>H168-C171</f>
        <v/>
      </c>
    </row>
    <row r="171" ht="17.1" customHeight="1" s="202">
      <c r="B171" s="267" t="inlineStr">
        <is>
          <t>Total Qty Export Sample :</t>
        </is>
      </c>
      <c r="C171" s="268" t="inlineStr"/>
    </row>
    <row r="173" ht="17.1" customHeight="1" s="202">
      <c r="A173" s="269" t="n"/>
      <c r="B173" s="270" t="n"/>
      <c r="C173" s="270" t="n"/>
      <c r="D173" s="271" t="n"/>
      <c r="U173" s="272" t="inlineStr">
        <is>
          <t>Tangerang, 29 September 2026</t>
        </is>
      </c>
    </row>
    <row r="174" ht="17.1" customHeight="1" s="202">
      <c r="A174" s="273" t="inlineStr">
        <is>
          <t>Total Document</t>
        </is>
      </c>
      <c r="C174" s="274">
        <f>A168</f>
        <v/>
      </c>
      <c r="D174" s="275" t="n"/>
      <c r="U174" s="272" t="inlineStr">
        <is>
          <t>Kasubsi Hanggar Pabean dan Cukai</t>
        </is>
      </c>
    </row>
    <row r="175" ht="17.1" customHeight="1" s="202">
      <c r="A175" s="273" t="inlineStr">
        <is>
          <t>Gross Weight</t>
        </is>
      </c>
      <c r="C175" s="276">
        <f>O168</f>
        <v/>
      </c>
      <c r="D175" s="275" t="n"/>
    </row>
    <row r="176" ht="17.1" customHeight="1" s="202">
      <c r="A176" s="273" t="inlineStr">
        <is>
          <t>Nett Weight</t>
        </is>
      </c>
      <c r="C176" s="276">
        <f>P168</f>
        <v/>
      </c>
      <c r="D176" s="275" t="n"/>
    </row>
    <row r="177" ht="17.1" customHeight="1" s="202">
      <c r="A177" s="273" t="inlineStr">
        <is>
          <t>Amount</t>
        </is>
      </c>
      <c r="C177" s="277">
        <f>R168</f>
        <v/>
      </c>
      <c r="D177" s="275" t="n"/>
    </row>
    <row r="178" ht="17.1" customHeight="1" s="202">
      <c r="A178" s="273" t="inlineStr">
        <is>
          <t>Jumlah Container</t>
        </is>
      </c>
      <c r="C178" s="278">
        <f>I168-C179</f>
        <v/>
      </c>
      <c r="D178" s="275" t="n"/>
    </row>
    <row r="179" ht="17.1" customHeight="1" s="202">
      <c r="A179" s="279" t="n"/>
      <c r="C179" s="280" t="inlineStr"/>
      <c r="D179" s="275" t="n"/>
    </row>
    <row r="180" ht="17.1" customHeight="1" s="202">
      <c r="A180" s="279" t="n"/>
      <c r="C180" s="281">
        <f>C178*2+C179</f>
        <v/>
      </c>
      <c r="D180" s="275" t="n"/>
    </row>
    <row r="181" ht="16.2" customHeight="1" s="202">
      <c r="A181" s="282" t="n"/>
      <c r="B181" s="283" t="n"/>
      <c r="C181" s="283" t="n"/>
      <c r="D181" s="284" t="n"/>
    </row>
  </sheetData>
  <autoFilter ref="A10:Z11">
    <filterColumn colId="2" hiddenButton="0" showButton="0"/>
    <filterColumn colId="8" hiddenButton="0" showButton="0"/>
  </autoFilter>
  <mergeCells count="26">
    <mergeCell ref="C179:D179"/>
    <mergeCell ref="C175:D175"/>
    <mergeCell ref="E10:E11"/>
    <mergeCell ref="G10:G11"/>
    <mergeCell ref="M10:M11"/>
    <mergeCell ref="Y10:Y11"/>
    <mergeCell ref="Q10:Q11"/>
    <mergeCell ref="C10:D10"/>
    <mergeCell ref="C177:D177"/>
    <mergeCell ref="I10:J11"/>
    <mergeCell ref="A6:Z6"/>
    <mergeCell ref="C180:D180"/>
    <mergeCell ref="B10:B11"/>
    <mergeCell ref="A7:Z7"/>
    <mergeCell ref="C176:D176"/>
    <mergeCell ref="L10:L11"/>
    <mergeCell ref="X10:X11"/>
    <mergeCell ref="N10:N11"/>
    <mergeCell ref="Z10:Z11"/>
    <mergeCell ref="C178:D178"/>
    <mergeCell ref="A10:A11"/>
    <mergeCell ref="K10:K11"/>
    <mergeCell ref="C174:D174"/>
    <mergeCell ref="A8:Z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2026-09-29T09:47:39Z</dcterms:modified>
  <cp:lastModifiedBy>Chiswa Dian Hermansyah(ZINUS ZDI)</cp:lastModifiedBy>
</cp:coreProperties>
</file>