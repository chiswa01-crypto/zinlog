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bulan" sheetId="1" state="visible" r:id="rId1"/>
  </sheets>
  <externalReferences>
    <externalReference r:id="rId2"/>
  </externalReferences>
  <definedNames>
    <definedName name="_xlnm._FilterDatabase" localSheetId="0" hidden="1">'bulan'!$A$10:$Z$11</definedName>
  </definedNames>
  <calcPr calcId="191029" fullCalcOnLoad="1"/>
</workbook>
</file>

<file path=xl/styles.xml><?xml version="1.0" encoding="utf-8"?>
<styleSheet xmlns="http://schemas.openxmlformats.org/spreadsheetml/2006/main">
  <numFmts count="15">
    <numFmt numFmtId="164" formatCode="000000"/>
    <numFmt numFmtId="165" formatCode="_-* #,##0.00_-;\-* #,##0.00_-;_-* &quot;-&quot;_-;_-@_-"/>
    <numFmt numFmtId="166" formatCode="_-[$$-409]* #,##0.00_ ;_-[$$-409]* \-#,##0.00\ ;_-[$$-409]* &quot;-&quot;??_ ;_-@_ "/>
    <numFmt numFmtId="167" formatCode="_(&quot;$&quot;* #,##0.00_);_(&quot;$&quot;* \(#,##0.00\);_(&quot;$&quot;* &quot;-&quot;??_);_(@_)"/>
    <numFmt numFmtId="168" formatCode="_-[$Rp-421]* #,##0.00_-;\-[$Rp-421]* #,##0.00_-;_-[$Rp-421]* &quot;-&quot;??_-;_-@_-"/>
    <numFmt numFmtId="169" formatCode="_(* #,##0.00_);_(* \(#,##0.00\);_(* &quot;-&quot;_);_(@_)"/>
    <numFmt numFmtId="170" formatCode="dd\-mm\-yyyy;@"/>
    <numFmt numFmtId="171" formatCode="[$-409]d\-mmm\-yyyy;@"/>
    <numFmt numFmtId="172" formatCode="_([$$-409]* #,##0.00_);_([$$-409]* \(#,##0.00\);_([$$-409]* &quot;-&quot;??_);_(@_)"/>
    <numFmt numFmtId="173" formatCode="&quot;:&quot;\ General\ &quot;Document&quot;"/>
    <numFmt numFmtId="174" formatCode="&quot;:&quot;\ #,##0.00\ &quot;KGS&quot;"/>
    <numFmt numFmtId="175" formatCode="&quot;: $&quot;\ #,##0.00"/>
    <numFmt numFmtId="176" formatCode="&quot;:&quot;\ General&quot;X40FT&quot;"/>
    <numFmt numFmtId="177" formatCode="&quot;:&quot;\ General&quot;X20FT&quot;"/>
    <numFmt numFmtId="178" formatCode="&quot;=&quot;\ #,##0\ &quot;TEUS&quot;"/>
  </numFmts>
  <fonts count="24">
    <font>
      <name val="Arial"/>
      <charset val="134"/>
      <sz val="10"/>
    </font>
    <font>
      <name val="Calibri"/>
      <charset val="1"/>
      <family val="2"/>
      <color theme="1"/>
      <sz val="11"/>
      <scheme val="minor"/>
    </font>
    <font>
      <name val="Times New Roman"/>
      <family val="1"/>
      <sz val="14"/>
    </font>
    <font>
      <name val="Times New Roman"/>
      <family val="1"/>
      <sz val="11"/>
    </font>
    <font>
      <name val="Calibri"/>
      <family val="2"/>
      <sz val="12"/>
      <scheme val="minor"/>
    </font>
    <font>
      <name val="Arial"/>
      <family val="2"/>
      <sz val="10"/>
    </font>
    <font>
      <name val="Times New Roman"/>
      <family val="1"/>
      <b val="1"/>
      <sz val="16"/>
    </font>
    <font>
      <name val="Times New Roman"/>
      <family val="1"/>
      <b val="1"/>
      <sz val="11"/>
    </font>
    <font>
      <name val="Times New Roman"/>
      <family val="1"/>
      <b val="1"/>
      <color theme="1"/>
      <sz val="11"/>
    </font>
    <font>
      <name val="Calibri"/>
      <family val="2"/>
      <b val="1"/>
      <sz val="12"/>
      <scheme val="minor"/>
    </font>
    <font>
      <name val="宋体"/>
      <charset val="134"/>
      <family val="3"/>
      <sz val="12"/>
    </font>
    <font>
      <name val="Calibri"/>
      <family val="2"/>
      <color theme="1"/>
      <sz val="12"/>
      <scheme val="minor"/>
    </font>
    <font>
      <name val="Times New Roman"/>
      <family val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b val="1"/>
      <sz val="12"/>
    </font>
    <font>
      <name val="바탕체"/>
      <family val="3"/>
      <sz val="12"/>
    </font>
    <font>
      <name val="Times New Roman"/>
      <family val="1"/>
      <b val="1"/>
      <color indexed="8"/>
      <sz val="12"/>
    </font>
    <font>
      <name val="Times New Roman"/>
      <family val="1"/>
      <color theme="0"/>
      <sz val="12"/>
    </font>
    <font>
      <name val="Times New Roman"/>
      <family val="1"/>
      <color indexed="10"/>
      <sz val="11"/>
    </font>
    <font>
      <name val="Times New Roman"/>
      <family val="1"/>
      <b val="1"/>
      <color theme="7"/>
      <sz val="11"/>
    </font>
    <font>
      <name val="Times New Roman"/>
      <family val="1"/>
      <b val="1"/>
      <sz val="14"/>
    </font>
    <font>
      <name val="Times New Roman"/>
      <family val="1"/>
      <b val="1"/>
      <color theme="0"/>
      <sz val="11"/>
    </font>
    <font>
      <name val="Times New Roman"/>
      <family val="1"/>
      <sz val="11"/>
      <u val="single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1">
    <xf numFmtId="0" fontId="0" fillId="0" borderId="0" applyAlignment="1">
      <alignment vertical="center"/>
    </xf>
    <xf numFmtId="43" fontId="12" fillId="0" borderId="0" applyAlignment="1">
      <alignment vertical="center"/>
    </xf>
    <xf numFmtId="41" fontId="5" fillId="0" borderId="0"/>
    <xf numFmtId="167" fontId="5" fillId="0" borderId="0"/>
    <xf numFmtId="0" fontId="1" fillId="0" borderId="0"/>
    <xf numFmtId="0" fontId="5" fillId="0" borderId="0" applyAlignment="1">
      <alignment vertical="center"/>
    </xf>
    <xf numFmtId="41" fontId="1" fillId="0" borderId="0"/>
    <xf numFmtId="0" fontId="10" fillId="0" borderId="0" applyAlignment="1">
      <alignment vertical="center"/>
    </xf>
    <xf numFmtId="43" fontId="5" fillId="0" borderId="0"/>
    <xf numFmtId="43" fontId="1" fillId="0" borderId="0"/>
    <xf numFmtId="0" fontId="16" fillId="0" borderId="0"/>
  </cellStyleXfs>
  <cellXfs count="312">
    <xf numFmtId="0" fontId="0" fillId="0" borderId="0" applyAlignment="1" pivotButton="0" quotePrefix="0" xfId="0">
      <alignment vertical="center"/>
    </xf>
    <xf numFmtId="1" fontId="2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left" vertical="center"/>
    </xf>
    <xf numFmtId="164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center" vertical="center"/>
    </xf>
    <xf numFmtId="0" fontId="3" fillId="0" borderId="0" applyAlignment="1" pivotButton="0" quotePrefix="0" xfId="4">
      <alignment horizontal="left" vertical="center"/>
    </xf>
    <xf numFmtId="49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1" fontId="2" fillId="0" borderId="0" applyAlignment="1" pivotButton="0" quotePrefix="0" xfId="5">
      <alignment horizontal="center" vertical="center"/>
    </xf>
    <xf numFmtId="49" fontId="2" fillId="0" borderId="0" applyAlignment="1" pivotButton="0" quotePrefix="0" xfId="5">
      <alignment horizontal="left" vertical="center"/>
    </xf>
    <xf numFmtId="1" fontId="3" fillId="0" borderId="0" applyAlignment="1" pivotButton="0" quotePrefix="0" xfId="4">
      <alignment horizontal="center" vertical="center"/>
    </xf>
    <xf numFmtId="41" fontId="6" fillId="0" borderId="0" applyAlignment="1" pivotButton="0" quotePrefix="0" xfId="4">
      <alignment horizontal="left" vertical="center"/>
    </xf>
    <xf numFmtId="164" fontId="6" fillId="0" borderId="0" applyAlignment="1" pivotButton="0" quotePrefix="0" xfId="4">
      <alignment horizontal="left" vertical="center"/>
    </xf>
    <xf numFmtId="1" fontId="3" fillId="0" borderId="1" applyAlignment="1" pivotButton="0" quotePrefix="0" xfId="4">
      <alignment horizontal="center" vertical="center"/>
    </xf>
    <xf numFmtId="49" fontId="3" fillId="0" borderId="1" applyAlignment="1" pivotButton="0" quotePrefix="0" xfId="4">
      <alignment horizontal="center" vertical="center"/>
    </xf>
    <xf numFmtId="164" fontId="3" fillId="0" borderId="1" applyAlignment="1" pivotButton="0" quotePrefix="0" xfId="4">
      <alignment horizontal="center" vertical="center"/>
    </xf>
    <xf numFmtId="0" fontId="3" fillId="0" borderId="1" applyAlignment="1" pivotButton="0" quotePrefix="0" xfId="4">
      <alignment horizontal="center" vertical="center" shrinkToFit="1"/>
    </xf>
    <xf numFmtId="0" fontId="3" fillId="0" borderId="1" applyAlignment="1" pivotButton="0" quotePrefix="0" xfId="4">
      <alignment horizontal="left" vertical="center" shrinkToFit="1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1" fontId="7" fillId="0" borderId="2" applyAlignment="1" pivotButton="0" quotePrefix="0" xfId="4">
      <alignment horizontal="center" vertical="center" wrapText="1"/>
    </xf>
    <xf numFmtId="49" fontId="7" fillId="0" borderId="2" applyAlignment="1" pivotButton="0" quotePrefix="0" xfId="4">
      <alignment horizontal="center" vertical="center" wrapText="1"/>
    </xf>
    <xf numFmtId="41" fontId="7" fillId="0" borderId="3" applyAlignment="1" pivotButton="0" quotePrefix="0" xfId="4">
      <alignment horizontal="center" vertical="center" wrapText="1"/>
    </xf>
    <xf numFmtId="41" fontId="7" fillId="0" borderId="4" applyAlignment="1" pivotButton="0" quotePrefix="0" xfId="4">
      <alignment horizontal="center" vertical="center" wrapText="1"/>
    </xf>
    <xf numFmtId="0" fontId="8" fillId="0" borderId="2" applyAlignment="1" pivotButton="0" quotePrefix="0" xfId="4">
      <alignment horizontal="center" vertical="center" wrapText="1"/>
    </xf>
    <xf numFmtId="0" fontId="8" fillId="0" borderId="5" applyAlignment="1" pivotButton="0" quotePrefix="0" xfId="4">
      <alignment horizontal="center" vertical="center" wrapText="1"/>
    </xf>
    <xf numFmtId="49" fontId="7" fillId="0" borderId="6" applyAlignment="1" pivotButton="0" quotePrefix="0" xfId="4">
      <alignment horizontal="center" vertical="center" wrapText="1"/>
    </xf>
    <xf numFmtId="49" fontId="7" fillId="0" borderId="5" applyAlignment="1" pivotButton="0" quotePrefix="0" xfId="4">
      <alignment horizontal="center" vertical="center" wrapText="1"/>
    </xf>
    <xf numFmtId="41" fontId="7" fillId="0" borderId="2" applyAlignment="1" pivotButton="0" quotePrefix="0" xfId="4">
      <alignment horizontal="center" vertical="center" wrapText="1"/>
    </xf>
    <xf numFmtId="41" fontId="9" fillId="0" borderId="2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2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2" applyAlignment="1" pivotButton="0" quotePrefix="0" xfId="6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7" applyAlignment="1" pivotButton="0" quotePrefix="0" xfId="4">
      <alignment horizontal="center" vertical="center" wrapText="1"/>
    </xf>
    <xf numFmtId="49" fontId="7" fillId="0" borderId="7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164" fontId="7" fillId="0" borderId="8" applyAlignment="1" pivotButton="0" quotePrefix="0" xfId="4">
      <alignment horizontal="center" vertical="center" wrapText="1"/>
    </xf>
    <xf numFmtId="0" fontId="8" fillId="0" borderId="7" applyAlignment="1" pivotButton="0" quotePrefix="0" xfId="4">
      <alignment horizontal="center" vertical="center" wrapText="1"/>
    </xf>
    <xf numFmtId="0" fontId="8" fillId="0" borderId="9" applyAlignment="1" pivotButton="0" quotePrefix="0" xfId="4">
      <alignment horizontal="center" vertical="center" wrapText="1"/>
    </xf>
    <xf numFmtId="49" fontId="7" fillId="0" borderId="10" applyAlignment="1" pivotButton="0" quotePrefix="0" xfId="4">
      <alignment horizontal="center" vertical="center" wrapText="1"/>
    </xf>
    <xf numFmtId="49" fontId="7" fillId="0" borderId="9" applyAlignment="1" pivotButton="0" quotePrefix="0" xfId="4">
      <alignment horizontal="center" vertical="center" wrapText="1"/>
    </xf>
    <xf numFmtId="49" fontId="7" fillId="0" borderId="11" applyAlignment="1" pivotButton="0" quotePrefix="0" xfId="4">
      <alignment horizontal="center" vertical="center" wrapText="1"/>
    </xf>
    <xf numFmtId="41" fontId="7" fillId="0" borderId="7" applyAlignment="1" pivotButton="0" quotePrefix="0" xfId="4">
      <alignment horizontal="center" vertical="center" wrapText="1"/>
    </xf>
    <xf numFmtId="41" fontId="9" fillId="0" borderId="7" applyAlignment="1" pivotButton="0" quotePrefix="0" xfId="4">
      <alignment horizontal="center" vertical="center" wrapText="1"/>
    </xf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6" fontId="7" fillId="0" borderId="7" applyAlignment="1" pivotButton="0" quotePrefix="0" xfId="6">
      <alignment horizontal="center" vertical="center" wrapText="1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169" fontId="7" fillId="0" borderId="7" applyAlignment="1" pivotButton="0" quotePrefix="0" xfId="6">
      <alignment horizontal="center" vertical="center"/>
    </xf>
    <xf numFmtId="170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5">
      <alignment horizontal="center" vertical="center"/>
    </xf>
    <xf numFmtId="0" fontId="11" fillId="0" borderId="13" applyAlignment="1" pivotButton="0" quotePrefix="0" xfId="5">
      <alignment horizontal="center"/>
    </xf>
    <xf numFmtId="0" fontId="4" fillId="0" borderId="12" applyAlignment="1" pivotButton="0" quotePrefix="0" xfId="5">
      <alignment horizontal="center"/>
    </xf>
    <xf numFmtId="166" fontId="4" fillId="0" borderId="12" applyAlignment="1" pivotButton="0" quotePrefix="0" xfId="1">
      <alignment vertical="center" wrapText="1"/>
    </xf>
    <xf numFmtId="167" fontId="4" fillId="0" borderId="13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0" fontId="4" fillId="0" borderId="12" applyAlignment="1" pivotButton="0" quotePrefix="0" xfId="5">
      <alignment horizontal="center" vertical="top" wrapText="1"/>
    </xf>
    <xf numFmtId="0" fontId="4" fillId="0" borderId="12" applyAlignment="1" pivotButton="0" quotePrefix="0" xfId="5">
      <alignment horizontal="center" vertical="center" wrapText="1"/>
    </xf>
    <xf numFmtId="0" fontId="11" fillId="0" borderId="12" applyAlignment="1" pivotButton="0" quotePrefix="0" xfId="5">
      <alignment horizontal="center" vertical="center"/>
    </xf>
    <xf numFmtId="0" fontId="4" fillId="0" borderId="12" applyAlignment="1" pivotButton="0" quotePrefix="0" xfId="4">
      <alignment horizontal="center" vertical="center"/>
    </xf>
    <xf numFmtId="0" fontId="4" fillId="0" borderId="12" applyAlignment="1" pivotButton="0" quotePrefix="1" xfId="4">
      <alignment horizontal="center" vertical="center" wrapText="1"/>
    </xf>
    <xf numFmtId="41" fontId="4" fillId="0" borderId="0" applyAlignment="1" pivotButton="0" quotePrefix="0" xfId="4">
      <alignment vertical="center" wrapText="1"/>
    </xf>
    <xf numFmtId="1" fontId="4" fillId="0" borderId="13" applyAlignment="1" pivotButton="0" quotePrefix="1" xfId="4">
      <alignment horizontal="center" vertical="center" wrapText="1"/>
    </xf>
    <xf numFmtId="49" fontId="4" fillId="0" borderId="13" applyAlignment="1" pivotButton="0" quotePrefix="1" xfId="4">
      <alignment horizontal="center" vertical="center"/>
    </xf>
    <xf numFmtId="49" fontId="4" fillId="0" borderId="13" applyAlignment="1" pivotButton="0" quotePrefix="1" xfId="5">
      <alignment horizontal="center" vertical="center" wrapText="1"/>
    </xf>
    <xf numFmtId="170" fontId="4" fillId="0" borderId="13" applyAlignment="1" pivotButton="0" quotePrefix="1" xfId="5">
      <alignment horizontal="center" vertical="center" wrapText="1"/>
    </xf>
    <xf numFmtId="14" fontId="4" fillId="0" borderId="13" applyAlignment="1" pivotButton="0" quotePrefix="1" xfId="5">
      <alignment horizontal="center" vertical="center" wrapText="1"/>
    </xf>
    <xf numFmtId="0" fontId="4" fillId="0" borderId="14" applyAlignment="1" pivotButton="0" quotePrefix="0" xfId="5">
      <alignment horizontal="center" vertical="center"/>
    </xf>
    <xf numFmtId="0" fontId="4" fillId="0" borderId="13" applyAlignment="1" pivotButton="0" quotePrefix="0" xfId="5">
      <alignment horizontal="center"/>
    </xf>
    <xf numFmtId="39" fontId="4" fillId="0" borderId="13" applyAlignment="1" pivotButton="0" quotePrefix="0" xfId="2">
      <alignment vertical="center"/>
    </xf>
    <xf numFmtId="0" fontId="4" fillId="0" borderId="13" applyAlignment="1" pivotButton="0" quotePrefix="0" xfId="4">
      <alignment horizontal="center" vertical="center"/>
    </xf>
    <xf numFmtId="0" fontId="4" fillId="0" borderId="13" applyAlignment="1" pivotButton="0" quotePrefix="1" xfId="4">
      <alignment horizontal="center" vertical="center" wrapText="1"/>
    </xf>
    <xf numFmtId="1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1" xfId="4">
      <alignment horizontal="center" vertical="center" wrapText="1"/>
    </xf>
    <xf numFmtId="49" fontId="9" fillId="2" borderId="15" applyAlignment="1" pivotButton="0" quotePrefix="0" xfId="5">
      <alignment horizontal="center" vertical="center"/>
    </xf>
    <xf numFmtId="14" fontId="9" fillId="2" borderId="15" applyAlignment="1" pivotButton="0" quotePrefix="0" xfId="5">
      <alignment horizontal="center" vertical="center"/>
    </xf>
    <xf numFmtId="0" fontId="9" fillId="2" borderId="15" applyAlignment="1" pivotButton="0" quotePrefix="0" xfId="5">
      <alignment horizontal="center" vertical="center"/>
    </xf>
    <xf numFmtId="0" fontId="9" fillId="2" borderId="16" applyAlignment="1" pivotButton="0" quotePrefix="0" xfId="5">
      <alignment horizontal="center"/>
    </xf>
    <xf numFmtId="14" fontId="13" fillId="2" borderId="15" applyAlignment="1" pivotButton="0" quotePrefix="1" xfId="5">
      <alignment horizontal="center" vertical="center" wrapText="1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0" xfId="5">
      <alignment horizontal="center" vertical="center" wrapText="1"/>
    </xf>
    <xf numFmtId="0" fontId="9" fillId="2" borderId="15" applyAlignment="1" pivotButton="0" quotePrefix="0" xfId="5">
      <alignment horizontal="center"/>
    </xf>
    <xf numFmtId="0" fontId="9" fillId="2" borderId="15" applyAlignment="1" pivotButton="0" quotePrefix="0" xfId="4">
      <alignment horizontal="center" vertical="center" wrapText="1"/>
    </xf>
    <xf numFmtId="41" fontId="9" fillId="0" borderId="0" applyAlignment="1" pivotButton="0" quotePrefix="0" xfId="4">
      <alignment vertical="center" wrapText="1"/>
    </xf>
    <xf numFmtId="1" fontId="4" fillId="0" borderId="12" applyAlignment="1" pivotButton="0" quotePrefix="1" xfId="4">
      <alignment horizontal="center" vertical="center" wrapText="1"/>
    </xf>
    <xf numFmtId="49" fontId="4" fillId="0" borderId="12" applyAlignment="1" pivotButton="0" quotePrefix="1" xfId="4">
      <alignment horizontal="center" vertical="center"/>
    </xf>
    <xf numFmtId="49" fontId="4" fillId="0" borderId="12" applyAlignment="1" pivotButton="0" quotePrefix="1" xfId="5">
      <alignment horizontal="center" vertical="center" wrapText="1"/>
    </xf>
    <xf numFmtId="14" fontId="4" fillId="0" borderId="12" applyAlignment="1" pivotButton="0" quotePrefix="1" xfId="5">
      <alignment horizontal="center" vertical="center" wrapText="1"/>
    </xf>
    <xf numFmtId="0" fontId="4" fillId="0" borderId="12" applyAlignment="1" pivotButton="0" quotePrefix="0" xfId="7">
      <alignment horizontal="center" vertical="center"/>
    </xf>
    <xf numFmtId="0" fontId="11" fillId="0" borderId="12" applyAlignment="1" pivotButton="0" quotePrefix="0" xfId="5">
      <alignment horizontal="center"/>
    </xf>
    <xf numFmtId="0" fontId="4" fillId="0" borderId="12" applyAlignment="1" pivotButton="0" quotePrefix="1" xfId="5">
      <alignment horizontal="center" vertical="center"/>
    </xf>
    <xf numFmtId="39" fontId="4" fillId="0" borderId="12" applyAlignment="1" pivotButton="0" quotePrefix="0" xfId="2">
      <alignment vertical="center"/>
    </xf>
    <xf numFmtId="167" fontId="4" fillId="0" borderId="12" applyAlignment="1" pivotButton="0" quotePrefix="0" xfId="3">
      <alignment horizontal="center" vertical="center" wrapText="1"/>
    </xf>
    <xf numFmtId="0" fontId="4" fillId="0" borderId="13" applyAlignment="1" pivotButton="0" quotePrefix="0" xfId="7">
      <alignment horizontal="center" vertical="center"/>
    </xf>
    <xf numFmtId="1" fontId="3" fillId="0" borderId="9" applyAlignment="1" pivotButton="0" quotePrefix="1" xfId="4">
      <alignment horizontal="center" vertical="center"/>
    </xf>
    <xf numFmtId="49" fontId="3" fillId="0" borderId="1" applyAlignment="1" pivotButton="0" quotePrefix="1" xfId="4">
      <alignment horizontal="center" vertical="center"/>
    </xf>
    <xf numFmtId="164" fontId="3" fillId="3" borderId="1" applyAlignment="1" pivotButton="0" quotePrefix="1" xfId="8">
      <alignment horizontal="center" vertical="center" wrapText="1"/>
    </xf>
    <xf numFmtId="164" fontId="14" fillId="3" borderId="1" applyAlignment="1" pivotButton="0" quotePrefix="1" xfId="4">
      <alignment horizontal="center" vertical="center"/>
    </xf>
    <xf numFmtId="171" fontId="3" fillId="3" borderId="1" applyAlignment="1" pivotButton="0" quotePrefix="1" xfId="4">
      <alignment horizontal="center" vertical="center" wrapText="1"/>
    </xf>
    <xf numFmtId="171" fontId="3" fillId="3" borderId="1" applyAlignment="1" pivotButton="0" quotePrefix="1" xfId="4">
      <alignment horizontal="left" vertical="center" wrapText="1"/>
    </xf>
    <xf numFmtId="0" fontId="3" fillId="0" borderId="1" applyAlignment="1" pivotButton="0" quotePrefix="0" xfId="4">
      <alignment horizontal="center" vertical="center"/>
    </xf>
    <xf numFmtId="165" fontId="3" fillId="3" borderId="1" applyAlignment="1" pivotButton="0" quotePrefix="1" xfId="2">
      <alignment horizontal="right" vertical="center" wrapText="1"/>
    </xf>
    <xf numFmtId="166" fontId="3" fillId="3" borderId="1" applyAlignment="1" pivotButton="0" quotePrefix="1" xfId="4">
      <alignment horizontal="right" vertical="center" wrapText="1"/>
    </xf>
    <xf numFmtId="167" fontId="3" fillId="3" borderId="1" applyAlignment="1" pivotButton="0" quotePrefix="1" xfId="3">
      <alignment horizontal="right" vertical="center" wrapText="1"/>
    </xf>
    <xf numFmtId="168" fontId="3" fillId="3" borderId="1" applyAlignment="1" pivotButton="0" quotePrefix="1" xfId="3">
      <alignment horizontal="right" vertical="center" wrapText="1"/>
    </xf>
    <xf numFmtId="43" fontId="3" fillId="3" borderId="1" applyAlignment="1" pivotButton="0" quotePrefix="1" xfId="4">
      <alignment horizontal="center" vertical="center" wrapText="1"/>
    </xf>
    <xf numFmtId="4" fontId="3" fillId="0" borderId="10" applyAlignment="1" pivotButton="0" quotePrefix="0" xfId="9">
      <alignment horizontal="center" vertical="center"/>
    </xf>
    <xf numFmtId="4" fontId="3" fillId="0" borderId="0" applyAlignment="1" pivotButton="0" quotePrefix="0" xfId="9">
      <alignment horizontal="center" vertical="center"/>
    </xf>
    <xf numFmtId="1" fontId="15" fillId="0" borderId="8" applyAlignment="1" pivotButton="0" quotePrefix="1" xfId="4">
      <alignment horizontal="center" vertical="center"/>
    </xf>
    <xf numFmtId="49" fontId="15" fillId="0" borderId="3" applyAlignment="1" pivotButton="0" quotePrefix="1" xfId="4">
      <alignment horizontal="center" vertical="center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3" fontId="17" fillId="0" borderId="18" applyAlignment="1" pivotButton="0" quotePrefix="0" xfId="10">
      <alignment horizontal="center" vertical="center"/>
    </xf>
    <xf numFmtId="0" fontId="15" fillId="0" borderId="4" applyAlignment="1" pivotButton="0" quotePrefix="0" xfId="4">
      <alignment horizontal="center"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4" fontId="17" fillId="0" borderId="18" applyAlignment="1" pivotButton="0" quotePrefix="0" xfId="10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" fontId="15" fillId="0" borderId="8" applyAlignment="1" pivotButton="0" quotePrefix="0" xfId="9">
      <alignment horizontal="center" vertical="center"/>
    </xf>
    <xf numFmtId="4" fontId="15" fillId="0" borderId="0" applyAlignment="1" pivotButton="0" quotePrefix="0" xfId="9">
      <alignment horizontal="center" vertical="center"/>
    </xf>
    <xf numFmtId="1" fontId="3" fillId="0" borderId="0" applyAlignment="1" pivotButton="0" quotePrefix="1" xfId="4">
      <alignment horizontal="center" vertical="center"/>
    </xf>
    <xf numFmtId="49" fontId="3" fillId="0" borderId="0" applyAlignment="1" pivotButton="0" quotePrefix="1" xfId="4">
      <alignment horizontal="center" vertical="center"/>
    </xf>
    <xf numFmtId="164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center" vertical="center"/>
    </xf>
    <xf numFmtId="0" fontId="3" fillId="0" borderId="0" applyAlignment="1" pivotButton="0" quotePrefix="1" xfId="4">
      <alignment horizontal="left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" fontId="3" fillId="0" borderId="0" applyAlignment="1" pivotButton="0" quotePrefix="0" xfId="9">
      <alignment horizontal="center" vertical="center"/>
    </xf>
    <xf numFmtId="49" fontId="18" fillId="4" borderId="0" applyAlignment="1" pivotButton="0" quotePrefix="1" xfId="4">
      <alignment horizontal="center" vertical="center"/>
    </xf>
    <xf numFmtId="3" fontId="15" fillId="4" borderId="0" applyAlignment="1" pivotButton="0" quotePrefix="1" xfId="4">
      <alignment horizontal="center" vertical="center"/>
    </xf>
    <xf numFmtId="49" fontId="18" fillId="5" borderId="0" applyAlignment="1" pivotButton="0" quotePrefix="1" xfId="4">
      <alignment horizontal="center" vertical="center"/>
    </xf>
    <xf numFmtId="3" fontId="15" fillId="5" borderId="0" applyAlignment="1" pivotButton="0" quotePrefix="1" xfId="4">
      <alignment horizontal="center" vertical="center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49" fontId="3" fillId="0" borderId="0" applyAlignment="1" pivotButton="0" quotePrefix="1" xfId="4">
      <alignment vertical="center"/>
    </xf>
    <xf numFmtId="167" fontId="3" fillId="0" borderId="0" applyAlignment="1" pivotButton="0" quotePrefix="0" xfId="3">
      <alignment horizontal="left" vertical="center"/>
    </xf>
    <xf numFmtId="4" fontId="3" fillId="0" borderId="0" applyAlignment="1" pivotButton="0" quotePrefix="0" xfId="4">
      <alignment horizontal="center" vertical="center"/>
    </xf>
    <xf numFmtId="1" fontId="3" fillId="0" borderId="19" applyAlignment="1" pivotButton="0" quotePrefix="1" xfId="4">
      <alignment horizontal="center" vertical="center"/>
    </xf>
    <xf numFmtId="49" fontId="3" fillId="0" borderId="20" applyAlignment="1" pivotButton="0" quotePrefix="1" xfId="4">
      <alignment horizontal="center" vertical="center"/>
    </xf>
    <xf numFmtId="164" fontId="3" fillId="0" borderId="20" applyAlignment="1" pivotButton="0" quotePrefix="1" xfId="4">
      <alignment horizontal="center" vertical="center"/>
    </xf>
    <xf numFmtId="164" fontId="3" fillId="0" borderId="21" applyAlignment="1" pivotButton="0" quotePrefix="1" xfId="4">
      <alignment horizontal="center" vertical="center"/>
    </xf>
    <xf numFmtId="0" fontId="19" fillId="0" borderId="0" applyAlignment="1" pivotButton="0" quotePrefix="1" xfId="4">
      <alignment horizontal="center" vertical="center"/>
    </xf>
    <xf numFmtId="0" fontId="19" fillId="0" borderId="0" applyAlignment="1" pivotButton="0" quotePrefix="1" xfId="4">
      <alignment horizontal="left" vertical="center"/>
    </xf>
    <xf numFmtId="0" fontId="20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4" fontId="3" fillId="0" borderId="0" applyAlignment="1" pivotButton="0" quotePrefix="0" xfId="4">
      <alignment horizontal="left" vertical="center"/>
    </xf>
    <xf numFmtId="1" fontId="21" fillId="0" borderId="22" applyAlignment="1" pivotButton="0" quotePrefix="0" xfId="4">
      <alignment vertical="center"/>
    </xf>
    <xf numFmtId="49" fontId="2" fillId="0" borderId="0" applyAlignment="1" pivotButton="0" quotePrefix="1" xfId="4">
      <alignment horizontal="center" vertical="center"/>
    </xf>
    <xf numFmtId="173" fontId="21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7" fillId="0" borderId="0" applyAlignment="1" pivotButton="0" quotePrefix="0" xfId="4">
      <alignment horizontal="center" vertical="center"/>
    </xf>
    <xf numFmtId="49" fontId="2" fillId="0" borderId="0" applyAlignment="1" pivotButton="0" quotePrefix="0" xfId="4">
      <alignment horizontal="center" vertical="center"/>
    </xf>
    <xf numFmtId="174" fontId="21" fillId="0" borderId="0" applyAlignment="1" pivotButton="0" quotePrefix="0" xfId="4">
      <alignment horizontal="left" vertical="center"/>
    </xf>
    <xf numFmtId="174" fontId="21" fillId="0" borderId="23" applyAlignment="1" pivotButton="0" quotePrefix="0" xfId="4">
      <alignment horizontal="left" vertical="center"/>
    </xf>
    <xf numFmtId="49" fontId="22" fillId="0" borderId="0" applyAlignment="1" pivotButton="0" quotePrefix="0" xfId="4">
      <alignment horizontal="center" vertical="center"/>
    </xf>
    <xf numFmtId="0" fontId="22" fillId="0" borderId="0" applyAlignment="1" pivotButton="0" quotePrefix="0" xfId="4">
      <alignment horizontal="center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0" applyAlignment="1" pivotButton="0" quotePrefix="0" xfId="4">
      <alignment horizontal="left" vertical="center"/>
    </xf>
    <xf numFmtId="175" fontId="21" fillId="0" borderId="23" applyAlignment="1" pivotButton="0" quotePrefix="0" xfId="4">
      <alignment horizontal="left" vertical="center"/>
    </xf>
    <xf numFmtId="4" fontId="23" fillId="0" borderId="0" applyAlignment="1" pivotButton="0" quotePrefix="0" xfId="4">
      <alignment horizontal="left" vertical="center"/>
    </xf>
    <xf numFmtId="176" fontId="21" fillId="0" borderId="0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0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" fontId="2" fillId="0" borderId="22" applyAlignment="1" pivotButton="0" quotePrefix="0" xfId="4">
      <alignment horizontal="center" vertical="center"/>
    </xf>
    <xf numFmtId="178" fontId="21" fillId="0" borderId="0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1" fontId="3" fillId="0" borderId="24" applyAlignment="1" pivotButton="0" quotePrefix="0" xfId="4">
      <alignment horizontal="center" vertical="center"/>
    </xf>
    <xf numFmtId="49" fontId="3" fillId="0" borderId="25" applyAlignment="1" pivotButton="0" quotePrefix="0" xfId="4">
      <alignment horizontal="center" vertical="center"/>
    </xf>
    <xf numFmtId="164" fontId="3" fillId="0" borderId="25" applyAlignment="1" pivotButton="0" quotePrefix="0" xfId="4">
      <alignment horizontal="center" vertical="center"/>
    </xf>
    <xf numFmtId="164" fontId="3" fillId="0" borderId="26" applyAlignment="1" pivotButton="0" quotePrefix="0" xfId="4">
      <alignment horizontal="center" vertical="center"/>
    </xf>
    <xf numFmtId="1" fontId="3" fillId="4" borderId="0" applyAlignment="1" pivotButton="0" quotePrefix="0" xfId="4">
      <alignment horizontal="center" vertical="center"/>
    </xf>
    <xf numFmtId="49" fontId="3" fillId="4" borderId="0" applyAlignment="1" pivotButton="0" quotePrefix="0" xfId="4">
      <alignment horizontal="center" vertical="center"/>
    </xf>
    <xf numFmtId="164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center" vertical="center"/>
    </xf>
    <xf numFmtId="0" fontId="3" fillId="4" borderId="0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  <xf numFmtId="41" fontId="3" fillId="0" borderId="0" applyAlignment="1" pivotButton="0" quotePrefix="0" xfId="4">
      <alignment horizontal="center" vertical="center" shrinkToFit="1"/>
    </xf>
    <xf numFmtId="41" fontId="4" fillId="0" borderId="0" applyAlignment="1" pivotButton="0" quotePrefix="0" xfId="4">
      <alignment horizontal="center" vertical="center" shrinkToFit="1"/>
    </xf>
    <xf numFmtId="165" fontId="3" fillId="0" borderId="0" applyAlignment="1" pivotButton="0" quotePrefix="0" xfId="2">
      <alignment horizontal="right" vertical="center"/>
    </xf>
    <xf numFmtId="166" fontId="3" fillId="0" borderId="0" applyAlignment="1" pivotButton="0" quotePrefix="0" xfId="4">
      <alignment horizontal="right" vertical="center"/>
    </xf>
    <xf numFmtId="167" fontId="3" fillId="0" borderId="0" applyAlignment="1" pivotButton="0" quotePrefix="0" xfId="3">
      <alignment horizontal="right" vertical="center"/>
    </xf>
    <xf numFmtId="168" fontId="3" fillId="0" borderId="0" applyAlignment="1" pivotButton="0" quotePrefix="0" xfId="3">
      <alignment horizontal="right" vertical="center"/>
    </xf>
    <xf numFmtId="41" fontId="3" fillId="0" borderId="0" applyAlignment="1" pivotButton="0" quotePrefix="0" xfId="4">
      <alignment horizontal="center" vertical="center"/>
    </xf>
    <xf numFmtId="41" fontId="3" fillId="0" borderId="0" applyAlignment="1" pivotButton="0" quotePrefix="0" xfId="4">
      <alignment vertical="center"/>
    </xf>
    <xf numFmtId="0" fontId="0" fillId="0" borderId="0" pivotButton="0" quotePrefix="0" xfId="0"/>
    <xf numFmtId="41" fontId="6" fillId="0" borderId="0" applyAlignment="1" pivotButton="0" quotePrefix="0" xfId="4">
      <alignment horizontal="left" vertical="center"/>
    </xf>
    <xf numFmtId="41" fontId="3" fillId="0" borderId="1" applyAlignment="1" pivotButton="0" quotePrefix="0" xfId="4">
      <alignment horizontal="center" vertical="center"/>
    </xf>
    <xf numFmtId="41" fontId="4" fillId="0" borderId="1" applyAlignment="1" pivotButton="0" quotePrefix="0" xfId="4">
      <alignment horizontal="center" vertical="center"/>
    </xf>
    <xf numFmtId="165" fontId="3" fillId="0" borderId="1" applyAlignment="1" pivotButton="0" quotePrefix="0" xfId="2">
      <alignment horizontal="center" vertical="center"/>
    </xf>
    <xf numFmtId="166" fontId="3" fillId="0" borderId="1" applyAlignment="1" pivotButton="0" quotePrefix="0" xfId="4">
      <alignment horizontal="center" vertical="center"/>
    </xf>
    <xf numFmtId="167" fontId="3" fillId="0" borderId="1" applyAlignment="1" pivotButton="0" quotePrefix="0" xfId="3">
      <alignment horizontal="center" vertical="center"/>
    </xf>
    <xf numFmtId="168" fontId="3" fillId="0" borderId="1" applyAlignment="1" pivotButton="0" quotePrefix="0" xfId="3">
      <alignment horizontal="center" vertical="center"/>
    </xf>
    <xf numFmtId="41" fontId="7" fillId="0" borderId="0" applyAlignment="1" pivotButton="0" quotePrefix="0" xfId="4">
      <alignment vertical="center"/>
    </xf>
    <xf numFmtId="1" fontId="7" fillId="0" borderId="8" applyAlignment="1" pivotButton="0" quotePrefix="0" xfId="4">
      <alignment horizontal="center" vertical="center" wrapText="1"/>
    </xf>
    <xf numFmtId="49" fontId="7" fillId="0" borderId="8" applyAlignment="1" pivotButton="0" quotePrefix="0" xfId="4">
      <alignment horizontal="center" vertical="center" wrapText="1"/>
    </xf>
    <xf numFmtId="41" fontId="7" fillId="0" borderId="8" applyAlignment="1" pivotButton="0" quotePrefix="0" xfId="4">
      <alignment horizontal="center" vertical="center" wrapText="1"/>
    </xf>
    <xf numFmtId="0" fontId="0" fillId="0" borderId="4" pivotButton="0" quotePrefix="0" xfId="0"/>
    <xf numFmtId="0" fontId="8" fillId="0" borderId="8" applyAlignment="1" pivotButton="0" quotePrefix="0" xfId="4">
      <alignment horizontal="center" vertical="center" wrapText="1"/>
    </xf>
    <xf numFmtId="0" fontId="8" fillId="0" borderId="3" applyAlignment="1" pivotButton="0" quotePrefix="0" xfId="4">
      <alignment horizontal="center" vertical="center" wrapText="1"/>
    </xf>
    <xf numFmtId="49" fontId="7" fillId="0" borderId="4" applyAlignment="1" pivotButton="0" quotePrefix="0" xfId="4">
      <alignment horizontal="center" vertical="center" wrapText="1"/>
    </xf>
    <xf numFmtId="0" fontId="0" fillId="0" borderId="6" pivotButton="0" quotePrefix="0" xfId="0"/>
    <xf numFmtId="41" fontId="9" fillId="0" borderId="8" applyAlignment="1" pivotButton="0" quotePrefix="0" xfId="4">
      <alignment horizontal="center" vertical="center" wrapText="1"/>
    </xf>
    <xf numFmtId="165" fontId="7" fillId="0" borderId="2" applyAlignment="1" pivotButton="0" quotePrefix="0" xfId="2">
      <alignment horizontal="center" vertical="center"/>
    </xf>
    <xf numFmtId="166" fontId="7" fillId="0" borderId="8" applyAlignment="1" pivotButton="0" quotePrefix="0" xfId="6">
      <alignment horizontal="center" vertical="center" wrapText="1"/>
    </xf>
    <xf numFmtId="167" fontId="7" fillId="0" borderId="2" applyAlignment="1" pivotButton="0" quotePrefix="0" xfId="3">
      <alignment horizontal="center" vertical="center"/>
    </xf>
    <xf numFmtId="168" fontId="7" fillId="0" borderId="2" applyAlignment="1" pivotButton="0" quotePrefix="0" xfId="3">
      <alignment horizontal="center" vertical="center"/>
    </xf>
    <xf numFmtId="169" fontId="7" fillId="0" borderId="2" applyAlignment="1" pivotButton="0" quotePrefix="0" xfId="6">
      <alignment horizontal="center" vertical="center"/>
    </xf>
    <xf numFmtId="169" fontId="7" fillId="0" borderId="8" applyAlignment="1" pivotButton="0" quotePrefix="0" xfId="6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1" pivotButton="0" quotePrefix="0" xfId="0"/>
    <xf numFmtId="165" fontId="7" fillId="0" borderId="7" applyAlignment="1" pivotButton="0" quotePrefix="1" xfId="2">
      <alignment horizontal="center" vertical="center"/>
    </xf>
    <xf numFmtId="165" fontId="7" fillId="0" borderId="7" applyAlignment="1" pivotButton="0" quotePrefix="0" xfId="2">
      <alignment horizontal="center" vertical="center"/>
    </xf>
    <xf numFmtId="167" fontId="7" fillId="0" borderId="7" applyAlignment="1" pivotButton="0" quotePrefix="0" xfId="3">
      <alignment horizontal="center" vertical="center"/>
    </xf>
    <xf numFmtId="168" fontId="7" fillId="0" borderId="7" applyAlignment="1" pivotButton="0" quotePrefix="0" xfId="3">
      <alignment horizontal="center" vertical="center"/>
    </xf>
    <xf numFmtId="169" fontId="7" fillId="0" borderId="7" applyAlignment="1" pivotButton="0" quotePrefix="0" xfId="6">
      <alignment horizontal="center" vertical="center"/>
    </xf>
    <xf numFmtId="41" fontId="4" fillId="0" borderId="0" applyAlignment="1" pivotButton="0" quotePrefix="0" xfId="4">
      <alignment vertical="center" wrapText="1"/>
    </xf>
    <xf numFmtId="170" fontId="4" fillId="0" borderId="12" applyAlignment="1" pivotButton="0" quotePrefix="1" xfId="5">
      <alignment horizontal="center" vertical="center" wrapText="1"/>
    </xf>
    <xf numFmtId="166" fontId="4" fillId="0" borderId="12" applyAlignment="1" pivotButton="0" quotePrefix="0" xfId="1">
      <alignment vertical="center" wrapText="1"/>
    </xf>
    <xf numFmtId="167" fontId="4" fillId="0" borderId="12" applyAlignment="1" pivotButton="0" quotePrefix="0" xfId="3">
      <alignment horizontal="center" vertical="center" wrapText="1"/>
    </xf>
    <xf numFmtId="168" fontId="4" fillId="0" borderId="12" applyAlignment="1" pivotButton="0" quotePrefix="0" xfId="3">
      <alignment horizontal="center" vertical="center" wrapText="1"/>
    </xf>
    <xf numFmtId="49" fontId="9" fillId="2" borderId="15" applyAlignment="1" pivotButton="0" quotePrefix="1" xfId="5">
      <alignment horizontal="center" vertical="center"/>
    </xf>
    <xf numFmtId="14" fontId="9" fillId="2" borderId="15" applyAlignment="1" pivotButton="0" quotePrefix="1" xfId="5">
      <alignment horizontal="center" vertical="center"/>
    </xf>
    <xf numFmtId="0" fontId="9" fillId="2" borderId="15" applyAlignment="1" pivotButton="0" quotePrefix="0" xfId="7">
      <alignment horizontal="center" vertical="center"/>
    </xf>
    <xf numFmtId="14" fontId="13" fillId="2" borderId="15" applyAlignment="1" pivotButton="0" quotePrefix="0" xfId="5">
      <alignment horizontal="center" vertical="center" wrapText="1"/>
    </xf>
    <xf numFmtId="0" fontId="9" fillId="2" borderId="15" applyAlignment="1" pivotButton="0" quotePrefix="1" xfId="5">
      <alignment horizontal="center" vertical="center"/>
    </xf>
    <xf numFmtId="165" fontId="13" fillId="2" borderId="15" applyAlignment="1" pivotButton="0" quotePrefix="0" xfId="2">
      <alignment horizontal="center"/>
    </xf>
    <xf numFmtId="166" fontId="9" fillId="2" borderId="15" applyAlignment="1" pivotButton="0" quotePrefix="0" xfId="1">
      <alignment vertical="center" wrapText="1"/>
    </xf>
    <xf numFmtId="167" fontId="9" fillId="2" borderId="15" applyAlignment="1" pivotButton="0" quotePrefix="0" xfId="3">
      <alignment horizontal="center" vertical="center" wrapText="1"/>
    </xf>
    <xf numFmtId="168" fontId="9" fillId="2" borderId="15" applyAlignment="1" pivotButton="0" quotePrefix="0" xfId="3">
      <alignment horizontal="center" vertical="center" wrapText="1"/>
    </xf>
    <xf numFmtId="0" fontId="9" fillId="2" borderId="15" applyAlignment="1" pivotButton="0" quotePrefix="1" xfId="4">
      <alignment horizontal="center" vertical="center" wrapText="1"/>
    </xf>
    <xf numFmtId="0" fontId="9" fillId="2" borderId="15" applyAlignment="1" pivotButton="0" quotePrefix="1" xfId="5">
      <alignment horizontal="center" vertical="center" wrapText="1"/>
    </xf>
    <xf numFmtId="41" fontId="15" fillId="0" borderId="3" applyAlignment="1" pivotButton="0" quotePrefix="0" xfId="4">
      <alignment vertical="center"/>
    </xf>
    <xf numFmtId="41" fontId="15" fillId="0" borderId="17" applyAlignment="1" pivotButton="0" quotePrefix="0" xfId="4">
      <alignment vertical="center"/>
    </xf>
    <xf numFmtId="41" fontId="15" fillId="0" borderId="4" applyAlignment="1" pivotButton="0" quotePrefix="0" xfId="4">
      <alignment vertical="center"/>
    </xf>
    <xf numFmtId="41" fontId="15" fillId="0" borderId="4" applyAlignment="1" pivotButton="0" quotePrefix="0" xfId="4">
      <alignment horizontal="center" vertical="center"/>
    </xf>
    <xf numFmtId="41" fontId="15" fillId="0" borderId="8" applyAlignment="1" pivotButton="0" quotePrefix="0" xfId="4">
      <alignment horizontal="center" vertical="center"/>
    </xf>
    <xf numFmtId="41" fontId="9" fillId="0" borderId="8" applyAlignment="1" pivotButton="0" quotePrefix="0" xfId="4">
      <alignment horizontal="center" vertical="center"/>
    </xf>
    <xf numFmtId="166" fontId="15" fillId="0" borderId="8" applyAlignment="1" pivotButton="0" quotePrefix="0" xfId="9">
      <alignment horizontal="right" vertical="center"/>
    </xf>
    <xf numFmtId="172" fontId="17" fillId="0" borderId="18" applyAlignment="1" pivotButton="0" quotePrefix="0" xfId="10">
      <alignment horizontal="center" vertical="center"/>
    </xf>
    <xf numFmtId="168" fontId="17" fillId="0" borderId="4" applyAlignment="1" pivotButton="0" quotePrefix="0" xfId="10">
      <alignment horizontal="center" vertical="center"/>
    </xf>
    <xf numFmtId="168" fontId="17" fillId="0" borderId="18" applyAlignment="1" pivotButton="0" quotePrefix="0" xfId="10">
      <alignment horizontal="center" vertical="center"/>
    </xf>
    <xf numFmtId="41" fontId="7" fillId="0" borderId="0" applyAlignment="1" pivotButton="0" quotePrefix="1" xfId="4">
      <alignment horizontal="center" vertical="center"/>
    </xf>
    <xf numFmtId="41" fontId="3" fillId="0" borderId="0" applyAlignment="1" pivotButton="0" quotePrefix="1" xfId="4">
      <alignment horizontal="center" vertical="center"/>
    </xf>
    <xf numFmtId="41" fontId="4" fillId="0" borderId="0" applyAlignment="1" pivotButton="0" quotePrefix="0" xfId="4">
      <alignment horizontal="center" vertical="center"/>
    </xf>
    <xf numFmtId="166" fontId="3" fillId="0" borderId="0" applyAlignment="1" pivotButton="0" quotePrefix="0" xfId="9">
      <alignment horizontal="right" vertical="center"/>
    </xf>
    <xf numFmtId="41" fontId="9" fillId="0" borderId="0" applyAlignment="1" pivotButton="0" quotePrefix="0" xfId="4">
      <alignment vertical="center" wrapText="1"/>
    </xf>
    <xf numFmtId="41" fontId="2" fillId="0" borderId="0" applyAlignment="1" pivotButton="0" quotePrefix="1" xfId="4">
      <alignment horizontal="center" vertical="center"/>
    </xf>
    <xf numFmtId="168" fontId="3" fillId="0" borderId="0" applyAlignment="1" pivotButton="0" quotePrefix="0" xfId="3">
      <alignment horizontal="left" vertical="center"/>
    </xf>
    <xf numFmtId="167" fontId="3" fillId="0" borderId="0" applyAlignment="1" pivotButton="0" quotePrefix="0" xfId="3">
      <alignment horizontal="left" vertical="center"/>
    </xf>
    <xf numFmtId="165" fontId="3" fillId="0" borderId="0" applyAlignment="1" pivotButton="0" quotePrefix="0" xfId="2">
      <alignment horizontal="left" vertical="center"/>
    </xf>
    <xf numFmtId="166" fontId="3" fillId="0" borderId="0" applyAlignment="1" pivotButton="0" quotePrefix="0" xfId="4">
      <alignment horizontal="left" vertical="center"/>
    </xf>
    <xf numFmtId="173" fontId="21" fillId="0" borderId="23" applyAlignment="1" pivotButton="0" quotePrefix="0" xfId="4">
      <alignment horizontal="left" vertical="center"/>
    </xf>
    <xf numFmtId="0" fontId="0" fillId="0" borderId="23" pivotButton="0" quotePrefix="0" xfId="0"/>
    <xf numFmtId="174" fontId="21" fillId="0" borderId="23" applyAlignment="1" pivotButton="0" quotePrefix="0" xfId="4">
      <alignment horizontal="left" vertical="center"/>
    </xf>
    <xf numFmtId="165" fontId="3" fillId="0" borderId="0" applyAlignment="1" pivotButton="0" quotePrefix="0" xfId="2">
      <alignment vertical="center"/>
    </xf>
    <xf numFmtId="166" fontId="3" fillId="0" borderId="0" applyAlignment="1" pivotButton="0" quotePrefix="0" xfId="4">
      <alignment vertical="center"/>
    </xf>
    <xf numFmtId="167" fontId="3" fillId="0" borderId="0" applyAlignment="1" pivotButton="0" quotePrefix="0" xfId="3">
      <alignment vertical="center"/>
    </xf>
    <xf numFmtId="168" fontId="3" fillId="0" borderId="0" applyAlignment="1" pivotButton="0" quotePrefix="0" xfId="3">
      <alignment vertical="center"/>
    </xf>
    <xf numFmtId="175" fontId="21" fillId="0" borderId="23" applyAlignment="1" pivotButton="0" quotePrefix="0" xfId="4">
      <alignment horizontal="left" vertical="center"/>
    </xf>
    <xf numFmtId="176" fontId="21" fillId="0" borderId="23" applyAlignment="1" pivotButton="0" quotePrefix="0" xfId="4">
      <alignment horizontal="left" vertical="center"/>
    </xf>
    <xf numFmtId="177" fontId="21" fillId="0" borderId="23" applyAlignment="1" pivotButton="0" quotePrefix="0" xfId="4">
      <alignment horizontal="left" vertical="center"/>
    </xf>
    <xf numFmtId="178" fontId="21" fillId="0" borderId="23" applyAlignment="1" pivotButton="0" quotePrefix="0" xfId="4">
      <alignment horizontal="left" vertical="center"/>
    </xf>
    <xf numFmtId="41" fontId="3" fillId="4" borderId="0" applyAlignment="1" pivotButton="0" quotePrefix="0" xfId="4">
      <alignment horizontal="center" vertical="center" shrinkToFit="1"/>
    </xf>
    <xf numFmtId="41" fontId="4" fillId="4" borderId="0" applyAlignment="1" pivotButton="0" quotePrefix="0" xfId="4">
      <alignment horizontal="center" vertical="center" shrinkToFit="1"/>
    </xf>
    <xf numFmtId="165" fontId="3" fillId="4" borderId="0" applyAlignment="1" pivotButton="0" quotePrefix="0" xfId="2">
      <alignment horizontal="right" vertical="center"/>
    </xf>
    <xf numFmtId="166" fontId="3" fillId="4" borderId="0" applyAlignment="1" pivotButton="0" quotePrefix="0" xfId="4">
      <alignment horizontal="right" vertical="center"/>
    </xf>
    <xf numFmtId="167" fontId="3" fillId="4" borderId="0" applyAlignment="1" pivotButton="0" quotePrefix="0" xfId="3">
      <alignment horizontal="right" vertical="center"/>
    </xf>
    <xf numFmtId="168" fontId="3" fillId="4" borderId="0" applyAlignment="1" pivotButton="0" quotePrefix="0" xfId="3">
      <alignment horizontal="right" vertical="center"/>
    </xf>
    <xf numFmtId="41" fontId="3" fillId="4" borderId="0" applyAlignment="1" pivotButton="0" quotePrefix="0" xfId="4">
      <alignment horizontal="center" vertical="center"/>
    </xf>
    <xf numFmtId="41" fontId="3" fillId="4" borderId="0" applyAlignment="1" pivotButton="0" quotePrefix="0" xfId="4">
      <alignment vertical="center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Normal 3 2" xfId="4"/>
    <cellStyle name="Normal 4" xfId="5"/>
    <cellStyle name="Comma [0] 2 2" xfId="6"/>
    <cellStyle name="常规 3 8" xfId="7"/>
    <cellStyle name="Comma 10" xfId="8"/>
    <cellStyle name="Comma 2 2" xfId="9"/>
    <cellStyle name="常规_Jct99-0009" xfId="1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zinus.sharepoint.com/Users/Welcome/Downloads/Laporan%20BC%20Bulan%20Juli%20201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KAP"/>
      <sheetName val="IMPOR"/>
      <sheetName val="EKSPOR"/>
      <sheetName val="2.7 IN SK"/>
      <sheetName val="2.7 OUT SK"/>
      <sheetName val="4.1"/>
      <sheetName val="4.0"/>
      <sheetName val="4.0 SEWA"/>
      <sheetName val="2.6.2"/>
      <sheetName val="2.6.1"/>
      <sheetName val="2.7 IN"/>
      <sheetName val="2.7 IN ALIH"/>
      <sheetName val="4.1 SEWA"/>
      <sheetName val="2.5"/>
      <sheetName val="2.7 IN MESIN"/>
      <sheetName val="2.7 OUT"/>
      <sheetName val="2.7 OUT ALIH"/>
      <sheetName val="2.7 OUT MESIN"/>
      <sheetName val="RE-EKSPOR"/>
    </sheetNames>
    <sheetDataSet>
      <sheetData sheetId="0" refreshError="1">
        <row r="7">
          <cell r="A7" t="str">
            <v>PT ZINUS GLOBAL INDONESIA</v>
          </cell>
        </row>
        <row r="34">
          <cell r="X34" t="str">
            <v>Kasubsi Hanggar Pabean dan Cukai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D322"/>
  <sheetViews>
    <sheetView tabSelected="1" zoomScale="55" zoomScaleNormal="55" workbookViewId="0">
      <pane xSplit="2" ySplit="11" topLeftCell="C12" activePane="bottomRight" state="frozen"/>
      <selection pane="topRight" activeCell="C6" sqref="C6"/>
      <selection pane="bottomLeft" activeCell="A12" sqref="A12"/>
      <selection pane="bottomRight" activeCell="F36" sqref="F36"/>
    </sheetView>
  </sheetViews>
  <sheetFormatPr baseColWidth="8" defaultColWidth="9.109375" defaultRowHeight="15.6"/>
  <cols>
    <col width="6.5546875" customWidth="1" style="17" min="1" max="1"/>
    <col width="34.109375" customWidth="1" style="6" min="2" max="2"/>
    <col width="27.33203125" customWidth="1" style="3" min="3" max="4"/>
    <col width="16.109375" customWidth="1" style="4" min="5" max="5"/>
    <col width="27.6640625" customWidth="1" style="5" min="6" max="6"/>
    <col width="13.109375" customWidth="1" style="5" min="7" max="7"/>
    <col width="13.5546875" customWidth="1" style="6" min="8" max="8"/>
    <col width="19.109375" customWidth="1" style="6" min="9" max="9"/>
    <col width="5.6640625" customWidth="1" style="6" min="10" max="10"/>
    <col width="92.109375" customWidth="1" style="215" min="11" max="11"/>
    <col width="63.44140625" customWidth="1" style="215" min="12" max="12"/>
    <col width="16.5546875" customWidth="1" style="215" min="13" max="13"/>
    <col width="21.5546875" customWidth="1" style="216" min="14" max="14"/>
    <col width="16.33203125" customWidth="1" style="217" min="15" max="16"/>
    <col width="13.88671875" customWidth="1" style="218" min="17" max="17"/>
    <col width="20.33203125" customWidth="1" style="219" min="18" max="18"/>
    <col width="15.5546875" customWidth="1" style="220" min="19" max="19"/>
    <col width="28.44140625" customWidth="1" style="220" min="20" max="20"/>
    <col width="22.33203125" customWidth="1" style="221" min="21" max="21"/>
    <col width="18.6640625" customWidth="1" style="221" min="22" max="22"/>
    <col width="33.5546875" customWidth="1" style="221" min="23" max="23"/>
    <col width="64" customWidth="1" style="221" min="24" max="24"/>
    <col width="26.6640625" customWidth="1" style="221" min="25" max="25"/>
    <col width="22.5546875" customWidth="1" style="221" min="26" max="26"/>
    <col width="9.109375" customWidth="1" style="222" min="27" max="289"/>
    <col width="24.88671875" bestFit="1" customWidth="1" style="222" min="290" max="290"/>
    <col width="9.109375" customWidth="1" style="222" min="291" max="16384"/>
  </cols>
  <sheetData>
    <row r="1" hidden="1" ht="18" customHeight="1" s="223">
      <c r="A1" s="1" t="inlineStr">
        <is>
          <t>KEMENTERIAN KEUANGAN REPUBLIK INDONESIA</t>
        </is>
      </c>
      <c r="B1" s="2" t="n"/>
    </row>
    <row r="2" hidden="1" ht="18" customHeight="1" s="223">
      <c r="A2" s="1" t="inlineStr">
        <is>
          <t>DIREKTORAT JENDERAL BEA DAN CUKAI</t>
        </is>
      </c>
      <c r="B2" s="2" t="n"/>
    </row>
    <row r="3" hidden="1" ht="18" customHeight="1" s="223">
      <c r="A3" s="15" t="inlineStr">
        <is>
          <t>KANTOR WILAYAH DJBC BANTEN</t>
        </is>
      </c>
      <c r="B3" s="16" t="n"/>
    </row>
    <row r="4" hidden="1" ht="18" customHeight="1" s="223">
      <c r="A4" s="15" t="inlineStr">
        <is>
          <t>KANTOR PENGAWASAN DAN PELAYANAN BEA DAN CUKAI TIPE MADYA PABEAN A TANGERANG</t>
        </is>
      </c>
      <c r="B4" s="16" t="n"/>
    </row>
    <row r="5" ht="14.25" customHeight="1" s="223"/>
    <row r="6" ht="24.75" customHeight="1" s="223">
      <c r="A6" s="224" t="inlineStr">
        <is>
          <t>LAPORAN BULANAN  EKSPOR (BC 3.0)</t>
        </is>
      </c>
    </row>
    <row r="7" ht="24.75" customHeight="1" s="223">
      <c r="A7" s="224" t="inlineStr">
        <is>
          <t>PT. ZINUS DREAM INDONESIA</t>
        </is>
      </c>
    </row>
    <row r="8" ht="24.75" customHeight="1" s="223">
      <c r="A8" s="19" t="inlineStr">
        <is>
          <t>BULAN : JULY 2026</t>
        </is>
      </c>
    </row>
    <row r="9" ht="14.25" customHeight="1" s="223" thickBot="1">
      <c r="A9" s="20" t="n"/>
      <c r="B9" s="21" t="n"/>
      <c r="C9" s="22" t="n"/>
      <c r="D9" s="22" t="n"/>
      <c r="E9" s="23" t="n"/>
      <c r="F9" s="24" t="n"/>
      <c r="G9" s="24" t="n"/>
      <c r="H9" s="21" t="n"/>
      <c r="I9" s="21" t="n"/>
      <c r="J9" s="21" t="n"/>
      <c r="K9" s="225" t="n"/>
      <c r="L9" s="225" t="n"/>
      <c r="M9" s="225" t="n"/>
      <c r="N9" s="226" t="n"/>
      <c r="O9" s="227" t="n"/>
      <c r="P9" s="227" t="n"/>
      <c r="Q9" s="228" t="n"/>
      <c r="R9" s="229" t="n"/>
      <c r="S9" s="230" t="n"/>
      <c r="T9" s="230" t="n"/>
      <c r="U9" s="225" t="n"/>
      <c r="V9" s="225" t="n"/>
      <c r="W9" s="225" t="n"/>
      <c r="X9" s="225" t="n"/>
    </row>
    <row r="10" ht="20.1" customFormat="1" customHeight="1" s="231" thickBot="1">
      <c r="A10" s="232" t="inlineStr">
        <is>
          <t>NO</t>
        </is>
      </c>
      <c r="B10" s="233" t="inlineStr">
        <is>
          <t>NO AJU</t>
        </is>
      </c>
      <c r="C10" s="234" t="inlineStr">
        <is>
          <t>NOMOR</t>
        </is>
      </c>
      <c r="D10" s="235" t="n"/>
      <c r="E10" s="236" t="inlineStr">
        <is>
          <t>TANGGAL</t>
        </is>
      </c>
      <c r="F10" s="236" t="inlineStr">
        <is>
          <t>INVOICE</t>
        </is>
      </c>
      <c r="G10" s="237" t="inlineStr">
        <is>
          <t>TANGGAL INVOICE</t>
        </is>
      </c>
      <c r="H10" s="238" t="inlineStr">
        <is>
          <t>JUMLAH BARANG</t>
        </is>
      </c>
      <c r="I10" s="32" t="inlineStr">
        <is>
          <t>KONTAINER/SIZE</t>
        </is>
      </c>
      <c r="J10" s="239" t="n"/>
      <c r="K10" s="234" t="inlineStr">
        <is>
          <t>URAIAN JENIS BARANG</t>
        </is>
      </c>
      <c r="L10" s="236" t="inlineStr">
        <is>
          <t>SKU</t>
        </is>
      </c>
      <c r="M10" s="234" t="inlineStr">
        <is>
          <t>Nomor PO</t>
        </is>
      </c>
      <c r="N10" s="240" t="inlineStr">
        <is>
          <t>F-CODE</t>
        </is>
      </c>
      <c r="O10" s="241" t="inlineStr">
        <is>
          <t>BRUTO</t>
        </is>
      </c>
      <c r="P10" s="241" t="inlineStr">
        <is>
          <t>NETTO</t>
        </is>
      </c>
      <c r="Q10" s="242" t="inlineStr">
        <is>
          <t>UNIT PRICE</t>
        </is>
      </c>
      <c r="R10" s="243" t="inlineStr">
        <is>
          <t>FOB</t>
        </is>
      </c>
      <c r="S10" s="244" t="inlineStr">
        <is>
          <t>KURS</t>
        </is>
      </c>
      <c r="T10" s="244" t="inlineStr">
        <is>
          <t>IDR</t>
        </is>
      </c>
      <c r="U10" s="245" t="inlineStr">
        <is>
          <t>KANTOR PABEAN</t>
        </is>
      </c>
      <c r="V10" s="245" t="inlineStr">
        <is>
          <t>PELABUHAN</t>
        </is>
      </c>
      <c r="W10" s="245" t="inlineStr">
        <is>
          <t>NEGARA</t>
        </is>
      </c>
      <c r="X10" s="246" t="inlineStr">
        <is>
          <t>PENERIMA BARANG</t>
        </is>
      </c>
      <c r="Y10" s="246" t="inlineStr">
        <is>
          <t>NOMOR B/L / AWB</t>
        </is>
      </c>
      <c r="Z10" s="246" t="inlineStr">
        <is>
          <t>TANGGAL B/L</t>
        </is>
      </c>
    </row>
    <row r="11" ht="20.1" customFormat="1" customHeight="1" s="231" thickBot="1">
      <c r="A11" s="247" t="n"/>
      <c r="B11" s="247" t="n"/>
      <c r="C11" s="234" t="inlineStr">
        <is>
          <t xml:space="preserve">PEB </t>
        </is>
      </c>
      <c r="D11" s="51" t="inlineStr">
        <is>
          <t>NPE</t>
        </is>
      </c>
      <c r="E11" s="247" t="n"/>
      <c r="F11" s="247" t="n"/>
      <c r="G11" s="248" t="n"/>
      <c r="H11" s="249" t="n"/>
      <c r="I11" s="250" t="n"/>
      <c r="J11" s="251" t="n"/>
      <c r="K11" s="247" t="n"/>
      <c r="L11" s="247" t="n"/>
      <c r="M11" s="247" t="n"/>
      <c r="N11" s="247" t="n"/>
      <c r="O11" s="252" t="inlineStr">
        <is>
          <t>(KG)</t>
        </is>
      </c>
      <c r="P11" s="253" t="inlineStr">
        <is>
          <t>(KG)</t>
        </is>
      </c>
      <c r="Q11" s="247" t="n"/>
      <c r="R11" s="254" t="inlineStr">
        <is>
          <t>(USD)</t>
        </is>
      </c>
      <c r="S11" s="255" t="n"/>
      <c r="T11" s="255" t="n"/>
      <c r="U11" s="256" t="inlineStr">
        <is>
          <t>MUAT / EKSPOR</t>
        </is>
      </c>
      <c r="V11" s="256" t="inlineStr">
        <is>
          <t>MUAT</t>
        </is>
      </c>
      <c r="W11" s="256" t="inlineStr">
        <is>
          <t>TUJUAN</t>
        </is>
      </c>
      <c r="X11" s="247" t="n"/>
      <c r="Y11" s="247" t="n"/>
      <c r="Z11" s="247" t="n"/>
    </row>
    <row r="12" ht="16.5" customFormat="1" customHeight="1" s="257">
      <c r="A12" s="104" t="n">
        <v>1</v>
      </c>
      <c r="B12" s="105" t="inlineStr">
        <is>
          <t>000030ZIK48020260724000509</t>
        </is>
      </c>
      <c r="C12" s="106" t="n">
        <v>372816</v>
      </c>
      <c r="D12" s="106" t="n">
        <v>372575</v>
      </c>
      <c r="E12" s="258" t="n">
        <v>46227</v>
      </c>
      <c r="F12" s="107" t="inlineStr">
        <is>
          <t>SPL/026/ZDI/VII/2026</t>
        </is>
      </c>
      <c r="G12" s="258" t="n">
        <v>46227</v>
      </c>
      <c r="H12" s="108" t="n">
        <v>1</v>
      </c>
      <c r="I12" s="67" t="inlineStr"/>
      <c r="J12" s="67" t="inlineStr"/>
      <c r="K12" s="69" t="inlineStr">
        <is>
          <t>94049000 HE:0 - 1.0000 PIECE (PCE) - INDONESIA (ID) 20 - TOPPER</t>
        </is>
      </c>
      <c r="L12" s="109" t="inlineStr">
        <is>
          <t>ECMF-LV3T</t>
        </is>
      </c>
      <c r="M12" s="110" t="inlineStr"/>
      <c r="N12" s="69" t="inlineStr">
        <is>
          <t>-.3.1400</t>
        </is>
      </c>
      <c r="O12" s="111" t="inlineStr"/>
      <c r="P12" s="111" t="inlineStr"/>
      <c r="Q12" s="259">
        <f>IFERROR(R12/H12, 0)</f>
        <v/>
      </c>
      <c r="R12" s="260" t="n">
        <v>0</v>
      </c>
      <c r="S12" s="261" t="n">
        <v>18056</v>
      </c>
      <c r="T12" s="261">
        <f>IFERROR(S12*R12, 0)</f>
        <v/>
      </c>
      <c r="U12" s="73" t="inlineStr">
        <is>
          <t>PEMUATAN DI PELABUHAN</t>
        </is>
      </c>
      <c r="V12" s="74" t="inlineStr">
        <is>
          <t>CENGKARENG / SOEKARNO</t>
        </is>
      </c>
      <c r="W12" s="75" t="inlineStr"/>
      <c r="X12" s="76" t="inlineStr"/>
      <c r="Y12" s="77" t="inlineStr"/>
      <c r="Z12" s="258" t="inlineStr"/>
    </row>
    <row r="13" ht="16.5" customFormat="1" customHeight="1" s="257">
      <c r="A13" s="104" t="n"/>
      <c r="B13" s="105" t="n"/>
      <c r="C13" s="106" t="n"/>
      <c r="D13" s="106" t="n"/>
      <c r="E13" s="258" t="n"/>
      <c r="F13" s="107" t="n"/>
      <c r="G13" s="258" t="n"/>
      <c r="H13" s="108" t="n">
        <v>1</v>
      </c>
      <c r="I13" s="67" t="inlineStr"/>
      <c r="J13" s="67" t="inlineStr"/>
      <c r="K13" s="69" t="inlineStr">
        <is>
          <t>94049000 HE:0 - 1.0000 PIECE (PCE) - INDONESIA (ID) 20 - TOPPER</t>
        </is>
      </c>
      <c r="L13" s="109" t="inlineStr">
        <is>
          <t>GMT-3T</t>
        </is>
      </c>
      <c r="M13" s="110" t="inlineStr"/>
      <c r="N13" s="69" t="inlineStr">
        <is>
          <t>-.4.3000</t>
        </is>
      </c>
      <c r="O13" s="111" t="n"/>
      <c r="P13" s="111" t="n"/>
      <c r="Q13" s="259">
        <f>IFERROR(R13/H13, 0)</f>
        <v/>
      </c>
      <c r="R13" s="260" t="n">
        <v>0</v>
      </c>
      <c r="S13" s="261" t="n">
        <v>18056</v>
      </c>
      <c r="T13" s="261">
        <f>IFERROR(S13*R13, 0)</f>
        <v/>
      </c>
      <c r="U13" s="73" t="n"/>
      <c r="V13" s="74" t="n"/>
      <c r="W13" s="75" t="n"/>
      <c r="X13" s="76" t="n"/>
      <c r="Y13" s="77" t="n"/>
      <c r="Z13" s="258" t="n"/>
    </row>
    <row r="14" ht="16.5" customFormat="1" customHeight="1" s="257">
      <c r="A14" s="89" t="n"/>
      <c r="B14" s="90" t="n"/>
      <c r="C14" s="262" t="n"/>
      <c r="D14" s="262" t="n"/>
      <c r="E14" s="263" t="n"/>
      <c r="F14" s="263" t="n"/>
      <c r="G14" s="263" t="n"/>
      <c r="H14" s="264">
        <f>SUM(H12:H13)</f>
        <v/>
      </c>
      <c r="I14" s="94">
        <f>COUNTA(I12:I13)</f>
        <v/>
      </c>
      <c r="J14" s="93" t="n"/>
      <c r="K14" s="93" t="n"/>
      <c r="L14" s="265" t="n"/>
      <c r="M14" s="266" t="n"/>
      <c r="N14" s="93" t="n"/>
      <c r="O14" s="267">
        <f>SUM(O12:O13)</f>
        <v/>
      </c>
      <c r="P14" s="267">
        <f>SUM(P12:P13)</f>
        <v/>
      </c>
      <c r="Q14" s="268" t="n"/>
      <c r="R14" s="269">
        <f>SUM(R12:R13)</f>
        <v/>
      </c>
      <c r="S14" s="270" t="n"/>
      <c r="T14" s="270">
        <f>SUM(T12:T13)</f>
        <v/>
      </c>
      <c r="U14" s="93" t="n"/>
      <c r="V14" s="100" t="n"/>
      <c r="W14" s="101" t="n"/>
      <c r="X14" s="102" t="n"/>
      <c r="Y14" s="271" t="n"/>
      <c r="Z14" s="272" t="n"/>
    </row>
    <row r="15" ht="16.5" customFormat="1" customHeight="1" s="257">
      <c r="A15" s="128">
        <f>COUNT(A12:A14)</f>
        <v/>
      </c>
      <c r="B15" s="129" t="n"/>
      <c r="C15" s="273" t="n"/>
      <c r="D15" s="274" t="n"/>
      <c r="E15" s="274" t="n"/>
      <c r="F15" s="274" t="n"/>
      <c r="G15" s="274" t="n"/>
      <c r="H15" s="132">
        <f>H14</f>
        <v/>
      </c>
      <c r="I15" s="132">
        <f>I14</f>
        <v/>
      </c>
      <c r="J15" s="133" t="n"/>
      <c r="K15" s="275" t="n"/>
      <c r="L15" s="276" t="n"/>
      <c r="M15" s="277" t="n"/>
      <c r="N15" s="278" t="n"/>
      <c r="O15" s="138">
        <f>O14</f>
        <v/>
      </c>
      <c r="P15" s="138">
        <f>P14</f>
        <v/>
      </c>
      <c r="Q15" s="279" t="n"/>
      <c r="R15" s="280">
        <f>R14</f>
        <v/>
      </c>
      <c r="S15" s="281" t="n"/>
      <c r="T15" s="282">
        <f>T14</f>
        <v/>
      </c>
      <c r="U15" s="143" t="n"/>
      <c r="V15" s="143" t="n"/>
      <c r="W15" s="143" t="n"/>
      <c r="X15" s="143" t="n"/>
      <c r="Y15" s="144" t="n"/>
      <c r="Z15" s="144" t="n"/>
    </row>
    <row r="16" ht="16.5" customFormat="1" customHeight="1" s="257">
      <c r="A16" s="145" t="n"/>
      <c r="B16" s="146" t="n"/>
      <c r="C16" s="147" t="n"/>
      <c r="E16" s="148" t="n"/>
      <c r="F16" s="149" t="n"/>
      <c r="G16" s="149" t="n"/>
      <c r="H16" s="283" t="n"/>
      <c r="I16" s="283" t="n"/>
      <c r="J16" s="284" t="n"/>
      <c r="K16" s="221" t="n"/>
      <c r="L16" s="221" t="n"/>
      <c r="M16" s="221" t="n"/>
      <c r="N16" s="285" t="n"/>
      <c r="Q16" s="286" t="n"/>
      <c r="U16" s="154" t="n"/>
      <c r="V16" s="154" t="n"/>
      <c r="W16" s="154" t="n"/>
      <c r="X16" s="154" t="n"/>
      <c r="Y16" s="154" t="n"/>
      <c r="Z16" s="154" t="n"/>
    </row>
    <row r="17" ht="17.1" customFormat="1" customHeight="1" s="287">
      <c r="A17" s="145" t="n"/>
      <c r="B17" s="155" t="inlineStr">
        <is>
          <t>Total Qty Export :</t>
        </is>
      </c>
      <c r="C17" s="156">
        <f>H15</f>
        <v/>
      </c>
      <c r="E17" s="148" t="n"/>
      <c r="F17" s="149" t="n"/>
      <c r="G17" s="149" t="n"/>
      <c r="H17" s="284" t="n"/>
      <c r="I17" s="284" t="n"/>
      <c r="J17" s="284" t="n"/>
      <c r="K17" s="221" t="n"/>
      <c r="L17" s="221" t="n"/>
      <c r="M17" s="221" t="n"/>
      <c r="N17" s="285" t="n"/>
      <c r="Q17" s="286" t="n"/>
      <c r="U17" s="154" t="n"/>
      <c r="V17" s="154" t="n"/>
      <c r="W17" s="154" t="n"/>
      <c r="X17" s="154" t="n"/>
      <c r="Y17" s="154" t="n"/>
      <c r="Z17" s="154" t="n"/>
    </row>
    <row r="18" ht="16.5" customFormat="1" customHeight="1" s="257">
      <c r="A18" s="145" t="n"/>
      <c r="B18" s="157" t="inlineStr">
        <is>
          <t>Total Qty Export Sample :</t>
        </is>
      </c>
      <c r="C18" s="158" t="n"/>
      <c r="E18" s="148" t="n"/>
      <c r="F18" s="149" t="n"/>
      <c r="G18" s="149" t="n"/>
      <c r="H18" s="288" t="n"/>
      <c r="I18" s="288" t="n"/>
      <c r="J18" s="284" t="n"/>
      <c r="T18" s="289" t="n"/>
      <c r="V18" s="154" t="n"/>
      <c r="W18" s="154" t="n"/>
      <c r="X18" s="154" t="n"/>
      <c r="Y18" s="154" t="n"/>
      <c r="Z18" s="154" t="n"/>
    </row>
    <row r="19" ht="16.5" customFormat="1" customHeight="1" s="257">
      <c r="A19" s="145" t="n"/>
      <c r="B19" s="161" t="n"/>
      <c r="C19" s="147" t="n"/>
      <c r="D19" s="147" t="n"/>
      <c r="E19" s="148" t="n"/>
      <c r="F19" s="149" t="n"/>
      <c r="G19" s="149" t="n"/>
      <c r="H19" s="284" t="n"/>
      <c r="I19" s="284" t="n"/>
      <c r="J19" s="284" t="n"/>
      <c r="K19" s="221" t="n"/>
      <c r="L19" s="221" t="n"/>
      <c r="M19" s="221" t="n"/>
      <c r="R19" s="290" t="n"/>
      <c r="S19" s="289" t="n"/>
      <c r="U19" s="163" t="n"/>
    </row>
    <row r="20" ht="16.5" customFormat="1" customHeight="1" s="257">
      <c r="A20" s="164" t="n"/>
      <c r="B20" s="165" t="n"/>
      <c r="C20" s="166" t="n"/>
      <c r="D20" s="167" t="n"/>
      <c r="E20" s="168" t="n"/>
      <c r="F20" s="169" t="n"/>
      <c r="G20" s="169" t="n"/>
      <c r="H20" s="170" t="n"/>
      <c r="I20" s="170" t="n"/>
      <c r="K20" s="221" t="n"/>
      <c r="L20" s="221" t="n"/>
      <c r="M20" s="221" t="n"/>
      <c r="N20" s="285" t="n"/>
      <c r="P20" s="291" t="n"/>
      <c r="Q20" s="292" t="n"/>
      <c r="R20" s="290" t="n"/>
      <c r="S20" s="289" t="n"/>
      <c r="T20" s="289" t="n"/>
      <c r="U20" s="173" t="inlineStr">
        <is>
          <t>Tangerang, 26 July 2026</t>
        </is>
      </c>
    </row>
    <row r="21" ht="16.5" customFormat="1" customHeight="1" s="257">
      <c r="A21" s="174" t="inlineStr">
        <is>
          <t>Total Document</t>
        </is>
      </c>
      <c r="B21" s="175" t="n"/>
      <c r="C21" s="293">
        <f>A15</f>
        <v/>
      </c>
      <c r="D21" s="294" t="n"/>
      <c r="G21" s="169" t="n"/>
      <c r="H21" s="178" t="n"/>
      <c r="I21" s="178" t="n"/>
      <c r="K21" s="221" t="n"/>
      <c r="L21" s="221" t="n"/>
      <c r="M21" s="221" t="n"/>
      <c r="N21" s="285" t="n"/>
      <c r="P21" s="291" t="n"/>
      <c r="Q21" s="292" t="n"/>
      <c r="R21" s="290" t="n"/>
      <c r="S21" s="289" t="n"/>
      <c r="T21" s="289" t="n"/>
      <c r="U21" s="173">
        <f>+[1]REKAP!X34</f>
        <v/>
      </c>
    </row>
    <row r="22" ht="16.5" customFormat="1" customHeight="1" s="257">
      <c r="A22" s="174" t="inlineStr">
        <is>
          <t>Gross Weight</t>
        </is>
      </c>
      <c r="B22" s="179" t="n"/>
      <c r="C22" s="295">
        <f>O15</f>
        <v/>
      </c>
      <c r="D22" s="294" t="n"/>
      <c r="H22" s="182" t="n"/>
      <c r="I22" s="183" t="n"/>
      <c r="K22" s="221" t="n"/>
      <c r="L22" s="221" t="n"/>
      <c r="M22" s="221" t="n"/>
      <c r="N22" s="285" t="n"/>
      <c r="P22" s="296" t="n"/>
      <c r="Q22" s="297" t="n"/>
      <c r="R22" s="298" t="n"/>
      <c r="S22" s="299" t="n"/>
      <c r="T22" s="299" t="n"/>
      <c r="U22" s="4" t="n"/>
    </row>
    <row r="23" ht="17.1" customFormat="1" customHeight="1" s="287">
      <c r="A23" s="174" t="inlineStr">
        <is>
          <t>Nett Weight</t>
        </is>
      </c>
      <c r="B23" s="179" t="n"/>
      <c r="C23" s="295">
        <f>P15</f>
        <v/>
      </c>
      <c r="D23" s="294" t="n"/>
      <c r="K23" s="221" t="n"/>
      <c r="L23" s="221" t="n"/>
      <c r="M23" s="221" t="n"/>
      <c r="N23" s="285" t="n"/>
      <c r="P23" s="296" t="n"/>
      <c r="Q23" s="297" t="n"/>
      <c r="R23" s="298" t="n"/>
      <c r="S23" s="299" t="n"/>
      <c r="T23" s="299" t="n"/>
      <c r="U23" s="4" t="n"/>
    </row>
    <row r="24" ht="17.1" customFormat="1" customHeight="1" s="287">
      <c r="A24" s="174" t="inlineStr">
        <is>
          <t>Amount</t>
        </is>
      </c>
      <c r="B24" s="179" t="n"/>
      <c r="C24" s="300">
        <f>R15</f>
        <v/>
      </c>
      <c r="D24" s="294" t="n"/>
      <c r="K24" s="221" t="n"/>
      <c r="L24" s="221" t="n"/>
      <c r="M24" s="221" t="n"/>
      <c r="N24" s="285" t="n"/>
      <c r="P24" s="296" t="n"/>
      <c r="Q24" s="297" t="n"/>
      <c r="R24" s="298" t="n"/>
      <c r="S24" s="299" t="n"/>
      <c r="T24" s="299" t="n"/>
      <c r="U24" s="190" t="n"/>
    </row>
    <row r="25" ht="8.1" customHeight="1" s="223" thickBot="1">
      <c r="A25" s="174" t="inlineStr">
        <is>
          <t>Jumlah Container</t>
        </is>
      </c>
      <c r="B25" s="179" t="n"/>
      <c r="C25" s="301">
        <f>I15</f>
        <v/>
      </c>
      <c r="D25" s="294" t="n"/>
      <c r="K25" s="221" t="n"/>
      <c r="L25" s="221" t="n"/>
      <c r="M25" s="221" t="n"/>
      <c r="N25" s="285" t="n"/>
      <c r="P25" s="296" t="n"/>
      <c r="Q25" s="297" t="n"/>
      <c r="R25" s="298" t="n"/>
      <c r="S25" s="299" t="n"/>
      <c r="T25" s="299" t="n"/>
      <c r="U25" s="173" t="n"/>
    </row>
    <row r="26" ht="20.1" customFormat="1" customHeight="1" s="231" thickBot="1">
      <c r="A26" s="174" t="n"/>
      <c r="B26" s="179" t="n"/>
      <c r="C26" s="302">
        <f>I28</f>
        <v/>
      </c>
      <c r="D26" s="294" t="n"/>
      <c r="K26" s="221" t="n"/>
      <c r="L26" s="221" t="n"/>
      <c r="M26" s="221" t="n"/>
      <c r="N26" s="285" t="n"/>
      <c r="P26" s="296" t="n"/>
      <c r="Q26" s="297" t="n"/>
      <c r="R26" s="298" t="n"/>
      <c r="S26" s="299" t="n"/>
      <c r="T26" s="299" t="n"/>
      <c r="U26" s="173" t="n"/>
    </row>
    <row r="27" ht="17.1" customHeight="1" s="223">
      <c r="A27" s="195" t="n"/>
      <c r="B27" s="179" t="n"/>
      <c r="C27" s="303">
        <f>C36*2+C37</f>
        <v/>
      </c>
      <c r="D27" s="294" t="n"/>
      <c r="K27" s="221" t="n"/>
      <c r="L27" s="221" t="n"/>
      <c r="M27" s="221" t="n"/>
      <c r="N27" s="285" t="n"/>
    </row>
    <row r="28" ht="17.1" customHeight="1" s="223">
      <c r="A28" s="198" t="n"/>
      <c r="B28" s="199" t="n"/>
      <c r="C28" s="200" t="n"/>
      <c r="D28" s="201" t="n"/>
    </row>
    <row r="29" ht="17.1" customHeight="1" s="223">
      <c r="B29" s="6" t="n"/>
      <c r="C29" s="3" t="n"/>
      <c r="D29" s="3" t="n"/>
      <c r="E29" s="4" t="n"/>
      <c r="F29" s="5" t="n"/>
      <c r="G29" s="5" t="n"/>
      <c r="H29" s="6" t="n"/>
      <c r="I29" s="6" t="n"/>
      <c r="J29" s="6" t="n"/>
      <c r="K29" s="215" t="n"/>
      <c r="L29" s="215" t="n"/>
      <c r="M29" s="215" t="n"/>
      <c r="N29" s="216" t="n"/>
      <c r="O29" s="217" t="n"/>
      <c r="P29" s="217" t="n"/>
      <c r="Q29" s="218" t="n"/>
      <c r="R29" s="219" t="n"/>
      <c r="S29" s="220" t="n"/>
      <c r="T29" s="220" t="n"/>
      <c r="U29" s="221" t="n"/>
      <c r="V29" s="221" t="n"/>
      <c r="W29" s="221" t="n"/>
      <c r="X29" s="221" t="n"/>
      <c r="Y29" s="221" t="n"/>
      <c r="Z29" s="221" t="n"/>
      <c r="AA29" s="222" t="n"/>
      <c r="AB29" s="222" t="n"/>
      <c r="AC29" s="222" t="n"/>
      <c r="AD29" s="222" t="n"/>
      <c r="AE29" s="222" t="n"/>
      <c r="AF29" s="222" t="n"/>
      <c r="AG29" s="222" t="n"/>
      <c r="AH29" s="222" t="n"/>
      <c r="AI29" s="222" t="n"/>
      <c r="AJ29" s="222" t="n"/>
      <c r="AK29" s="222" t="n"/>
      <c r="AL29" s="222" t="n"/>
      <c r="AM29" s="222" t="n"/>
      <c r="AN29" s="222" t="n"/>
      <c r="AO29" s="222" t="n"/>
      <c r="AP29" s="222" t="n"/>
      <c r="AQ29" s="222" t="n"/>
      <c r="AR29" s="222" t="n"/>
      <c r="AS29" s="222" t="n"/>
      <c r="AT29" s="222" t="n"/>
      <c r="AU29" s="222" t="n"/>
      <c r="AV29" s="222" t="n"/>
      <c r="AW29" s="222" t="n"/>
      <c r="AX29" s="222" t="n"/>
      <c r="AY29" s="222" t="n"/>
      <c r="AZ29" s="222" t="n"/>
      <c r="BA29" s="222" t="n"/>
      <c r="BB29" s="222" t="n"/>
      <c r="BC29" s="222" t="n"/>
      <c r="BD29" s="222" t="n"/>
      <c r="BE29" s="222" t="n"/>
      <c r="BF29" s="222" t="n"/>
      <c r="BG29" s="222" t="n"/>
      <c r="BH29" s="222" t="n"/>
      <c r="BI29" s="222" t="n"/>
      <c r="BJ29" s="222" t="n"/>
      <c r="BK29" s="222" t="n"/>
      <c r="BL29" s="222" t="n"/>
      <c r="BM29" s="222" t="n"/>
      <c r="BN29" s="222" t="n"/>
      <c r="BO29" s="222" t="n"/>
      <c r="BP29" s="222" t="n"/>
      <c r="BQ29" s="222" t="n"/>
      <c r="BR29" s="222" t="n"/>
      <c r="BS29" s="222" t="n"/>
      <c r="BT29" s="222" t="n"/>
      <c r="BU29" s="222" t="n"/>
      <c r="BV29" s="222" t="n"/>
      <c r="BW29" s="222" t="n"/>
      <c r="BX29" s="222" t="n"/>
      <c r="BY29" s="222" t="n"/>
      <c r="BZ29" s="222" t="n"/>
      <c r="CA29" s="222" t="n"/>
      <c r="CB29" s="222" t="n"/>
      <c r="CC29" s="222" t="n"/>
      <c r="CD29" s="222" t="n"/>
      <c r="CE29" s="222" t="n"/>
      <c r="CF29" s="222" t="n"/>
      <c r="CG29" s="222" t="n"/>
      <c r="CH29" s="222" t="n"/>
      <c r="CI29" s="222" t="n"/>
      <c r="CJ29" s="222" t="n"/>
      <c r="CK29" s="222" t="n"/>
      <c r="CL29" s="222" t="n"/>
      <c r="CM29" s="222" t="n"/>
      <c r="CN29" s="222" t="n"/>
      <c r="CO29" s="222" t="n"/>
      <c r="CP29" s="222" t="n"/>
      <c r="CQ29" s="222" t="n"/>
      <c r="CR29" s="222" t="n"/>
      <c r="CS29" s="222" t="n"/>
      <c r="CT29" s="222" t="n"/>
      <c r="CU29" s="222" t="n"/>
      <c r="CV29" s="222" t="n"/>
      <c r="CW29" s="222" t="n"/>
      <c r="CX29" s="222" t="n"/>
      <c r="CY29" s="222" t="n"/>
      <c r="CZ29" s="222" t="n"/>
      <c r="DA29" s="222" t="n"/>
      <c r="DB29" s="222" t="n"/>
      <c r="DC29" s="222" t="n"/>
      <c r="DD29" s="222" t="n"/>
      <c r="DE29" s="222" t="n"/>
      <c r="DF29" s="222" t="n"/>
      <c r="DG29" s="222" t="n"/>
      <c r="DH29" s="222" t="n"/>
      <c r="DI29" s="222" t="n"/>
      <c r="DJ29" s="222" t="n"/>
      <c r="DK29" s="222" t="n"/>
      <c r="DL29" s="222" t="n"/>
      <c r="DM29" s="222" t="n"/>
      <c r="DN29" s="222" t="n"/>
      <c r="DO29" s="222" t="n"/>
      <c r="DP29" s="222" t="n"/>
      <c r="DQ29" s="222" t="n"/>
      <c r="DR29" s="222" t="n"/>
      <c r="DS29" s="222" t="n"/>
      <c r="DT29" s="222" t="n"/>
      <c r="DU29" s="222" t="n"/>
      <c r="DV29" s="222" t="n"/>
      <c r="DW29" s="222" t="n"/>
      <c r="DX29" s="222" t="n"/>
      <c r="DY29" s="222" t="n"/>
      <c r="DZ29" s="222" t="n"/>
      <c r="EA29" s="222" t="n"/>
      <c r="EB29" s="222" t="n"/>
      <c r="EC29" s="222" t="n"/>
      <c r="ED29" s="222" t="n"/>
      <c r="EE29" s="222" t="n"/>
      <c r="EF29" s="222" t="n"/>
      <c r="EG29" s="222" t="n"/>
      <c r="EH29" s="222" t="n"/>
      <c r="EI29" s="222" t="n"/>
      <c r="EJ29" s="222" t="n"/>
      <c r="EK29" s="222" t="n"/>
      <c r="EL29" s="222" t="n"/>
      <c r="EM29" s="222" t="n"/>
      <c r="EN29" s="222" t="n"/>
      <c r="EO29" s="222" t="n"/>
      <c r="EP29" s="222" t="n"/>
      <c r="EQ29" s="222" t="n"/>
      <c r="ER29" s="222" t="n"/>
      <c r="ES29" s="222" t="n"/>
      <c r="ET29" s="222" t="n"/>
      <c r="EU29" s="222" t="n"/>
      <c r="EV29" s="222" t="n"/>
      <c r="EW29" s="222" t="n"/>
      <c r="EX29" s="222" t="n"/>
      <c r="EY29" s="222" t="n"/>
      <c r="EZ29" s="222" t="n"/>
      <c r="FA29" s="222" t="n"/>
      <c r="FB29" s="222" t="n"/>
      <c r="FC29" s="222" t="n"/>
      <c r="FD29" s="222" t="n"/>
      <c r="FE29" s="222" t="n"/>
      <c r="FF29" s="222" t="n"/>
      <c r="FG29" s="222" t="n"/>
      <c r="FH29" s="222" t="n"/>
      <c r="FI29" s="222" t="n"/>
      <c r="FJ29" s="222" t="n"/>
      <c r="FK29" s="222" t="n"/>
      <c r="FL29" s="222" t="n"/>
      <c r="FM29" s="222" t="n"/>
      <c r="FN29" s="222" t="n"/>
      <c r="FO29" s="222" t="n"/>
      <c r="FP29" s="222" t="n"/>
      <c r="FQ29" s="222" t="n"/>
      <c r="FR29" s="222" t="n"/>
      <c r="FS29" s="222" t="n"/>
      <c r="FT29" s="222" t="n"/>
      <c r="FU29" s="222" t="n"/>
      <c r="FV29" s="222" t="n"/>
      <c r="FW29" s="222" t="n"/>
      <c r="FX29" s="222" t="n"/>
      <c r="FY29" s="222" t="n"/>
      <c r="FZ29" s="222" t="n"/>
      <c r="GA29" s="222" t="n"/>
      <c r="GB29" s="222" t="n"/>
      <c r="GC29" s="222" t="n"/>
      <c r="GD29" s="222" t="n"/>
      <c r="GE29" s="222" t="n"/>
      <c r="GF29" s="222" t="n"/>
      <c r="GG29" s="222" t="n"/>
      <c r="GH29" s="222" t="n"/>
      <c r="GI29" s="222" t="n"/>
      <c r="GJ29" s="222" t="n"/>
      <c r="GK29" s="222" t="n"/>
      <c r="GL29" s="222" t="n"/>
      <c r="GM29" s="222" t="n"/>
      <c r="GN29" s="222" t="n"/>
      <c r="GO29" s="222" t="n"/>
      <c r="GP29" s="222" t="n"/>
      <c r="GQ29" s="222" t="n"/>
      <c r="GR29" s="222" t="n"/>
      <c r="GS29" s="222" t="n"/>
      <c r="GT29" s="222" t="n"/>
      <c r="GU29" s="222" t="n"/>
      <c r="GV29" s="222" t="n"/>
      <c r="GW29" s="222" t="n"/>
      <c r="GX29" s="222" t="n"/>
      <c r="GY29" s="222" t="n"/>
      <c r="GZ29" s="222" t="n"/>
      <c r="HA29" s="222" t="n"/>
      <c r="HB29" s="222" t="n"/>
      <c r="HC29" s="222" t="n"/>
      <c r="HD29" s="222" t="n"/>
      <c r="HE29" s="222" t="n"/>
      <c r="HF29" s="222" t="n"/>
      <c r="HG29" s="222" t="n"/>
      <c r="HH29" s="222" t="n"/>
      <c r="HI29" s="222" t="n"/>
      <c r="HJ29" s="222" t="n"/>
      <c r="HK29" s="222" t="n"/>
      <c r="HL29" s="222" t="n"/>
      <c r="HM29" s="222" t="n"/>
      <c r="HN29" s="222" t="n"/>
      <c r="HO29" s="222" t="n"/>
      <c r="HP29" s="222" t="n"/>
      <c r="HQ29" s="222" t="n"/>
      <c r="HR29" s="222" t="n"/>
      <c r="HS29" s="222" t="n"/>
      <c r="HT29" s="222" t="n"/>
      <c r="HU29" s="222" t="n"/>
      <c r="HV29" s="222" t="n"/>
      <c r="HW29" s="222" t="n"/>
      <c r="HX29" s="222" t="n"/>
      <c r="HY29" s="222" t="n"/>
      <c r="HZ29" s="222" t="n"/>
      <c r="IA29" s="222" t="n"/>
      <c r="IB29" s="222" t="n"/>
      <c r="IC29" s="222" t="n"/>
      <c r="ID29" s="222" t="n"/>
      <c r="IE29" s="222" t="n"/>
      <c r="IF29" s="222" t="n"/>
      <c r="IG29" s="222" t="n"/>
      <c r="IH29" s="222" t="n"/>
      <c r="II29" s="222" t="n"/>
      <c r="IJ29" s="222" t="n"/>
      <c r="IK29" s="222" t="n"/>
      <c r="IL29" s="222" t="n"/>
      <c r="IM29" s="222" t="n"/>
      <c r="IN29" s="222" t="n"/>
      <c r="IO29" s="222" t="n"/>
      <c r="IP29" s="222" t="n"/>
      <c r="IQ29" s="222" t="n"/>
      <c r="IR29" s="222" t="n"/>
      <c r="IS29" s="222" t="n"/>
      <c r="IT29" s="222" t="n"/>
      <c r="IU29" s="222" t="n"/>
      <c r="IV29" s="222" t="n"/>
      <c r="IW29" s="222" t="n"/>
      <c r="IX29" s="222" t="n"/>
      <c r="IY29" s="222" t="n"/>
      <c r="IZ29" s="222" t="n"/>
      <c r="JA29" s="222" t="n"/>
      <c r="JB29" s="222" t="n"/>
      <c r="JC29" s="222" t="n"/>
      <c r="JD29" s="222" t="n"/>
      <c r="JE29" s="222" t="n"/>
      <c r="JF29" s="222" t="n"/>
      <c r="JG29" s="222" t="n"/>
      <c r="JH29" s="222" t="n"/>
      <c r="JI29" s="222" t="n"/>
      <c r="JJ29" s="222" t="n"/>
      <c r="JK29" s="222" t="n"/>
      <c r="JL29" s="222" t="n"/>
      <c r="JM29" s="222" t="n"/>
      <c r="JN29" s="222" t="n"/>
      <c r="JO29" s="222" t="n"/>
      <c r="JP29" s="222" t="n"/>
      <c r="JQ29" s="222" t="n"/>
      <c r="JR29" s="222" t="n"/>
      <c r="JS29" s="222" t="n"/>
      <c r="JT29" s="222" t="n"/>
      <c r="JU29" s="222" t="n"/>
      <c r="JV29" s="222" t="n"/>
      <c r="JW29" s="222" t="n"/>
      <c r="JX29" s="222" t="n"/>
      <c r="JY29" s="222" t="n"/>
      <c r="JZ29" s="222" t="n"/>
      <c r="KA29" s="222" t="n"/>
      <c r="KB29" s="222" t="n"/>
      <c r="KC29" s="222" t="n"/>
      <c r="KD29" s="222" t="n"/>
    </row>
    <row r="30" ht="17.1" customHeight="1" s="223" thickBot="1"/>
    <row r="31" ht="17.1" customHeight="1" s="223" thickTop="1"/>
    <row r="32" ht="17.1" customHeight="1" s="223"/>
    <row r="33" ht="17.1" customHeight="1" s="223"/>
    <row r="34" ht="17.1" customHeight="1" s="223"/>
    <row r="35" ht="17.1" customHeight="1" s="223"/>
    <row r="36" ht="17.1" customHeight="1" s="223"/>
    <row r="37" ht="17.1" customHeight="1" s="223"/>
    <row r="38" ht="17.1" customHeight="1" s="223"/>
    <row r="39" ht="16.2" customHeight="1" s="223" thickBot="1"/>
    <row r="40" ht="16.2" customFormat="1" customHeight="1" s="17" thickTop="1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>
      <c r="A322" s="202" t="n"/>
      <c r="B322" s="203" t="n"/>
      <c r="C322" s="204" t="n"/>
      <c r="D322" s="204" t="n"/>
      <c r="E322" s="205" t="n"/>
      <c r="F322" s="206" t="n"/>
      <c r="G322" s="206" t="n"/>
      <c r="H322" s="6" t="n"/>
      <c r="I322" s="203" t="n"/>
      <c r="J322" s="203" t="n"/>
      <c r="K322" s="304" t="n"/>
      <c r="L322" s="304" t="n"/>
      <c r="M322" s="304" t="n"/>
      <c r="N322" s="305" t="n"/>
      <c r="O322" s="306" t="n"/>
      <c r="P322" s="306" t="n"/>
      <c r="Q322" s="307" t="n"/>
      <c r="R322" s="308" t="n"/>
      <c r="S322" s="309" t="n"/>
      <c r="T322" s="309" t="n"/>
      <c r="U322" s="310" t="n"/>
      <c r="V322" s="310" t="n"/>
      <c r="W322" s="310" t="n"/>
      <c r="X322" s="310" t="n"/>
      <c r="Y322" s="310" t="n"/>
      <c r="Z322" s="310" t="n"/>
    </row>
    <row r="333" ht="15" customFormat="1" customHeight="1" s="311"/>
  </sheetData>
  <autoFilter ref="A10:Z11">
    <filterColumn colId="2" hiddenButton="0" showButton="0"/>
    <filterColumn colId="8" hiddenButton="0" showButton="0"/>
  </autoFilter>
  <mergeCells count="26">
    <mergeCell ref="C34:D34"/>
    <mergeCell ref="C33:D33"/>
    <mergeCell ref="E10:E11"/>
    <mergeCell ref="G10:G11"/>
    <mergeCell ref="C35:D35"/>
    <mergeCell ref="M10:M11"/>
    <mergeCell ref="Y10:Y11"/>
    <mergeCell ref="Q10:Q11"/>
    <mergeCell ref="C10:D10"/>
    <mergeCell ref="I10:J11"/>
    <mergeCell ref="A6:Z6"/>
    <mergeCell ref="B10:B11"/>
    <mergeCell ref="A7:Z7"/>
    <mergeCell ref="L10:L11"/>
    <mergeCell ref="X10:X11"/>
    <mergeCell ref="N10:N11"/>
    <mergeCell ref="Z10:Z11"/>
    <mergeCell ref="C36:D36"/>
    <mergeCell ref="A10:A11"/>
    <mergeCell ref="K10:K11"/>
    <mergeCell ref="C32:D32"/>
    <mergeCell ref="C38:D38"/>
    <mergeCell ref="A8:Z8"/>
    <mergeCell ref="C37:D37"/>
    <mergeCell ref="F10:F11"/>
    <mergeCell ref="H10:H11"/>
  </mergeCells>
  <pageMargins left="0.7" right="0.7" top="0.75" bottom="0.75" header="0.3" footer="0.3"/>
  <pageSetup orientation="portrait" paperSize="9" horizontalDpi="4294967295" verticalDpi="4294967295"/>
  <headerFooter>
    <oddHeader/>
    <oddFooter>&amp;R&amp;F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Chiswa Dian Hermansyah(ZINUS ZDI)</dc:creator>
  <dcterms:created xsi:type="dcterms:W3CDTF">2026-07-25T07:40:00Z</dcterms:created>
  <dcterms:modified xsi:type="dcterms:W3CDTF">2026-07-25T18:05:23Z</dcterms:modified>
  <cp:lastModifiedBy>Chiswa Dian Hermansyah(ZINUS ZDI)</cp:lastModifiedBy>
</cp:coreProperties>
</file>