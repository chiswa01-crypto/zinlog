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4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000030ZIK48020260825000686</t>
        </is>
      </c>
      <c r="C12" s="245" t="n">
        <v>536965</v>
      </c>
      <c r="D12" s="245" t="n">
        <v>536907</v>
      </c>
      <c r="E12" s="246" t="n">
        <v>46260</v>
      </c>
      <c r="F12" s="245" t="inlineStr">
        <is>
          <t>ID2608-8216</t>
        </is>
      </c>
      <c r="G12" s="246" t="n">
        <v>46255</v>
      </c>
      <c r="H12" s="247" t="n">
        <v>20</v>
      </c>
      <c r="I12" s="245" t="inlineStr">
        <is>
          <t>MRKU5406697</t>
        </is>
      </c>
      <c r="J12" s="245" t="inlineStr">
        <is>
          <t>40FT</t>
        </is>
      </c>
      <c r="K12" s="245" t="inlineStr">
        <is>
          <t>10IN FIRM MF MATTRESS FL</t>
        </is>
      </c>
      <c r="L12" s="245" t="inlineStr">
        <is>
          <t>WA-FMF-10F</t>
        </is>
      </c>
      <c r="M12" s="248" t="inlineStr">
        <is>
          <t>MIWU00234</t>
        </is>
      </c>
      <c r="N12" s="245" t="inlineStr">
        <is>
          <t>F.MFM.10F.000.BU</t>
        </is>
      </c>
      <c r="O12" s="249" t="n">
        <v>12453.01</v>
      </c>
      <c r="P12" s="249" t="n">
        <v>11218.5</v>
      </c>
      <c r="Q12" s="250">
        <f>R12/H12</f>
        <v/>
      </c>
      <c r="R12" s="251" t="n">
        <v>1229.8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NEWARK, US</t>
        </is>
      </c>
      <c r="X12" s="245" t="inlineStr">
        <is>
          <t>MELLOW INC</t>
        </is>
      </c>
      <c r="Y12" s="245" t="inlineStr">
        <is>
          <t>MAEU275380504</t>
        </is>
      </c>
      <c r="Z12" s="246" t="n">
        <v>46260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20</v>
      </c>
      <c r="I13" s="245" t="inlineStr"/>
      <c r="J13" s="245" t="inlineStr"/>
      <c r="K13" s="245" t="inlineStr">
        <is>
          <t>10IN FIRM MF MATTRESS QN</t>
        </is>
      </c>
      <c r="L13" s="245" t="inlineStr">
        <is>
          <t>WA-FMF-10Q</t>
        </is>
      </c>
      <c r="M13" s="248" t="inlineStr">
        <is>
          <t>MIWU00234</t>
        </is>
      </c>
      <c r="N13" s="245" t="inlineStr">
        <is>
          <t>F.MFM.10Q.000.BU</t>
        </is>
      </c>
      <c r="O13" s="245" t="n"/>
      <c r="P13" s="245" t="n"/>
      <c r="Q13" s="250">
        <f>R13/H13</f>
        <v/>
      </c>
      <c r="R13" s="251" t="n">
        <v>1456.4</v>
      </c>
      <c r="S13" s="249" t="n">
        <v>17796</v>
      </c>
      <c r="T13" s="252">
        <f>S13*R13</f>
        <v/>
      </c>
      <c r="U13" s="245" t="n"/>
      <c r="V13" s="245" t="n"/>
      <c r="W13" s="245" t="inlineStr">
        <is>
          <t>ETD : 31-08-2026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20</v>
      </c>
      <c r="I14" s="245" t="inlineStr"/>
      <c r="J14" s="245" t="inlineStr"/>
      <c r="K14" s="245" t="inlineStr">
        <is>
          <t>10IN FIRM MF MATTRESS TW</t>
        </is>
      </c>
      <c r="L14" s="245" t="inlineStr">
        <is>
          <t>WA-FMF-10T</t>
        </is>
      </c>
      <c r="M14" s="248" t="inlineStr">
        <is>
          <t>MIWU00234</t>
        </is>
      </c>
      <c r="N14" s="245" t="inlineStr">
        <is>
          <t>F.MFM.10T.000.BU</t>
        </is>
      </c>
      <c r="O14" s="245" t="n"/>
      <c r="P14" s="245" t="n"/>
      <c r="Q14" s="250">
        <f>R14/H14</f>
        <v/>
      </c>
      <c r="R14" s="251" t="n">
        <v>938.4</v>
      </c>
      <c r="S14" s="249" t="n">
        <v>17796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25</v>
      </c>
      <c r="I15" s="245" t="inlineStr"/>
      <c r="J15" s="245" t="inlineStr"/>
      <c r="K15" s="245" t="inlineStr">
        <is>
          <t>12IN FIRM MF MATTRESS FL</t>
        </is>
      </c>
      <c r="L15" s="245" t="inlineStr">
        <is>
          <t>WA-FMF-12F</t>
        </is>
      </c>
      <c r="M15" s="248" t="inlineStr">
        <is>
          <t>MIWU00234</t>
        </is>
      </c>
      <c r="N15" s="245" t="inlineStr">
        <is>
          <t>F.MFM.12F.000.BU</t>
        </is>
      </c>
      <c r="O15" s="245" t="n"/>
      <c r="P15" s="245" t="n"/>
      <c r="Q15" s="250">
        <f>R15/H15</f>
        <v/>
      </c>
      <c r="R15" s="251" t="n">
        <v>1764</v>
      </c>
      <c r="S15" s="249" t="n">
        <v>17796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36</v>
      </c>
      <c r="I16" s="245" t="inlineStr"/>
      <c r="J16" s="245" t="inlineStr"/>
      <c r="K16" s="245" t="inlineStr">
        <is>
          <t>12IN FIRM MF MATTRESS QN</t>
        </is>
      </c>
      <c r="L16" s="245" t="inlineStr">
        <is>
          <t>WA-FMF-12Q</t>
        </is>
      </c>
      <c r="M16" s="248" t="inlineStr">
        <is>
          <t>MIWU00234</t>
        </is>
      </c>
      <c r="N16" s="245" t="inlineStr">
        <is>
          <t>F.MFM.12Q.000.BU</t>
        </is>
      </c>
      <c r="O16" s="245" t="n"/>
      <c r="P16" s="245" t="n"/>
      <c r="Q16" s="250">
        <f>R16/H16</f>
        <v/>
      </c>
      <c r="R16" s="251" t="n">
        <v>2959.2</v>
      </c>
      <c r="S16" s="249" t="n">
        <v>17796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92</v>
      </c>
      <c r="I17" s="245" t="inlineStr"/>
      <c r="J17" s="245" t="inlineStr"/>
      <c r="K17" s="245" t="inlineStr">
        <is>
          <t>10IN MEDIUM MFM FL</t>
        </is>
      </c>
      <c r="L17" s="245" t="inlineStr">
        <is>
          <t>WA-MMF-10F-IN</t>
        </is>
      </c>
      <c r="M17" s="248" t="inlineStr">
        <is>
          <t>MIWU00234</t>
        </is>
      </c>
      <c r="N17" s="245" t="inlineStr">
        <is>
          <t>F.MFM.10F.005.BU</t>
        </is>
      </c>
      <c r="O17" s="245" t="n"/>
      <c r="P17" s="245" t="n"/>
      <c r="Q17" s="250">
        <f>R17/H17</f>
        <v/>
      </c>
      <c r="R17" s="251" t="n">
        <v>5554.96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85</v>
      </c>
      <c r="I18" s="245" t="inlineStr"/>
      <c r="J18" s="245" t="inlineStr"/>
      <c r="K18" s="245" t="inlineStr">
        <is>
          <t>10IN MEDIUM MFM QN</t>
        </is>
      </c>
      <c r="L18" s="245" t="inlineStr">
        <is>
          <t>WA-MMF-10Q-IN</t>
        </is>
      </c>
      <c r="M18" s="248" t="inlineStr">
        <is>
          <t>MIWU00234</t>
        </is>
      </c>
      <c r="N18" s="245" t="inlineStr">
        <is>
          <t>F.MFM.10Q.005.BU</t>
        </is>
      </c>
      <c r="O18" s="245" t="n"/>
      <c r="P18" s="245" t="n"/>
      <c r="Q18" s="250">
        <f>R18/H18</f>
        <v/>
      </c>
      <c r="R18" s="251" t="n">
        <v>6082.6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35</v>
      </c>
      <c r="I19" s="245" t="inlineStr"/>
      <c r="J19" s="245" t="inlineStr"/>
      <c r="K19" s="245" t="inlineStr">
        <is>
          <t>12IN MEDIUM MFM QN</t>
        </is>
      </c>
      <c r="L19" s="245" t="inlineStr">
        <is>
          <t>WA-MMF-12Q-IN</t>
        </is>
      </c>
      <c r="M19" s="248" t="inlineStr">
        <is>
          <t>MIWU00234</t>
        </is>
      </c>
      <c r="N19" s="245" t="inlineStr">
        <is>
          <t>F.MFM.12Q.005.BU</t>
        </is>
      </c>
      <c r="O19" s="245" t="n"/>
      <c r="P19" s="245" t="n"/>
      <c r="Q19" s="250">
        <f>R19/H19</f>
        <v/>
      </c>
      <c r="R19" s="251" t="n">
        <v>2833.95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48</v>
      </c>
      <c r="I20" s="245" t="inlineStr"/>
      <c r="J20" s="245" t="inlineStr"/>
      <c r="K20" s="245" t="inlineStr">
        <is>
          <t>14IN MEDIUM MFM QN</t>
        </is>
      </c>
      <c r="L20" s="245" t="inlineStr">
        <is>
          <t>WA-MMF-14Q-IN</t>
        </is>
      </c>
      <c r="M20" s="248" t="inlineStr">
        <is>
          <t>MIWU00234</t>
        </is>
      </c>
      <c r="N20" s="245" t="inlineStr">
        <is>
          <t>F.MFM.14Q.000.BU</t>
        </is>
      </c>
      <c r="O20" s="245" t="n"/>
      <c r="P20" s="245" t="n"/>
      <c r="Q20" s="250">
        <f>R20/H20</f>
        <v/>
      </c>
      <c r="R20" s="251" t="n">
        <v>4352.16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73</v>
      </c>
      <c r="I21" s="245" t="inlineStr"/>
      <c r="J21" s="245" t="inlineStr"/>
      <c r="K21" s="245" t="inlineStr">
        <is>
          <t>6IN MEDIUM MFM TW</t>
        </is>
      </c>
      <c r="L21" s="245" t="inlineStr">
        <is>
          <t>WA-MMF-6T-IN</t>
        </is>
      </c>
      <c r="M21" s="248" t="inlineStr">
        <is>
          <t>MIWU00234</t>
        </is>
      </c>
      <c r="N21" s="245" t="inlineStr">
        <is>
          <t>F.MFM.06T.002.BU</t>
        </is>
      </c>
      <c r="O21" s="245" t="n"/>
      <c r="P21" s="245" t="n"/>
      <c r="Q21" s="250">
        <f>R21/H21</f>
        <v/>
      </c>
      <c r="R21" s="251" t="n">
        <v>2343.3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28</v>
      </c>
      <c r="I22" s="245" t="inlineStr"/>
      <c r="J22" s="245" t="inlineStr"/>
      <c r="K22" s="245" t="inlineStr">
        <is>
          <t>10IN PLUSH MFM FL</t>
        </is>
      </c>
      <c r="L22" s="245" t="inlineStr">
        <is>
          <t>WA-PMF-10F-IN</t>
        </is>
      </c>
      <c r="M22" s="248" t="inlineStr">
        <is>
          <t>MIWU00234</t>
        </is>
      </c>
      <c r="N22" s="245" t="inlineStr">
        <is>
          <t>F.MFM.10F.006.BU</t>
        </is>
      </c>
      <c r="O22" s="245" t="n"/>
      <c r="P22" s="245" t="n"/>
      <c r="Q22" s="250">
        <f>R22/H22</f>
        <v/>
      </c>
      <c r="R22" s="251" t="n">
        <v>1755.6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20</v>
      </c>
      <c r="I23" s="245" t="inlineStr"/>
      <c r="J23" s="245" t="inlineStr"/>
      <c r="K23" s="245" t="inlineStr">
        <is>
          <t>8IN PLUSH MFM FL</t>
        </is>
      </c>
      <c r="L23" s="245" t="inlineStr">
        <is>
          <t>WA-PMF-8F-IN</t>
        </is>
      </c>
      <c r="M23" s="248" t="inlineStr">
        <is>
          <t>MIWU00234</t>
        </is>
      </c>
      <c r="N23" s="245" t="inlineStr">
        <is>
          <t>F.MFM.08F.006.BU</t>
        </is>
      </c>
      <c r="O23" s="245" t="n"/>
      <c r="P23" s="245" t="n"/>
      <c r="Q23" s="250">
        <f>R23/H23</f>
        <v/>
      </c>
      <c r="R23" s="251" t="n">
        <v>956.4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42</v>
      </c>
      <c r="I24" s="245" t="inlineStr"/>
      <c r="J24" s="245" t="inlineStr"/>
      <c r="K24" s="245" t="inlineStr">
        <is>
          <t>8IN PLUSH MFM TW</t>
        </is>
      </c>
      <c r="L24" s="245" t="inlineStr">
        <is>
          <t>WA-PMF-8T-IN</t>
        </is>
      </c>
      <c r="M24" s="248" t="inlineStr">
        <is>
          <t>MIWU00234</t>
        </is>
      </c>
      <c r="N24" s="245" t="inlineStr">
        <is>
          <t>F.MFM.08T.006.BU</t>
        </is>
      </c>
      <c r="O24" s="245" t="n"/>
      <c r="P24" s="245" t="n"/>
      <c r="Q24" s="250">
        <f>R24/H24</f>
        <v/>
      </c>
      <c r="R24" s="251" t="n">
        <v>1518.72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7.1" customHeight="1" s="202">
      <c r="A25" s="254" t="n"/>
      <c r="B25" s="254" t="n"/>
      <c r="C25" s="254" t="n"/>
      <c r="D25" s="254" t="n"/>
      <c r="E25" s="254" t="n"/>
      <c r="F25" s="254" t="n"/>
      <c r="G25" s="254" t="n"/>
      <c r="H25" s="255">
        <f>SUM(H12:H24)</f>
        <v/>
      </c>
      <c r="I25" s="254">
        <f>COUNTA(I12:I24)</f>
        <v/>
      </c>
      <c r="J25" s="254" t="n"/>
      <c r="K25" s="254" t="n"/>
      <c r="L25" s="254" t="n"/>
      <c r="M25" s="254" t="n"/>
      <c r="N25" s="254" t="n"/>
      <c r="O25" s="256">
        <f>SUM(O12:O24)</f>
        <v/>
      </c>
      <c r="P25" s="256">
        <f>SUM(P12:P24)</f>
        <v/>
      </c>
      <c r="Q25" s="254" t="n"/>
      <c r="R25" s="257">
        <f>SUM(R12:R24)</f>
        <v/>
      </c>
      <c r="S25" s="254" t="n"/>
      <c r="T25" s="258">
        <f>SUM(T12:T24)</f>
        <v/>
      </c>
      <c r="U25" s="254" t="n"/>
      <c r="V25" s="254" t="n"/>
      <c r="W25" s="254" t="n"/>
      <c r="X25" s="254" t="n"/>
      <c r="Y25" s="254" t="n"/>
      <c r="Z25" s="254" t="n"/>
    </row>
    <row r="26" ht="16.5" customHeight="1" s="202">
      <c r="A26" s="245" t="n">
        <v>2</v>
      </c>
      <c r="B26" s="245" t="inlineStr">
        <is>
          <t>000030ZIK48020260825000687</t>
        </is>
      </c>
      <c r="C26" s="245" t="n">
        <v>535992</v>
      </c>
      <c r="D26" s="245" t="n">
        <v>535941</v>
      </c>
      <c r="E26" s="246" t="n">
        <v>46260</v>
      </c>
      <c r="F26" s="245" t="inlineStr">
        <is>
          <t>ID2608-8217</t>
        </is>
      </c>
      <c r="G26" s="246" t="n">
        <v>46255</v>
      </c>
      <c r="H26" s="247" t="n">
        <v>20</v>
      </c>
      <c r="I26" s="245" t="inlineStr">
        <is>
          <t>MSKU1146850</t>
        </is>
      </c>
      <c r="J26" s="245" t="inlineStr">
        <is>
          <t>40FT</t>
        </is>
      </c>
      <c r="K26" s="245" t="inlineStr">
        <is>
          <t>10IN FIRM MF MATTRESS FL</t>
        </is>
      </c>
      <c r="L26" s="245" t="inlineStr">
        <is>
          <t>WA-FMF-10F</t>
        </is>
      </c>
      <c r="M26" s="248" t="inlineStr">
        <is>
          <t>MIWU00235</t>
        </is>
      </c>
      <c r="N26" s="245" t="inlineStr">
        <is>
          <t>F.MFM.10F.000.BU</t>
        </is>
      </c>
      <c r="O26" s="249" t="n">
        <v>12453.01</v>
      </c>
      <c r="P26" s="249" t="n">
        <v>11218.5</v>
      </c>
      <c r="Q26" s="250">
        <f>R26/H26</f>
        <v/>
      </c>
      <c r="R26" s="251" t="n">
        <v>1229.8</v>
      </c>
      <c r="S26" s="249" t="n">
        <v>17796</v>
      </c>
      <c r="T26" s="252">
        <f>S26*R26</f>
        <v/>
      </c>
      <c r="U26" s="245" t="inlineStr">
        <is>
          <t>040300/KPPBC</t>
        </is>
      </c>
      <c r="V26" s="245" t="inlineStr">
        <is>
          <t>TG. PRIOK</t>
        </is>
      </c>
      <c r="W26" s="245" t="inlineStr">
        <is>
          <t>NEWARK, US</t>
        </is>
      </c>
      <c r="X26" s="245" t="inlineStr">
        <is>
          <t>MELLOW INC</t>
        </is>
      </c>
      <c r="Y26" s="245" t="inlineStr">
        <is>
          <t>MAEU275380502</t>
        </is>
      </c>
      <c r="Z26" s="246" t="n">
        <v>46260</v>
      </c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20</v>
      </c>
      <c r="I27" s="245" t="inlineStr"/>
      <c r="J27" s="245" t="inlineStr"/>
      <c r="K27" s="245" t="inlineStr">
        <is>
          <t>10IN FIRM MF MATTRESS QN</t>
        </is>
      </c>
      <c r="L27" s="245" t="inlineStr">
        <is>
          <t>WA-FMF-10Q</t>
        </is>
      </c>
      <c r="M27" s="248" t="inlineStr">
        <is>
          <t>MIWU00235</t>
        </is>
      </c>
      <c r="N27" s="245" t="inlineStr">
        <is>
          <t>F.MFM.10Q.000.BU</t>
        </is>
      </c>
      <c r="O27" s="245" t="n"/>
      <c r="P27" s="245" t="n"/>
      <c r="Q27" s="250">
        <f>R27/H27</f>
        <v/>
      </c>
      <c r="R27" s="251" t="n">
        <v>1456.4</v>
      </c>
      <c r="S27" s="249" t="n">
        <v>17796</v>
      </c>
      <c r="T27" s="252">
        <f>S27*R27</f>
        <v/>
      </c>
      <c r="U27" s="245" t="n"/>
      <c r="V27" s="245" t="n"/>
      <c r="W27" s="245" t="inlineStr">
        <is>
          <t>ETD : 31-08-2026</t>
        </is>
      </c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20</v>
      </c>
      <c r="I28" s="245" t="inlineStr"/>
      <c r="J28" s="245" t="inlineStr"/>
      <c r="K28" s="245" t="inlineStr">
        <is>
          <t>10IN FIRM MF MATTRESS TW</t>
        </is>
      </c>
      <c r="L28" s="245" t="inlineStr">
        <is>
          <t>WA-FMF-10T</t>
        </is>
      </c>
      <c r="M28" s="248" t="inlineStr">
        <is>
          <t>MIWU00235</t>
        </is>
      </c>
      <c r="N28" s="245" t="inlineStr">
        <is>
          <t>F.MFM.10T.000.BU</t>
        </is>
      </c>
      <c r="O28" s="245" t="n"/>
      <c r="P28" s="245" t="n"/>
      <c r="Q28" s="250">
        <f>R28/H28</f>
        <v/>
      </c>
      <c r="R28" s="251" t="n">
        <v>938.4</v>
      </c>
      <c r="S28" s="249" t="n">
        <v>17796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25</v>
      </c>
      <c r="I29" s="245" t="inlineStr"/>
      <c r="J29" s="245" t="inlineStr"/>
      <c r="K29" s="245" t="inlineStr">
        <is>
          <t>12IN FIRM MF MATTRESS FL</t>
        </is>
      </c>
      <c r="L29" s="245" t="inlineStr">
        <is>
          <t>WA-FMF-12F</t>
        </is>
      </c>
      <c r="M29" s="248" t="inlineStr">
        <is>
          <t>MIWU00235</t>
        </is>
      </c>
      <c r="N29" s="245" t="inlineStr">
        <is>
          <t>F.MFM.12F.000.BU</t>
        </is>
      </c>
      <c r="O29" s="245" t="n"/>
      <c r="P29" s="245" t="n"/>
      <c r="Q29" s="250">
        <f>R29/H29</f>
        <v/>
      </c>
      <c r="R29" s="251" t="n">
        <v>1764</v>
      </c>
      <c r="S29" s="249" t="n">
        <v>17796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36</v>
      </c>
      <c r="I30" s="245" t="inlineStr"/>
      <c r="J30" s="245" t="inlineStr"/>
      <c r="K30" s="245" t="inlineStr">
        <is>
          <t>12IN FIRM MF MATTRESS QN</t>
        </is>
      </c>
      <c r="L30" s="245" t="inlineStr">
        <is>
          <t>WA-FMF-12Q</t>
        </is>
      </c>
      <c r="M30" s="248" t="inlineStr">
        <is>
          <t>MIWU00235</t>
        </is>
      </c>
      <c r="N30" s="245" t="inlineStr">
        <is>
          <t>F.MFM.12Q.000.BU</t>
        </is>
      </c>
      <c r="O30" s="245" t="n"/>
      <c r="P30" s="245" t="n"/>
      <c r="Q30" s="250">
        <f>R30/H30</f>
        <v/>
      </c>
      <c r="R30" s="251" t="n">
        <v>2959.2</v>
      </c>
      <c r="S30" s="249" t="n">
        <v>17796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92</v>
      </c>
      <c r="I31" s="245" t="inlineStr"/>
      <c r="J31" s="245" t="inlineStr"/>
      <c r="K31" s="245" t="inlineStr">
        <is>
          <t>10IN MEDIUM MFM FL</t>
        </is>
      </c>
      <c r="L31" s="245" t="inlineStr">
        <is>
          <t>WA-MMF-10F-IN</t>
        </is>
      </c>
      <c r="M31" s="248" t="inlineStr">
        <is>
          <t>MIWU00235</t>
        </is>
      </c>
      <c r="N31" s="245" t="inlineStr">
        <is>
          <t>F.MFM.10F.005.BU</t>
        </is>
      </c>
      <c r="O31" s="245" t="n"/>
      <c r="P31" s="245" t="n"/>
      <c r="Q31" s="250">
        <f>R31/H31</f>
        <v/>
      </c>
      <c r="R31" s="251" t="n">
        <v>5554.96</v>
      </c>
      <c r="S31" s="249" t="n">
        <v>17796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85</v>
      </c>
      <c r="I32" s="245" t="inlineStr"/>
      <c r="J32" s="245" t="inlineStr"/>
      <c r="K32" s="245" t="inlineStr">
        <is>
          <t>10IN MEDIUM MFM QN</t>
        </is>
      </c>
      <c r="L32" s="245" t="inlineStr">
        <is>
          <t>WA-MMF-10Q-IN</t>
        </is>
      </c>
      <c r="M32" s="248" t="inlineStr">
        <is>
          <t>MIWU00235</t>
        </is>
      </c>
      <c r="N32" s="245" t="inlineStr">
        <is>
          <t>F.MFM.10Q.005.BU</t>
        </is>
      </c>
      <c r="O32" s="245" t="n"/>
      <c r="P32" s="245" t="n"/>
      <c r="Q32" s="250">
        <f>R32/H32</f>
        <v/>
      </c>
      <c r="R32" s="251" t="n">
        <v>6082.6</v>
      </c>
      <c r="S32" s="249" t="n">
        <v>17796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35</v>
      </c>
      <c r="I33" s="245" t="inlineStr"/>
      <c r="J33" s="245" t="inlineStr"/>
      <c r="K33" s="245" t="inlineStr">
        <is>
          <t>12IN MEDIUM MFM QN</t>
        </is>
      </c>
      <c r="L33" s="245" t="inlineStr">
        <is>
          <t>WA-MMF-12Q-IN</t>
        </is>
      </c>
      <c r="M33" s="248" t="inlineStr">
        <is>
          <t>MIWU00235</t>
        </is>
      </c>
      <c r="N33" s="245" t="inlineStr">
        <is>
          <t>F.MFM.12Q.005.BU</t>
        </is>
      </c>
      <c r="O33" s="245" t="n"/>
      <c r="P33" s="245" t="n"/>
      <c r="Q33" s="250">
        <f>R33/H33</f>
        <v/>
      </c>
      <c r="R33" s="251" t="n">
        <v>2833.95</v>
      </c>
      <c r="S33" s="249" t="n">
        <v>17796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48</v>
      </c>
      <c r="I34" s="245" t="inlineStr"/>
      <c r="J34" s="245" t="inlineStr"/>
      <c r="K34" s="245" t="inlineStr">
        <is>
          <t>14IN MEDIUM MFM QN</t>
        </is>
      </c>
      <c r="L34" s="245" t="inlineStr">
        <is>
          <t>WA-MMF-14Q-IN</t>
        </is>
      </c>
      <c r="M34" s="248" t="inlineStr">
        <is>
          <t>MIWU00235</t>
        </is>
      </c>
      <c r="N34" s="245" t="inlineStr">
        <is>
          <t>F.MFM.14Q.000.BU</t>
        </is>
      </c>
      <c r="O34" s="245" t="n"/>
      <c r="P34" s="245" t="n"/>
      <c r="Q34" s="250">
        <f>R34/H34</f>
        <v/>
      </c>
      <c r="R34" s="251" t="n">
        <v>4352.16</v>
      </c>
      <c r="S34" s="249" t="n">
        <v>17796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73</v>
      </c>
      <c r="I35" s="245" t="inlineStr"/>
      <c r="J35" s="245" t="inlineStr"/>
      <c r="K35" s="245" t="inlineStr">
        <is>
          <t>6IN MEDIUM MFM TW</t>
        </is>
      </c>
      <c r="L35" s="245" t="inlineStr">
        <is>
          <t>WA-MMF-6T-IN</t>
        </is>
      </c>
      <c r="M35" s="248" t="inlineStr">
        <is>
          <t>MIWU00235</t>
        </is>
      </c>
      <c r="N35" s="245" t="inlineStr">
        <is>
          <t>F.MFM.06T.002.BU</t>
        </is>
      </c>
      <c r="O35" s="245" t="n"/>
      <c r="P35" s="245" t="n"/>
      <c r="Q35" s="250">
        <f>R35/H35</f>
        <v/>
      </c>
      <c r="R35" s="251" t="n">
        <v>2343.3</v>
      </c>
      <c r="S35" s="249" t="n">
        <v>17796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28</v>
      </c>
      <c r="I36" s="245" t="inlineStr"/>
      <c r="J36" s="245" t="inlineStr"/>
      <c r="K36" s="245" t="inlineStr">
        <is>
          <t>10IN PLUSH MFM FL</t>
        </is>
      </c>
      <c r="L36" s="245" t="inlineStr">
        <is>
          <t>WA-PMF-10F-IN</t>
        </is>
      </c>
      <c r="M36" s="248" t="inlineStr">
        <is>
          <t>MIWU00235</t>
        </is>
      </c>
      <c r="N36" s="245" t="inlineStr">
        <is>
          <t>F.MFM.10F.006.BU</t>
        </is>
      </c>
      <c r="O36" s="245" t="n"/>
      <c r="P36" s="245" t="n"/>
      <c r="Q36" s="250">
        <f>R36/H36</f>
        <v/>
      </c>
      <c r="R36" s="251" t="n">
        <v>1755.6</v>
      </c>
      <c r="S36" s="249" t="n">
        <v>17796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20</v>
      </c>
      <c r="I37" s="245" t="inlineStr"/>
      <c r="J37" s="245" t="inlineStr"/>
      <c r="K37" s="245" t="inlineStr">
        <is>
          <t>8IN PLUSH MFM FL</t>
        </is>
      </c>
      <c r="L37" s="245" t="inlineStr">
        <is>
          <t>WA-PMF-8F-IN</t>
        </is>
      </c>
      <c r="M37" s="248" t="inlineStr">
        <is>
          <t>MIWU00235</t>
        </is>
      </c>
      <c r="N37" s="245" t="inlineStr">
        <is>
          <t>F.MFM.08F.006.BU</t>
        </is>
      </c>
      <c r="O37" s="245" t="n"/>
      <c r="P37" s="245" t="n"/>
      <c r="Q37" s="250">
        <f>R37/H37</f>
        <v/>
      </c>
      <c r="R37" s="251" t="n">
        <v>956.4</v>
      </c>
      <c r="S37" s="249" t="n">
        <v>17796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42</v>
      </c>
      <c r="I38" s="245" t="inlineStr"/>
      <c r="J38" s="245" t="inlineStr"/>
      <c r="K38" s="245" t="inlineStr">
        <is>
          <t>8IN PLUSH MFM TW</t>
        </is>
      </c>
      <c r="L38" s="245" t="inlineStr">
        <is>
          <t>WA-PMF-8T-IN</t>
        </is>
      </c>
      <c r="M38" s="248" t="inlineStr">
        <is>
          <t>MIWU00235</t>
        </is>
      </c>
      <c r="N38" s="245" t="inlineStr">
        <is>
          <t>F.MFM.08T.006.BU</t>
        </is>
      </c>
      <c r="O38" s="245" t="n"/>
      <c r="P38" s="245" t="n"/>
      <c r="Q38" s="250">
        <f>R38/H38</f>
        <v/>
      </c>
      <c r="R38" s="251" t="n">
        <v>1518.72</v>
      </c>
      <c r="S38" s="249" t="n">
        <v>17796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7.1" customHeight="1" s="202">
      <c r="A39" s="254" t="n"/>
      <c r="B39" s="254" t="n"/>
      <c r="C39" s="254" t="n"/>
      <c r="D39" s="254" t="n"/>
      <c r="E39" s="254" t="n"/>
      <c r="F39" s="254" t="n"/>
      <c r="G39" s="254" t="n"/>
      <c r="H39" s="255">
        <f>SUM(H26:H38)</f>
        <v/>
      </c>
      <c r="I39" s="254">
        <f>COUNTA(I26:I38)</f>
        <v/>
      </c>
      <c r="J39" s="254" t="n"/>
      <c r="K39" s="254" t="n"/>
      <c r="L39" s="254" t="n"/>
      <c r="M39" s="254" t="n"/>
      <c r="N39" s="254" t="n"/>
      <c r="O39" s="256">
        <f>SUM(O26:O38)</f>
        <v/>
      </c>
      <c r="P39" s="256">
        <f>SUM(P26:P38)</f>
        <v/>
      </c>
      <c r="Q39" s="254" t="n"/>
      <c r="R39" s="257">
        <f>SUM(R26:R38)</f>
        <v/>
      </c>
      <c r="S39" s="254" t="n"/>
      <c r="T39" s="258">
        <f>SUM(T26:T38)</f>
        <v/>
      </c>
      <c r="U39" s="254" t="n"/>
      <c r="V39" s="254" t="n"/>
      <c r="W39" s="254" t="n"/>
      <c r="X39" s="254" t="n"/>
      <c r="Y39" s="254" t="n"/>
      <c r="Z39" s="254" t="n"/>
    </row>
    <row r="40" ht="16.5" customHeight="1" s="202">
      <c r="A40" s="245" t="n">
        <v>3</v>
      </c>
      <c r="B40" s="245" t="inlineStr">
        <is>
          <t>000030ZIK48020260825000688</t>
        </is>
      </c>
      <c r="C40" s="245" t="n">
        <v>536006</v>
      </c>
      <c r="D40" s="245" t="n">
        <v>535955</v>
      </c>
      <c r="E40" s="246" t="n">
        <v>46260</v>
      </c>
      <c r="F40" s="245" t="inlineStr">
        <is>
          <t>ID2608-8218</t>
        </is>
      </c>
      <c r="G40" s="246" t="n">
        <v>46255</v>
      </c>
      <c r="H40" s="247" t="n">
        <v>42</v>
      </c>
      <c r="I40" s="245" t="inlineStr">
        <is>
          <t>FFAU2349099</t>
        </is>
      </c>
      <c r="J40" s="245" t="inlineStr">
        <is>
          <t>40FT</t>
        </is>
      </c>
      <c r="K40" s="245" t="inlineStr">
        <is>
          <t>12IN FIRM MF MATTRESS EK</t>
        </is>
      </c>
      <c r="L40" s="245" t="inlineStr">
        <is>
          <t>WA-FMF-12K</t>
        </is>
      </c>
      <c r="M40" s="248" t="inlineStr">
        <is>
          <t>MIWU00238</t>
        </is>
      </c>
      <c r="N40" s="245" t="inlineStr">
        <is>
          <t>F.MFM.12K.000.BU</t>
        </is>
      </c>
      <c r="O40" s="249" t="n">
        <v>12360.82</v>
      </c>
      <c r="P40" s="249" t="n">
        <v>11149.26</v>
      </c>
      <c r="Q40" s="250">
        <f>R40/H40</f>
        <v/>
      </c>
      <c r="R40" s="251" t="n">
        <v>4231.08</v>
      </c>
      <c r="S40" s="249" t="n">
        <v>17796</v>
      </c>
      <c r="T40" s="252">
        <f>S40*R40</f>
        <v/>
      </c>
      <c r="U40" s="245" t="inlineStr">
        <is>
          <t>040300/KPPBC</t>
        </is>
      </c>
      <c r="V40" s="245" t="inlineStr">
        <is>
          <t>TG. PRIOK</t>
        </is>
      </c>
      <c r="W40" s="245" t="inlineStr">
        <is>
          <t>NEWARK, US</t>
        </is>
      </c>
      <c r="X40" s="245" t="inlineStr">
        <is>
          <t>MELLOW INC</t>
        </is>
      </c>
      <c r="Y40" s="245" t="inlineStr">
        <is>
          <t>MAEU275380500</t>
        </is>
      </c>
      <c r="Z40" s="246" t="n">
        <v>46260</v>
      </c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30</v>
      </c>
      <c r="I41" s="245" t="inlineStr"/>
      <c r="J41" s="245" t="inlineStr"/>
      <c r="K41" s="245" t="inlineStr">
        <is>
          <t>12IN FIRM MF MATTRESS QN</t>
        </is>
      </c>
      <c r="L41" s="245" t="inlineStr">
        <is>
          <t>WA-FMF-12Q</t>
        </is>
      </c>
      <c r="M41" s="248" t="inlineStr">
        <is>
          <t>MIWU00238</t>
        </is>
      </c>
      <c r="N41" s="245" t="inlineStr">
        <is>
          <t>F.MFM.12Q.000.BU</t>
        </is>
      </c>
      <c r="O41" s="245" t="n"/>
      <c r="P41" s="245" t="n"/>
      <c r="Q41" s="250">
        <f>R41/H41</f>
        <v/>
      </c>
      <c r="R41" s="251" t="n">
        <v>2466</v>
      </c>
      <c r="S41" s="249" t="n">
        <v>17796</v>
      </c>
      <c r="T41" s="252">
        <f>S41*R41</f>
        <v/>
      </c>
      <c r="U41" s="245" t="n"/>
      <c r="V41" s="245" t="n"/>
      <c r="W41" s="245" t="inlineStr">
        <is>
          <t>ETD : 31-08-2026</t>
        </is>
      </c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115</v>
      </c>
      <c r="I42" s="245" t="inlineStr"/>
      <c r="J42" s="245" t="inlineStr"/>
      <c r="K42" s="245" t="inlineStr">
        <is>
          <t>10IN MEDIUM MFM FL</t>
        </is>
      </c>
      <c r="L42" s="245" t="inlineStr">
        <is>
          <t>WA-MMF-10F-IN</t>
        </is>
      </c>
      <c r="M42" s="248" t="inlineStr">
        <is>
          <t>MIWU00238</t>
        </is>
      </c>
      <c r="N42" s="245" t="inlineStr">
        <is>
          <t>F.MFM.10F.005.BU</t>
        </is>
      </c>
      <c r="O42" s="245" t="n"/>
      <c r="P42" s="245" t="n"/>
      <c r="Q42" s="250">
        <f>R42/H42</f>
        <v/>
      </c>
      <c r="R42" s="251" t="n">
        <v>6943.7</v>
      </c>
      <c r="S42" s="249" t="n">
        <v>17796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70</v>
      </c>
      <c r="I43" s="245" t="inlineStr"/>
      <c r="J43" s="245" t="inlineStr"/>
      <c r="K43" s="245" t="inlineStr">
        <is>
          <t>10IN MEDIUM MFM QN</t>
        </is>
      </c>
      <c r="L43" s="245" t="inlineStr">
        <is>
          <t>WA-MMF-10Q-IN</t>
        </is>
      </c>
      <c r="M43" s="248" t="inlineStr">
        <is>
          <t>MIWU00238</t>
        </is>
      </c>
      <c r="N43" s="245" t="inlineStr">
        <is>
          <t>F.MFM.10Q.005.BU</t>
        </is>
      </c>
      <c r="O43" s="245" t="n"/>
      <c r="P43" s="245" t="n"/>
      <c r="Q43" s="250">
        <f>R43/H43</f>
        <v/>
      </c>
      <c r="R43" s="251" t="n">
        <v>5009.2</v>
      </c>
      <c r="S43" s="249" t="n">
        <v>17796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33</v>
      </c>
      <c r="I44" s="245" t="inlineStr"/>
      <c r="J44" s="245" t="inlineStr"/>
      <c r="K44" s="245" t="inlineStr">
        <is>
          <t>12IN MEDIUM MFM QN</t>
        </is>
      </c>
      <c r="L44" s="245" t="inlineStr">
        <is>
          <t>WA-MMF-12Q-IN</t>
        </is>
      </c>
      <c r="M44" s="248" t="inlineStr">
        <is>
          <t>MIWU00238</t>
        </is>
      </c>
      <c r="N44" s="245" t="inlineStr">
        <is>
          <t>F.MFM.12Q.005.BU</t>
        </is>
      </c>
      <c r="O44" s="245" t="n"/>
      <c r="P44" s="245" t="n"/>
      <c r="Q44" s="250">
        <f>R44/H44</f>
        <v/>
      </c>
      <c r="R44" s="251" t="n">
        <v>2672.01</v>
      </c>
      <c r="S44" s="249" t="n">
        <v>17796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98</v>
      </c>
      <c r="I45" s="245" t="inlineStr"/>
      <c r="J45" s="245" t="inlineStr"/>
      <c r="K45" s="245" t="inlineStr">
        <is>
          <t>14IN MEDIUM MFM QN</t>
        </is>
      </c>
      <c r="L45" s="245" t="inlineStr">
        <is>
          <t>WA-MMF-14Q-IN</t>
        </is>
      </c>
      <c r="M45" s="248" t="inlineStr">
        <is>
          <t>MIWU00238</t>
        </is>
      </c>
      <c r="N45" s="245" t="inlineStr">
        <is>
          <t>F.MFM.14Q.000.BU</t>
        </is>
      </c>
      <c r="O45" s="245" t="n"/>
      <c r="P45" s="245" t="n"/>
      <c r="Q45" s="250">
        <f>R45/H45</f>
        <v/>
      </c>
      <c r="R45" s="251" t="n">
        <v>8885.66</v>
      </c>
      <c r="S45" s="249" t="n">
        <v>17796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45</v>
      </c>
      <c r="I46" s="245" t="inlineStr"/>
      <c r="J46" s="245" t="inlineStr"/>
      <c r="K46" s="245" t="inlineStr">
        <is>
          <t>6IN MEDIUM MFM TW</t>
        </is>
      </c>
      <c r="L46" s="245" t="inlineStr">
        <is>
          <t>WA-MMF-6T-IN</t>
        </is>
      </c>
      <c r="M46" s="248" t="inlineStr">
        <is>
          <t>MIWU00238</t>
        </is>
      </c>
      <c r="N46" s="245" t="inlineStr">
        <is>
          <t>F.MFM.06T.002.BU</t>
        </is>
      </c>
      <c r="O46" s="245" t="n"/>
      <c r="P46" s="245" t="n"/>
      <c r="Q46" s="250">
        <f>R46/H46</f>
        <v/>
      </c>
      <c r="R46" s="251" t="n">
        <v>1444.5</v>
      </c>
      <c r="S46" s="249" t="n">
        <v>17796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65</v>
      </c>
      <c r="I47" s="245" t="inlineStr"/>
      <c r="J47" s="245" t="inlineStr"/>
      <c r="K47" s="245" t="inlineStr">
        <is>
          <t>8IN PLUSH MFM TW</t>
        </is>
      </c>
      <c r="L47" s="245" t="inlineStr">
        <is>
          <t>WA-PMF-8T-IN</t>
        </is>
      </c>
      <c r="M47" s="248" t="inlineStr">
        <is>
          <t>MIWU00238</t>
        </is>
      </c>
      <c r="N47" s="245" t="inlineStr">
        <is>
          <t>F.MFM.08T.006.BU</t>
        </is>
      </c>
      <c r="O47" s="245" t="n"/>
      <c r="P47" s="245" t="n"/>
      <c r="Q47" s="250">
        <f>R47/H47</f>
        <v/>
      </c>
      <c r="R47" s="251" t="n">
        <v>2350.4</v>
      </c>
      <c r="S47" s="249" t="n">
        <v>17796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7.1" customHeight="1" s="202">
      <c r="A48" s="254" t="n"/>
      <c r="B48" s="254" t="n"/>
      <c r="C48" s="254" t="n"/>
      <c r="D48" s="254" t="n"/>
      <c r="E48" s="254" t="n"/>
      <c r="F48" s="254" t="n"/>
      <c r="G48" s="254" t="n"/>
      <c r="H48" s="255">
        <f>SUM(H40:H47)</f>
        <v/>
      </c>
      <c r="I48" s="254">
        <f>COUNTA(I40:I47)</f>
        <v/>
      </c>
      <c r="J48" s="254" t="n"/>
      <c r="K48" s="254" t="n"/>
      <c r="L48" s="254" t="n"/>
      <c r="M48" s="254" t="n"/>
      <c r="N48" s="254" t="n"/>
      <c r="O48" s="256">
        <f>SUM(O40:O47)</f>
        <v/>
      </c>
      <c r="P48" s="256">
        <f>SUM(P40:P47)</f>
        <v/>
      </c>
      <c r="Q48" s="254" t="n"/>
      <c r="R48" s="257">
        <f>SUM(R40:R47)</f>
        <v/>
      </c>
      <c r="S48" s="254" t="n"/>
      <c r="T48" s="258">
        <f>SUM(T40:T47)</f>
        <v/>
      </c>
      <c r="U48" s="254" t="n"/>
      <c r="V48" s="254" t="n"/>
      <c r="W48" s="254" t="n"/>
      <c r="X48" s="254" t="n"/>
      <c r="Y48" s="254" t="n"/>
      <c r="Z48" s="254" t="n"/>
    </row>
    <row r="49" ht="16.5" customHeight="1" s="202">
      <c r="A49" s="245" t="n">
        <v>4</v>
      </c>
      <c r="B49" s="245" t="inlineStr">
        <is>
          <t>000030ZIK48020260825000689</t>
        </is>
      </c>
      <c r="C49" s="245" t="n">
        <v>537724</v>
      </c>
      <c r="D49" s="245" t="n">
        <v>537664</v>
      </c>
      <c r="E49" s="246" t="n">
        <v>46260</v>
      </c>
      <c r="F49" s="245" t="inlineStr">
        <is>
          <t>ID2608-8185</t>
        </is>
      </c>
      <c r="G49" s="246" t="n">
        <v>46254</v>
      </c>
      <c r="H49" s="247" t="n">
        <v>192</v>
      </c>
      <c r="I49" s="245" t="inlineStr">
        <is>
          <t>TCNU3370663</t>
        </is>
      </c>
      <c r="J49" s="245" t="inlineStr">
        <is>
          <t>40FT</t>
        </is>
      </c>
      <c r="K49" s="245" t="inlineStr">
        <is>
          <t>12IN MYGEL FOAM MATTRESS EK</t>
        </is>
      </c>
      <c r="L49" s="245" t="inlineStr">
        <is>
          <t>ZU-MFGN1YZI-12K</t>
        </is>
      </c>
      <c r="M49" s="248" t="inlineStr">
        <is>
          <t>1SXZMOZA</t>
        </is>
      </c>
      <c r="N49" s="245" t="inlineStr">
        <is>
          <t>F.MFG.12K.002.AD</t>
        </is>
      </c>
      <c r="O49" s="249" t="n">
        <v>89434.78</v>
      </c>
      <c r="P49" s="249" t="n">
        <v>80168.19</v>
      </c>
      <c r="Q49" s="250">
        <f>R49/H49</f>
        <v/>
      </c>
      <c r="R49" s="251" t="n">
        <v>19541.76</v>
      </c>
      <c r="S49" s="249" t="n">
        <v>17796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LOS ANGELES, US</t>
        </is>
      </c>
      <c r="X49" s="245" t="inlineStr">
        <is>
          <t>AMAZON.COM SERVICES LLC</t>
        </is>
      </c>
      <c r="Y49" s="245" t="inlineStr">
        <is>
          <t>CMDUDJA1513096</t>
        </is>
      </c>
      <c r="Z49" s="246" t="n">
        <v>46260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</v>
      </c>
      <c r="I50" s="245" t="inlineStr">
        <is>
          <t>CMAU8530110</t>
        </is>
      </c>
      <c r="J50" s="245" t="inlineStr">
        <is>
          <t>40FT</t>
        </is>
      </c>
      <c r="K50" s="245" t="inlineStr">
        <is>
          <t>10IN GREEN TEA MF MATTRESS SQ</t>
        </is>
      </c>
      <c r="L50" s="245" t="inlineStr">
        <is>
          <t>ZU-MFMA1FZI-10S</t>
        </is>
      </c>
      <c r="M50" s="248" t="inlineStr">
        <is>
          <t>1SXZMOZA</t>
        </is>
      </c>
      <c r="N50" s="245" t="inlineStr">
        <is>
          <t>F.MFM.10S.009.AD</t>
        </is>
      </c>
      <c r="O50" s="245" t="n"/>
      <c r="P50" s="245" t="n"/>
      <c r="Q50" s="250">
        <f>R50/H50</f>
        <v/>
      </c>
      <c r="R50" s="251" t="n">
        <v>73.02</v>
      </c>
      <c r="S50" s="249" t="n">
        <v>17796</v>
      </c>
      <c r="T50" s="252">
        <f>S50*R50</f>
        <v/>
      </c>
      <c r="U50" s="245" t="n"/>
      <c r="V50" s="245" t="n"/>
      <c r="W50" s="245" t="inlineStr">
        <is>
          <t>ETD : 02-09-2026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8</v>
      </c>
      <c r="I51" s="245" t="inlineStr">
        <is>
          <t>FFAU4944681</t>
        </is>
      </c>
      <c r="J51" s="245" t="inlineStr">
        <is>
          <t>40FT</t>
        </is>
      </c>
      <c r="K51" s="245" t="inlineStr">
        <is>
          <t>6IN GREEN TEA MF MATTRESS QN</t>
        </is>
      </c>
      <c r="L51" s="245" t="inlineStr">
        <is>
          <t>ZU-MFMA1ZZI-06Q</t>
        </is>
      </c>
      <c r="M51" s="248" t="inlineStr">
        <is>
          <t>1SXZMOZA</t>
        </is>
      </c>
      <c r="N51" s="245" t="inlineStr">
        <is>
          <t>F.MFM.06Q.007.AD</t>
        </is>
      </c>
      <c r="O51" s="245" t="n"/>
      <c r="P51" s="245" t="n"/>
      <c r="Q51" s="250">
        <f>R51/H51</f>
        <v/>
      </c>
      <c r="R51" s="251" t="n">
        <v>364.08</v>
      </c>
      <c r="S51" s="249" t="n">
        <v>17796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</v>
      </c>
      <c r="I52" s="245" t="inlineStr">
        <is>
          <t>TXGU8463191</t>
        </is>
      </c>
      <c r="J52" s="245" t="inlineStr">
        <is>
          <t>40FT</t>
        </is>
      </c>
      <c r="K52" s="245" t="inlineStr">
        <is>
          <t>8IN GREEN TEA MF MATTRESS FL</t>
        </is>
      </c>
      <c r="L52" s="245" t="inlineStr">
        <is>
          <t>ZU-MFMA1ZZI-08F</t>
        </is>
      </c>
      <c r="M52" s="248" t="inlineStr">
        <is>
          <t>1SXZMOZA</t>
        </is>
      </c>
      <c r="N52" s="245" t="inlineStr">
        <is>
          <t>F.MFM.08F.008.AD</t>
        </is>
      </c>
      <c r="O52" s="245" t="n"/>
      <c r="P52" s="245" t="n"/>
      <c r="Q52" s="250">
        <f>R52/H52</f>
        <v/>
      </c>
      <c r="R52" s="251" t="n">
        <v>55.99</v>
      </c>
      <c r="S52" s="249" t="n">
        <v>17796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1</v>
      </c>
      <c r="I53" s="245" t="inlineStr">
        <is>
          <t>CMAU8769594</t>
        </is>
      </c>
      <c r="J53" s="245" t="inlineStr">
        <is>
          <t>40FT</t>
        </is>
      </c>
      <c r="K53" s="245" t="inlineStr">
        <is>
          <t>12IN GREEN TEA MF MATTRESS FL</t>
        </is>
      </c>
      <c r="L53" s="245" t="inlineStr">
        <is>
          <t>ZU-MFMA1ZZI-12F</t>
        </is>
      </c>
      <c r="M53" s="248" t="inlineStr">
        <is>
          <t>1SXZMOZA</t>
        </is>
      </c>
      <c r="N53" s="245" t="inlineStr">
        <is>
          <t>F.MFM.12F.006.AD</t>
        </is>
      </c>
      <c r="O53" s="245" t="n"/>
      <c r="P53" s="245" t="n"/>
      <c r="Q53" s="250">
        <f>R53/H53</f>
        <v/>
      </c>
      <c r="R53" s="251" t="n">
        <v>70.95999999999999</v>
      </c>
      <c r="S53" s="249" t="n">
        <v>17796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189</v>
      </c>
      <c r="I54" s="245" t="inlineStr">
        <is>
          <t>TCNU3728818</t>
        </is>
      </c>
      <c r="J54" s="245" t="inlineStr">
        <is>
          <t>40FT</t>
        </is>
      </c>
      <c r="K54" s="245" t="inlineStr">
        <is>
          <t>12IN GREEN TEA MF MATTRESS QN</t>
        </is>
      </c>
      <c r="L54" s="245" t="inlineStr">
        <is>
          <t>ZU-MFMA1ZZI-12Q</t>
        </is>
      </c>
      <c r="M54" s="248" t="inlineStr">
        <is>
          <t>1SXZMOZA</t>
        </is>
      </c>
      <c r="N54" s="245" t="inlineStr">
        <is>
          <t>F.MFM.12Q.006.AD</t>
        </is>
      </c>
      <c r="O54" s="245" t="n"/>
      <c r="P54" s="245" t="n"/>
      <c r="Q54" s="250">
        <f>R54/H54</f>
        <v/>
      </c>
      <c r="R54" s="251" t="n">
        <v>15836.31</v>
      </c>
      <c r="S54" s="249" t="n">
        <v>17796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414</v>
      </c>
      <c r="I55" s="245" t="inlineStr">
        <is>
          <t>CMAU6318694</t>
        </is>
      </c>
      <c r="J55" s="245" t="inlineStr">
        <is>
          <t>40FT</t>
        </is>
      </c>
      <c r="K55" s="245" t="inlineStr">
        <is>
          <t>10IN OPP HD TW</t>
        </is>
      </c>
      <c r="L55" s="245" t="inlineStr">
        <is>
          <t>ZU-MFMA1OZI-10T</t>
        </is>
      </c>
      <c r="M55" s="248" t="inlineStr">
        <is>
          <t>2KB7NWUC</t>
        </is>
      </c>
      <c r="N55" s="245" t="inlineStr">
        <is>
          <t>F.MFM.10T.013.AD</t>
        </is>
      </c>
      <c r="O55" s="245" t="n"/>
      <c r="P55" s="245" t="n"/>
      <c r="Q55" s="250">
        <f>R55/H55</f>
        <v/>
      </c>
      <c r="R55" s="251" t="n">
        <v>16117.02</v>
      </c>
      <c r="S55" s="249" t="n">
        <v>17796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64</v>
      </c>
      <c r="I56" s="245" t="inlineStr"/>
      <c r="J56" s="245" t="inlineStr"/>
      <c r="K56" s="245" t="inlineStr">
        <is>
          <t>12IN OPP HD TW</t>
        </is>
      </c>
      <c r="L56" s="245" t="inlineStr">
        <is>
          <t>ZU-MFMA1OZI-12T</t>
        </is>
      </c>
      <c r="M56" s="248" t="inlineStr">
        <is>
          <t>2KB7NWUC</t>
        </is>
      </c>
      <c r="N56" s="245" t="inlineStr">
        <is>
          <t>F.MFM.12T.010.AD</t>
        </is>
      </c>
      <c r="O56" s="245" t="n"/>
      <c r="P56" s="245" t="n"/>
      <c r="Q56" s="250">
        <f>R56/H56</f>
        <v/>
      </c>
      <c r="R56" s="251" t="n">
        <v>2682.88</v>
      </c>
      <c r="S56" s="249" t="n">
        <v>17796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181</v>
      </c>
      <c r="I57" s="245" t="inlineStr"/>
      <c r="J57" s="245" t="inlineStr"/>
      <c r="K57" s="245" t="inlineStr">
        <is>
          <t>6IN GREEN TEA MF MATTRESS QN</t>
        </is>
      </c>
      <c r="L57" s="245" t="inlineStr">
        <is>
          <t>ZU-MFMA1ZZI-06Q</t>
        </is>
      </c>
      <c r="M57" s="248" t="inlineStr">
        <is>
          <t>2KB7NWUC</t>
        </is>
      </c>
      <c r="N57" s="245" t="inlineStr">
        <is>
          <t>F.MFM.06Q.007.AD</t>
        </is>
      </c>
      <c r="O57" s="245" t="n"/>
      <c r="P57" s="245" t="n"/>
      <c r="Q57" s="250">
        <f>R57/H57</f>
        <v/>
      </c>
      <c r="R57" s="251" t="n">
        <v>8237.309999999999</v>
      </c>
      <c r="S57" s="249" t="n">
        <v>17796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44</v>
      </c>
      <c r="I58" s="245" t="inlineStr"/>
      <c r="J58" s="245" t="inlineStr"/>
      <c r="K58" s="245" t="inlineStr">
        <is>
          <t>10IN GREEN TEA MF MATTRESS EK</t>
        </is>
      </c>
      <c r="L58" s="245" t="inlineStr">
        <is>
          <t>ZU-MFMA1ZZI-10K</t>
        </is>
      </c>
      <c r="M58" s="248" t="inlineStr">
        <is>
          <t>2KB7NWUC</t>
        </is>
      </c>
      <c r="N58" s="245" t="inlineStr">
        <is>
          <t>F.MFM.10K.007.AD</t>
        </is>
      </c>
      <c r="O58" s="245" t="n"/>
      <c r="P58" s="245" t="n"/>
      <c r="Q58" s="250">
        <f>R58/H58</f>
        <v/>
      </c>
      <c r="R58" s="251" t="n">
        <v>4272.84</v>
      </c>
      <c r="S58" s="249" t="n">
        <v>17796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3</v>
      </c>
      <c r="I59" s="245" t="inlineStr"/>
      <c r="J59" s="245" t="inlineStr"/>
      <c r="K59" s="245" t="inlineStr">
        <is>
          <t>12IN GREEN TEA MF MATTRESS CK</t>
        </is>
      </c>
      <c r="L59" s="245" t="inlineStr">
        <is>
          <t>ZU-MFMA1ZZI-12C</t>
        </is>
      </c>
      <c r="M59" s="248" t="inlineStr">
        <is>
          <t>2KB7NWUC</t>
        </is>
      </c>
      <c r="N59" s="245" t="inlineStr">
        <is>
          <t>F.MFM.12C.006.AD</t>
        </is>
      </c>
      <c r="O59" s="245" t="n"/>
      <c r="P59" s="245" t="n"/>
      <c r="Q59" s="250">
        <f>R59/H59</f>
        <v/>
      </c>
      <c r="R59" s="251" t="n">
        <v>301.56</v>
      </c>
      <c r="S59" s="249" t="n">
        <v>17796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</v>
      </c>
      <c r="I60" s="245" t="inlineStr"/>
      <c r="J60" s="245" t="inlineStr"/>
      <c r="K60" s="245" t="inlineStr">
        <is>
          <t>12IN GREEN TEA MF MATTRESS QN</t>
        </is>
      </c>
      <c r="L60" s="245" t="inlineStr">
        <is>
          <t>ZU-MFMA1ZZI-12Q</t>
        </is>
      </c>
      <c r="M60" s="248" t="inlineStr">
        <is>
          <t>2KB7NWUC</t>
        </is>
      </c>
      <c r="N60" s="245" t="inlineStr">
        <is>
          <t>F.MFM.12Q.006.AD</t>
        </is>
      </c>
      <c r="O60" s="245" t="n"/>
      <c r="P60" s="245" t="n"/>
      <c r="Q60" s="250">
        <f>R60/H60</f>
        <v/>
      </c>
      <c r="R60" s="251" t="n">
        <v>83.79000000000001</v>
      </c>
      <c r="S60" s="249" t="n">
        <v>17796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1</v>
      </c>
      <c r="I61" s="245" t="inlineStr"/>
      <c r="J61" s="245" t="inlineStr"/>
      <c r="K61" s="245" t="inlineStr">
        <is>
          <t>14IN GREEN TEA FOAM MATTRESS K</t>
        </is>
      </c>
      <c r="L61" s="245" t="inlineStr">
        <is>
          <t>ZU-MFMA1ZZI-14K</t>
        </is>
      </c>
      <c r="M61" s="248" t="inlineStr">
        <is>
          <t>2KB7NWUC</t>
        </is>
      </c>
      <c r="N61" s="245" t="inlineStr">
        <is>
          <t>F.MFM.14K.000.AD</t>
        </is>
      </c>
      <c r="O61" s="245" t="n"/>
      <c r="P61" s="245" t="n"/>
      <c r="Q61" s="250">
        <f>R61/H61</f>
        <v/>
      </c>
      <c r="R61" s="251" t="n">
        <v>129.32</v>
      </c>
      <c r="S61" s="249" t="n">
        <v>17796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1</v>
      </c>
      <c r="I62" s="245" t="inlineStr"/>
      <c r="J62" s="245" t="inlineStr"/>
      <c r="K62" s="245" t="inlineStr">
        <is>
          <t>12IN AIRFLOW GEL FOAM MATT TW</t>
        </is>
      </c>
      <c r="L62" s="245" t="inlineStr">
        <is>
          <t>ZU-MFMA1RZI-12T</t>
        </is>
      </c>
      <c r="M62" s="248" t="inlineStr">
        <is>
          <t>2QX9CP3E</t>
        </is>
      </c>
      <c r="N62" s="245" t="inlineStr">
        <is>
          <t>F.MFM.12T.011.AD</t>
        </is>
      </c>
      <c r="O62" s="245" t="n"/>
      <c r="P62" s="245" t="n"/>
      <c r="Q62" s="250">
        <f>R62/H62</f>
        <v/>
      </c>
      <c r="R62" s="251" t="n">
        <v>41.92</v>
      </c>
      <c r="S62" s="249" t="n">
        <v>17796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1</v>
      </c>
      <c r="I63" s="245" t="inlineStr"/>
      <c r="J63" s="245" t="inlineStr"/>
      <c r="K63" s="245" t="inlineStr">
        <is>
          <t>8IN GREEN TEA MF MATTRESS FL</t>
        </is>
      </c>
      <c r="L63" s="245" t="inlineStr">
        <is>
          <t>ZU-MFMA1ZZI-08F</t>
        </is>
      </c>
      <c r="M63" s="248" t="inlineStr">
        <is>
          <t>2QX9CP3E</t>
        </is>
      </c>
      <c r="N63" s="245" t="inlineStr">
        <is>
          <t>F.MFM.08F.008.AD</t>
        </is>
      </c>
      <c r="O63" s="245" t="n"/>
      <c r="P63" s="245" t="n"/>
      <c r="Q63" s="250">
        <f>R63/H63</f>
        <v/>
      </c>
      <c r="R63" s="251" t="n">
        <v>55.99</v>
      </c>
      <c r="S63" s="249" t="n">
        <v>17796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1</v>
      </c>
      <c r="I64" s="245" t="inlineStr"/>
      <c r="J64" s="245" t="inlineStr"/>
      <c r="K64" s="245" t="inlineStr">
        <is>
          <t>10IN GREEN TEA MF MATTRESS EK</t>
        </is>
      </c>
      <c r="L64" s="245" t="inlineStr">
        <is>
          <t>ZU-MFMA1ZZI-10K</t>
        </is>
      </c>
      <c r="M64" s="248" t="inlineStr">
        <is>
          <t>2QX9CP3E</t>
        </is>
      </c>
      <c r="N64" s="245" t="inlineStr">
        <is>
          <t>F.MFM.10K.007.AD</t>
        </is>
      </c>
      <c r="O64" s="245" t="n"/>
      <c r="P64" s="245" t="n"/>
      <c r="Q64" s="250">
        <f>R64/H64</f>
        <v/>
      </c>
      <c r="R64" s="251" t="n">
        <v>97.11</v>
      </c>
      <c r="S64" s="249" t="n">
        <v>17796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1</v>
      </c>
      <c r="I65" s="245" t="inlineStr"/>
      <c r="J65" s="245" t="inlineStr"/>
      <c r="K65" s="245" t="inlineStr">
        <is>
          <t>12IN GREEN TEA MF MATTRESS CK</t>
        </is>
      </c>
      <c r="L65" s="245" t="inlineStr">
        <is>
          <t>ZU-MFMA1ZZI-12C</t>
        </is>
      </c>
      <c r="M65" s="248" t="inlineStr">
        <is>
          <t>2QX9CP3E</t>
        </is>
      </c>
      <c r="N65" s="245" t="inlineStr">
        <is>
          <t>F.MFM.12C.006.AD</t>
        </is>
      </c>
      <c r="O65" s="245" t="n"/>
      <c r="P65" s="245" t="n"/>
      <c r="Q65" s="250">
        <f>R65/H65</f>
        <v/>
      </c>
      <c r="R65" s="251" t="n">
        <v>100.52</v>
      </c>
      <c r="S65" s="249" t="n">
        <v>17796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426</v>
      </c>
      <c r="I66" s="245" t="inlineStr"/>
      <c r="J66" s="245" t="inlineStr"/>
      <c r="K66" s="245" t="inlineStr">
        <is>
          <t>12IN GREEN TEA MF MATTRESS FL</t>
        </is>
      </c>
      <c r="L66" s="245" t="inlineStr">
        <is>
          <t>ZU-MFMA1ZZI-12F</t>
        </is>
      </c>
      <c r="M66" s="248" t="inlineStr">
        <is>
          <t>2QX9CP3E</t>
        </is>
      </c>
      <c r="N66" s="245" t="inlineStr">
        <is>
          <t>F.MFM.12F.006.AD</t>
        </is>
      </c>
      <c r="O66" s="245" t="n"/>
      <c r="P66" s="245" t="n"/>
      <c r="Q66" s="250">
        <f>R66/H66</f>
        <v/>
      </c>
      <c r="R66" s="251" t="n">
        <v>30228.96</v>
      </c>
      <c r="S66" s="249" t="n">
        <v>17796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10</v>
      </c>
      <c r="I67" s="245" t="inlineStr"/>
      <c r="J67" s="245" t="inlineStr"/>
      <c r="K67" s="245" t="inlineStr">
        <is>
          <t>14IN GREEN TEA FOAM MATTRESS K</t>
        </is>
      </c>
      <c r="L67" s="245" t="inlineStr">
        <is>
          <t>ZU-MFMA1ZZI-14K</t>
        </is>
      </c>
      <c r="M67" s="248" t="inlineStr">
        <is>
          <t>2QX9CP3E</t>
        </is>
      </c>
      <c r="N67" s="245" t="inlineStr">
        <is>
          <t>F.MFM.14K.000.AD</t>
        </is>
      </c>
      <c r="O67" s="245" t="n"/>
      <c r="P67" s="245" t="n"/>
      <c r="Q67" s="250">
        <f>R67/H67</f>
        <v/>
      </c>
      <c r="R67" s="251" t="n">
        <v>1293.2</v>
      </c>
      <c r="S67" s="249" t="n">
        <v>17796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131</v>
      </c>
      <c r="I68" s="245" t="inlineStr"/>
      <c r="J68" s="245" t="inlineStr"/>
      <c r="K68" s="245" t="inlineStr">
        <is>
          <t>8IN OPP HD FL</t>
        </is>
      </c>
      <c r="L68" s="245" t="inlineStr">
        <is>
          <t>ZU-MFMA1OZI-08F</t>
        </is>
      </c>
      <c r="M68" s="248" t="inlineStr">
        <is>
          <t>2UXJOP9L</t>
        </is>
      </c>
      <c r="N68" s="245" t="inlineStr">
        <is>
          <t>F.MFM.08F.013.AD</t>
        </is>
      </c>
      <c r="O68" s="245" t="n"/>
      <c r="P68" s="245" t="n"/>
      <c r="Q68" s="250">
        <f>R68/H68</f>
        <v/>
      </c>
      <c r="R68" s="251" t="n">
        <v>5099.83</v>
      </c>
      <c r="S68" s="249" t="n">
        <v>17796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14</v>
      </c>
      <c r="I69" s="245" t="inlineStr"/>
      <c r="J69" s="245" t="inlineStr"/>
      <c r="K69" s="245" t="inlineStr">
        <is>
          <t>12IN OPP HD EK</t>
        </is>
      </c>
      <c r="L69" s="245" t="inlineStr">
        <is>
          <t>ZU-MFMA1OZI-12K</t>
        </is>
      </c>
      <c r="M69" s="248" t="inlineStr">
        <is>
          <t>2UXJOP9L</t>
        </is>
      </c>
      <c r="N69" s="245" t="inlineStr">
        <is>
          <t>F.MFM.12K.010.AD</t>
        </is>
      </c>
      <c r="O69" s="245" t="n"/>
      <c r="P69" s="245" t="n"/>
      <c r="Q69" s="250">
        <f>R69/H69</f>
        <v/>
      </c>
      <c r="R69" s="251" t="n">
        <v>1048.04</v>
      </c>
      <c r="S69" s="249" t="n">
        <v>17796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1</v>
      </c>
      <c r="I70" s="245" t="inlineStr"/>
      <c r="J70" s="245" t="inlineStr"/>
      <c r="K70" s="245" t="inlineStr">
        <is>
          <t>12IN OPP HD TW</t>
        </is>
      </c>
      <c r="L70" s="245" t="inlineStr">
        <is>
          <t>ZU-MFMA1OZI-12T</t>
        </is>
      </c>
      <c r="M70" s="248" t="inlineStr">
        <is>
          <t>2UXJOP9L</t>
        </is>
      </c>
      <c r="N70" s="245" t="inlineStr">
        <is>
          <t>F.MFM.12T.010.AD</t>
        </is>
      </c>
      <c r="O70" s="245" t="n"/>
      <c r="P70" s="245" t="n"/>
      <c r="Q70" s="250">
        <f>R70/H70</f>
        <v/>
      </c>
      <c r="R70" s="251" t="n">
        <v>41.92</v>
      </c>
      <c r="S70" s="249" t="n">
        <v>17796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2</v>
      </c>
      <c r="I71" s="245" t="inlineStr"/>
      <c r="J71" s="245" t="inlineStr"/>
      <c r="K71" s="245" t="inlineStr">
        <is>
          <t>12IN GREEN TEA MF MATTRESS CK</t>
        </is>
      </c>
      <c r="L71" s="245" t="inlineStr">
        <is>
          <t>ZU-MFMA1ZZI-12C</t>
        </is>
      </c>
      <c r="M71" s="248" t="inlineStr">
        <is>
          <t>2UXJOP9L</t>
        </is>
      </c>
      <c r="N71" s="245" t="inlineStr">
        <is>
          <t>F.MFM.12C.006.AD</t>
        </is>
      </c>
      <c r="O71" s="245" t="n"/>
      <c r="P71" s="245" t="n"/>
      <c r="Q71" s="250">
        <f>R71/H71</f>
        <v/>
      </c>
      <c r="R71" s="251" t="n">
        <v>201.04</v>
      </c>
      <c r="S71" s="249" t="n">
        <v>17796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87</v>
      </c>
      <c r="I72" s="245" t="inlineStr"/>
      <c r="J72" s="245" t="inlineStr"/>
      <c r="K72" s="245" t="inlineStr">
        <is>
          <t>12IN GREEN TEA MF MATTRESS FL</t>
        </is>
      </c>
      <c r="L72" s="245" t="inlineStr">
        <is>
          <t>ZU-MFMA1ZZI-12F</t>
        </is>
      </c>
      <c r="M72" s="248" t="inlineStr">
        <is>
          <t>2UXJOP9L</t>
        </is>
      </c>
      <c r="N72" s="245" t="inlineStr">
        <is>
          <t>F.MFM.12F.006.AD</t>
        </is>
      </c>
      <c r="O72" s="245" t="n"/>
      <c r="P72" s="245" t="n"/>
      <c r="Q72" s="250">
        <f>R72/H72</f>
        <v/>
      </c>
      <c r="R72" s="251" t="n">
        <v>6173.52</v>
      </c>
      <c r="S72" s="249" t="n">
        <v>17796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7" t="n">
        <v>1</v>
      </c>
      <c r="I73" s="245" t="inlineStr"/>
      <c r="J73" s="245" t="inlineStr"/>
      <c r="K73" s="245" t="inlineStr">
        <is>
          <t>12IN GREEN TEA MF MATTRESS QN</t>
        </is>
      </c>
      <c r="L73" s="245" t="inlineStr">
        <is>
          <t>ZU-MFMA1ZZI-12Q</t>
        </is>
      </c>
      <c r="M73" s="248" t="inlineStr">
        <is>
          <t>2UXJOP9L</t>
        </is>
      </c>
      <c r="N73" s="245" t="inlineStr">
        <is>
          <t>F.MFM.12Q.006.AD</t>
        </is>
      </c>
      <c r="O73" s="245" t="n"/>
      <c r="P73" s="245" t="n"/>
      <c r="Q73" s="250">
        <f>R73/H73</f>
        <v/>
      </c>
      <c r="R73" s="251" t="n">
        <v>83.79000000000001</v>
      </c>
      <c r="S73" s="249" t="n">
        <v>17796</v>
      </c>
      <c r="T73" s="252">
        <f>S73*R73</f>
        <v/>
      </c>
      <c r="U73" s="245" t="n"/>
      <c r="V73" s="245" t="n"/>
      <c r="W73" s="245" t="n"/>
      <c r="X73" s="245" t="n"/>
      <c r="Y73" s="245" t="n"/>
      <c r="Z73" s="245" t="n"/>
    </row>
    <row r="74" ht="16.5" customHeight="1" s="202">
      <c r="A74" s="245" t="n"/>
      <c r="B74" s="245" t="n"/>
      <c r="C74" s="245" t="n"/>
      <c r="D74" s="245" t="n"/>
      <c r="E74" s="245" t="n"/>
      <c r="F74" s="245" t="n"/>
      <c r="G74" s="245" t="n"/>
      <c r="H74" s="247" t="n">
        <v>150</v>
      </c>
      <c r="I74" s="245" t="inlineStr"/>
      <c r="J74" s="245" t="inlineStr"/>
      <c r="K74" s="245" t="inlineStr">
        <is>
          <t>14IN GREEN TEA FOAM MATTRESS K</t>
        </is>
      </c>
      <c r="L74" s="245" t="inlineStr">
        <is>
          <t>ZU-MFMA1ZZI-14K</t>
        </is>
      </c>
      <c r="M74" s="248" t="inlineStr">
        <is>
          <t>2UXJOP9L</t>
        </is>
      </c>
      <c r="N74" s="245" t="inlineStr">
        <is>
          <t>F.MFM.14K.000.AD</t>
        </is>
      </c>
      <c r="O74" s="245" t="n"/>
      <c r="P74" s="245" t="n"/>
      <c r="Q74" s="250">
        <f>R74/H74</f>
        <v/>
      </c>
      <c r="R74" s="251" t="n">
        <v>19398</v>
      </c>
      <c r="S74" s="249" t="n">
        <v>17796</v>
      </c>
      <c r="T74" s="252">
        <f>S74*R74</f>
        <v/>
      </c>
      <c r="U74" s="245" t="n"/>
      <c r="V74" s="245" t="n"/>
      <c r="W74" s="245" t="n"/>
      <c r="X74" s="245" t="n"/>
      <c r="Y74" s="245" t="n"/>
      <c r="Z74" s="245" t="n"/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19</v>
      </c>
      <c r="I75" s="245" t="inlineStr"/>
      <c r="J75" s="245" t="inlineStr"/>
      <c r="K75" s="245" t="inlineStr">
        <is>
          <t>10IN GREEN TEA MF MATTRESS SQ</t>
        </is>
      </c>
      <c r="L75" s="245" t="inlineStr">
        <is>
          <t>ZU-MFMA1FZI-10S</t>
        </is>
      </c>
      <c r="M75" s="248" t="inlineStr">
        <is>
          <t>2YN2VWYP</t>
        </is>
      </c>
      <c r="N75" s="245" t="inlineStr">
        <is>
          <t>F.MFM.10S.009.AD</t>
        </is>
      </c>
      <c r="O75" s="245" t="n"/>
      <c r="P75" s="245" t="n"/>
      <c r="Q75" s="250">
        <f>R75/H75</f>
        <v/>
      </c>
      <c r="R75" s="251" t="n">
        <v>1387.38</v>
      </c>
      <c r="S75" s="249" t="n">
        <v>17796</v>
      </c>
      <c r="T75" s="252">
        <f>S75*R75</f>
        <v/>
      </c>
      <c r="U75" s="245" t="n"/>
      <c r="V75" s="245" t="n"/>
      <c r="W75" s="245" t="n"/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4</v>
      </c>
      <c r="I76" s="245" t="inlineStr"/>
      <c r="J76" s="245" t="inlineStr"/>
      <c r="K76" s="245" t="inlineStr">
        <is>
          <t>8IN OPP HD FL</t>
        </is>
      </c>
      <c r="L76" s="245" t="inlineStr">
        <is>
          <t>ZU-MFMA1OZI-08F</t>
        </is>
      </c>
      <c r="M76" s="248" t="inlineStr">
        <is>
          <t>2YN2VWYP</t>
        </is>
      </c>
      <c r="N76" s="245" t="inlineStr">
        <is>
          <t>F.MFM.08F.013.AD</t>
        </is>
      </c>
      <c r="O76" s="245" t="n"/>
      <c r="P76" s="245" t="n"/>
      <c r="Q76" s="250">
        <f>R76/H76</f>
        <v/>
      </c>
      <c r="R76" s="251" t="n">
        <v>155.72</v>
      </c>
      <c r="S76" s="249" t="n">
        <v>17796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6</v>
      </c>
      <c r="I77" s="245" t="inlineStr"/>
      <c r="J77" s="245" t="inlineStr"/>
      <c r="K77" s="245" t="inlineStr">
        <is>
          <t>12IN AIRFLOW GEL FOAM MATT QN</t>
        </is>
      </c>
      <c r="L77" s="245" t="inlineStr">
        <is>
          <t>ZU-MFMA1RZI-12Q</t>
        </is>
      </c>
      <c r="M77" s="248" t="inlineStr">
        <is>
          <t>2YN2VWYP</t>
        </is>
      </c>
      <c r="N77" s="245" t="inlineStr">
        <is>
          <t>F.MFM.12Q.011.AD</t>
        </is>
      </c>
      <c r="O77" s="245" t="n"/>
      <c r="P77" s="245" t="n"/>
      <c r="Q77" s="250">
        <f>R77/H77</f>
        <v/>
      </c>
      <c r="R77" s="251" t="n">
        <v>405.42</v>
      </c>
      <c r="S77" s="249" t="n">
        <v>17796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1</v>
      </c>
      <c r="I78" s="245" t="inlineStr"/>
      <c r="J78" s="245" t="inlineStr"/>
      <c r="K78" s="245" t="inlineStr">
        <is>
          <t>6IN GREEN TEA MF MATTRESS QN</t>
        </is>
      </c>
      <c r="L78" s="245" t="inlineStr">
        <is>
          <t>ZU-MFMA1ZZI-06Q</t>
        </is>
      </c>
      <c r="M78" s="248" t="inlineStr">
        <is>
          <t>2YN2VWYP</t>
        </is>
      </c>
      <c r="N78" s="245" t="inlineStr">
        <is>
          <t>F.MFM.06Q.007.AD</t>
        </is>
      </c>
      <c r="O78" s="245" t="n"/>
      <c r="P78" s="245" t="n"/>
      <c r="Q78" s="250">
        <f>R78/H78</f>
        <v/>
      </c>
      <c r="R78" s="251" t="n">
        <v>45.51</v>
      </c>
      <c r="S78" s="249" t="n">
        <v>17796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192</v>
      </c>
      <c r="I79" s="245" t="inlineStr"/>
      <c r="J79" s="245" t="inlineStr"/>
      <c r="K79" s="245" t="inlineStr">
        <is>
          <t>8IN GREEN TEA MF MATTRESS FL</t>
        </is>
      </c>
      <c r="L79" s="245" t="inlineStr">
        <is>
          <t>ZU-MFMA1ZZI-08F</t>
        </is>
      </c>
      <c r="M79" s="248" t="inlineStr">
        <is>
          <t>2YN2VWYP</t>
        </is>
      </c>
      <c r="N79" s="245" t="inlineStr">
        <is>
          <t>F.MFM.08F.008.AD</t>
        </is>
      </c>
      <c r="O79" s="245" t="n"/>
      <c r="P79" s="245" t="n"/>
      <c r="Q79" s="250">
        <f>R79/H79</f>
        <v/>
      </c>
      <c r="R79" s="251" t="n">
        <v>10750.08</v>
      </c>
      <c r="S79" s="249" t="n">
        <v>17796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24</v>
      </c>
      <c r="I80" s="245" t="inlineStr"/>
      <c r="J80" s="245" t="inlineStr"/>
      <c r="K80" s="245" t="inlineStr">
        <is>
          <t>12IN GREEN TEA MF MATTRESS CK</t>
        </is>
      </c>
      <c r="L80" s="245" t="inlineStr">
        <is>
          <t>ZU-MFMA1ZZI-12C</t>
        </is>
      </c>
      <c r="M80" s="248" t="inlineStr">
        <is>
          <t>2YN2VWYP</t>
        </is>
      </c>
      <c r="N80" s="245" t="inlineStr">
        <is>
          <t>F.MFM.12C.006.AD</t>
        </is>
      </c>
      <c r="O80" s="245" t="n"/>
      <c r="P80" s="245" t="n"/>
      <c r="Q80" s="250">
        <f>R80/H80</f>
        <v/>
      </c>
      <c r="R80" s="251" t="n">
        <v>2412.48</v>
      </c>
      <c r="S80" s="249" t="n">
        <v>17796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234</v>
      </c>
      <c r="I81" s="245" t="inlineStr"/>
      <c r="J81" s="245" t="inlineStr"/>
      <c r="K81" s="245" t="inlineStr">
        <is>
          <t>12IN GREEN TEA MF MATTRESS FL</t>
        </is>
      </c>
      <c r="L81" s="245" t="inlineStr">
        <is>
          <t>ZU-MFMA1ZZI-12F</t>
        </is>
      </c>
      <c r="M81" s="248" t="inlineStr">
        <is>
          <t>2YN2VWYP</t>
        </is>
      </c>
      <c r="N81" s="245" t="inlineStr">
        <is>
          <t>F.MFM.12F.006.AD</t>
        </is>
      </c>
      <c r="O81" s="245" t="n"/>
      <c r="P81" s="245" t="n"/>
      <c r="Q81" s="250">
        <f>R81/H81</f>
        <v/>
      </c>
      <c r="R81" s="251" t="n">
        <v>16604.64</v>
      </c>
      <c r="S81" s="249" t="n">
        <v>17796</v>
      </c>
      <c r="T81" s="252">
        <f>S81*R81</f>
        <v/>
      </c>
      <c r="U81" s="245" t="n"/>
      <c r="V81" s="245" t="n"/>
      <c r="W81" s="245" t="n"/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1</v>
      </c>
      <c r="I82" s="245" t="inlineStr"/>
      <c r="J82" s="245" t="inlineStr"/>
      <c r="K82" s="245" t="inlineStr">
        <is>
          <t>12IN GREEN TEA MF MATTRESS QN</t>
        </is>
      </c>
      <c r="L82" s="245" t="inlineStr">
        <is>
          <t>ZU-MFMA1ZZI-12Q</t>
        </is>
      </c>
      <c r="M82" s="248" t="inlineStr">
        <is>
          <t>2YN2VWYP</t>
        </is>
      </c>
      <c r="N82" s="245" t="inlineStr">
        <is>
          <t>F.MFM.12Q.006.AD</t>
        </is>
      </c>
      <c r="O82" s="245" t="n"/>
      <c r="P82" s="245" t="n"/>
      <c r="Q82" s="250">
        <f>R82/H82</f>
        <v/>
      </c>
      <c r="R82" s="251" t="n">
        <v>83.79000000000001</v>
      </c>
      <c r="S82" s="249" t="n">
        <v>17796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6</v>
      </c>
      <c r="I83" s="245" t="inlineStr"/>
      <c r="J83" s="245" t="inlineStr"/>
      <c r="K83" s="245" t="inlineStr">
        <is>
          <t>10IN GREEN TEA MF MATTRESS SQ</t>
        </is>
      </c>
      <c r="L83" s="245" t="inlineStr">
        <is>
          <t>ZU-MFMA1FZI-10S</t>
        </is>
      </c>
      <c r="M83" s="248" t="inlineStr">
        <is>
          <t>4G94MRIK</t>
        </is>
      </c>
      <c r="N83" s="245" t="inlineStr">
        <is>
          <t>F.MFM.10S.009.AD</t>
        </is>
      </c>
      <c r="O83" s="245" t="n"/>
      <c r="P83" s="245" t="n"/>
      <c r="Q83" s="250">
        <f>R83/H83</f>
        <v/>
      </c>
      <c r="R83" s="251" t="n">
        <v>438.12</v>
      </c>
      <c r="S83" s="249" t="n">
        <v>17796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49</v>
      </c>
      <c r="I84" s="245" t="inlineStr"/>
      <c r="J84" s="245" t="inlineStr"/>
      <c r="K84" s="245" t="inlineStr">
        <is>
          <t>6IN OPP HD TW</t>
        </is>
      </c>
      <c r="L84" s="245" t="inlineStr">
        <is>
          <t>ZU-MFMA1OZI-06T</t>
        </is>
      </c>
      <c r="M84" s="248" t="inlineStr">
        <is>
          <t>4G94MRIK</t>
        </is>
      </c>
      <c r="N84" s="245" t="inlineStr">
        <is>
          <t>F.MFM.06T.008.AD</t>
        </is>
      </c>
      <c r="O84" s="245" t="n"/>
      <c r="P84" s="245" t="n"/>
      <c r="Q84" s="250">
        <f>R84/H84</f>
        <v/>
      </c>
      <c r="R84" s="251" t="n">
        <v>1320.55</v>
      </c>
      <c r="S84" s="249" t="n">
        <v>17796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26</v>
      </c>
      <c r="I85" s="245" t="inlineStr"/>
      <c r="J85" s="245" t="inlineStr"/>
      <c r="K85" s="245" t="inlineStr">
        <is>
          <t>12IN AIRFLOW GEL FOAM MATT EK</t>
        </is>
      </c>
      <c r="L85" s="245" t="inlineStr">
        <is>
          <t>ZU-MFMA1RZI-12K</t>
        </is>
      </c>
      <c r="M85" s="248" t="inlineStr">
        <is>
          <t>4G94MRIK</t>
        </is>
      </c>
      <c r="N85" s="245" t="inlineStr">
        <is>
          <t>F.MFM.12K.011.AD</t>
        </is>
      </c>
      <c r="O85" s="245" t="n"/>
      <c r="P85" s="245" t="n"/>
      <c r="Q85" s="250">
        <f>R85/H85</f>
        <v/>
      </c>
      <c r="R85" s="251" t="n">
        <v>1946.36</v>
      </c>
      <c r="S85" s="249" t="n">
        <v>17796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34</v>
      </c>
      <c r="I86" s="245" t="inlineStr"/>
      <c r="J86" s="245" t="inlineStr"/>
      <c r="K86" s="245" t="inlineStr">
        <is>
          <t>12IN AIRFLOW GEL FOAM MATT TW</t>
        </is>
      </c>
      <c r="L86" s="245" t="inlineStr">
        <is>
          <t>ZU-MFMA1RZI-12T</t>
        </is>
      </c>
      <c r="M86" s="248" t="inlineStr">
        <is>
          <t>4G94MRIK</t>
        </is>
      </c>
      <c r="N86" s="245" t="inlineStr">
        <is>
          <t>F.MFM.12T.011.AD</t>
        </is>
      </c>
      <c r="O86" s="245" t="n"/>
      <c r="P86" s="245" t="n"/>
      <c r="Q86" s="250">
        <f>R86/H86</f>
        <v/>
      </c>
      <c r="R86" s="251" t="n">
        <v>1425.28</v>
      </c>
      <c r="S86" s="249" t="n">
        <v>17796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1</v>
      </c>
      <c r="I87" s="245" t="inlineStr"/>
      <c r="J87" s="245" t="inlineStr"/>
      <c r="K87" s="245" t="inlineStr">
        <is>
          <t>10IN GREEN TEA MF MATTRESS EK</t>
        </is>
      </c>
      <c r="L87" s="245" t="inlineStr">
        <is>
          <t>ZU-MFMA1ZZI-10K</t>
        </is>
      </c>
      <c r="M87" s="248" t="inlineStr">
        <is>
          <t>4G94MRIK</t>
        </is>
      </c>
      <c r="N87" s="245" t="inlineStr">
        <is>
          <t>F.MFM.10K.007.AD</t>
        </is>
      </c>
      <c r="O87" s="245" t="n"/>
      <c r="P87" s="245" t="n"/>
      <c r="Q87" s="250">
        <f>R87/H87</f>
        <v/>
      </c>
      <c r="R87" s="251" t="n">
        <v>97.11</v>
      </c>
      <c r="S87" s="249" t="n">
        <v>17796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6.5" customHeight="1" s="202">
      <c r="A88" s="245" t="n"/>
      <c r="B88" s="245" t="n"/>
      <c r="C88" s="245" t="n"/>
      <c r="D88" s="245" t="n"/>
      <c r="E88" s="245" t="n"/>
      <c r="F88" s="245" t="n"/>
      <c r="G88" s="245" t="n"/>
      <c r="H88" s="247" t="n">
        <v>16</v>
      </c>
      <c r="I88" s="245" t="inlineStr"/>
      <c r="J88" s="245" t="inlineStr"/>
      <c r="K88" s="245" t="inlineStr">
        <is>
          <t>10IN GREEN TEA MF MATTRESS QN</t>
        </is>
      </c>
      <c r="L88" s="245" t="inlineStr">
        <is>
          <t>ZU-MFMA1ZZI-10Q</t>
        </is>
      </c>
      <c r="M88" s="248" t="inlineStr">
        <is>
          <t>4G94MRIK</t>
        </is>
      </c>
      <c r="N88" s="245" t="inlineStr">
        <is>
          <t>F.MFM.10Q.007.AD</t>
        </is>
      </c>
      <c r="O88" s="245" t="n"/>
      <c r="P88" s="245" t="n"/>
      <c r="Q88" s="250">
        <f>R88/H88</f>
        <v/>
      </c>
      <c r="R88" s="251" t="n">
        <v>1054.08</v>
      </c>
      <c r="S88" s="249" t="n">
        <v>17796</v>
      </c>
      <c r="T88" s="252">
        <f>S88*R88</f>
        <v/>
      </c>
      <c r="U88" s="245" t="n"/>
      <c r="V88" s="245" t="n"/>
      <c r="W88" s="245" t="n"/>
      <c r="X88" s="245" t="n"/>
      <c r="Y88" s="245" t="n"/>
      <c r="Z88" s="245" t="n"/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7" t="n">
        <v>338</v>
      </c>
      <c r="I89" s="245" t="inlineStr"/>
      <c r="J89" s="245" t="inlineStr"/>
      <c r="K89" s="245" t="inlineStr">
        <is>
          <t>12IN GREEN TEA MF MATTRESS QN</t>
        </is>
      </c>
      <c r="L89" s="245" t="inlineStr">
        <is>
          <t>ZU-MFMA1ZZI-12Q</t>
        </is>
      </c>
      <c r="M89" s="248" t="inlineStr">
        <is>
          <t>4G94MRIK</t>
        </is>
      </c>
      <c r="N89" s="245" t="inlineStr">
        <is>
          <t>F.MFM.12Q.006.AD</t>
        </is>
      </c>
      <c r="O89" s="245" t="n"/>
      <c r="P89" s="245" t="n"/>
      <c r="Q89" s="250">
        <f>R89/H89</f>
        <v/>
      </c>
      <c r="R89" s="251" t="n">
        <v>28321.02</v>
      </c>
      <c r="S89" s="249" t="n">
        <v>17796</v>
      </c>
      <c r="T89" s="252">
        <f>S89*R89</f>
        <v/>
      </c>
      <c r="U89" s="245" t="n"/>
      <c r="V89" s="245" t="n"/>
      <c r="W89" s="245" t="n"/>
      <c r="X89" s="245" t="n"/>
      <c r="Y89" s="245" t="n"/>
      <c r="Z89" s="245" t="n"/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80</v>
      </c>
      <c r="I90" s="245" t="inlineStr"/>
      <c r="J90" s="245" t="inlineStr"/>
      <c r="K90" s="245" t="inlineStr">
        <is>
          <t>6IN OPP HD TW</t>
        </is>
      </c>
      <c r="L90" s="245" t="inlineStr">
        <is>
          <t>ZU-MFMA1OZI-06T</t>
        </is>
      </c>
      <c r="M90" s="248" t="inlineStr">
        <is>
          <t>4M46KVJG</t>
        </is>
      </c>
      <c r="N90" s="245" t="inlineStr">
        <is>
          <t>F.MFM.06T.008.AD</t>
        </is>
      </c>
      <c r="O90" s="245" t="n"/>
      <c r="P90" s="245" t="n"/>
      <c r="Q90" s="250">
        <f>R90/H90</f>
        <v/>
      </c>
      <c r="R90" s="251" t="n">
        <v>2156</v>
      </c>
      <c r="S90" s="249" t="n">
        <v>17796</v>
      </c>
      <c r="T90" s="252">
        <f>S90*R90</f>
        <v/>
      </c>
      <c r="U90" s="245" t="n"/>
      <c r="V90" s="245" t="n"/>
      <c r="W90" s="245" t="n"/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1</v>
      </c>
      <c r="I91" s="245" t="inlineStr"/>
      <c r="J91" s="245" t="inlineStr"/>
      <c r="K91" s="245" t="inlineStr">
        <is>
          <t>8IN OPP HD FL</t>
        </is>
      </c>
      <c r="L91" s="245" t="inlineStr">
        <is>
          <t>ZU-MFMA1OZI-08F</t>
        </is>
      </c>
      <c r="M91" s="248" t="inlineStr">
        <is>
          <t>4M46KVJG</t>
        </is>
      </c>
      <c r="N91" s="245" t="inlineStr">
        <is>
          <t>F.MFM.08F.013.AD</t>
        </is>
      </c>
      <c r="O91" s="245" t="n"/>
      <c r="P91" s="245" t="n"/>
      <c r="Q91" s="250">
        <f>R91/H91</f>
        <v/>
      </c>
      <c r="R91" s="251" t="n">
        <v>38.93</v>
      </c>
      <c r="S91" s="249" t="n">
        <v>17796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3</v>
      </c>
      <c r="I92" s="245" t="inlineStr"/>
      <c r="J92" s="245" t="inlineStr"/>
      <c r="K92" s="245" t="inlineStr">
        <is>
          <t>10IN OPP HD FL</t>
        </is>
      </c>
      <c r="L92" s="245" t="inlineStr">
        <is>
          <t>ZU-MFMA1OZI-10F</t>
        </is>
      </c>
      <c r="M92" s="248" t="inlineStr">
        <is>
          <t>4M46KVJG</t>
        </is>
      </c>
      <c r="N92" s="245" t="inlineStr">
        <is>
          <t>F.MFM.10F.013.AD</t>
        </is>
      </c>
      <c r="O92" s="245" t="n"/>
      <c r="P92" s="245" t="n"/>
      <c r="Q92" s="250">
        <f>R92/H92</f>
        <v/>
      </c>
      <c r="R92" s="251" t="n">
        <v>143.73</v>
      </c>
      <c r="S92" s="249" t="n">
        <v>17796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7" t="n">
        <v>329</v>
      </c>
      <c r="I93" s="245" t="inlineStr"/>
      <c r="J93" s="245" t="inlineStr"/>
      <c r="K93" s="245" t="inlineStr">
        <is>
          <t>10IN OPP HD TW</t>
        </is>
      </c>
      <c r="L93" s="245" t="inlineStr">
        <is>
          <t>ZU-MFMA1OZI-10T</t>
        </is>
      </c>
      <c r="M93" s="248" t="inlineStr">
        <is>
          <t>4M46KVJG</t>
        </is>
      </c>
      <c r="N93" s="245" t="inlineStr">
        <is>
          <t>F.MFM.10T.013.AD</t>
        </is>
      </c>
      <c r="O93" s="245" t="n"/>
      <c r="P93" s="245" t="n"/>
      <c r="Q93" s="250">
        <f>R93/H93</f>
        <v/>
      </c>
      <c r="R93" s="251" t="n">
        <v>12807.97</v>
      </c>
      <c r="S93" s="249" t="n">
        <v>17796</v>
      </c>
      <c r="T93" s="252">
        <f>S93*R93</f>
        <v/>
      </c>
      <c r="U93" s="245" t="n"/>
      <c r="V93" s="245" t="n"/>
      <c r="W93" s="245" t="n"/>
      <c r="X93" s="245" t="n"/>
      <c r="Y93" s="245" t="n"/>
      <c r="Z93" s="245" t="n"/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7" t="n">
        <v>21</v>
      </c>
      <c r="I94" s="245" t="inlineStr"/>
      <c r="J94" s="245" t="inlineStr"/>
      <c r="K94" s="245" t="inlineStr">
        <is>
          <t>12IN AIRFLOW GEL FOAM MATT TW</t>
        </is>
      </c>
      <c r="L94" s="245" t="inlineStr">
        <is>
          <t>ZU-MFMA1RZI-12T</t>
        </is>
      </c>
      <c r="M94" s="248" t="inlineStr">
        <is>
          <t>4M46KVJG</t>
        </is>
      </c>
      <c r="N94" s="245" t="inlineStr">
        <is>
          <t>F.MFM.12T.011.AD</t>
        </is>
      </c>
      <c r="O94" s="245" t="n"/>
      <c r="P94" s="245" t="n"/>
      <c r="Q94" s="250">
        <f>R94/H94</f>
        <v/>
      </c>
      <c r="R94" s="251" t="n">
        <v>880.3200000000001</v>
      </c>
      <c r="S94" s="249" t="n">
        <v>17796</v>
      </c>
      <c r="T94" s="252">
        <f>S94*R94</f>
        <v/>
      </c>
      <c r="U94" s="245" t="n"/>
      <c r="V94" s="245" t="n"/>
      <c r="W94" s="245" t="n"/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7" t="n">
        <v>230</v>
      </c>
      <c r="I95" s="245" t="inlineStr"/>
      <c r="J95" s="245" t="inlineStr"/>
      <c r="K95" s="245" t="inlineStr">
        <is>
          <t>6IN GREEN TEA MF MATTRESS NT</t>
        </is>
      </c>
      <c r="L95" s="245" t="inlineStr">
        <is>
          <t>ZU-MFMA1ZZI-06N</t>
        </is>
      </c>
      <c r="M95" s="248" t="inlineStr">
        <is>
          <t>4M46KVJG</t>
        </is>
      </c>
      <c r="N95" s="245" t="inlineStr">
        <is>
          <t>F.MFM.06N.007.AD</t>
        </is>
      </c>
      <c r="O95" s="245" t="n"/>
      <c r="P95" s="245" t="n"/>
      <c r="Q95" s="250">
        <f>R95/H95</f>
        <v/>
      </c>
      <c r="R95" s="251" t="n">
        <v>5770.7</v>
      </c>
      <c r="S95" s="249" t="n">
        <v>17796</v>
      </c>
      <c r="T95" s="252">
        <f>S95*R95</f>
        <v/>
      </c>
      <c r="U95" s="245" t="n"/>
      <c r="V95" s="245" t="n"/>
      <c r="W95" s="245" t="n"/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4</v>
      </c>
      <c r="I96" s="245" t="inlineStr"/>
      <c r="J96" s="245" t="inlineStr"/>
      <c r="K96" s="245" t="inlineStr">
        <is>
          <t>8IN GREEN TEA MF MATTRESS FL</t>
        </is>
      </c>
      <c r="L96" s="245" t="inlineStr">
        <is>
          <t>ZU-MFMA1ZZI-08F</t>
        </is>
      </c>
      <c r="M96" s="248" t="inlineStr">
        <is>
          <t>4M46KVJG</t>
        </is>
      </c>
      <c r="N96" s="245" t="inlineStr">
        <is>
          <t>F.MFM.08F.008.AD</t>
        </is>
      </c>
      <c r="O96" s="245" t="n"/>
      <c r="P96" s="245" t="n"/>
      <c r="Q96" s="250">
        <f>R96/H96</f>
        <v/>
      </c>
      <c r="R96" s="251" t="n">
        <v>223.96</v>
      </c>
      <c r="S96" s="249" t="n">
        <v>17796</v>
      </c>
      <c r="T96" s="252">
        <f>S96*R96</f>
        <v/>
      </c>
      <c r="U96" s="245" t="n"/>
      <c r="V96" s="245" t="n"/>
      <c r="W96" s="245" t="n"/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1</v>
      </c>
      <c r="I97" s="245" t="inlineStr"/>
      <c r="J97" s="245" t="inlineStr"/>
      <c r="K97" s="245" t="inlineStr">
        <is>
          <t>12IN GREEN TEA MF MATTRESS CK</t>
        </is>
      </c>
      <c r="L97" s="245" t="inlineStr">
        <is>
          <t>ZU-MFMA1ZZI-12C</t>
        </is>
      </c>
      <c r="M97" s="248" t="inlineStr">
        <is>
          <t>4M46KVJG</t>
        </is>
      </c>
      <c r="N97" s="245" t="inlineStr">
        <is>
          <t>F.MFM.12C.006.AD</t>
        </is>
      </c>
      <c r="O97" s="245" t="n"/>
      <c r="P97" s="245" t="n"/>
      <c r="Q97" s="250">
        <f>R97/H97</f>
        <v/>
      </c>
      <c r="R97" s="251" t="n">
        <v>100.52</v>
      </c>
      <c r="S97" s="249" t="n">
        <v>17796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</v>
      </c>
      <c r="I98" s="245" t="inlineStr"/>
      <c r="J98" s="245" t="inlineStr"/>
      <c r="K98" s="245" t="inlineStr">
        <is>
          <t>12IN GREEN TEA MF MATTRESS FL</t>
        </is>
      </c>
      <c r="L98" s="245" t="inlineStr">
        <is>
          <t>ZU-MFMA1ZZI-12F</t>
        </is>
      </c>
      <c r="M98" s="248" t="inlineStr">
        <is>
          <t>4M46KVJG</t>
        </is>
      </c>
      <c r="N98" s="245" t="inlineStr">
        <is>
          <t>F.MFM.12F.006.AD</t>
        </is>
      </c>
      <c r="O98" s="245" t="n"/>
      <c r="P98" s="245" t="n"/>
      <c r="Q98" s="250">
        <f>R98/H98</f>
        <v/>
      </c>
      <c r="R98" s="251" t="n">
        <v>141.92</v>
      </c>
      <c r="S98" s="249" t="n">
        <v>17796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58</v>
      </c>
      <c r="I99" s="245" t="inlineStr"/>
      <c r="J99" s="245" t="inlineStr"/>
      <c r="K99" s="245" t="inlineStr">
        <is>
          <t>14IN GREEN TEA FOAM MATTRESS K</t>
        </is>
      </c>
      <c r="L99" s="245" t="inlineStr">
        <is>
          <t>ZU-MFMA1ZZI-14K</t>
        </is>
      </c>
      <c r="M99" s="248" t="inlineStr">
        <is>
          <t>4M46KVJG</t>
        </is>
      </c>
      <c r="N99" s="245" t="inlineStr">
        <is>
          <t>F.MFM.14K.000.AD</t>
        </is>
      </c>
      <c r="O99" s="245" t="n"/>
      <c r="P99" s="245" t="n"/>
      <c r="Q99" s="250">
        <f>R99/H99</f>
        <v/>
      </c>
      <c r="R99" s="251" t="n">
        <v>7500.56</v>
      </c>
      <c r="S99" s="249" t="n">
        <v>17796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7.1" customHeight="1" s="202">
      <c r="A100" s="254" t="n"/>
      <c r="B100" s="254" t="n"/>
      <c r="C100" s="254" t="n"/>
      <c r="D100" s="254" t="n"/>
      <c r="E100" s="254" t="n"/>
      <c r="F100" s="254" t="n"/>
      <c r="G100" s="254" t="n"/>
      <c r="H100" s="255">
        <f>SUM(H49:H99)</f>
        <v/>
      </c>
      <c r="I100" s="254">
        <f>COUNTA(I49:I99)</f>
        <v/>
      </c>
      <c r="J100" s="254" t="n"/>
      <c r="K100" s="254" t="n"/>
      <c r="L100" s="254" t="n"/>
      <c r="M100" s="254" t="n"/>
      <c r="N100" s="254" t="n"/>
      <c r="O100" s="256">
        <f>SUM(O49:O99)</f>
        <v/>
      </c>
      <c r="P100" s="256">
        <f>SUM(P49:P99)</f>
        <v/>
      </c>
      <c r="Q100" s="254" t="n"/>
      <c r="R100" s="257">
        <f>SUM(R49:R99)</f>
        <v/>
      </c>
      <c r="S100" s="254" t="n"/>
      <c r="T100" s="258">
        <f>SUM(T49:T99)</f>
        <v/>
      </c>
      <c r="U100" s="254" t="n"/>
      <c r="V100" s="254" t="n"/>
      <c r="W100" s="254" t="n"/>
      <c r="X100" s="254" t="n"/>
      <c r="Y100" s="254" t="n"/>
      <c r="Z100" s="254" t="n"/>
    </row>
    <row r="101" ht="16.5" customHeight="1" s="202">
      <c r="A101" s="245" t="n">
        <v>5</v>
      </c>
      <c r="B101" s="245" t="inlineStr">
        <is>
          <t>000030ZIK48020260825000690</t>
        </is>
      </c>
      <c r="C101" s="245" t="n">
        <v>537010</v>
      </c>
      <c r="D101" s="245" t="n">
        <v>536951</v>
      </c>
      <c r="E101" s="246" t="n">
        <v>46260</v>
      </c>
      <c r="F101" s="245" t="inlineStr">
        <is>
          <t>ID2608-8186</t>
        </is>
      </c>
      <c r="G101" s="246" t="n">
        <v>46254</v>
      </c>
      <c r="H101" s="247" t="n">
        <v>266</v>
      </c>
      <c r="I101" s="245" t="inlineStr">
        <is>
          <t>CMAU8800508</t>
        </is>
      </c>
      <c r="J101" s="245" t="inlineStr">
        <is>
          <t>40FT</t>
        </is>
      </c>
      <c r="K101" s="245" t="inlineStr">
        <is>
          <t>12IN OPP HD TW</t>
        </is>
      </c>
      <c r="L101" s="245" t="inlineStr">
        <is>
          <t>ZU-MFMA1OZI-12T</t>
        </is>
      </c>
      <c r="M101" s="248" t="inlineStr">
        <is>
          <t>26QC6KXV</t>
        </is>
      </c>
      <c r="N101" s="245" t="inlineStr">
        <is>
          <t>F.MFM.12T.010.AD</t>
        </is>
      </c>
      <c r="O101" s="249" t="n">
        <v>91261.94</v>
      </c>
      <c r="P101" s="249" t="n">
        <v>80826.92999999999</v>
      </c>
      <c r="Q101" s="250">
        <f>R101/H101</f>
        <v/>
      </c>
      <c r="R101" s="251" t="n">
        <v>11150.72</v>
      </c>
      <c r="S101" s="249" t="n">
        <v>17796</v>
      </c>
      <c r="T101" s="252">
        <f>S101*R101</f>
        <v/>
      </c>
      <c r="U101" s="245" t="inlineStr">
        <is>
          <t>040300/KPPBC</t>
        </is>
      </c>
      <c r="V101" s="245" t="inlineStr">
        <is>
          <t>TG. PRIOK</t>
        </is>
      </c>
      <c r="W101" s="245" t="inlineStr">
        <is>
          <t>LOS ANGELES, US</t>
        </is>
      </c>
      <c r="X101" s="245" t="inlineStr">
        <is>
          <t>AMAZON.COM SERVICES LLC</t>
        </is>
      </c>
      <c r="Y101" s="245" t="inlineStr">
        <is>
          <t>CMDUDJA1513101</t>
        </is>
      </c>
      <c r="Z101" s="246" t="n">
        <v>46260</v>
      </c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182</v>
      </c>
      <c r="I102" s="245" t="inlineStr">
        <is>
          <t>BEAU4058190</t>
        </is>
      </c>
      <c r="J102" s="245" t="inlineStr">
        <is>
          <t>40FT</t>
        </is>
      </c>
      <c r="K102" s="245" t="inlineStr">
        <is>
          <t>10IN AIRFLOW GEL FOAM MATT TW</t>
        </is>
      </c>
      <c r="L102" s="245" t="inlineStr">
        <is>
          <t>ZU-MFMA1RZI-10T</t>
        </is>
      </c>
      <c r="M102" s="248" t="inlineStr">
        <is>
          <t>26QC6KXV</t>
        </is>
      </c>
      <c r="N102" s="245" t="inlineStr">
        <is>
          <t>F.MFM.10T.014.AD</t>
        </is>
      </c>
      <c r="O102" s="245" t="n"/>
      <c r="P102" s="245" t="n"/>
      <c r="Q102" s="250">
        <f>R102/H102</f>
        <v/>
      </c>
      <c r="R102" s="251" t="n">
        <v>7085.26</v>
      </c>
      <c r="S102" s="249" t="n">
        <v>17796</v>
      </c>
      <c r="T102" s="252">
        <f>S102*R102</f>
        <v/>
      </c>
      <c r="U102" s="245" t="n"/>
      <c r="V102" s="245" t="n"/>
      <c r="W102" s="245" t="inlineStr">
        <is>
          <t>ETD : 02-09-2026</t>
        </is>
      </c>
      <c r="X102" s="245" t="n"/>
      <c r="Y102" s="245" t="n"/>
      <c r="Z102" s="245" t="n"/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1</v>
      </c>
      <c r="I103" s="245" t="inlineStr">
        <is>
          <t>CMAU6105359</t>
        </is>
      </c>
      <c r="J103" s="245" t="inlineStr">
        <is>
          <t>40FT</t>
        </is>
      </c>
      <c r="K103" s="245" t="inlineStr">
        <is>
          <t>5IN GREEN TEA MF MATTRESS TW</t>
        </is>
      </c>
      <c r="L103" s="245" t="inlineStr">
        <is>
          <t>ZU-MFMA1ZZI-05T</t>
        </is>
      </c>
      <c r="M103" s="248" t="inlineStr">
        <is>
          <t>26QC6KXV</t>
        </is>
      </c>
      <c r="N103" s="245" t="inlineStr">
        <is>
          <t>F.MFM.05T.007.AD</t>
        </is>
      </c>
      <c r="O103" s="245" t="n"/>
      <c r="P103" s="245" t="n"/>
      <c r="Q103" s="250">
        <f>R103/H103</f>
        <v/>
      </c>
      <c r="R103" s="251" t="n">
        <v>23.66</v>
      </c>
      <c r="S103" s="249" t="n">
        <v>17796</v>
      </c>
      <c r="T103" s="252">
        <f>S103*R103</f>
        <v/>
      </c>
      <c r="U103" s="245" t="n"/>
      <c r="V103" s="245" t="n"/>
      <c r="W103" s="245" t="n"/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223</v>
      </c>
      <c r="I104" s="245" t="inlineStr">
        <is>
          <t>BEAU4121306</t>
        </is>
      </c>
      <c r="J104" s="245" t="inlineStr">
        <is>
          <t>40FT</t>
        </is>
      </c>
      <c r="K104" s="245" t="inlineStr">
        <is>
          <t>10IN GREEN TEA MF MATTRESS QN</t>
        </is>
      </c>
      <c r="L104" s="245" t="inlineStr">
        <is>
          <t>ZU-MFMA1ZZI-10Q</t>
        </is>
      </c>
      <c r="M104" s="248" t="inlineStr">
        <is>
          <t>26QC6KXV</t>
        </is>
      </c>
      <c r="N104" s="245" t="inlineStr">
        <is>
          <t>F.MFM.10Q.007.AD</t>
        </is>
      </c>
      <c r="O104" s="245" t="n"/>
      <c r="P104" s="245" t="n"/>
      <c r="Q104" s="250">
        <f>R104/H104</f>
        <v/>
      </c>
      <c r="R104" s="251" t="n">
        <v>14691.24</v>
      </c>
      <c r="S104" s="249" t="n">
        <v>17796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16</v>
      </c>
      <c r="I105" s="245" t="inlineStr">
        <is>
          <t>TCNU7084020</t>
        </is>
      </c>
      <c r="J105" s="245" t="inlineStr">
        <is>
          <t>40FT</t>
        </is>
      </c>
      <c r="K105" s="245" t="inlineStr">
        <is>
          <t>12IN GREEN TEA MF MATTRESS QN</t>
        </is>
      </c>
      <c r="L105" s="245" t="inlineStr">
        <is>
          <t>ZU-MFMA1ZZI-12Q</t>
        </is>
      </c>
      <c r="M105" s="248" t="inlineStr">
        <is>
          <t>26QC6KXV</t>
        </is>
      </c>
      <c r="N105" s="245" t="inlineStr">
        <is>
          <t>F.MFM.12Q.006.AD</t>
        </is>
      </c>
      <c r="O105" s="245" t="n"/>
      <c r="P105" s="245" t="n"/>
      <c r="Q105" s="250">
        <f>R105/H105</f>
        <v/>
      </c>
      <c r="R105" s="251" t="n">
        <v>1340.64</v>
      </c>
      <c r="S105" s="249" t="n">
        <v>17796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1</v>
      </c>
      <c r="I106" s="245" t="inlineStr">
        <is>
          <t>TRHU6606571</t>
        </is>
      </c>
      <c r="J106" s="245" t="inlineStr">
        <is>
          <t>40FT</t>
        </is>
      </c>
      <c r="K106" s="245" t="inlineStr">
        <is>
          <t>10IN GREEN TEA MF MATTRESS EK</t>
        </is>
      </c>
      <c r="L106" s="245" t="inlineStr">
        <is>
          <t>ZU-MFMA1ZZI-10K</t>
        </is>
      </c>
      <c r="M106" s="248" t="inlineStr">
        <is>
          <t>28L3ROSK</t>
        </is>
      </c>
      <c r="N106" s="245" t="inlineStr">
        <is>
          <t>F.MFM.10K.007.AD</t>
        </is>
      </c>
      <c r="O106" s="245" t="n"/>
      <c r="P106" s="245" t="n"/>
      <c r="Q106" s="250">
        <f>R106/H106</f>
        <v/>
      </c>
      <c r="R106" s="251" t="n">
        <v>97.11</v>
      </c>
      <c r="S106" s="249" t="n">
        <v>17796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4</v>
      </c>
      <c r="I107" s="245" t="inlineStr">
        <is>
          <t>TCNU3472259</t>
        </is>
      </c>
      <c r="J107" s="245" t="inlineStr">
        <is>
          <t>40FT</t>
        </is>
      </c>
      <c r="K107" s="245" t="inlineStr">
        <is>
          <t>10IN GREEN TEA MF MATTRESS QN</t>
        </is>
      </c>
      <c r="L107" s="245" t="inlineStr">
        <is>
          <t>ZU-MFMA1ZZI-10Q</t>
        </is>
      </c>
      <c r="M107" s="248" t="inlineStr">
        <is>
          <t>28L3ROSK</t>
        </is>
      </c>
      <c r="N107" s="245" t="inlineStr">
        <is>
          <t>F.MFM.10Q.007.AD</t>
        </is>
      </c>
      <c r="O107" s="245" t="n"/>
      <c r="P107" s="245" t="n"/>
      <c r="Q107" s="250">
        <f>R107/H107</f>
        <v/>
      </c>
      <c r="R107" s="251" t="n">
        <v>263.52</v>
      </c>
      <c r="S107" s="249" t="n">
        <v>17796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490</v>
      </c>
      <c r="I108" s="245" t="inlineStr"/>
      <c r="J108" s="245" t="inlineStr"/>
      <c r="K108" s="245" t="inlineStr">
        <is>
          <t>12IN GREEN TEA MF MATTRESS QN</t>
        </is>
      </c>
      <c r="L108" s="245" t="inlineStr">
        <is>
          <t>ZU-MFMA1ZZI-12Q</t>
        </is>
      </c>
      <c r="M108" s="248" t="inlineStr">
        <is>
          <t>28L3ROSK</t>
        </is>
      </c>
      <c r="N108" s="245" t="inlineStr">
        <is>
          <t>F.MFM.12Q.006.AD</t>
        </is>
      </c>
      <c r="O108" s="245" t="n"/>
      <c r="P108" s="245" t="n"/>
      <c r="Q108" s="250">
        <f>R108/H108</f>
        <v/>
      </c>
      <c r="R108" s="251" t="n">
        <v>41057.1</v>
      </c>
      <c r="S108" s="249" t="n">
        <v>17796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1</v>
      </c>
      <c r="I109" s="245" t="inlineStr"/>
      <c r="J109" s="245" t="inlineStr"/>
      <c r="K109" s="245" t="inlineStr">
        <is>
          <t>14IN GREEN TEA FOAM MATTRESS K</t>
        </is>
      </c>
      <c r="L109" s="245" t="inlineStr">
        <is>
          <t>ZU-MFMA1ZZI-14K</t>
        </is>
      </c>
      <c r="M109" s="248" t="inlineStr">
        <is>
          <t>28L3ROSK</t>
        </is>
      </c>
      <c r="N109" s="245" t="inlineStr">
        <is>
          <t>F.MFM.14K.000.AD</t>
        </is>
      </c>
      <c r="O109" s="245" t="n"/>
      <c r="P109" s="245" t="n"/>
      <c r="Q109" s="250">
        <f>R109/H109</f>
        <v/>
      </c>
      <c r="R109" s="251" t="n">
        <v>129.32</v>
      </c>
      <c r="S109" s="249" t="n">
        <v>17796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7" t="n">
        <v>1</v>
      </c>
      <c r="I110" s="245" t="inlineStr"/>
      <c r="J110" s="245" t="inlineStr"/>
      <c r="K110" s="245" t="inlineStr">
        <is>
          <t>6IN OPP HD TW</t>
        </is>
      </c>
      <c r="L110" s="245" t="inlineStr">
        <is>
          <t>ZU-MFMA1OZI-06T</t>
        </is>
      </c>
      <c r="M110" s="248" t="inlineStr">
        <is>
          <t>2LU7599O</t>
        </is>
      </c>
      <c r="N110" s="245" t="inlineStr">
        <is>
          <t>F.MFM.06T.008.AD</t>
        </is>
      </c>
      <c r="O110" s="245" t="n"/>
      <c r="P110" s="245" t="n"/>
      <c r="Q110" s="250">
        <f>R110/H110</f>
        <v/>
      </c>
      <c r="R110" s="251" t="n">
        <v>26.95</v>
      </c>
      <c r="S110" s="249" t="n">
        <v>17796</v>
      </c>
      <c r="T110" s="252">
        <f>S110*R110</f>
        <v/>
      </c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2</v>
      </c>
      <c r="I111" s="245" t="inlineStr"/>
      <c r="J111" s="245" t="inlineStr"/>
      <c r="K111" s="245" t="inlineStr">
        <is>
          <t>12IN GREEN TEA MF MATTRESS FL</t>
        </is>
      </c>
      <c r="L111" s="245" t="inlineStr">
        <is>
          <t>ZU-MFMA1ZZI-12F</t>
        </is>
      </c>
      <c r="M111" s="248" t="inlineStr">
        <is>
          <t>2LU7599O</t>
        </is>
      </c>
      <c r="N111" s="245" t="inlineStr">
        <is>
          <t>F.MFM.12F.006.AD</t>
        </is>
      </c>
      <c r="O111" s="245" t="n"/>
      <c r="P111" s="245" t="n"/>
      <c r="Q111" s="250">
        <f>R111/H111</f>
        <v/>
      </c>
      <c r="R111" s="251" t="n">
        <v>141.92</v>
      </c>
      <c r="S111" s="249" t="n">
        <v>17796</v>
      </c>
      <c r="T111" s="252">
        <f>S111*R111</f>
        <v/>
      </c>
      <c r="U111" s="245" t="n"/>
      <c r="V111" s="245" t="n"/>
      <c r="W111" s="245" t="n"/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497</v>
      </c>
      <c r="I112" s="245" t="inlineStr"/>
      <c r="J112" s="245" t="inlineStr"/>
      <c r="K112" s="245" t="inlineStr">
        <is>
          <t>12IN GREEN TEA MF MATTRESS QN</t>
        </is>
      </c>
      <c r="L112" s="245" t="inlineStr">
        <is>
          <t>ZU-MFMA1ZZI-12Q</t>
        </is>
      </c>
      <c r="M112" s="248" t="inlineStr">
        <is>
          <t>2LU7599O</t>
        </is>
      </c>
      <c r="N112" s="245" t="inlineStr">
        <is>
          <t>F.MFM.12Q.006.AD</t>
        </is>
      </c>
      <c r="O112" s="245" t="n"/>
      <c r="P112" s="245" t="n"/>
      <c r="Q112" s="250">
        <f>R112/H112</f>
        <v/>
      </c>
      <c r="R112" s="251" t="n">
        <v>41643.63</v>
      </c>
      <c r="S112" s="249" t="n">
        <v>17796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1</v>
      </c>
      <c r="I113" s="245" t="inlineStr"/>
      <c r="J113" s="245" t="inlineStr"/>
      <c r="K113" s="245" t="inlineStr">
        <is>
          <t>12IN AIRFLOW GEL FOAM MATT TW</t>
        </is>
      </c>
      <c r="L113" s="245" t="inlineStr">
        <is>
          <t>ZU-MFMA1RZI-12T</t>
        </is>
      </c>
      <c r="M113" s="248" t="inlineStr">
        <is>
          <t>2S1185QN</t>
        </is>
      </c>
      <c r="N113" s="245" t="inlineStr">
        <is>
          <t>F.MFM.12T.011.AD</t>
        </is>
      </c>
      <c r="O113" s="245" t="n"/>
      <c r="P113" s="245" t="n"/>
      <c r="Q113" s="250">
        <f>R113/H113</f>
        <v/>
      </c>
      <c r="R113" s="251" t="n">
        <v>41.92</v>
      </c>
      <c r="S113" s="249" t="n">
        <v>17796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400</v>
      </c>
      <c r="I114" s="245" t="inlineStr"/>
      <c r="J114" s="245" t="inlineStr"/>
      <c r="K114" s="245" t="inlineStr">
        <is>
          <t>10IN GREEN TEA MF MATTRESS FL</t>
        </is>
      </c>
      <c r="L114" s="245" t="inlineStr">
        <is>
          <t>ZU- DARI MESIN POS</t>
        </is>
      </c>
      <c r="M114" s="248" t="inlineStr">
        <is>
          <t>S</t>
        </is>
      </c>
      <c r="N114" s="245" t="inlineStr">
        <is>
          <t>F.MFM.10F.007.AD</t>
        </is>
      </c>
      <c r="O114" s="245" t="n"/>
      <c r="P114" s="245" t="n"/>
      <c r="Q114" s="250">
        <f>R114/H114</f>
        <v/>
      </c>
      <c r="R114" s="251" t="n">
        <v>24824</v>
      </c>
      <c r="S114" s="249" t="n">
        <v>17796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201</v>
      </c>
      <c r="I115" s="245" t="inlineStr"/>
      <c r="J115" s="245" t="inlineStr"/>
      <c r="K115" s="245" t="inlineStr">
        <is>
          <t>10IN GREEN TEA MF MATTRESS QN</t>
        </is>
      </c>
      <c r="L115" s="245" t="inlineStr">
        <is>
          <t>ZU-MFMA1ZZI-10Q</t>
        </is>
      </c>
      <c r="M115" s="248" t="inlineStr">
        <is>
          <t>2S1185QN</t>
        </is>
      </c>
      <c r="N115" s="245" t="inlineStr">
        <is>
          <t>F.MFM.10Q.007.AD</t>
        </is>
      </c>
      <c r="O115" s="245" t="n"/>
      <c r="P115" s="245" t="n"/>
      <c r="Q115" s="250">
        <f>R115/H115</f>
        <v/>
      </c>
      <c r="R115" s="251" t="n">
        <v>13241.88</v>
      </c>
      <c r="S115" s="249" t="n">
        <v>17796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240</v>
      </c>
      <c r="I116" s="245" t="inlineStr"/>
      <c r="J116" s="245" t="inlineStr"/>
      <c r="K116" s="245" t="inlineStr">
        <is>
          <t>10IN GREEN TEA MF MATTRESS SQ</t>
        </is>
      </c>
      <c r="L116" s="245" t="inlineStr">
        <is>
          <t>ZU-MFMA1FZI-10S</t>
        </is>
      </c>
      <c r="M116" s="248" t="inlineStr">
        <is>
          <t>7FXBVFNP</t>
        </is>
      </c>
      <c r="N116" s="245" t="inlineStr">
        <is>
          <t>F.MFM.10S.009.AD</t>
        </is>
      </c>
      <c r="O116" s="245" t="n"/>
      <c r="P116" s="245" t="n"/>
      <c r="Q116" s="250">
        <f>R116/H116</f>
        <v/>
      </c>
      <c r="R116" s="251" t="n">
        <v>17524.8</v>
      </c>
      <c r="S116" s="249" t="n">
        <v>17796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45</v>
      </c>
      <c r="I117" s="245" t="inlineStr"/>
      <c r="J117" s="245" t="inlineStr"/>
      <c r="K117" s="245" t="inlineStr">
        <is>
          <t>8IN OPP HD QN</t>
        </is>
      </c>
      <c r="L117" s="245" t="inlineStr">
        <is>
          <t>ZU-MFMA1OZI-08Q</t>
        </is>
      </c>
      <c r="M117" s="248" t="inlineStr">
        <is>
          <t>7FXBVFNP</t>
        </is>
      </c>
      <c r="N117" s="245" t="inlineStr">
        <is>
          <t>F.MFM.08Q.013.AD</t>
        </is>
      </c>
      <c r="O117" s="245" t="n"/>
      <c r="P117" s="245" t="n"/>
      <c r="Q117" s="250">
        <f>R117/H117</f>
        <v/>
      </c>
      <c r="R117" s="251" t="n">
        <v>2526.3</v>
      </c>
      <c r="S117" s="249" t="n">
        <v>17796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110</v>
      </c>
      <c r="I118" s="245" t="inlineStr"/>
      <c r="J118" s="245" t="inlineStr"/>
      <c r="K118" s="245" t="inlineStr">
        <is>
          <t>12IN AIRFLOW GEL FOAM MATT EK</t>
        </is>
      </c>
      <c r="L118" s="245" t="inlineStr">
        <is>
          <t>ZU-MFMA1RZI-12K</t>
        </is>
      </c>
      <c r="M118" s="248" t="inlineStr">
        <is>
          <t>7FXBVFNP</t>
        </is>
      </c>
      <c r="N118" s="245" t="inlineStr">
        <is>
          <t>F.MFM.12K.011.AD</t>
        </is>
      </c>
      <c r="O118" s="245" t="n"/>
      <c r="P118" s="245" t="n"/>
      <c r="Q118" s="250">
        <f>R118/H118</f>
        <v/>
      </c>
      <c r="R118" s="251" t="n">
        <v>8234.6</v>
      </c>
      <c r="S118" s="249" t="n">
        <v>17796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7" t="n">
        <v>140</v>
      </c>
      <c r="I119" s="245" t="inlineStr"/>
      <c r="J119" s="245" t="inlineStr"/>
      <c r="K119" s="245" t="inlineStr">
        <is>
          <t>10IN GREEN TEA MF MATTRESS FL</t>
        </is>
      </c>
      <c r="L119" s="245" t="inlineStr">
        <is>
          <t>ZU-MFMA1ZZI-10F</t>
        </is>
      </c>
      <c r="M119" s="248" t="inlineStr">
        <is>
          <t>7FXBVFNP</t>
        </is>
      </c>
      <c r="N119" s="245" t="inlineStr">
        <is>
          <t>F.MFM.10F.007.AD</t>
        </is>
      </c>
      <c r="O119" s="245" t="n"/>
      <c r="P119" s="245" t="n"/>
      <c r="Q119" s="250">
        <f>R119/H119</f>
        <v/>
      </c>
      <c r="R119" s="251" t="n">
        <v>8688.4</v>
      </c>
      <c r="S119" s="249" t="n">
        <v>17796</v>
      </c>
      <c r="T119" s="252">
        <f>S119*R119</f>
        <v/>
      </c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14</v>
      </c>
      <c r="I120" s="245" t="inlineStr"/>
      <c r="J120" s="245" t="inlineStr"/>
      <c r="K120" s="245" t="inlineStr">
        <is>
          <t>12IN AIRFLOW GEL FOAM MATT TW</t>
        </is>
      </c>
      <c r="L120" s="245" t="inlineStr">
        <is>
          <t>ZU-MFMA1RZI-12T</t>
        </is>
      </c>
      <c r="M120" s="248" t="inlineStr">
        <is>
          <t>7IK387PK</t>
        </is>
      </c>
      <c r="N120" s="245" t="inlineStr">
        <is>
          <t>F.MFM.12T.011.AD</t>
        </is>
      </c>
      <c r="O120" s="245" t="n"/>
      <c r="P120" s="245" t="n"/>
      <c r="Q120" s="250">
        <f>R120/H120</f>
        <v/>
      </c>
      <c r="R120" s="251" t="n">
        <v>586.88</v>
      </c>
      <c r="S120" s="249" t="n">
        <v>17796</v>
      </c>
      <c r="T120" s="252">
        <f>S120*R120</f>
        <v/>
      </c>
      <c r="U120" s="245" t="n"/>
      <c r="V120" s="245" t="n"/>
      <c r="W120" s="245" t="n"/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7" t="n">
        <v>485</v>
      </c>
      <c r="I121" s="245" t="inlineStr"/>
      <c r="J121" s="245" t="inlineStr"/>
      <c r="K121" s="245" t="inlineStr">
        <is>
          <t>12IN GREEN TEA MF MATTRESS QN</t>
        </is>
      </c>
      <c r="L121" s="245" t="inlineStr">
        <is>
          <t>ZU-MFMA1ZZI-12Q</t>
        </is>
      </c>
      <c r="M121" s="248" t="inlineStr">
        <is>
          <t>7IK387PK</t>
        </is>
      </c>
      <c r="N121" s="245" t="inlineStr">
        <is>
          <t>F.MFM.12Q.006.AD</t>
        </is>
      </c>
      <c r="O121" s="245" t="n"/>
      <c r="P121" s="245" t="n"/>
      <c r="Q121" s="250">
        <f>R121/H121</f>
        <v/>
      </c>
      <c r="R121" s="251" t="n">
        <v>40638.15</v>
      </c>
      <c r="S121" s="249" t="n">
        <v>17796</v>
      </c>
      <c r="T121" s="252">
        <f>S121*R121</f>
        <v/>
      </c>
      <c r="U121" s="245" t="n"/>
      <c r="V121" s="245" t="n"/>
      <c r="W121" s="245" t="n"/>
      <c r="X121" s="245" t="n"/>
      <c r="Y121" s="245" t="n"/>
      <c r="Z121" s="245" t="n"/>
    </row>
    <row r="122" ht="17.1" customHeight="1" s="202">
      <c r="A122" s="254" t="n"/>
      <c r="B122" s="254" t="n"/>
      <c r="C122" s="254" t="n"/>
      <c r="D122" s="254" t="n"/>
      <c r="E122" s="254" t="n"/>
      <c r="F122" s="254" t="n"/>
      <c r="G122" s="254" t="n"/>
      <c r="H122" s="255">
        <f>SUM(H101:H121)</f>
        <v/>
      </c>
      <c r="I122" s="254">
        <f>COUNTA(I101:I121)</f>
        <v/>
      </c>
      <c r="J122" s="254" t="n"/>
      <c r="K122" s="254" t="n"/>
      <c r="L122" s="254" t="n"/>
      <c r="M122" s="254" t="n"/>
      <c r="N122" s="254" t="n"/>
      <c r="O122" s="256">
        <f>SUM(O101:O121)</f>
        <v/>
      </c>
      <c r="P122" s="256">
        <f>SUM(P101:P121)</f>
        <v/>
      </c>
      <c r="Q122" s="254" t="n"/>
      <c r="R122" s="257">
        <f>SUM(R101:R121)</f>
        <v/>
      </c>
      <c r="S122" s="254" t="n"/>
      <c r="T122" s="258">
        <f>SUM(T101:T121)</f>
        <v/>
      </c>
      <c r="U122" s="254" t="n"/>
      <c r="V122" s="254" t="n"/>
      <c r="W122" s="254" t="n"/>
      <c r="X122" s="254" t="n"/>
      <c r="Y122" s="254" t="n"/>
      <c r="Z122" s="254" t="n"/>
    </row>
    <row r="123" ht="16.5" customHeight="1" s="202">
      <c r="A123" s="245" t="n">
        <v>6</v>
      </c>
      <c r="B123" s="245" t="inlineStr">
        <is>
          <t>000030ZIK48020260826000691</t>
        </is>
      </c>
      <c r="C123" s="245" t="n">
        <v>537628</v>
      </c>
      <c r="D123" s="245" t="n">
        <v>537568</v>
      </c>
      <c r="E123" s="246" t="n">
        <v>46260</v>
      </c>
      <c r="F123" s="245" t="inlineStr">
        <is>
          <t>ID2608-9293</t>
        </is>
      </c>
      <c r="G123" s="246" t="n">
        <v>46260</v>
      </c>
      <c r="H123" s="247" t="n">
        <v>75</v>
      </c>
      <c r="I123" s="245" t="inlineStr">
        <is>
          <t>TRHU5657300</t>
        </is>
      </c>
      <c r="J123" s="245" t="inlineStr">
        <is>
          <t>40FT</t>
        </is>
      </c>
      <c r="K123" s="245" t="inlineStr">
        <is>
          <t>8IN PRESSURE RELIEF FOAM MATTRESS QUEEN</t>
        </is>
      </c>
      <c r="L123" s="245" t="inlineStr">
        <is>
          <t>ZU-MFMAPRZU-08Q</t>
        </is>
      </c>
      <c r="M123" s="248" t="inlineStr">
        <is>
          <t>CIN60207</t>
        </is>
      </c>
      <c r="N123" s="245" t="inlineStr">
        <is>
          <t>F.MFM.08Q.000.ZU</t>
        </is>
      </c>
      <c r="O123" s="249" t="n">
        <v>8749.5</v>
      </c>
      <c r="P123" s="249" t="n">
        <v>7534.92</v>
      </c>
      <c r="Q123" s="250">
        <f>R123/H123</f>
        <v/>
      </c>
      <c r="R123" s="251" t="n">
        <v>5410.5</v>
      </c>
      <c r="S123" s="249" t="n">
        <v>17796</v>
      </c>
      <c r="T123" s="252">
        <f>S123*R123</f>
        <v/>
      </c>
      <c r="U123" s="245" t="inlineStr">
        <is>
          <t>040300/KPPBC</t>
        </is>
      </c>
      <c r="V123" s="245" t="inlineStr">
        <is>
          <t>TG. PRIOK</t>
        </is>
      </c>
      <c r="W123" s="245" t="inlineStr">
        <is>
          <t>CHARLESTON, US</t>
        </is>
      </c>
      <c r="X123" s="245" t="inlineStr">
        <is>
          <t>ZINUS INC.</t>
        </is>
      </c>
      <c r="Y123" s="245" t="inlineStr">
        <is>
          <t>EGLV080600454592</t>
        </is>
      </c>
      <c r="Z123" s="246" t="n">
        <v>46260</v>
      </c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75</v>
      </c>
      <c r="I124" s="245" t="inlineStr"/>
      <c r="J124" s="245" t="inlineStr"/>
      <c r="K124" s="245" t="inlineStr">
        <is>
          <t>8IN PRESSURE RELIEF FOAM MATTRESS TWIN</t>
        </is>
      </c>
      <c r="L124" s="245" t="inlineStr">
        <is>
          <t>ZU-MFMAPRZU-08T</t>
        </is>
      </c>
      <c r="M124" s="248" t="inlineStr">
        <is>
          <t>CIN60207</t>
        </is>
      </c>
      <c r="N124" s="245" t="inlineStr">
        <is>
          <t>F.MFM.08T.000.ZU</t>
        </is>
      </c>
      <c r="O124" s="245" t="n"/>
      <c r="P124" s="245" t="n"/>
      <c r="Q124" s="250">
        <f>R124/H124</f>
        <v/>
      </c>
      <c r="R124" s="251" t="n">
        <v>3455.25</v>
      </c>
      <c r="S124" s="249" t="n">
        <v>17796</v>
      </c>
      <c r="T124" s="252">
        <f>S124*R124</f>
        <v/>
      </c>
      <c r="U124" s="245" t="n"/>
      <c r="V124" s="245" t="n"/>
      <c r="W124" s="245" t="inlineStr">
        <is>
          <t>ETD : 30-08-2026</t>
        </is>
      </c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93</v>
      </c>
      <c r="I125" s="245" t="inlineStr"/>
      <c r="J125" s="245" t="inlineStr"/>
      <c r="K125" s="245" t="inlineStr">
        <is>
          <t>ZINUS 12IN COOLING GREEN TEA MEMORY FOAM MATTRESS QUEEN</t>
        </is>
      </c>
      <c r="L125" s="245" t="inlineStr">
        <is>
          <t>ZU-MFGN5OZI-12Q</t>
        </is>
      </c>
      <c r="M125" s="248" t="inlineStr">
        <is>
          <t>CIN60207</t>
        </is>
      </c>
      <c r="N125" s="245" t="inlineStr">
        <is>
          <t>F.MFG.12Q.012.ZU</t>
        </is>
      </c>
      <c r="O125" s="245" t="n"/>
      <c r="P125" s="245" t="n"/>
      <c r="Q125" s="250">
        <f>R125/H125</f>
        <v/>
      </c>
      <c r="R125" s="251" t="n">
        <v>9840.33</v>
      </c>
      <c r="S125" s="249" t="n">
        <v>17796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153</v>
      </c>
      <c r="I126" s="245" t="inlineStr"/>
      <c r="J126" s="245" t="inlineStr"/>
      <c r="K126" s="245" t="inlineStr">
        <is>
          <t>3IN SLEEPY'S GEL MEMORY FOAM TOPPER KING</t>
        </is>
      </c>
      <c r="L126" s="245" t="inlineStr">
        <is>
          <t>MF-TGTNM1ZI-03K</t>
        </is>
      </c>
      <c r="M126" s="248" t="inlineStr">
        <is>
          <t>CIN60207</t>
        </is>
      </c>
      <c r="N126" s="245" t="inlineStr">
        <is>
          <t>F.TGT.03K.001.ZU</t>
        </is>
      </c>
      <c r="O126" s="245" t="n"/>
      <c r="P126" s="245" t="n"/>
      <c r="Q126" s="250">
        <f>R126/H126</f>
        <v/>
      </c>
      <c r="R126" s="251" t="n">
        <v>7117.56</v>
      </c>
      <c r="S126" s="249" t="n">
        <v>17796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7.1" customHeight="1" s="202">
      <c r="A127" s="254" t="n"/>
      <c r="B127" s="254" t="n"/>
      <c r="C127" s="254" t="n"/>
      <c r="D127" s="254" t="n"/>
      <c r="E127" s="254" t="n"/>
      <c r="F127" s="254" t="n"/>
      <c r="G127" s="254" t="n"/>
      <c r="H127" s="255">
        <f>SUM(H123:H126)</f>
        <v/>
      </c>
      <c r="I127" s="254">
        <f>COUNTA(I123:I126)</f>
        <v/>
      </c>
      <c r="J127" s="254" t="n"/>
      <c r="K127" s="254" t="n"/>
      <c r="L127" s="254" t="n"/>
      <c r="M127" s="254" t="n"/>
      <c r="N127" s="254" t="n"/>
      <c r="O127" s="256">
        <f>SUM(O123:O126)</f>
        <v/>
      </c>
      <c r="P127" s="256">
        <f>SUM(P123:P126)</f>
        <v/>
      </c>
      <c r="Q127" s="254" t="n"/>
      <c r="R127" s="257">
        <f>SUM(R123:R126)</f>
        <v/>
      </c>
      <c r="S127" s="254" t="n"/>
      <c r="T127" s="258">
        <f>SUM(T123:T126)</f>
        <v/>
      </c>
      <c r="U127" s="254" t="n"/>
      <c r="V127" s="254" t="n"/>
      <c r="W127" s="254" t="n"/>
      <c r="X127" s="254" t="n"/>
      <c r="Y127" s="254" t="n"/>
      <c r="Z127" s="254" t="n"/>
    </row>
    <row r="128" ht="16.5" customHeight="1" s="202">
      <c r="A128" s="245" t="n">
        <v>7</v>
      </c>
      <c r="B128" s="245" t="inlineStr">
        <is>
          <t>000030ZIK48020260827000692</t>
        </is>
      </c>
      <c r="C128" s="245" t="n">
        <v>543068</v>
      </c>
      <c r="D128" s="245" t="n">
        <v>542999</v>
      </c>
      <c r="E128" s="246" t="n">
        <v>46262</v>
      </c>
      <c r="F128" s="245" t="inlineStr">
        <is>
          <t>ID2608-8247</t>
        </is>
      </c>
      <c r="G128" s="246" t="n">
        <v>46260</v>
      </c>
      <c r="H128" s="247" t="n">
        <v>900</v>
      </c>
      <c r="I128" s="245" t="inlineStr">
        <is>
          <t>CMAU4811700</t>
        </is>
      </c>
      <c r="J128" s="245" t="inlineStr">
        <is>
          <t>40FT</t>
        </is>
      </c>
      <c r="K128" s="245" t="inlineStr">
        <is>
          <t>8IN GREEN TEA MF MATTRESS QN</t>
        </is>
      </c>
      <c r="L128" s="245" t="inlineStr">
        <is>
          <t>SCF-STR-800Q</t>
        </is>
      </c>
      <c r="M128" s="248" t="inlineStr">
        <is>
          <t>0993630472</t>
        </is>
      </c>
      <c r="N128" s="245" t="inlineStr">
        <is>
          <t>F.MFM.08Q.000.WS</t>
        </is>
      </c>
      <c r="O128" s="249" t="n">
        <v>21510</v>
      </c>
      <c r="P128" s="249" t="n">
        <v>19188</v>
      </c>
      <c r="Q128" s="250">
        <f>R128/H128</f>
        <v/>
      </c>
      <c r="R128" s="251" t="n">
        <v>84573</v>
      </c>
      <c r="S128" s="249" t="n">
        <v>17796</v>
      </c>
      <c r="T128" s="252">
        <f>S128*R128</f>
        <v/>
      </c>
      <c r="U128" s="245" t="inlineStr">
        <is>
          <t>040300/KPPBC</t>
        </is>
      </c>
      <c r="V128" s="245" t="inlineStr">
        <is>
          <t>TG. PRIOK</t>
        </is>
      </c>
      <c r="W128" s="245" t="inlineStr">
        <is>
          <t>CHARLESTON, US</t>
        </is>
      </c>
      <c r="X128" s="245" t="inlineStr">
        <is>
          <t>WALMART, INC.</t>
        </is>
      </c>
      <c r="Y128" s="245" t="inlineStr">
        <is>
          <t>CMDUDJA1530949B</t>
        </is>
      </c>
      <c r="Z128" s="246" t="n">
        <v>46262</v>
      </c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5" t="n"/>
      <c r="I129" s="245" t="inlineStr">
        <is>
          <t>TXGU7307450</t>
        </is>
      </c>
      <c r="J129" s="245" t="inlineStr">
        <is>
          <t>40FT</t>
        </is>
      </c>
      <c r="K129" s="245" t="n"/>
      <c r="L129" s="245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inlineStr">
        <is>
          <t>ETD : 02-09-2026</t>
        </is>
      </c>
      <c r="X129" s="245" t="n"/>
      <c r="Y129" s="245" t="n"/>
      <c r="Z129" s="245" t="n"/>
    </row>
    <row r="130" ht="17.1" customHeight="1" s="202">
      <c r="A130" s="254" t="n"/>
      <c r="B130" s="254" t="n"/>
      <c r="C130" s="254" t="n"/>
      <c r="D130" s="254" t="n"/>
      <c r="E130" s="254" t="n"/>
      <c r="F130" s="254" t="n"/>
      <c r="G130" s="254" t="n"/>
      <c r="H130" s="255">
        <f>SUM(H128:H129)</f>
        <v/>
      </c>
      <c r="I130" s="254">
        <f>COUNTA(I128:I129)</f>
        <v/>
      </c>
      <c r="J130" s="254" t="n"/>
      <c r="K130" s="254" t="n"/>
      <c r="L130" s="254" t="n"/>
      <c r="M130" s="254" t="n"/>
      <c r="N130" s="254" t="n"/>
      <c r="O130" s="256">
        <f>SUM(O128:O129)</f>
        <v/>
      </c>
      <c r="P130" s="256">
        <f>SUM(P128:P129)</f>
        <v/>
      </c>
      <c r="Q130" s="254" t="n"/>
      <c r="R130" s="257">
        <f>SUM(R128:R129)</f>
        <v/>
      </c>
      <c r="S130" s="254" t="n"/>
      <c r="T130" s="258">
        <f>SUM(T128:T129)</f>
        <v/>
      </c>
      <c r="U130" s="254" t="n"/>
      <c r="V130" s="254" t="n"/>
      <c r="W130" s="254" t="n"/>
      <c r="X130" s="254" t="n"/>
      <c r="Y130" s="254" t="n"/>
      <c r="Z130" s="254" t="n"/>
    </row>
    <row r="131" ht="16.5" customHeight="1" s="202">
      <c r="A131" s="245" t="n">
        <v>8</v>
      </c>
      <c r="B131" s="245" t="inlineStr">
        <is>
          <t>000030ZIK48020260827000693</t>
        </is>
      </c>
      <c r="C131" s="245" t="n">
        <v>542928</v>
      </c>
      <c r="D131" s="245" t="n">
        <v>542860</v>
      </c>
      <c r="E131" s="246" t="n">
        <v>46262</v>
      </c>
      <c r="F131" s="245" t="inlineStr">
        <is>
          <t>ID2608-8248</t>
        </is>
      </c>
      <c r="G131" s="246" t="n">
        <v>46260</v>
      </c>
      <c r="H131" s="247" t="n">
        <v>520</v>
      </c>
      <c r="I131" s="245" t="inlineStr">
        <is>
          <t>CMAU8953847</t>
        </is>
      </c>
      <c r="J131" s="245" t="inlineStr">
        <is>
          <t>40FT</t>
        </is>
      </c>
      <c r="K131" s="245" t="inlineStr">
        <is>
          <t>8IN GREEN TEA MF MATTRESS FL</t>
        </is>
      </c>
      <c r="L131" s="245" t="inlineStr">
        <is>
          <t>SCF-STR-800F</t>
        </is>
      </c>
      <c r="M131" s="248" t="inlineStr">
        <is>
          <t>0993630791</t>
        </is>
      </c>
      <c r="N131" s="245" t="inlineStr">
        <is>
          <t>F.MFM.08F.000.WS</t>
        </is>
      </c>
      <c r="O131" s="249" t="n">
        <v>10618.4</v>
      </c>
      <c r="P131" s="249" t="n">
        <v>9370.4</v>
      </c>
      <c r="Q131" s="250">
        <f>R131/H131</f>
        <v/>
      </c>
      <c r="R131" s="251" t="n">
        <v>41480.4</v>
      </c>
      <c r="S131" s="249" t="n">
        <v>17796</v>
      </c>
      <c r="T131" s="252">
        <f>S131*R131</f>
        <v/>
      </c>
      <c r="U131" s="245" t="inlineStr">
        <is>
          <t>040300/KPPBC</t>
        </is>
      </c>
      <c r="V131" s="245" t="inlineStr">
        <is>
          <t>TG. PRIOK</t>
        </is>
      </c>
      <c r="W131" s="245" t="inlineStr">
        <is>
          <t>CHARLESTON, US</t>
        </is>
      </c>
      <c r="X131" s="245" t="inlineStr">
        <is>
          <t>WALMART, INC.</t>
        </is>
      </c>
      <c r="Y131" s="245" t="inlineStr">
        <is>
          <t>CMDUDJA1530949C</t>
        </is>
      </c>
      <c r="Z131" s="246" t="n">
        <v>46262</v>
      </c>
    </row>
    <row r="132" ht="16.5" customHeight="1" s="202">
      <c r="A132" s="245" t="n"/>
      <c r="B132" s="245" t="n"/>
      <c r="C132" s="245" t="n"/>
      <c r="D132" s="245" t="n"/>
      <c r="E132" s="245" t="n"/>
      <c r="F132" s="245" t="n"/>
      <c r="G132" s="245" t="n"/>
      <c r="H132" s="245" t="n"/>
      <c r="I132" s="245" t="n"/>
      <c r="J132" s="245" t="n"/>
      <c r="K132" s="245" t="n"/>
      <c r="L132" s="245" t="n"/>
      <c r="M132" s="245" t="n"/>
      <c r="N132" s="245" t="n"/>
      <c r="O132" s="245" t="n"/>
      <c r="P132" s="245" t="n"/>
      <c r="Q132" s="245" t="n"/>
      <c r="R132" s="245" t="n"/>
      <c r="S132" s="245" t="n"/>
      <c r="T132" s="245" t="n"/>
      <c r="U132" s="245" t="n"/>
      <c r="V132" s="245" t="n"/>
      <c r="W132" s="245" t="inlineStr">
        <is>
          <t>ETD : 02-09-2026</t>
        </is>
      </c>
      <c r="X132" s="245" t="n"/>
      <c r="Y132" s="245" t="n"/>
      <c r="Z132" s="245" t="n"/>
    </row>
    <row r="133" ht="17.1" customHeight="1" s="202">
      <c r="A133" s="254" t="n"/>
      <c r="B133" s="254" t="n"/>
      <c r="C133" s="254" t="n"/>
      <c r="D133" s="254" t="n"/>
      <c r="E133" s="254" t="n"/>
      <c r="F133" s="254" t="n"/>
      <c r="G133" s="254" t="n"/>
      <c r="H133" s="255">
        <f>SUM(H131:H132)</f>
        <v/>
      </c>
      <c r="I133" s="254">
        <f>COUNTA(I131:I132)</f>
        <v/>
      </c>
      <c r="J133" s="254" t="n"/>
      <c r="K133" s="254" t="n"/>
      <c r="L133" s="254" t="n"/>
      <c r="M133" s="254" t="n"/>
      <c r="N133" s="254" t="n"/>
      <c r="O133" s="256">
        <f>SUM(O131:O132)</f>
        <v/>
      </c>
      <c r="P133" s="256">
        <f>SUM(P131:P132)</f>
        <v/>
      </c>
      <c r="Q133" s="254" t="n"/>
      <c r="R133" s="257">
        <f>SUM(R131:R132)</f>
        <v/>
      </c>
      <c r="S133" s="254" t="n"/>
      <c r="T133" s="258">
        <f>SUM(T131:T132)</f>
        <v/>
      </c>
      <c r="U133" s="254" t="n"/>
      <c r="V133" s="254" t="n"/>
      <c r="W133" s="254" t="n"/>
      <c r="X133" s="254" t="n"/>
      <c r="Y133" s="254" t="n"/>
      <c r="Z133" s="254" t="n"/>
    </row>
    <row r="134" ht="16.5" customHeight="1" s="202">
      <c r="A134" s="245" t="n">
        <v>9</v>
      </c>
      <c r="B134" s="245" t="inlineStr">
        <is>
          <t>000030ZIK48020260827000694</t>
        </is>
      </c>
      <c r="C134" s="245" t="n">
        <v>542974</v>
      </c>
      <c r="D134" s="245" t="n">
        <v>542906</v>
      </c>
      <c r="E134" s="246" t="n">
        <v>46262</v>
      </c>
      <c r="F134" s="245" t="inlineStr">
        <is>
          <t>ID2608-8249</t>
        </is>
      </c>
      <c r="G134" s="246" t="n">
        <v>46260</v>
      </c>
      <c r="H134" s="247" t="n">
        <v>693</v>
      </c>
      <c r="I134" s="245" t="inlineStr">
        <is>
          <t>TGBU6541522</t>
        </is>
      </c>
      <c r="J134" s="245" t="inlineStr">
        <is>
          <t>40FT</t>
        </is>
      </c>
      <c r="K134" s="245" t="inlineStr">
        <is>
          <t>8IN GREEN TEA MF MATTRESS TW</t>
        </is>
      </c>
      <c r="L134" s="245" t="inlineStr">
        <is>
          <t>SCF-STR-800T</t>
        </is>
      </c>
      <c r="M134" s="248" t="inlineStr">
        <is>
          <t>0993631059</t>
        </is>
      </c>
      <c r="N134" s="245" t="inlineStr">
        <is>
          <t>F.MFM.08T.000.WS</t>
        </is>
      </c>
      <c r="O134" s="249" t="n">
        <v>10526.67</v>
      </c>
      <c r="P134" s="249" t="n">
        <v>9140.67</v>
      </c>
      <c r="Q134" s="250">
        <f>R134/H134</f>
        <v/>
      </c>
      <c r="R134" s="251" t="n">
        <v>42619.5</v>
      </c>
      <c r="S134" s="249" t="n">
        <v>17796</v>
      </c>
      <c r="T134" s="252">
        <f>S134*R134</f>
        <v/>
      </c>
      <c r="U134" s="245" t="inlineStr">
        <is>
          <t>040300/KPPBC</t>
        </is>
      </c>
      <c r="V134" s="245" t="inlineStr">
        <is>
          <t>TG. PRIOK</t>
        </is>
      </c>
      <c r="W134" s="245" t="inlineStr">
        <is>
          <t>CHARLESTON, US</t>
        </is>
      </c>
      <c r="X134" s="245" t="inlineStr">
        <is>
          <t>WALMART, INC.</t>
        </is>
      </c>
      <c r="Y134" s="245" t="inlineStr">
        <is>
          <t>CMDUDJA1530949D</t>
        </is>
      </c>
      <c r="Z134" s="246" t="n">
        <v>46262</v>
      </c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5" t="n"/>
      <c r="I135" s="245" t="n"/>
      <c r="J135" s="245" t="n"/>
      <c r="K135" s="245" t="n"/>
      <c r="L135" s="245" t="n"/>
      <c r="M135" s="245" t="n"/>
      <c r="N135" s="245" t="n"/>
      <c r="O135" s="245" t="n"/>
      <c r="P135" s="245" t="n"/>
      <c r="Q135" s="245" t="n"/>
      <c r="R135" s="245" t="n"/>
      <c r="S135" s="245" t="n"/>
      <c r="T135" s="245" t="n"/>
      <c r="U135" s="245" t="n"/>
      <c r="V135" s="245" t="n"/>
      <c r="W135" s="245" t="inlineStr">
        <is>
          <t>ETD : 02-09-2026</t>
        </is>
      </c>
      <c r="X135" s="245" t="n"/>
      <c r="Y135" s="245" t="n"/>
      <c r="Z135" s="245" t="n"/>
    </row>
    <row r="136" ht="17.1" customHeight="1" s="202">
      <c r="A136" s="254" t="n"/>
      <c r="B136" s="254" t="n"/>
      <c r="C136" s="254" t="n"/>
      <c r="D136" s="254" t="n"/>
      <c r="E136" s="254" t="n"/>
      <c r="F136" s="254" t="n"/>
      <c r="G136" s="254" t="n"/>
      <c r="H136" s="255">
        <f>SUM(H134:H135)</f>
        <v/>
      </c>
      <c r="I136" s="254">
        <f>COUNTA(I134:I135)</f>
        <v/>
      </c>
      <c r="J136" s="254" t="n"/>
      <c r="K136" s="254" t="n"/>
      <c r="L136" s="254" t="n"/>
      <c r="M136" s="254" t="n"/>
      <c r="N136" s="254" t="n"/>
      <c r="O136" s="256">
        <f>SUM(O134:O135)</f>
        <v/>
      </c>
      <c r="P136" s="256">
        <f>SUM(P134:P135)</f>
        <v/>
      </c>
      <c r="Q136" s="254" t="n"/>
      <c r="R136" s="257">
        <f>SUM(R134:R135)</f>
        <v/>
      </c>
      <c r="S136" s="254" t="n"/>
      <c r="T136" s="258">
        <f>SUM(T134:T135)</f>
        <v/>
      </c>
      <c r="U136" s="254" t="n"/>
      <c r="V136" s="254" t="n"/>
      <c r="W136" s="254" t="n"/>
      <c r="X136" s="254" t="n"/>
      <c r="Y136" s="254" t="n"/>
      <c r="Z136" s="254" t="n"/>
    </row>
    <row r="137" ht="16.5" customHeight="1" s="202">
      <c r="A137" s="245" t="n">
        <v>10</v>
      </c>
      <c r="B137" s="245" t="inlineStr">
        <is>
          <t>000030ZIK48020260827000695</t>
        </is>
      </c>
      <c r="C137" s="245" t="n">
        <v>542618</v>
      </c>
      <c r="D137" s="245" t="n">
        <v>542551</v>
      </c>
      <c r="E137" s="246" t="n">
        <v>46262</v>
      </c>
      <c r="F137" s="245" t="inlineStr">
        <is>
          <t>ID2608-8250</t>
        </is>
      </c>
      <c r="G137" s="246" t="n">
        <v>46260</v>
      </c>
      <c r="H137" s="247" t="n">
        <v>520</v>
      </c>
      <c r="I137" s="245" t="inlineStr">
        <is>
          <t>APHU7388487</t>
        </is>
      </c>
      <c r="J137" s="245" t="inlineStr">
        <is>
          <t>40FT</t>
        </is>
      </c>
      <c r="K137" s="245" t="inlineStr">
        <is>
          <t>8IN GREEN TEA MF MATTRESS FL</t>
        </is>
      </c>
      <c r="L137" s="245" t="inlineStr">
        <is>
          <t>SCF-STR-800F</t>
        </is>
      </c>
      <c r="M137" s="248" t="inlineStr">
        <is>
          <t>0993630732</t>
        </is>
      </c>
      <c r="N137" s="245" t="inlineStr">
        <is>
          <t>F.MFM.08F.000.WS</t>
        </is>
      </c>
      <c r="O137" s="249" t="n">
        <v>10618.4</v>
      </c>
      <c r="P137" s="249" t="n">
        <v>9370.4</v>
      </c>
      <c r="Q137" s="250">
        <f>R137/H137</f>
        <v/>
      </c>
      <c r="R137" s="251" t="n">
        <v>41480.4</v>
      </c>
      <c r="S137" s="249" t="n">
        <v>17796</v>
      </c>
      <c r="T137" s="252">
        <f>S137*R137</f>
        <v/>
      </c>
      <c r="U137" s="245" t="inlineStr">
        <is>
          <t>040300/KPPBC</t>
        </is>
      </c>
      <c r="V137" s="245" t="inlineStr">
        <is>
          <t>TG. PRIOK</t>
        </is>
      </c>
      <c r="W137" s="245" t="inlineStr">
        <is>
          <t>CHARLESTON, US</t>
        </is>
      </c>
      <c r="X137" s="245" t="inlineStr">
        <is>
          <t>WALMART, INC.</t>
        </is>
      </c>
      <c r="Y137" s="245" t="inlineStr">
        <is>
          <t>CMDUDJA1530949A</t>
        </is>
      </c>
      <c r="Z137" s="246" t="n">
        <v>46262</v>
      </c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5" t="n"/>
      <c r="I138" s="245" t="n"/>
      <c r="J138" s="245" t="n"/>
      <c r="K138" s="245" t="n"/>
      <c r="L138" s="245" t="n"/>
      <c r="M138" s="245" t="n"/>
      <c r="N138" s="245" t="n"/>
      <c r="O138" s="245" t="n"/>
      <c r="P138" s="245" t="n"/>
      <c r="Q138" s="245" t="n"/>
      <c r="R138" s="245" t="n"/>
      <c r="S138" s="245" t="n"/>
      <c r="T138" s="245" t="n"/>
      <c r="U138" s="245" t="n"/>
      <c r="V138" s="245" t="n"/>
      <c r="W138" s="245" t="inlineStr">
        <is>
          <t>ETD : 02-09-2026</t>
        </is>
      </c>
      <c r="X138" s="245" t="n"/>
      <c r="Y138" s="245" t="n"/>
      <c r="Z138" s="245" t="n"/>
    </row>
    <row r="139" ht="17.1" customHeight="1" s="202">
      <c r="A139" s="254" t="n"/>
      <c r="B139" s="254" t="n"/>
      <c r="C139" s="254" t="n"/>
      <c r="D139" s="254" t="n"/>
      <c r="E139" s="254" t="n"/>
      <c r="F139" s="254" t="n"/>
      <c r="G139" s="254" t="n"/>
      <c r="H139" s="255">
        <f>SUM(H137:H138)</f>
        <v/>
      </c>
      <c r="I139" s="254">
        <f>COUNTA(I137:I138)</f>
        <v/>
      </c>
      <c r="J139" s="254" t="n"/>
      <c r="K139" s="254" t="n"/>
      <c r="L139" s="254" t="n"/>
      <c r="M139" s="254" t="n"/>
      <c r="N139" s="254" t="n"/>
      <c r="O139" s="256">
        <f>SUM(O137:O138)</f>
        <v/>
      </c>
      <c r="P139" s="256">
        <f>SUM(P137:P138)</f>
        <v/>
      </c>
      <c r="Q139" s="254" t="n"/>
      <c r="R139" s="257">
        <f>SUM(R137:R138)</f>
        <v/>
      </c>
      <c r="S139" s="254" t="n"/>
      <c r="T139" s="258">
        <f>SUM(T137:T138)</f>
        <v/>
      </c>
      <c r="U139" s="254" t="n"/>
      <c r="V139" s="254" t="n"/>
      <c r="W139" s="254" t="n"/>
      <c r="X139" s="254" t="n"/>
      <c r="Y139" s="254" t="n"/>
      <c r="Z139" s="254" t="n"/>
    </row>
    <row r="140" ht="16.5" customHeight="1" s="202">
      <c r="A140" s="245" t="n">
        <v>11</v>
      </c>
      <c r="B140" s="245" t="inlineStr">
        <is>
          <t>000030ZIK48020260827000696</t>
        </is>
      </c>
      <c r="C140" s="245" t="n">
        <v>542473</v>
      </c>
      <c r="D140" s="245" t="n">
        <v>542408</v>
      </c>
      <c r="E140" s="246" t="n">
        <v>46262</v>
      </c>
      <c r="F140" s="245" t="inlineStr">
        <is>
          <t>ID2608-8268</t>
        </is>
      </c>
      <c r="G140" s="246" t="n">
        <v>46261</v>
      </c>
      <c r="H140" s="247" t="n">
        <v>1386</v>
      </c>
      <c r="I140" s="245" t="inlineStr">
        <is>
          <t>CMAU9728795</t>
        </is>
      </c>
      <c r="J140" s="245" t="inlineStr">
        <is>
          <t>40FT</t>
        </is>
      </c>
      <c r="K140" s="245" t="inlineStr">
        <is>
          <t>8IN GREEN TEA MF MATTRESS TW</t>
        </is>
      </c>
      <c r="L140" s="245" t="inlineStr">
        <is>
          <t>SCF-STR-800T</t>
        </is>
      </c>
      <c r="M140" s="248" t="inlineStr">
        <is>
          <t>0993631197</t>
        </is>
      </c>
      <c r="N140" s="245" t="inlineStr">
        <is>
          <t>F.MFM.08T.000.WS</t>
        </is>
      </c>
      <c r="O140" s="249" t="n">
        <v>21053.34</v>
      </c>
      <c r="P140" s="249" t="n">
        <v>18281.34</v>
      </c>
      <c r="Q140" s="250">
        <f>R140/H140</f>
        <v/>
      </c>
      <c r="R140" s="251" t="n">
        <v>85239</v>
      </c>
      <c r="S140" s="249" t="n">
        <v>17796</v>
      </c>
      <c r="T140" s="252">
        <f>S140*R140</f>
        <v/>
      </c>
      <c r="U140" s="245" t="inlineStr">
        <is>
          <t>040300/KPPBC</t>
        </is>
      </c>
      <c r="V140" s="245" t="inlineStr">
        <is>
          <t>TG. PRIOK</t>
        </is>
      </c>
      <c r="W140" s="245" t="inlineStr">
        <is>
          <t>HOUSTON, US</t>
        </is>
      </c>
      <c r="X140" s="245" t="inlineStr">
        <is>
          <t>WALMART, INC.</t>
        </is>
      </c>
      <c r="Y140" s="245" t="inlineStr">
        <is>
          <t>CMDUDJA1523155C</t>
        </is>
      </c>
      <c r="Z140" s="246" t="n">
        <v>46262</v>
      </c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5" t="n"/>
      <c r="I141" s="245" t="inlineStr">
        <is>
          <t>BEAU4827099</t>
        </is>
      </c>
      <c r="J141" s="245" t="inlineStr">
        <is>
          <t>40FT</t>
        </is>
      </c>
      <c r="K141" s="245" t="n"/>
      <c r="L141" s="245" t="n"/>
      <c r="M141" s="245" t="n"/>
      <c r="N141" s="245" t="n"/>
      <c r="O141" s="245" t="n"/>
      <c r="P141" s="245" t="n"/>
      <c r="Q141" s="245" t="n"/>
      <c r="R141" s="245" t="n"/>
      <c r="S141" s="245" t="n"/>
      <c r="T141" s="245" t="n"/>
      <c r="U141" s="245" t="n"/>
      <c r="V141" s="245" t="n"/>
      <c r="W141" s="245" t="inlineStr">
        <is>
          <t>ETD : 02-09-2026</t>
        </is>
      </c>
      <c r="X141" s="245" t="n"/>
      <c r="Y141" s="245" t="n"/>
      <c r="Z141" s="245" t="n"/>
    </row>
    <row r="142" ht="17.1" customHeight="1" s="202">
      <c r="A142" s="254" t="n"/>
      <c r="B142" s="254" t="n"/>
      <c r="C142" s="254" t="n"/>
      <c r="D142" s="254" t="n"/>
      <c r="E142" s="254" t="n"/>
      <c r="F142" s="254" t="n"/>
      <c r="G142" s="254" t="n"/>
      <c r="H142" s="255">
        <f>SUM(H140:H141)</f>
        <v/>
      </c>
      <c r="I142" s="254">
        <f>COUNTA(I140:I141)</f>
        <v/>
      </c>
      <c r="J142" s="254" t="n"/>
      <c r="K142" s="254" t="n"/>
      <c r="L142" s="254" t="n"/>
      <c r="M142" s="254" t="n"/>
      <c r="N142" s="254" t="n"/>
      <c r="O142" s="256">
        <f>SUM(O140:O141)</f>
        <v/>
      </c>
      <c r="P142" s="256">
        <f>SUM(P140:P141)</f>
        <v/>
      </c>
      <c r="Q142" s="254" t="n"/>
      <c r="R142" s="257">
        <f>SUM(R140:R141)</f>
        <v/>
      </c>
      <c r="S142" s="254" t="n"/>
      <c r="T142" s="258">
        <f>SUM(T140:T141)</f>
        <v/>
      </c>
      <c r="U142" s="254" t="n"/>
      <c r="V142" s="254" t="n"/>
      <c r="W142" s="254" t="n"/>
      <c r="X142" s="254" t="n"/>
      <c r="Y142" s="254" t="n"/>
      <c r="Z142" s="254" t="n"/>
    </row>
    <row r="143" ht="16.5" customHeight="1" s="202">
      <c r="A143" s="245" t="n">
        <v>12</v>
      </c>
      <c r="B143" s="245" t="inlineStr">
        <is>
          <t>000030ZIK48020260827000697</t>
        </is>
      </c>
      <c r="C143" s="245" t="n">
        <v>543368</v>
      </c>
      <c r="D143" s="245" t="n">
        <v>543295</v>
      </c>
      <c r="E143" s="246" t="n">
        <v>46262</v>
      </c>
      <c r="F143" s="245" t="inlineStr">
        <is>
          <t>ID2608-8269</t>
        </is>
      </c>
      <c r="G143" s="246" t="n">
        <v>46261</v>
      </c>
      <c r="H143" s="247" t="n">
        <v>1350</v>
      </c>
      <c r="I143" s="245" t="inlineStr">
        <is>
          <t>CAIU7597965</t>
        </is>
      </c>
      <c r="J143" s="245" t="inlineStr">
        <is>
          <t>40FT</t>
        </is>
      </c>
      <c r="K143" s="245" t="inlineStr">
        <is>
          <t>8IN GREEN TEA MF MATTRESS QN</t>
        </is>
      </c>
      <c r="L143" s="245" t="inlineStr">
        <is>
          <t>SCF-STR-800Q</t>
        </is>
      </c>
      <c r="M143" s="248" t="inlineStr">
        <is>
          <t>0993630443</t>
        </is>
      </c>
      <c r="N143" s="245" t="inlineStr">
        <is>
          <t>F.MFM.08Q.000.WS</t>
        </is>
      </c>
      <c r="O143" s="249" t="n">
        <v>32265</v>
      </c>
      <c r="P143" s="249" t="n">
        <v>28782</v>
      </c>
      <c r="Q143" s="250">
        <f>R143/H143</f>
        <v/>
      </c>
      <c r="R143" s="251" t="n">
        <v>126859.5</v>
      </c>
      <c r="S143" s="249" t="n">
        <v>17796</v>
      </c>
      <c r="T143" s="252">
        <f>S143*R143</f>
        <v/>
      </c>
      <c r="U143" s="245" t="inlineStr">
        <is>
          <t>040300/KPPBC</t>
        </is>
      </c>
      <c r="V143" s="245" t="inlineStr">
        <is>
          <t>TG. PRIOK</t>
        </is>
      </c>
      <c r="W143" s="245" t="inlineStr">
        <is>
          <t>HOUSTON, US</t>
        </is>
      </c>
      <c r="X143" s="245" t="inlineStr">
        <is>
          <t>WALMART, INC.</t>
        </is>
      </c>
      <c r="Y143" s="245" t="inlineStr">
        <is>
          <t>CMDUDJA1523155A</t>
        </is>
      </c>
      <c r="Z143" s="246" t="n">
        <v>46262</v>
      </c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5" t="n"/>
      <c r="I144" s="245" t="inlineStr">
        <is>
          <t>CMAU9432355</t>
        </is>
      </c>
      <c r="J144" s="245" t="inlineStr">
        <is>
          <t>40FT</t>
        </is>
      </c>
      <c r="K144" s="245" t="n"/>
      <c r="L144" s="245" t="n"/>
      <c r="M144" s="245" t="n"/>
      <c r="N144" s="245" t="n"/>
      <c r="O144" s="245" t="n"/>
      <c r="P144" s="245" t="n"/>
      <c r="Q144" s="245" t="n"/>
      <c r="R144" s="245" t="n"/>
      <c r="S144" s="245" t="n"/>
      <c r="T144" s="245" t="n"/>
      <c r="U144" s="245" t="n"/>
      <c r="V144" s="245" t="n"/>
      <c r="W144" s="245" t="inlineStr">
        <is>
          <t>ETD : 02-09-2026</t>
        </is>
      </c>
      <c r="X144" s="245" t="n"/>
      <c r="Y144" s="245" t="n"/>
      <c r="Z144" s="245" t="n"/>
    </row>
    <row r="145" ht="16.5" customHeight="1" s="202">
      <c r="A145" s="245" t="n"/>
      <c r="B145" s="245" t="n"/>
      <c r="C145" s="245" t="n"/>
      <c r="D145" s="245" t="n"/>
      <c r="E145" s="245" t="n"/>
      <c r="F145" s="245" t="n"/>
      <c r="G145" s="245" t="n"/>
      <c r="H145" s="245" t="n"/>
      <c r="I145" s="245" t="inlineStr">
        <is>
          <t>BSIU8078785</t>
        </is>
      </c>
      <c r="J145" s="245" t="inlineStr">
        <is>
          <t>40FT</t>
        </is>
      </c>
      <c r="K145" s="245" t="n"/>
      <c r="L145" s="245" t="n"/>
      <c r="M145" s="245" t="n"/>
      <c r="N145" s="245" t="n"/>
      <c r="O145" s="245" t="n"/>
      <c r="P145" s="245" t="n"/>
      <c r="Q145" s="245" t="n"/>
      <c r="R145" s="245" t="n"/>
      <c r="S145" s="245" t="n"/>
      <c r="T145" s="245" t="n"/>
      <c r="U145" s="245" t="n"/>
      <c r="V145" s="245" t="n"/>
      <c r="W145" s="245" t="n"/>
      <c r="X145" s="245" t="n"/>
      <c r="Y145" s="245" t="n"/>
      <c r="Z145" s="245" t="n"/>
    </row>
    <row r="146" ht="17.1" customHeight="1" s="202">
      <c r="A146" s="254" t="n"/>
      <c r="B146" s="254" t="n"/>
      <c r="C146" s="254" t="n"/>
      <c r="D146" s="254" t="n"/>
      <c r="E146" s="254" t="n"/>
      <c r="F146" s="254" t="n"/>
      <c r="G146" s="254" t="n"/>
      <c r="H146" s="255">
        <f>SUM(H143:H145)</f>
        <v/>
      </c>
      <c r="I146" s="254">
        <f>COUNTA(I143:I145)</f>
        <v/>
      </c>
      <c r="J146" s="254" t="n"/>
      <c r="K146" s="254" t="n"/>
      <c r="L146" s="254" t="n"/>
      <c r="M146" s="254" t="n"/>
      <c r="N146" s="254" t="n"/>
      <c r="O146" s="256">
        <f>SUM(O143:O145)</f>
        <v/>
      </c>
      <c r="P146" s="256">
        <f>SUM(P143:P145)</f>
        <v/>
      </c>
      <c r="Q146" s="254" t="n"/>
      <c r="R146" s="257">
        <f>SUM(R143:R145)</f>
        <v/>
      </c>
      <c r="S146" s="254" t="n"/>
      <c r="T146" s="258">
        <f>SUM(T143:T145)</f>
        <v/>
      </c>
      <c r="U146" s="254" t="n"/>
      <c r="V146" s="254" t="n"/>
      <c r="W146" s="254" t="n"/>
      <c r="X146" s="254" t="n"/>
      <c r="Y146" s="254" t="n"/>
      <c r="Z146" s="254" t="n"/>
    </row>
    <row r="147" ht="16.5" customHeight="1" s="202">
      <c r="A147" s="245" t="n">
        <v>13</v>
      </c>
      <c r="B147" s="245" t="inlineStr">
        <is>
          <t>000030ZIK48020260827000698</t>
        </is>
      </c>
      <c r="C147" s="245" t="n">
        <v>542502</v>
      </c>
      <c r="D147" s="245" t="n">
        <v>542437</v>
      </c>
      <c r="E147" s="246" t="n">
        <v>46262</v>
      </c>
      <c r="F147" s="245" t="inlineStr">
        <is>
          <t>ID2608-8270</t>
        </is>
      </c>
      <c r="G147" s="246" t="n">
        <v>46261</v>
      </c>
      <c r="H147" s="247" t="n">
        <v>1040</v>
      </c>
      <c r="I147" s="245" t="inlineStr">
        <is>
          <t>CMAU3345762</t>
        </is>
      </c>
      <c r="J147" s="245" t="inlineStr">
        <is>
          <t>40FT</t>
        </is>
      </c>
      <c r="K147" s="245" t="inlineStr">
        <is>
          <t>8IN GREEN TEA MF MATTRESS FL</t>
        </is>
      </c>
      <c r="L147" s="245" t="inlineStr">
        <is>
          <t>SCF-STR-800F</t>
        </is>
      </c>
      <c r="M147" s="248" t="inlineStr">
        <is>
          <t>0993630762</t>
        </is>
      </c>
      <c r="N147" s="245" t="inlineStr">
        <is>
          <t>F.MFM.08F.000.WS</t>
        </is>
      </c>
      <c r="O147" s="249" t="n">
        <v>21236.8</v>
      </c>
      <c r="P147" s="249" t="n">
        <v>18740.8</v>
      </c>
      <c r="Q147" s="250">
        <f>R147/H147</f>
        <v/>
      </c>
      <c r="R147" s="251" t="n">
        <v>82960.8</v>
      </c>
      <c r="S147" s="249" t="n">
        <v>17796</v>
      </c>
      <c r="T147" s="252">
        <f>S147*R147</f>
        <v/>
      </c>
      <c r="U147" s="245" t="inlineStr">
        <is>
          <t>040300/KPPBC</t>
        </is>
      </c>
      <c r="V147" s="245" t="inlineStr">
        <is>
          <t>TG. PRIOK</t>
        </is>
      </c>
      <c r="W147" s="245" t="inlineStr">
        <is>
          <t>HOUSTON, US</t>
        </is>
      </c>
      <c r="X147" s="245" t="inlineStr">
        <is>
          <t>WALMART, INC.</t>
        </is>
      </c>
      <c r="Y147" s="245" t="inlineStr">
        <is>
          <t>CMDUDJA1523155B</t>
        </is>
      </c>
      <c r="Z147" s="246" t="n">
        <v>46262</v>
      </c>
    </row>
    <row r="148" ht="16.5" customHeight="1" s="202">
      <c r="A148" s="245" t="n"/>
      <c r="B148" s="245" t="n"/>
      <c r="C148" s="245" t="n"/>
      <c r="D148" s="245" t="n"/>
      <c r="E148" s="245" t="n"/>
      <c r="F148" s="245" t="n"/>
      <c r="G148" s="245" t="n"/>
      <c r="H148" s="245" t="n"/>
      <c r="I148" s="245" t="inlineStr">
        <is>
          <t>TCLU6703610</t>
        </is>
      </c>
      <c r="J148" s="245" t="inlineStr">
        <is>
          <t>40FT</t>
        </is>
      </c>
      <c r="K148" s="245" t="n"/>
      <c r="L148" s="245" t="n"/>
      <c r="M148" s="245" t="n"/>
      <c r="N148" s="245" t="n"/>
      <c r="O148" s="245" t="n"/>
      <c r="P148" s="245" t="n"/>
      <c r="Q148" s="245" t="n"/>
      <c r="R148" s="245" t="n"/>
      <c r="S148" s="245" t="n"/>
      <c r="T148" s="245" t="n"/>
      <c r="U148" s="245" t="n"/>
      <c r="V148" s="245" t="n"/>
      <c r="W148" s="245" t="inlineStr">
        <is>
          <t>ETD : 02-09-2026</t>
        </is>
      </c>
      <c r="X148" s="245" t="n"/>
      <c r="Y148" s="245" t="n"/>
      <c r="Z148" s="245" t="n"/>
    </row>
    <row r="149" ht="17.1" customHeight="1" s="202">
      <c r="A149" s="254" t="n"/>
      <c r="B149" s="254" t="n"/>
      <c r="C149" s="254" t="n"/>
      <c r="D149" s="254" t="n"/>
      <c r="E149" s="254" t="n"/>
      <c r="F149" s="254" t="n"/>
      <c r="G149" s="254" t="n"/>
      <c r="H149" s="255">
        <f>SUM(H147:H148)</f>
        <v/>
      </c>
      <c r="I149" s="254">
        <f>COUNTA(I147:I148)</f>
        <v/>
      </c>
      <c r="J149" s="254" t="n"/>
      <c r="K149" s="254" t="n"/>
      <c r="L149" s="254" t="n"/>
      <c r="M149" s="254" t="n"/>
      <c r="N149" s="254" t="n"/>
      <c r="O149" s="256">
        <f>SUM(O147:O148)</f>
        <v/>
      </c>
      <c r="P149" s="256">
        <f>SUM(P147:P148)</f>
        <v/>
      </c>
      <c r="Q149" s="254" t="n"/>
      <c r="R149" s="257">
        <f>SUM(R147:R148)</f>
        <v/>
      </c>
      <c r="S149" s="254" t="n"/>
      <c r="T149" s="258">
        <f>SUM(T147:T148)</f>
        <v/>
      </c>
      <c r="U149" s="254" t="n"/>
      <c r="V149" s="254" t="n"/>
      <c r="W149" s="254" t="n"/>
      <c r="X149" s="254" t="n"/>
      <c r="Y149" s="254" t="n"/>
      <c r="Z149" s="254" t="n"/>
    </row>
    <row r="150" ht="16.5" customHeight="1" s="202">
      <c r="A150" s="245" t="n">
        <v>14</v>
      </c>
      <c r="B150" s="245" t="inlineStr">
        <is>
          <t>000030ZIK48020260827000699</t>
        </is>
      </c>
      <c r="C150" s="245" t="n">
        <v>542547</v>
      </c>
      <c r="D150" s="245" t="n">
        <v>542481</v>
      </c>
      <c r="E150" s="246" t="n">
        <v>46262</v>
      </c>
      <c r="F150" s="245" t="inlineStr">
        <is>
          <t>ID2608-8271</t>
        </is>
      </c>
      <c r="G150" s="246" t="n">
        <v>46261</v>
      </c>
      <c r="H150" s="247" t="n">
        <v>1350</v>
      </c>
      <c r="I150" s="245" t="inlineStr">
        <is>
          <t>CMAU3512345</t>
        </is>
      </c>
      <c r="J150" s="245" t="inlineStr">
        <is>
          <t>40FT</t>
        </is>
      </c>
      <c r="K150" s="245" t="inlineStr">
        <is>
          <t>8IN GREEN TEA MF MATTRESS QN</t>
        </is>
      </c>
      <c r="L150" s="245" t="inlineStr">
        <is>
          <t>SCF-STR-800Q</t>
        </is>
      </c>
      <c r="M150" s="248" t="inlineStr">
        <is>
          <t>0993630497</t>
        </is>
      </c>
      <c r="N150" s="245" t="inlineStr">
        <is>
          <t>F.MFM.08Q.000.WS</t>
        </is>
      </c>
      <c r="O150" s="249" t="n">
        <v>32265</v>
      </c>
      <c r="P150" s="249" t="n">
        <v>28782</v>
      </c>
      <c r="Q150" s="250">
        <f>R150/H150</f>
        <v/>
      </c>
      <c r="R150" s="251" t="n">
        <v>126859.5</v>
      </c>
      <c r="S150" s="249" t="n">
        <v>17796</v>
      </c>
      <c r="T150" s="252">
        <f>S150*R150</f>
        <v/>
      </c>
      <c r="U150" s="245" t="inlineStr">
        <is>
          <t>040300/KPPBC</t>
        </is>
      </c>
      <c r="V150" s="245" t="inlineStr">
        <is>
          <t>TG. PRIOK</t>
        </is>
      </c>
      <c r="W150" s="245" t="inlineStr">
        <is>
          <t>LOS ANGELES, US</t>
        </is>
      </c>
      <c r="X150" s="245" t="inlineStr">
        <is>
          <t>WALMART, INC.</t>
        </is>
      </c>
      <c r="Y150" s="245" t="inlineStr">
        <is>
          <t>CMDUDJA1528250</t>
        </is>
      </c>
      <c r="Z150" s="246" t="n">
        <v>46262</v>
      </c>
    </row>
    <row r="151" ht="16.5" customHeight="1" s="202">
      <c r="A151" s="245" t="n"/>
      <c r="B151" s="245" t="n"/>
      <c r="C151" s="245" t="n"/>
      <c r="D151" s="245" t="n"/>
      <c r="E151" s="245" t="n"/>
      <c r="F151" s="245" t="n"/>
      <c r="G151" s="245" t="n"/>
      <c r="H151" s="245" t="n"/>
      <c r="I151" s="245" t="inlineStr">
        <is>
          <t>CAIU9270945</t>
        </is>
      </c>
      <c r="J151" s="245" t="inlineStr">
        <is>
          <t>40FT</t>
        </is>
      </c>
      <c r="K151" s="245" t="n"/>
      <c r="L151" s="245" t="n"/>
      <c r="M151" s="245" t="n"/>
      <c r="N151" s="245" t="n"/>
      <c r="O151" s="245" t="n"/>
      <c r="P151" s="245" t="n"/>
      <c r="Q151" s="245" t="n"/>
      <c r="R151" s="245" t="n"/>
      <c r="S151" s="245" t="n"/>
      <c r="T151" s="245" t="n"/>
      <c r="U151" s="245" t="n"/>
      <c r="V151" s="245" t="n"/>
      <c r="W151" s="245" t="inlineStr">
        <is>
          <t>ETD : 02-09-2026</t>
        </is>
      </c>
      <c r="X151" s="245" t="n"/>
      <c r="Y151" s="245" t="n"/>
      <c r="Z151" s="245" t="n"/>
    </row>
    <row r="152" ht="16.5" customHeight="1" s="202">
      <c r="A152" s="245" t="n"/>
      <c r="B152" s="245" t="n"/>
      <c r="C152" s="245" t="n"/>
      <c r="D152" s="245" t="n"/>
      <c r="E152" s="245" t="n"/>
      <c r="F152" s="245" t="n"/>
      <c r="G152" s="245" t="n"/>
      <c r="H152" s="245" t="n"/>
      <c r="I152" s="245" t="inlineStr">
        <is>
          <t>TCNU1553053</t>
        </is>
      </c>
      <c r="J152" s="245" t="inlineStr">
        <is>
          <t>40FT</t>
        </is>
      </c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n"/>
      <c r="X152" s="245" t="n"/>
      <c r="Y152" s="245" t="n"/>
      <c r="Z152" s="245" t="n"/>
    </row>
    <row r="153" ht="17.1" customHeight="1" s="202">
      <c r="A153" s="254" t="n"/>
      <c r="B153" s="254" t="n"/>
      <c r="C153" s="254" t="n"/>
      <c r="D153" s="254" t="n"/>
      <c r="E153" s="254" t="n"/>
      <c r="F153" s="254" t="n"/>
      <c r="G153" s="254" t="n"/>
      <c r="H153" s="255">
        <f>SUM(H150:H152)</f>
        <v/>
      </c>
      <c r="I153" s="254">
        <f>COUNTA(I150:I152)</f>
        <v/>
      </c>
      <c r="J153" s="254" t="n"/>
      <c r="K153" s="254" t="n"/>
      <c r="L153" s="254" t="n"/>
      <c r="M153" s="254" t="n"/>
      <c r="N153" s="254" t="n"/>
      <c r="O153" s="256">
        <f>SUM(O150:O152)</f>
        <v/>
      </c>
      <c r="P153" s="256">
        <f>SUM(P150:P152)</f>
        <v/>
      </c>
      <c r="Q153" s="254" t="n"/>
      <c r="R153" s="257">
        <f>SUM(R150:R152)</f>
        <v/>
      </c>
      <c r="S153" s="254" t="n"/>
      <c r="T153" s="258">
        <f>SUM(T150:T152)</f>
        <v/>
      </c>
      <c r="U153" s="254" t="n"/>
      <c r="V153" s="254" t="n"/>
      <c r="W153" s="254" t="n"/>
      <c r="X153" s="254" t="n"/>
      <c r="Y153" s="254" t="n"/>
      <c r="Z153" s="254" t="n"/>
    </row>
    <row r="154" ht="16.5" customHeight="1" s="202">
      <c r="A154" s="245" t="n">
        <v>15</v>
      </c>
      <c r="B154" s="245" t="inlineStr">
        <is>
          <t>000030ZIK48020260827000700</t>
        </is>
      </c>
      <c r="C154" s="245" t="n">
        <v>542818</v>
      </c>
      <c r="D154" s="245" t="n">
        <v>542751</v>
      </c>
      <c r="E154" s="246" t="n">
        <v>46262</v>
      </c>
      <c r="F154" s="245" t="inlineStr">
        <is>
          <t>ID2608-8272</t>
        </is>
      </c>
      <c r="G154" s="246" t="n">
        <v>46261</v>
      </c>
      <c r="H154" s="247" t="n">
        <v>693</v>
      </c>
      <c r="I154" s="245" t="inlineStr">
        <is>
          <t>UETU7119842</t>
        </is>
      </c>
      <c r="J154" s="245" t="inlineStr">
        <is>
          <t>40FT</t>
        </is>
      </c>
      <c r="K154" s="245" t="inlineStr">
        <is>
          <t>8IN GREEN TEA MF MATTRESS TW</t>
        </is>
      </c>
      <c r="L154" s="245" t="inlineStr">
        <is>
          <t>SCF-STR-800T</t>
        </is>
      </c>
      <c r="M154" s="248" t="inlineStr">
        <is>
          <t>0993631205</t>
        </is>
      </c>
      <c r="N154" s="245" t="inlineStr">
        <is>
          <t>F.MFM.08T.000.WS</t>
        </is>
      </c>
      <c r="O154" s="249" t="n">
        <v>10526.67</v>
      </c>
      <c r="P154" s="249" t="n">
        <v>9140.67</v>
      </c>
      <c r="Q154" s="250">
        <f>R154/H154</f>
        <v/>
      </c>
      <c r="R154" s="251" t="n">
        <v>42619.5</v>
      </c>
      <c r="S154" s="249" t="n">
        <v>17796</v>
      </c>
      <c r="T154" s="252">
        <f>S154*R154</f>
        <v/>
      </c>
      <c r="U154" s="245" t="inlineStr">
        <is>
          <t>040300/KPPBC</t>
        </is>
      </c>
      <c r="V154" s="245" t="inlineStr">
        <is>
          <t>TG. PRIOK</t>
        </is>
      </c>
      <c r="W154" s="245" t="inlineStr">
        <is>
          <t>SAVANNAH, US</t>
        </is>
      </c>
      <c r="X154" s="245" t="inlineStr">
        <is>
          <t>WALMART, INC.</t>
        </is>
      </c>
      <c r="Y154" s="245" t="inlineStr">
        <is>
          <t>CMDUDJA1522743</t>
        </is>
      </c>
      <c r="Z154" s="246" t="n">
        <v>46262</v>
      </c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5" t="n"/>
      <c r="I155" s="245" t="n"/>
      <c r="J155" s="245" t="n"/>
      <c r="K155" s="245" t="n"/>
      <c r="L155" s="245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inlineStr">
        <is>
          <t>ETD : 02-09-2026</t>
        </is>
      </c>
      <c r="X155" s="245" t="n"/>
      <c r="Y155" s="245" t="n"/>
      <c r="Z155" s="245" t="n"/>
    </row>
    <row r="156" ht="17.1" customHeight="1" s="202">
      <c r="A156" s="254" t="n"/>
      <c r="B156" s="254" t="n"/>
      <c r="C156" s="254" t="n"/>
      <c r="D156" s="254" t="n"/>
      <c r="E156" s="254" t="n"/>
      <c r="F156" s="254" t="n"/>
      <c r="G156" s="254" t="n"/>
      <c r="H156" s="255">
        <f>SUM(H154:H155)</f>
        <v/>
      </c>
      <c r="I156" s="254">
        <f>COUNTA(I154:I155)</f>
        <v/>
      </c>
      <c r="J156" s="254" t="n"/>
      <c r="K156" s="254" t="n"/>
      <c r="L156" s="254" t="n"/>
      <c r="M156" s="254" t="n"/>
      <c r="N156" s="254" t="n"/>
      <c r="O156" s="256">
        <f>SUM(O154:O155)</f>
        <v/>
      </c>
      <c r="P156" s="256">
        <f>SUM(P154:P155)</f>
        <v/>
      </c>
      <c r="Q156" s="254" t="n"/>
      <c r="R156" s="257">
        <f>SUM(R154:R155)</f>
        <v/>
      </c>
      <c r="S156" s="254" t="n"/>
      <c r="T156" s="258">
        <f>SUM(T154:T155)</f>
        <v/>
      </c>
      <c r="U156" s="254" t="n"/>
      <c r="V156" s="254" t="n"/>
      <c r="W156" s="254" t="n"/>
      <c r="X156" s="254" t="n"/>
      <c r="Y156" s="254" t="n"/>
      <c r="Z156" s="254" t="n"/>
    </row>
    <row r="157" ht="16.5" customHeight="1" s="202">
      <c r="A157" s="245" t="n">
        <v>16</v>
      </c>
      <c r="B157" s="245" t="inlineStr">
        <is>
          <t>000030ZIK48020260827000701</t>
        </is>
      </c>
      <c r="C157" s="245" t="n">
        <v>543551</v>
      </c>
      <c r="D157" s="245" t="n">
        <v>543477</v>
      </c>
      <c r="E157" s="246" t="n">
        <v>46262</v>
      </c>
      <c r="F157" s="245" t="inlineStr">
        <is>
          <t>ID2608-8273</t>
        </is>
      </c>
      <c r="G157" s="246" t="n">
        <v>46261</v>
      </c>
      <c r="H157" s="247" t="n">
        <v>900</v>
      </c>
      <c r="I157" s="245" t="inlineStr">
        <is>
          <t>CMAU6819778</t>
        </is>
      </c>
      <c r="J157" s="245" t="inlineStr">
        <is>
          <t>40FT</t>
        </is>
      </c>
      <c r="K157" s="245" t="inlineStr">
        <is>
          <t>8IN GREEN TEA MF MATTRESS QN</t>
        </is>
      </c>
      <c r="L157" s="245" t="inlineStr">
        <is>
          <t>SCF-STR-800Q</t>
        </is>
      </c>
      <c r="M157" s="248" t="inlineStr">
        <is>
          <t>0993630485</t>
        </is>
      </c>
      <c r="N157" s="245" t="inlineStr">
        <is>
          <t>F.MFM.08Q.000.WS</t>
        </is>
      </c>
      <c r="O157" s="249" t="n">
        <v>21510</v>
      </c>
      <c r="P157" s="249" t="n">
        <v>19188</v>
      </c>
      <c r="Q157" s="250">
        <f>R157/H157</f>
        <v/>
      </c>
      <c r="R157" s="251" t="n">
        <v>84573</v>
      </c>
      <c r="S157" s="249" t="n">
        <v>17796</v>
      </c>
      <c r="T157" s="252">
        <f>S157*R157</f>
        <v/>
      </c>
      <c r="U157" s="245" t="inlineStr">
        <is>
          <t>040300/KPPBC</t>
        </is>
      </c>
      <c r="V157" s="245" t="inlineStr">
        <is>
          <t>TG. PRIOK</t>
        </is>
      </c>
      <c r="W157" s="245" t="inlineStr">
        <is>
          <t>SAVANNAH, US</t>
        </is>
      </c>
      <c r="X157" s="245" t="inlineStr">
        <is>
          <t>WALMART, INC.</t>
        </is>
      </c>
      <c r="Y157" s="245" t="inlineStr">
        <is>
          <t>CMDUDJA1522735</t>
        </is>
      </c>
      <c r="Z157" s="246" t="n">
        <v>46262</v>
      </c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5" t="n"/>
      <c r="I158" s="245" t="inlineStr">
        <is>
          <t>TRHU8110472</t>
        </is>
      </c>
      <c r="J158" s="245" t="inlineStr">
        <is>
          <t>40FT</t>
        </is>
      </c>
      <c r="K158" s="245" t="n"/>
      <c r="L158" s="245" t="n"/>
      <c r="M158" s="245" t="n"/>
      <c r="N158" s="245" t="n"/>
      <c r="O158" s="245" t="n"/>
      <c r="P158" s="245" t="n"/>
      <c r="Q158" s="245" t="n"/>
      <c r="R158" s="245" t="n"/>
      <c r="S158" s="245" t="n"/>
      <c r="T158" s="245" t="n"/>
      <c r="U158" s="245" t="n"/>
      <c r="V158" s="245" t="n"/>
      <c r="W158" s="245" t="inlineStr">
        <is>
          <t>ETD : 02-09-2026</t>
        </is>
      </c>
      <c r="X158" s="245" t="n"/>
      <c r="Y158" s="245" t="n"/>
      <c r="Z158" s="245" t="n"/>
    </row>
    <row r="159" ht="17.1" customHeight="1" s="202">
      <c r="A159" s="254" t="n"/>
      <c r="B159" s="254" t="n"/>
      <c r="C159" s="254" t="n"/>
      <c r="D159" s="254" t="n"/>
      <c r="E159" s="254" t="n"/>
      <c r="F159" s="254" t="n"/>
      <c r="G159" s="254" t="n"/>
      <c r="H159" s="255">
        <f>SUM(H157:H158)</f>
        <v/>
      </c>
      <c r="I159" s="254">
        <f>COUNTA(I157:I158)</f>
        <v/>
      </c>
      <c r="J159" s="254" t="n"/>
      <c r="K159" s="254" t="n"/>
      <c r="L159" s="254" t="n"/>
      <c r="M159" s="254" t="n"/>
      <c r="N159" s="254" t="n"/>
      <c r="O159" s="256">
        <f>SUM(O157:O158)</f>
        <v/>
      </c>
      <c r="P159" s="256">
        <f>SUM(P157:P158)</f>
        <v/>
      </c>
      <c r="Q159" s="254" t="n"/>
      <c r="R159" s="257">
        <f>SUM(R157:R158)</f>
        <v/>
      </c>
      <c r="S159" s="254" t="n"/>
      <c r="T159" s="258">
        <f>SUM(T157:T158)</f>
        <v/>
      </c>
      <c r="U159" s="254" t="n"/>
      <c r="V159" s="254" t="n"/>
      <c r="W159" s="254" t="n"/>
      <c r="X159" s="254" t="n"/>
      <c r="Y159" s="254" t="n"/>
      <c r="Z159" s="254" t="n"/>
    </row>
    <row r="160" ht="16.5" customHeight="1" s="202">
      <c r="A160" s="245" t="n">
        <v>17</v>
      </c>
      <c r="B160" s="245" t="inlineStr">
        <is>
          <t>000030ZIK48020260827000702</t>
        </is>
      </c>
      <c r="C160" s="245" t="n">
        <v>544206</v>
      </c>
      <c r="D160" s="245" t="n">
        <v>544132</v>
      </c>
      <c r="E160" s="246" t="n">
        <v>46262</v>
      </c>
      <c r="F160" s="245" t="inlineStr">
        <is>
          <t>ID2608-8274</t>
        </is>
      </c>
      <c r="G160" s="246" t="n">
        <v>46261</v>
      </c>
      <c r="H160" s="247" t="n">
        <v>2616</v>
      </c>
      <c r="I160" s="245" t="inlineStr">
        <is>
          <t>TIIU6189977</t>
        </is>
      </c>
      <c r="J160" s="245" t="inlineStr">
        <is>
          <t>40FT</t>
        </is>
      </c>
      <c r="K160" s="245" t="inlineStr">
        <is>
          <t>6IN MSS24-6TW</t>
        </is>
      </c>
      <c r="L160" s="245" t="inlineStr">
        <is>
          <t>MS24-6T</t>
        </is>
      </c>
      <c r="M160" s="248" t="inlineStr">
        <is>
          <t>0003752359</t>
        </is>
      </c>
      <c r="N160" s="245" t="inlineStr">
        <is>
          <t>F.MSS.06T.002.WS</t>
        </is>
      </c>
      <c r="O160" s="249" t="n">
        <v>46878.72</v>
      </c>
      <c r="P160" s="249" t="n">
        <v>41856</v>
      </c>
      <c r="Q160" s="250">
        <f>R160/H160</f>
        <v/>
      </c>
      <c r="R160" s="251" t="n">
        <v>94594.56</v>
      </c>
      <c r="S160" s="249" t="n">
        <v>17796</v>
      </c>
      <c r="T160" s="252">
        <f>S160*R160</f>
        <v/>
      </c>
      <c r="U160" s="245" t="inlineStr">
        <is>
          <t>040300/KPPBC</t>
        </is>
      </c>
      <c r="V160" s="245" t="inlineStr">
        <is>
          <t>TG. PRIOK</t>
        </is>
      </c>
      <c r="W160" s="245" t="inlineStr">
        <is>
          <t>SAVANNAH, US</t>
        </is>
      </c>
      <c r="X160" s="245" t="inlineStr">
        <is>
          <t>WALMART, INC.</t>
        </is>
      </c>
      <c r="Y160" s="245" t="inlineStr">
        <is>
          <t>CMDUDJA1522736</t>
        </is>
      </c>
      <c r="Z160" s="246" t="n">
        <v>46262</v>
      </c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5" t="n"/>
      <c r="I161" s="245" t="inlineStr">
        <is>
          <t>ECMU5144836</t>
        </is>
      </c>
      <c r="J161" s="245" t="inlineStr">
        <is>
          <t>40FT</t>
        </is>
      </c>
      <c r="K161" s="245" t="n"/>
      <c r="L161" s="245" t="n"/>
      <c r="M161" s="245" t="n"/>
      <c r="N161" s="245" t="n"/>
      <c r="O161" s="245" t="n"/>
      <c r="P161" s="245" t="n"/>
      <c r="Q161" s="245" t="n"/>
      <c r="R161" s="245" t="n"/>
      <c r="S161" s="245" t="n"/>
      <c r="T161" s="245" t="n"/>
      <c r="U161" s="245" t="n"/>
      <c r="V161" s="245" t="n"/>
      <c r="W161" s="245" t="inlineStr">
        <is>
          <t>ETD : 02-09-2026</t>
        </is>
      </c>
      <c r="X161" s="245" t="n"/>
      <c r="Y161" s="245" t="n"/>
      <c r="Z161" s="245" t="n"/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5" t="n"/>
      <c r="I162" s="245" t="inlineStr">
        <is>
          <t>FFAU4431708</t>
        </is>
      </c>
      <c r="J162" s="245" t="inlineStr">
        <is>
          <t>40FT</t>
        </is>
      </c>
      <c r="K162" s="245" t="n"/>
      <c r="L162" s="245" t="n"/>
      <c r="M162" s="245" t="n"/>
      <c r="N162" s="245" t="n"/>
      <c r="O162" s="245" t="n"/>
      <c r="P162" s="245" t="n"/>
      <c r="Q162" s="245" t="n"/>
      <c r="R162" s="245" t="n"/>
      <c r="S162" s="245" t="n"/>
      <c r="T162" s="245" t="n"/>
      <c r="U162" s="245" t="n"/>
      <c r="V162" s="245" t="n"/>
      <c r="W162" s="245" t="n"/>
      <c r="X162" s="245" t="n"/>
      <c r="Y162" s="245" t="n"/>
      <c r="Z162" s="245" t="n"/>
    </row>
    <row r="163" ht="17.1" customHeight="1" s="202">
      <c r="A163" s="254" t="n"/>
      <c r="B163" s="254" t="n"/>
      <c r="C163" s="254" t="n"/>
      <c r="D163" s="254" t="n"/>
      <c r="E163" s="254" t="n"/>
      <c r="F163" s="254" t="n"/>
      <c r="G163" s="254" t="n"/>
      <c r="H163" s="255">
        <f>SUM(H160:H162)</f>
        <v/>
      </c>
      <c r="I163" s="254">
        <f>COUNTA(I160:I162)</f>
        <v/>
      </c>
      <c r="J163" s="254" t="n"/>
      <c r="K163" s="254" t="n"/>
      <c r="L163" s="254" t="n"/>
      <c r="M163" s="254" t="n"/>
      <c r="N163" s="254" t="n"/>
      <c r="O163" s="256">
        <f>SUM(O160:O162)</f>
        <v/>
      </c>
      <c r="P163" s="256">
        <f>SUM(P160:P162)</f>
        <v/>
      </c>
      <c r="Q163" s="254" t="n"/>
      <c r="R163" s="257">
        <f>SUM(R160:R162)</f>
        <v/>
      </c>
      <c r="S163" s="254" t="n"/>
      <c r="T163" s="258">
        <f>SUM(T160:T162)</f>
        <v/>
      </c>
      <c r="U163" s="254" t="n"/>
      <c r="V163" s="254" t="n"/>
      <c r="W163" s="254" t="n"/>
      <c r="X163" s="254" t="n"/>
      <c r="Y163" s="254" t="n"/>
      <c r="Z163" s="254" t="n"/>
    </row>
    <row r="164" ht="16.5" customHeight="1" s="202">
      <c r="A164" s="245" t="n">
        <v>18</v>
      </c>
      <c r="B164" s="245" t="inlineStr">
        <is>
          <t>000030ZIK48020260827000703</t>
        </is>
      </c>
      <c r="C164" s="245" t="n">
        <v>542652</v>
      </c>
      <c r="D164" s="245" t="n">
        <v>542584</v>
      </c>
      <c r="E164" s="246" t="n">
        <v>46262</v>
      </c>
      <c r="F164" s="245" t="inlineStr">
        <is>
          <t>ID2608-8278</t>
        </is>
      </c>
      <c r="G164" s="246" t="n">
        <v>46261</v>
      </c>
      <c r="H164" s="247" t="n">
        <v>84</v>
      </c>
      <c r="I164" s="245" t="inlineStr">
        <is>
          <t>GCXU5664237</t>
        </is>
      </c>
      <c r="J164" s="245" t="inlineStr">
        <is>
          <t>40FT</t>
        </is>
      </c>
      <c r="K164" s="245" t="inlineStr">
        <is>
          <t>10IN MEDIUM MFM FL</t>
        </is>
      </c>
      <c r="L164" s="245" t="inlineStr">
        <is>
          <t>WA-MMF-10F-IN</t>
        </is>
      </c>
      <c r="M164" s="248" t="inlineStr">
        <is>
          <t>MIWU00217</t>
        </is>
      </c>
      <c r="N164" s="245" t="inlineStr">
        <is>
          <t>F.MFM.10F.005.BU</t>
        </is>
      </c>
      <c r="O164" s="249" t="n">
        <v>12135.68</v>
      </c>
      <c r="P164" s="249" t="n">
        <v>10914.42</v>
      </c>
      <c r="Q164" s="250">
        <f>R164/H164</f>
        <v/>
      </c>
      <c r="R164" s="251" t="n">
        <v>5071.92</v>
      </c>
      <c r="S164" s="249" t="n">
        <v>17796</v>
      </c>
      <c r="T164" s="252">
        <f>S164*R164</f>
        <v/>
      </c>
      <c r="U164" s="245" t="inlineStr">
        <is>
          <t>040300/KPPBC</t>
        </is>
      </c>
      <c r="V164" s="245" t="inlineStr">
        <is>
          <t>TG. PRIOK</t>
        </is>
      </c>
      <c r="W164" s="245" t="inlineStr">
        <is>
          <t>NEWARK, US</t>
        </is>
      </c>
      <c r="X164" s="245" t="inlineStr">
        <is>
          <t>MELLOW INC</t>
        </is>
      </c>
      <c r="Y164" s="245" t="inlineStr">
        <is>
          <t>MAEU275514463</t>
        </is>
      </c>
      <c r="Z164" s="246" t="n">
        <v>46262</v>
      </c>
    </row>
    <row r="165" ht="16.5" customHeight="1" s="202">
      <c r="A165" s="245" t="n"/>
      <c r="B165" s="245" t="n"/>
      <c r="C165" s="245" t="n"/>
      <c r="D165" s="245" t="n"/>
      <c r="E165" s="245" t="n"/>
      <c r="F165" s="245" t="n"/>
      <c r="G165" s="245" t="n"/>
      <c r="H165" s="247" t="n">
        <v>47</v>
      </c>
      <c r="I165" s="245" t="inlineStr"/>
      <c r="J165" s="245" t="inlineStr"/>
      <c r="K165" s="245" t="inlineStr">
        <is>
          <t>10IN MEDIUM MFM EK</t>
        </is>
      </c>
      <c r="L165" s="245" t="inlineStr">
        <is>
          <t>WA-MMF-10K-IN</t>
        </is>
      </c>
      <c r="M165" s="248" t="inlineStr">
        <is>
          <t>MIWU00217</t>
        </is>
      </c>
      <c r="N165" s="245" t="inlineStr">
        <is>
          <t>F.MFM.10K.005.BU</t>
        </is>
      </c>
      <c r="O165" s="245" t="n"/>
      <c r="P165" s="245" t="n"/>
      <c r="Q165" s="250">
        <f>R165/H165</f>
        <v/>
      </c>
      <c r="R165" s="251" t="n">
        <v>4111.09</v>
      </c>
      <c r="S165" s="249" t="n">
        <v>17796</v>
      </c>
      <c r="T165" s="252">
        <f>S165*R165</f>
        <v/>
      </c>
      <c r="U165" s="245" t="n"/>
      <c r="V165" s="245" t="n"/>
      <c r="W165" s="245" t="inlineStr">
        <is>
          <t>ETD : 04-09-2026</t>
        </is>
      </c>
      <c r="X165" s="245" t="n"/>
      <c r="Y165" s="245" t="n"/>
      <c r="Z165" s="245" t="n"/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7" t="n">
        <v>88</v>
      </c>
      <c r="I166" s="245" t="inlineStr"/>
      <c r="J166" s="245" t="inlineStr"/>
      <c r="K166" s="245" t="inlineStr">
        <is>
          <t>10IN MEDIUM MFM QN</t>
        </is>
      </c>
      <c r="L166" s="245" t="inlineStr">
        <is>
          <t>WA-MMF-10Q-IN</t>
        </is>
      </c>
      <c r="M166" s="248" t="inlineStr">
        <is>
          <t>MIWU00217</t>
        </is>
      </c>
      <c r="N166" s="245" t="inlineStr">
        <is>
          <t>F.MFM.10Q.005.BU</t>
        </is>
      </c>
      <c r="O166" s="245" t="n"/>
      <c r="P166" s="245" t="n"/>
      <c r="Q166" s="250">
        <f>R166/H166</f>
        <v/>
      </c>
      <c r="R166" s="251" t="n">
        <v>6297.28</v>
      </c>
      <c r="S166" s="249" t="n">
        <v>17796</v>
      </c>
      <c r="T166" s="252">
        <f>S166*R166</f>
        <v/>
      </c>
      <c r="U166" s="245" t="n"/>
      <c r="V166" s="245" t="n"/>
      <c r="W166" s="245" t="n"/>
      <c r="X166" s="245" t="n"/>
      <c r="Y166" s="245" t="n"/>
      <c r="Z166" s="245" t="n"/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7" t="n">
        <v>46</v>
      </c>
      <c r="I167" s="245" t="inlineStr"/>
      <c r="J167" s="245" t="inlineStr"/>
      <c r="K167" s="245" t="inlineStr">
        <is>
          <t>10IN MEDIUM MFM TW</t>
        </is>
      </c>
      <c r="L167" s="245" t="inlineStr">
        <is>
          <t>WA-MMF-10T-IN</t>
        </is>
      </c>
      <c r="M167" s="248" t="inlineStr">
        <is>
          <t>MIWU00217</t>
        </is>
      </c>
      <c r="N167" s="245" t="inlineStr">
        <is>
          <t>F.MFM.10T.005.BU</t>
        </is>
      </c>
      <c r="O167" s="245" t="n"/>
      <c r="P167" s="245" t="n"/>
      <c r="Q167" s="250">
        <f>R167/H167</f>
        <v/>
      </c>
      <c r="R167" s="251" t="n">
        <v>2116.92</v>
      </c>
      <c r="S167" s="249" t="n">
        <v>17796</v>
      </c>
      <c r="T167" s="252">
        <f>S167*R167</f>
        <v/>
      </c>
      <c r="U167" s="245" t="n"/>
      <c r="V167" s="245" t="n"/>
      <c r="W167" s="245" t="n"/>
      <c r="X167" s="245" t="n"/>
      <c r="Y167" s="245" t="n"/>
      <c r="Z167" s="245" t="n"/>
    </row>
    <row r="168" ht="16.5" customHeight="1" s="202">
      <c r="A168" s="245" t="n"/>
      <c r="B168" s="245" t="n"/>
      <c r="C168" s="245" t="n"/>
      <c r="D168" s="245" t="n"/>
      <c r="E168" s="245" t="n"/>
      <c r="F168" s="245" t="n"/>
      <c r="G168" s="245" t="n"/>
      <c r="H168" s="247" t="n">
        <v>52</v>
      </c>
      <c r="I168" s="245" t="inlineStr"/>
      <c r="J168" s="245" t="inlineStr"/>
      <c r="K168" s="245" t="inlineStr">
        <is>
          <t>10IN MEDIUM MFM TX</t>
        </is>
      </c>
      <c r="L168" s="245" t="inlineStr">
        <is>
          <t>WA-MMF-10TXL-IN</t>
        </is>
      </c>
      <c r="M168" s="248" t="inlineStr">
        <is>
          <t>MIWU00217</t>
        </is>
      </c>
      <c r="N168" s="245" t="inlineStr">
        <is>
          <t>F.MFM.10X.005.BU</t>
        </is>
      </c>
      <c r="O168" s="245" t="n"/>
      <c r="P168" s="245" t="n"/>
      <c r="Q168" s="250">
        <f>R168/H168</f>
        <v/>
      </c>
      <c r="R168" s="251" t="n">
        <v>2529.8</v>
      </c>
      <c r="S168" s="249" t="n">
        <v>17796</v>
      </c>
      <c r="T168" s="252">
        <f>S168*R168</f>
        <v/>
      </c>
      <c r="U168" s="245" t="n"/>
      <c r="V168" s="245" t="n"/>
      <c r="W168" s="245" t="n"/>
      <c r="X168" s="245" t="n"/>
      <c r="Y168" s="245" t="n"/>
      <c r="Z168" s="245" t="n"/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7" t="n">
        <v>40</v>
      </c>
      <c r="I169" s="245" t="inlineStr"/>
      <c r="J169" s="245" t="inlineStr"/>
      <c r="K169" s="245" t="inlineStr">
        <is>
          <t>12IN MEDIUM MFM FL</t>
        </is>
      </c>
      <c r="L169" s="245" t="inlineStr">
        <is>
          <t>WA-MMF-12F-IN</t>
        </is>
      </c>
      <c r="M169" s="248" t="inlineStr">
        <is>
          <t>MIWU00217</t>
        </is>
      </c>
      <c r="N169" s="245" t="inlineStr">
        <is>
          <t>F.MFM.12F.005.BU</t>
        </is>
      </c>
      <c r="O169" s="245" t="n"/>
      <c r="P169" s="245" t="n"/>
      <c r="Q169" s="250">
        <f>R169/H169</f>
        <v/>
      </c>
      <c r="R169" s="251" t="n">
        <v>2786</v>
      </c>
      <c r="S169" s="249" t="n">
        <v>17796</v>
      </c>
      <c r="T169" s="252">
        <f>S169*R169</f>
        <v/>
      </c>
      <c r="U169" s="245" t="n"/>
      <c r="V169" s="245" t="n"/>
      <c r="W169" s="245" t="n"/>
      <c r="X169" s="245" t="n"/>
      <c r="Y169" s="245" t="n"/>
      <c r="Z169" s="245" t="n"/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7" t="n">
        <v>40</v>
      </c>
      <c r="I170" s="245" t="inlineStr"/>
      <c r="J170" s="245" t="inlineStr"/>
      <c r="K170" s="245" t="inlineStr">
        <is>
          <t>6IN MEDIUM MFM FL</t>
        </is>
      </c>
      <c r="L170" s="245" t="inlineStr">
        <is>
          <t>WA-MMF-6F-IN</t>
        </is>
      </c>
      <c r="M170" s="248" t="inlineStr">
        <is>
          <t>MIWU00217</t>
        </is>
      </c>
      <c r="N170" s="245" t="inlineStr">
        <is>
          <t>F.MFM.06F.002.BU</t>
        </is>
      </c>
      <c r="O170" s="245" t="n"/>
      <c r="P170" s="245" t="n"/>
      <c r="Q170" s="250">
        <f>R170/H170</f>
        <v/>
      </c>
      <c r="R170" s="251" t="n">
        <v>1704.8</v>
      </c>
      <c r="S170" s="249" t="n">
        <v>17796</v>
      </c>
      <c r="T170" s="252">
        <f>S170*R170</f>
        <v/>
      </c>
      <c r="U170" s="245" t="n"/>
      <c r="V170" s="245" t="n"/>
      <c r="W170" s="245" t="n"/>
      <c r="X170" s="245" t="n"/>
      <c r="Y170" s="245" t="n"/>
      <c r="Z170" s="245" t="n"/>
    </row>
    <row r="171" ht="16.5" customHeight="1" s="202">
      <c r="A171" s="245" t="n"/>
      <c r="B171" s="245" t="n"/>
      <c r="C171" s="245" t="n"/>
      <c r="D171" s="245" t="n"/>
      <c r="E171" s="245" t="n"/>
      <c r="F171" s="245" t="n"/>
      <c r="G171" s="245" t="n"/>
      <c r="H171" s="247" t="n">
        <v>69</v>
      </c>
      <c r="I171" s="245" t="inlineStr"/>
      <c r="J171" s="245" t="inlineStr"/>
      <c r="K171" s="245" t="inlineStr">
        <is>
          <t>6IN MEDIUM MFM TW</t>
        </is>
      </c>
      <c r="L171" s="245" t="inlineStr">
        <is>
          <t>WA-MMF-6T-IN</t>
        </is>
      </c>
      <c r="M171" s="248" t="inlineStr">
        <is>
          <t>MIWU00217</t>
        </is>
      </c>
      <c r="N171" s="245" t="inlineStr">
        <is>
          <t>F.MFM.06T.002.BU</t>
        </is>
      </c>
      <c r="O171" s="245" t="n"/>
      <c r="P171" s="245" t="n"/>
      <c r="Q171" s="250">
        <f>R171/H171</f>
        <v/>
      </c>
      <c r="R171" s="251" t="n">
        <v>2214.9</v>
      </c>
      <c r="S171" s="249" t="n">
        <v>17796</v>
      </c>
      <c r="T171" s="252">
        <f>S171*R171</f>
        <v/>
      </c>
      <c r="U171" s="245" t="n"/>
      <c r="V171" s="245" t="n"/>
      <c r="W171" s="245" t="n"/>
      <c r="X171" s="245" t="n"/>
      <c r="Y171" s="245" t="n"/>
      <c r="Z171" s="245" t="n"/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7" t="n">
        <v>40</v>
      </c>
      <c r="I172" s="245" t="inlineStr"/>
      <c r="J172" s="245" t="inlineStr"/>
      <c r="K172" s="245" t="inlineStr">
        <is>
          <t>8IN MEDIUM MFM FL</t>
        </is>
      </c>
      <c r="L172" s="245" t="inlineStr">
        <is>
          <t>WA-MMF-8F-IN</t>
        </is>
      </c>
      <c r="M172" s="248" t="inlineStr">
        <is>
          <t>MIWU00217</t>
        </is>
      </c>
      <c r="N172" s="245" t="inlineStr">
        <is>
          <t>F.MFM.08F.005.BU</t>
        </is>
      </c>
      <c r="O172" s="245" t="n"/>
      <c r="P172" s="245" t="n"/>
      <c r="Q172" s="250">
        <f>R172/H172</f>
        <v/>
      </c>
      <c r="R172" s="251" t="n">
        <v>2084</v>
      </c>
      <c r="S172" s="249" t="n">
        <v>17796</v>
      </c>
      <c r="T172" s="252">
        <f>S172*R172</f>
        <v/>
      </c>
      <c r="U172" s="245" t="n"/>
      <c r="V172" s="245" t="n"/>
      <c r="W172" s="245" t="n"/>
      <c r="X172" s="245" t="n"/>
      <c r="Y172" s="245" t="n"/>
      <c r="Z172" s="245" t="n"/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35</v>
      </c>
      <c r="I173" s="245" t="inlineStr"/>
      <c r="J173" s="245" t="inlineStr"/>
      <c r="K173" s="245" t="inlineStr">
        <is>
          <t>8IN MEDIUM MFM QN</t>
        </is>
      </c>
      <c r="L173" s="245" t="inlineStr">
        <is>
          <t>WA-MMF-8Q-IN</t>
        </is>
      </c>
      <c r="M173" s="248" t="inlineStr">
        <is>
          <t>MIWU00217</t>
        </is>
      </c>
      <c r="N173" s="245" t="inlineStr">
        <is>
          <t>F.MFM.08Q.005.BU</t>
        </is>
      </c>
      <c r="O173" s="245" t="n"/>
      <c r="P173" s="245" t="n"/>
      <c r="Q173" s="250">
        <f>R173/H173</f>
        <v/>
      </c>
      <c r="R173" s="251" t="n">
        <v>2159.15</v>
      </c>
      <c r="S173" s="249" t="n">
        <v>17796</v>
      </c>
      <c r="T173" s="252">
        <f>S173*R173</f>
        <v/>
      </c>
      <c r="U173" s="245" t="n"/>
      <c r="V173" s="245" t="n"/>
      <c r="W173" s="245" t="n"/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65</v>
      </c>
      <c r="I174" s="245" t="inlineStr"/>
      <c r="J174" s="245" t="inlineStr"/>
      <c r="K174" s="245" t="inlineStr">
        <is>
          <t>8IN MEDIUM MFM TW</t>
        </is>
      </c>
      <c r="L174" s="245" t="inlineStr">
        <is>
          <t>WA-MMF-8T-IN</t>
        </is>
      </c>
      <c r="M174" s="248" t="inlineStr">
        <is>
          <t>MIWU00217</t>
        </is>
      </c>
      <c r="N174" s="245" t="inlineStr">
        <is>
          <t>F.MFM.08T.005.BU</t>
        </is>
      </c>
      <c r="O174" s="245" t="n"/>
      <c r="P174" s="245" t="n"/>
      <c r="Q174" s="250">
        <f>R174/H174</f>
        <v/>
      </c>
      <c r="R174" s="251" t="n">
        <v>2527.2</v>
      </c>
      <c r="S174" s="249" t="n">
        <v>17796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7.1" customHeight="1" s="202">
      <c r="A175" s="254" t="n"/>
      <c r="B175" s="254" t="n"/>
      <c r="C175" s="254" t="n"/>
      <c r="D175" s="254" t="n"/>
      <c r="E175" s="254" t="n"/>
      <c r="F175" s="254" t="n"/>
      <c r="G175" s="254" t="n"/>
      <c r="H175" s="255">
        <f>SUM(H164:H174)</f>
        <v/>
      </c>
      <c r="I175" s="254">
        <f>COUNTA(I164:I174)</f>
        <v/>
      </c>
      <c r="J175" s="254" t="n"/>
      <c r="K175" s="254" t="n"/>
      <c r="L175" s="254" t="n"/>
      <c r="M175" s="254" t="n"/>
      <c r="N175" s="254" t="n"/>
      <c r="O175" s="256">
        <f>SUM(O164:O174)</f>
        <v/>
      </c>
      <c r="P175" s="256">
        <f>SUM(P164:P174)</f>
        <v/>
      </c>
      <c r="Q175" s="254" t="n"/>
      <c r="R175" s="257">
        <f>SUM(R164:R174)</f>
        <v/>
      </c>
      <c r="S175" s="254" t="n"/>
      <c r="T175" s="258">
        <f>SUM(T164:T174)</f>
        <v/>
      </c>
      <c r="U175" s="254" t="n"/>
      <c r="V175" s="254" t="n"/>
      <c r="W175" s="254" t="n"/>
      <c r="X175" s="254" t="n"/>
      <c r="Y175" s="254" t="n"/>
      <c r="Z175" s="254" t="n"/>
    </row>
    <row r="176" ht="16.5" customHeight="1" s="202">
      <c r="A176" s="245" t="n">
        <v>19</v>
      </c>
      <c r="B176" s="245" t="inlineStr">
        <is>
          <t>000030ZIK48020260827000704</t>
        </is>
      </c>
      <c r="C176" s="245" t="n">
        <v>544061</v>
      </c>
      <c r="D176" s="245" t="n">
        <v>543986</v>
      </c>
      <c r="E176" s="246" t="n">
        <v>46262</v>
      </c>
      <c r="F176" s="245" t="inlineStr">
        <is>
          <t>ID2608-8279</t>
        </is>
      </c>
      <c r="G176" s="246" t="n">
        <v>46261</v>
      </c>
      <c r="H176" s="247" t="n">
        <v>84</v>
      </c>
      <c r="I176" s="245" t="inlineStr">
        <is>
          <t>TCKU6602541</t>
        </is>
      </c>
      <c r="J176" s="245" t="inlineStr">
        <is>
          <t>40FT</t>
        </is>
      </c>
      <c r="K176" s="245" t="inlineStr">
        <is>
          <t>10IN MEDIUM MFM FL</t>
        </is>
      </c>
      <c r="L176" s="245" t="inlineStr">
        <is>
          <t>WA-MMF-10F-IN</t>
        </is>
      </c>
      <c r="M176" s="248" t="inlineStr">
        <is>
          <t>MIWU00219</t>
        </is>
      </c>
      <c r="N176" s="245" t="inlineStr">
        <is>
          <t>F.MFM.10F.005.BU</t>
        </is>
      </c>
      <c r="O176" s="249" t="n">
        <v>12135.68</v>
      </c>
      <c r="P176" s="249" t="n">
        <v>10914.42</v>
      </c>
      <c r="Q176" s="250">
        <f>R176/H176</f>
        <v/>
      </c>
      <c r="R176" s="251" t="n">
        <v>5071.92</v>
      </c>
      <c r="S176" s="249" t="n">
        <v>17796</v>
      </c>
      <c r="T176" s="252">
        <f>S176*R176</f>
        <v/>
      </c>
      <c r="U176" s="245" t="inlineStr">
        <is>
          <t>040300/KPPBC</t>
        </is>
      </c>
      <c r="V176" s="245" t="inlineStr">
        <is>
          <t>TG. PRIOK</t>
        </is>
      </c>
      <c r="W176" s="245" t="inlineStr">
        <is>
          <t>NEWARK, US</t>
        </is>
      </c>
      <c r="X176" s="245" t="inlineStr">
        <is>
          <t>MELLOW INC</t>
        </is>
      </c>
      <c r="Y176" s="245" t="inlineStr">
        <is>
          <t>MAEU275514809</t>
        </is>
      </c>
      <c r="Z176" s="246" t="n">
        <v>46262</v>
      </c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47</v>
      </c>
      <c r="I177" s="245" t="inlineStr"/>
      <c r="J177" s="245" t="inlineStr"/>
      <c r="K177" s="245" t="inlineStr">
        <is>
          <t>10IN MEDIUM MFM EK</t>
        </is>
      </c>
      <c r="L177" s="245" t="inlineStr">
        <is>
          <t>WA-MMF-10K-IN</t>
        </is>
      </c>
      <c r="M177" s="248" t="inlineStr">
        <is>
          <t>MIWU00219</t>
        </is>
      </c>
      <c r="N177" s="245" t="inlineStr">
        <is>
          <t>F.MFM.10K.005.BU</t>
        </is>
      </c>
      <c r="O177" s="245" t="n"/>
      <c r="P177" s="245" t="n"/>
      <c r="Q177" s="250">
        <f>R177/H177</f>
        <v/>
      </c>
      <c r="R177" s="251" t="n">
        <v>4111.09</v>
      </c>
      <c r="S177" s="249" t="n">
        <v>17796</v>
      </c>
      <c r="T177" s="252">
        <f>S177*R177</f>
        <v/>
      </c>
      <c r="U177" s="245" t="n"/>
      <c r="V177" s="245" t="n"/>
      <c r="W177" s="245" t="inlineStr">
        <is>
          <t>ETD : 04-09-2026</t>
        </is>
      </c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88</v>
      </c>
      <c r="I178" s="245" t="inlineStr"/>
      <c r="J178" s="245" t="inlineStr"/>
      <c r="K178" s="245" t="inlineStr">
        <is>
          <t>10IN MEDIUM MFM QN</t>
        </is>
      </c>
      <c r="L178" s="245" t="inlineStr">
        <is>
          <t>WA-MMF-10Q-IN</t>
        </is>
      </c>
      <c r="M178" s="248" t="inlineStr">
        <is>
          <t>MIWU00219</t>
        </is>
      </c>
      <c r="N178" s="245" t="inlineStr">
        <is>
          <t>F.MFM.10Q.005.BU</t>
        </is>
      </c>
      <c r="O178" s="245" t="n"/>
      <c r="P178" s="245" t="n"/>
      <c r="Q178" s="250">
        <f>R178/H178</f>
        <v/>
      </c>
      <c r="R178" s="251" t="n">
        <v>6297.28</v>
      </c>
      <c r="S178" s="249" t="n">
        <v>17796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46</v>
      </c>
      <c r="I179" s="245" t="inlineStr"/>
      <c r="J179" s="245" t="inlineStr"/>
      <c r="K179" s="245" t="inlineStr">
        <is>
          <t>10IN MEDIUM MFM TW</t>
        </is>
      </c>
      <c r="L179" s="245" t="inlineStr">
        <is>
          <t>WA-MMF-10T-IN</t>
        </is>
      </c>
      <c r="M179" s="248" t="inlineStr">
        <is>
          <t>MIWU00219</t>
        </is>
      </c>
      <c r="N179" s="245" t="inlineStr">
        <is>
          <t>F.MFM.10T.005.BU</t>
        </is>
      </c>
      <c r="O179" s="245" t="n"/>
      <c r="P179" s="245" t="n"/>
      <c r="Q179" s="250">
        <f>R179/H179</f>
        <v/>
      </c>
      <c r="R179" s="251" t="n">
        <v>2116.92</v>
      </c>
      <c r="S179" s="249" t="n">
        <v>17796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52</v>
      </c>
      <c r="I180" s="245" t="inlineStr"/>
      <c r="J180" s="245" t="inlineStr"/>
      <c r="K180" s="245" t="inlineStr">
        <is>
          <t>10IN MEDIUM MFM TX</t>
        </is>
      </c>
      <c r="L180" s="245" t="inlineStr">
        <is>
          <t>WA-MMF-10TXL-IN</t>
        </is>
      </c>
      <c r="M180" s="248" t="inlineStr">
        <is>
          <t>MIWU00219</t>
        </is>
      </c>
      <c r="N180" s="245" t="inlineStr">
        <is>
          <t>F.MFM.10X.005.BU</t>
        </is>
      </c>
      <c r="O180" s="245" t="n"/>
      <c r="P180" s="245" t="n"/>
      <c r="Q180" s="250">
        <f>R180/H180</f>
        <v/>
      </c>
      <c r="R180" s="251" t="n">
        <v>2529.8</v>
      </c>
      <c r="S180" s="249" t="n">
        <v>17796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40</v>
      </c>
      <c r="I181" s="245" t="inlineStr"/>
      <c r="J181" s="245" t="inlineStr"/>
      <c r="K181" s="245" t="inlineStr">
        <is>
          <t>12IN MEDIUM MFM FL</t>
        </is>
      </c>
      <c r="L181" s="245" t="inlineStr">
        <is>
          <t>WA-MMF-12F-IN</t>
        </is>
      </c>
      <c r="M181" s="248" t="inlineStr">
        <is>
          <t>MIWU00219</t>
        </is>
      </c>
      <c r="N181" s="245" t="inlineStr">
        <is>
          <t>F.MFM.12F.005.BU</t>
        </is>
      </c>
      <c r="O181" s="245" t="n"/>
      <c r="P181" s="245" t="n"/>
      <c r="Q181" s="250">
        <f>R181/H181</f>
        <v/>
      </c>
      <c r="R181" s="251" t="n">
        <v>2786</v>
      </c>
      <c r="S181" s="249" t="n">
        <v>17796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40</v>
      </c>
      <c r="I182" s="245" t="inlineStr"/>
      <c r="J182" s="245" t="inlineStr"/>
      <c r="K182" s="245" t="inlineStr">
        <is>
          <t>6IN MEDIUM MFM FL</t>
        </is>
      </c>
      <c r="L182" s="245" t="inlineStr">
        <is>
          <t>WA-MMF-6F-IN</t>
        </is>
      </c>
      <c r="M182" s="248" t="inlineStr">
        <is>
          <t>MIWU00219</t>
        </is>
      </c>
      <c r="N182" s="245" t="inlineStr">
        <is>
          <t>F.MFM.06F.002.BU</t>
        </is>
      </c>
      <c r="O182" s="245" t="n"/>
      <c r="P182" s="245" t="n"/>
      <c r="Q182" s="250">
        <f>R182/H182</f>
        <v/>
      </c>
      <c r="R182" s="251" t="n">
        <v>1704.8</v>
      </c>
      <c r="S182" s="249" t="n">
        <v>17796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69</v>
      </c>
      <c r="I183" s="245" t="inlineStr"/>
      <c r="J183" s="245" t="inlineStr"/>
      <c r="K183" s="245" t="inlineStr">
        <is>
          <t>6IN MEDIUM MFM TW</t>
        </is>
      </c>
      <c r="L183" s="245" t="inlineStr">
        <is>
          <t>WA-MMF-6T-IN</t>
        </is>
      </c>
      <c r="M183" s="248" t="inlineStr">
        <is>
          <t>MIWU00219</t>
        </is>
      </c>
      <c r="N183" s="245" t="inlineStr">
        <is>
          <t>F.MFM.06T.002.BU</t>
        </is>
      </c>
      <c r="O183" s="245" t="n"/>
      <c r="P183" s="245" t="n"/>
      <c r="Q183" s="250">
        <f>R183/H183</f>
        <v/>
      </c>
      <c r="R183" s="251" t="n">
        <v>2214.9</v>
      </c>
      <c r="S183" s="249" t="n">
        <v>17796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40</v>
      </c>
      <c r="I184" s="245" t="inlineStr"/>
      <c r="J184" s="245" t="inlineStr"/>
      <c r="K184" s="245" t="inlineStr">
        <is>
          <t>8IN MEDIUM MFM FL</t>
        </is>
      </c>
      <c r="L184" s="245" t="inlineStr">
        <is>
          <t>WA-MMF-8F-IN</t>
        </is>
      </c>
      <c r="M184" s="248" t="inlineStr">
        <is>
          <t>MIWU00219</t>
        </is>
      </c>
      <c r="N184" s="245" t="inlineStr">
        <is>
          <t>F.MFM.08F.005.BU</t>
        </is>
      </c>
      <c r="O184" s="245" t="n"/>
      <c r="P184" s="245" t="n"/>
      <c r="Q184" s="250">
        <f>R184/H184</f>
        <v/>
      </c>
      <c r="R184" s="251" t="n">
        <v>2084</v>
      </c>
      <c r="S184" s="249" t="n">
        <v>17796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35</v>
      </c>
      <c r="I185" s="245" t="inlineStr"/>
      <c r="J185" s="245" t="inlineStr"/>
      <c r="K185" s="245" t="inlineStr">
        <is>
          <t>8IN MEDIUM MFM QN</t>
        </is>
      </c>
      <c r="L185" s="245" t="inlineStr">
        <is>
          <t>WA-MMF-8Q-IN</t>
        </is>
      </c>
      <c r="M185" s="248" t="inlineStr">
        <is>
          <t>MIWU00219</t>
        </is>
      </c>
      <c r="N185" s="245" t="inlineStr">
        <is>
          <t>F.MFM.08Q.005.BU</t>
        </is>
      </c>
      <c r="O185" s="245" t="n"/>
      <c r="P185" s="245" t="n"/>
      <c r="Q185" s="250">
        <f>R185/H185</f>
        <v/>
      </c>
      <c r="R185" s="251" t="n">
        <v>2159.15</v>
      </c>
      <c r="S185" s="249" t="n">
        <v>17796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65</v>
      </c>
      <c r="I186" s="245" t="inlineStr"/>
      <c r="J186" s="245" t="inlineStr"/>
      <c r="K186" s="245" t="inlineStr">
        <is>
          <t>8IN MEDIUM MFM TW</t>
        </is>
      </c>
      <c r="L186" s="245" t="inlineStr">
        <is>
          <t>WA-MMF-8T-IN</t>
        </is>
      </c>
      <c r="M186" s="248" t="inlineStr">
        <is>
          <t>MIWU00219</t>
        </is>
      </c>
      <c r="N186" s="245" t="inlineStr">
        <is>
          <t>F.MFM.08T.005.BU</t>
        </is>
      </c>
      <c r="O186" s="245" t="n"/>
      <c r="P186" s="245" t="n"/>
      <c r="Q186" s="250">
        <f>R186/H186</f>
        <v/>
      </c>
      <c r="R186" s="251" t="n">
        <v>2527.2</v>
      </c>
      <c r="S186" s="249" t="n">
        <v>17796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7.1" customHeight="1" s="202">
      <c r="A187" s="254" t="n"/>
      <c r="B187" s="254" t="n"/>
      <c r="C187" s="254" t="n"/>
      <c r="D187" s="254" t="n"/>
      <c r="E187" s="254" t="n"/>
      <c r="F187" s="254" t="n"/>
      <c r="G187" s="254" t="n"/>
      <c r="H187" s="255">
        <f>SUM(H176:H186)</f>
        <v/>
      </c>
      <c r="I187" s="254">
        <f>COUNTA(I176:I186)</f>
        <v/>
      </c>
      <c r="J187" s="254" t="n"/>
      <c r="K187" s="254" t="n"/>
      <c r="L187" s="254" t="n"/>
      <c r="M187" s="254" t="n"/>
      <c r="N187" s="254" t="n"/>
      <c r="O187" s="256">
        <f>SUM(O176:O186)</f>
        <v/>
      </c>
      <c r="P187" s="256">
        <f>SUM(P176:P186)</f>
        <v/>
      </c>
      <c r="Q187" s="254" t="n"/>
      <c r="R187" s="257">
        <f>SUM(R176:R186)</f>
        <v/>
      </c>
      <c r="S187" s="254" t="n"/>
      <c r="T187" s="258">
        <f>SUM(T176:T186)</f>
        <v/>
      </c>
      <c r="U187" s="254" t="n"/>
      <c r="V187" s="254" t="n"/>
      <c r="W187" s="254" t="n"/>
      <c r="X187" s="254" t="n"/>
      <c r="Y187" s="254" t="n"/>
      <c r="Z187" s="254" t="n"/>
    </row>
    <row r="188" ht="16.5" customHeight="1" s="202">
      <c r="A188" s="245" t="n">
        <v>20</v>
      </c>
      <c r="B188" s="245" t="inlineStr">
        <is>
          <t>000030ZIK48020260827000705</t>
        </is>
      </c>
      <c r="C188" s="245" t="n">
        <v>544121</v>
      </c>
      <c r="D188" s="245" t="n">
        <v>544047</v>
      </c>
      <c r="E188" s="246" t="n">
        <v>46262</v>
      </c>
      <c r="F188" s="245" t="inlineStr">
        <is>
          <t>ID2608-8280</t>
        </is>
      </c>
      <c r="G188" s="246" t="n">
        <v>46261</v>
      </c>
      <c r="H188" s="247" t="n">
        <v>102</v>
      </c>
      <c r="I188" s="245" t="inlineStr">
        <is>
          <t>GCXU5749442</t>
        </is>
      </c>
      <c r="J188" s="245" t="inlineStr">
        <is>
          <t>40FT</t>
        </is>
      </c>
      <c r="K188" s="245" t="inlineStr">
        <is>
          <t>10IN MEDIUM MFM FL</t>
        </is>
      </c>
      <c r="L188" s="245" t="inlineStr">
        <is>
          <t>WA-MMF-10F-IN</t>
        </is>
      </c>
      <c r="M188" s="248" t="inlineStr">
        <is>
          <t>MIWU00225</t>
        </is>
      </c>
      <c r="N188" s="245" t="inlineStr">
        <is>
          <t>F.MFM.10F.005.BU</t>
        </is>
      </c>
      <c r="O188" s="249" t="n">
        <v>12576.64</v>
      </c>
      <c r="P188" s="249" t="n">
        <v>11346.81</v>
      </c>
      <c r="Q188" s="250">
        <f>R188/H188</f>
        <v/>
      </c>
      <c r="R188" s="251" t="n">
        <v>6158.76</v>
      </c>
      <c r="S188" s="249" t="n">
        <v>17796</v>
      </c>
      <c r="T188" s="252">
        <f>S188*R188</f>
        <v/>
      </c>
      <c r="U188" s="245" t="inlineStr">
        <is>
          <t>040300/KPPBC</t>
        </is>
      </c>
      <c r="V188" s="245" t="inlineStr">
        <is>
          <t>TG. PRIOK</t>
        </is>
      </c>
      <c r="W188" s="245" t="inlineStr">
        <is>
          <t>NEWARK, US</t>
        </is>
      </c>
      <c r="X188" s="245" t="inlineStr">
        <is>
          <t>MELLOW INC</t>
        </is>
      </c>
      <c r="Y188" s="245" t="inlineStr">
        <is>
          <t>MAEU275514796</t>
        </is>
      </c>
      <c r="Z188" s="246" t="n">
        <v>46262</v>
      </c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56</v>
      </c>
      <c r="I189" s="245" t="inlineStr"/>
      <c r="J189" s="245" t="inlineStr"/>
      <c r="K189" s="245" t="inlineStr">
        <is>
          <t>10IN MEDIUM MFM EK</t>
        </is>
      </c>
      <c r="L189" s="245" t="inlineStr">
        <is>
          <t>WA-MMF-10K-IN</t>
        </is>
      </c>
      <c r="M189" s="248" t="inlineStr">
        <is>
          <t>MIWU00225</t>
        </is>
      </c>
      <c r="N189" s="245" t="inlineStr">
        <is>
          <t>F.MFM.10K.005.BU</t>
        </is>
      </c>
      <c r="O189" s="245" t="n"/>
      <c r="P189" s="245" t="n"/>
      <c r="Q189" s="250">
        <f>R189/H189</f>
        <v/>
      </c>
      <c r="R189" s="251" t="n">
        <v>4898.32</v>
      </c>
      <c r="S189" s="249" t="n">
        <v>17796</v>
      </c>
      <c r="T189" s="252">
        <f>S189*R189</f>
        <v/>
      </c>
      <c r="U189" s="245" t="n"/>
      <c r="V189" s="245" t="n"/>
      <c r="W189" s="245" t="inlineStr">
        <is>
          <t>ETD : 04-09-2026</t>
        </is>
      </c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95</v>
      </c>
      <c r="I190" s="245" t="inlineStr"/>
      <c r="J190" s="245" t="inlineStr"/>
      <c r="K190" s="245" t="inlineStr">
        <is>
          <t>10IN MEDIUM MFM QN</t>
        </is>
      </c>
      <c r="L190" s="245" t="inlineStr">
        <is>
          <t>WA-MMF-10Q-IN</t>
        </is>
      </c>
      <c r="M190" s="248" t="inlineStr">
        <is>
          <t>MIWU00225</t>
        </is>
      </c>
      <c r="N190" s="245" t="inlineStr">
        <is>
          <t>F.MFM.10Q.005.BU</t>
        </is>
      </c>
      <c r="O190" s="245" t="n"/>
      <c r="P190" s="245" t="n"/>
      <c r="Q190" s="250">
        <f>R190/H190</f>
        <v/>
      </c>
      <c r="R190" s="251" t="n">
        <v>6798.2</v>
      </c>
      <c r="S190" s="249" t="n">
        <v>17796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46</v>
      </c>
      <c r="I191" s="245" t="inlineStr"/>
      <c r="J191" s="245" t="inlineStr"/>
      <c r="K191" s="245" t="inlineStr">
        <is>
          <t>10IN MEDIUM MFM TW</t>
        </is>
      </c>
      <c r="L191" s="245" t="inlineStr">
        <is>
          <t>WA-MMF-10T-IN</t>
        </is>
      </c>
      <c r="M191" s="248" t="inlineStr">
        <is>
          <t>MIWU00225</t>
        </is>
      </c>
      <c r="N191" s="245" t="inlineStr">
        <is>
          <t>F.MFM.10T.005.BU</t>
        </is>
      </c>
      <c r="O191" s="245" t="n"/>
      <c r="P191" s="245" t="n"/>
      <c r="Q191" s="250">
        <f>R191/H191</f>
        <v/>
      </c>
      <c r="R191" s="251" t="n">
        <v>2116.92</v>
      </c>
      <c r="S191" s="249" t="n">
        <v>17796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41</v>
      </c>
      <c r="I192" s="245" t="inlineStr"/>
      <c r="J192" s="245" t="inlineStr"/>
      <c r="K192" s="245" t="inlineStr">
        <is>
          <t>10IN MEDIUM MFM TX</t>
        </is>
      </c>
      <c r="L192" s="245" t="inlineStr">
        <is>
          <t>WA-MMF-10TXL-IN</t>
        </is>
      </c>
      <c r="M192" s="248" t="inlineStr">
        <is>
          <t>MIWU00225</t>
        </is>
      </c>
      <c r="N192" s="245" t="inlineStr">
        <is>
          <t>F.MFM.10X.005.BU</t>
        </is>
      </c>
      <c r="O192" s="245" t="n"/>
      <c r="P192" s="245" t="n"/>
      <c r="Q192" s="250">
        <f>R192/H192</f>
        <v/>
      </c>
      <c r="R192" s="251" t="n">
        <v>1994.65</v>
      </c>
      <c r="S192" s="249" t="n">
        <v>17796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31</v>
      </c>
      <c r="I193" s="245" t="inlineStr"/>
      <c r="J193" s="245" t="inlineStr"/>
      <c r="K193" s="245" t="inlineStr">
        <is>
          <t>12IN MEDIUM MFM FL</t>
        </is>
      </c>
      <c r="L193" s="245" t="inlineStr">
        <is>
          <t>WA-MMF-12F-IN</t>
        </is>
      </c>
      <c r="M193" s="248" t="inlineStr">
        <is>
          <t>MIWU00225</t>
        </is>
      </c>
      <c r="N193" s="245" t="inlineStr">
        <is>
          <t>F.MFM.12F.005.BU</t>
        </is>
      </c>
      <c r="O193" s="245" t="n"/>
      <c r="P193" s="245" t="n"/>
      <c r="Q193" s="250">
        <f>R193/H193</f>
        <v/>
      </c>
      <c r="R193" s="251" t="n">
        <v>2159.15</v>
      </c>
      <c r="S193" s="249" t="n">
        <v>17796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24</v>
      </c>
      <c r="I194" s="245" t="inlineStr"/>
      <c r="J194" s="245" t="inlineStr"/>
      <c r="K194" s="245" t="inlineStr">
        <is>
          <t>12IN MEDIUM MFM EK</t>
        </is>
      </c>
      <c r="L194" s="245" t="inlineStr">
        <is>
          <t>WA-MMF-12K-IN</t>
        </is>
      </c>
      <c r="M194" s="248" t="inlineStr">
        <is>
          <t>MIWU00225</t>
        </is>
      </c>
      <c r="N194" s="245" t="inlineStr">
        <is>
          <t>F.MFM.12K.005.BU</t>
        </is>
      </c>
      <c r="O194" s="245" t="n"/>
      <c r="P194" s="245" t="n"/>
      <c r="Q194" s="250">
        <f>R194/H194</f>
        <v/>
      </c>
      <c r="R194" s="251" t="n">
        <v>2372.64</v>
      </c>
      <c r="S194" s="249" t="n">
        <v>17796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30</v>
      </c>
      <c r="I195" s="245" t="inlineStr"/>
      <c r="J195" s="245" t="inlineStr"/>
      <c r="K195" s="245" t="inlineStr">
        <is>
          <t>12IN MEDIUM MFM QN</t>
        </is>
      </c>
      <c r="L195" s="245" t="inlineStr">
        <is>
          <t>WA-MMF-12Q-IN</t>
        </is>
      </c>
      <c r="M195" s="248" t="inlineStr">
        <is>
          <t>MIWU00225</t>
        </is>
      </c>
      <c r="N195" s="245" t="inlineStr">
        <is>
          <t>F.MFM.12Q.005.BU</t>
        </is>
      </c>
      <c r="O195" s="245" t="n"/>
      <c r="P195" s="245" t="n"/>
      <c r="Q195" s="250">
        <f>R195/H195</f>
        <v/>
      </c>
      <c r="R195" s="251" t="n">
        <v>2429.1</v>
      </c>
      <c r="S195" s="249" t="n">
        <v>17796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44</v>
      </c>
      <c r="I196" s="245" t="inlineStr"/>
      <c r="J196" s="245" t="inlineStr"/>
      <c r="K196" s="245" t="inlineStr">
        <is>
          <t>12IN MEDIUM MFM TW</t>
        </is>
      </c>
      <c r="L196" s="245" t="inlineStr">
        <is>
          <t>WA-MMF-12T-IN</t>
        </is>
      </c>
      <c r="M196" s="248" t="inlineStr">
        <is>
          <t>MIWU00225</t>
        </is>
      </c>
      <c r="N196" s="245" t="inlineStr">
        <is>
          <t>F.MFM.12T.005.BU</t>
        </is>
      </c>
      <c r="O196" s="245" t="n"/>
      <c r="P196" s="245" t="n"/>
      <c r="Q196" s="250">
        <f>R196/H196</f>
        <v/>
      </c>
      <c r="R196" s="251" t="n">
        <v>2292.4</v>
      </c>
      <c r="S196" s="249" t="n">
        <v>17796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6.5" customHeight="1" s="202">
      <c r="A197" s="245" t="n"/>
      <c r="B197" s="245" t="n"/>
      <c r="C197" s="245" t="n"/>
      <c r="D197" s="245" t="n"/>
      <c r="E197" s="245" t="n"/>
      <c r="F197" s="245" t="n"/>
      <c r="G197" s="245" t="n"/>
      <c r="H197" s="247" t="n">
        <v>100</v>
      </c>
      <c r="I197" s="245" t="inlineStr"/>
      <c r="J197" s="245" t="inlineStr"/>
      <c r="K197" s="245" t="inlineStr">
        <is>
          <t>6IN MEDIUM MFM TW</t>
        </is>
      </c>
      <c r="L197" s="245" t="inlineStr">
        <is>
          <t>WA-MMF-6T-IN</t>
        </is>
      </c>
      <c r="M197" s="248" t="inlineStr">
        <is>
          <t>MIWU00225</t>
        </is>
      </c>
      <c r="N197" s="245" t="inlineStr">
        <is>
          <t>F.MFM.06T.002.BU</t>
        </is>
      </c>
      <c r="O197" s="245" t="n"/>
      <c r="P197" s="245" t="n"/>
      <c r="Q197" s="250">
        <f>R197/H197</f>
        <v/>
      </c>
      <c r="R197" s="251" t="n">
        <v>3210</v>
      </c>
      <c r="S197" s="249" t="n">
        <v>17796</v>
      </c>
      <c r="T197" s="252">
        <f>S197*R197</f>
        <v/>
      </c>
      <c r="U197" s="245" t="n"/>
      <c r="V197" s="245" t="n"/>
      <c r="W197" s="245" t="n"/>
      <c r="X197" s="245" t="n"/>
      <c r="Y197" s="245" t="n"/>
      <c r="Z197" s="245" t="n"/>
    </row>
    <row r="198" ht="17.1" customHeight="1" s="202">
      <c r="A198" s="254" t="n"/>
      <c r="B198" s="254" t="n"/>
      <c r="C198" s="254" t="n"/>
      <c r="D198" s="254" t="n"/>
      <c r="E198" s="254" t="n"/>
      <c r="F198" s="254" t="n"/>
      <c r="G198" s="254" t="n"/>
      <c r="H198" s="255">
        <f>SUM(H188:H197)</f>
        <v/>
      </c>
      <c r="I198" s="254">
        <f>COUNTA(I188:I197)</f>
        <v/>
      </c>
      <c r="J198" s="254" t="n"/>
      <c r="K198" s="254" t="n"/>
      <c r="L198" s="254" t="n"/>
      <c r="M198" s="254" t="n"/>
      <c r="N198" s="254" t="n"/>
      <c r="O198" s="256">
        <f>SUM(O188:O197)</f>
        <v/>
      </c>
      <c r="P198" s="256">
        <f>SUM(P188:P197)</f>
        <v/>
      </c>
      <c r="Q198" s="254" t="n"/>
      <c r="R198" s="257">
        <f>SUM(R188:R197)</f>
        <v/>
      </c>
      <c r="S198" s="254" t="n"/>
      <c r="T198" s="258">
        <f>SUM(T188:T197)</f>
        <v/>
      </c>
      <c r="U198" s="254" t="n"/>
      <c r="V198" s="254" t="n"/>
      <c r="W198" s="254" t="n"/>
      <c r="X198" s="254" t="n"/>
      <c r="Y198" s="254" t="n"/>
      <c r="Z198" s="254" t="n"/>
    </row>
    <row r="199" ht="16.5" customHeight="1" s="202">
      <c r="A199" s="245" t="n">
        <v>21</v>
      </c>
      <c r="B199" s="245" t="inlineStr">
        <is>
          <t>000030ZIK48020260827000706</t>
        </is>
      </c>
      <c r="C199" s="245" t="n">
        <v>544174</v>
      </c>
      <c r="D199" s="245" t="n">
        <v>544100</v>
      </c>
      <c r="E199" s="246" t="n">
        <v>46262</v>
      </c>
      <c r="F199" s="245" t="inlineStr">
        <is>
          <t>ID2608-8281</t>
        </is>
      </c>
      <c r="G199" s="246" t="n">
        <v>46261</v>
      </c>
      <c r="H199" s="247" t="n">
        <v>86</v>
      </c>
      <c r="I199" s="245" t="inlineStr">
        <is>
          <t>TCNU1838267</t>
        </is>
      </c>
      <c r="J199" s="245" t="inlineStr">
        <is>
          <t>40FT</t>
        </is>
      </c>
      <c r="K199" s="245" t="inlineStr">
        <is>
          <t>10IN MEDIUM MFM FL</t>
        </is>
      </c>
      <c r="L199" s="245" t="inlineStr">
        <is>
          <t>WA-MMF-10F-IN</t>
        </is>
      </c>
      <c r="M199" s="248" t="inlineStr">
        <is>
          <t>MIWU00224</t>
        </is>
      </c>
      <c r="N199" s="245" t="inlineStr">
        <is>
          <t>F.MFM.10F.005.BU</t>
        </is>
      </c>
      <c r="O199" s="249" t="n">
        <v>12658.3</v>
      </c>
      <c r="P199" s="249" t="n">
        <v>11424.5</v>
      </c>
      <c r="Q199" s="250">
        <f>R199/H199</f>
        <v/>
      </c>
      <c r="R199" s="251" t="n">
        <v>5192.68</v>
      </c>
      <c r="S199" s="249" t="n">
        <v>17796</v>
      </c>
      <c r="T199" s="252">
        <f>S199*R199</f>
        <v/>
      </c>
      <c r="U199" s="245" t="inlineStr">
        <is>
          <t>040300/KPPBC</t>
        </is>
      </c>
      <c r="V199" s="245" t="inlineStr">
        <is>
          <t>TG. PRIOK</t>
        </is>
      </c>
      <c r="W199" s="245" t="inlineStr">
        <is>
          <t>NEWARK, US</t>
        </is>
      </c>
      <c r="X199" s="245" t="inlineStr">
        <is>
          <t>MELLOW INC</t>
        </is>
      </c>
      <c r="Y199" s="245" t="inlineStr">
        <is>
          <t>MAEU275514804</t>
        </is>
      </c>
      <c r="Z199" s="246" t="n">
        <v>46262</v>
      </c>
    </row>
    <row r="200" ht="16.5" customHeight="1" s="202">
      <c r="A200" s="245" t="n"/>
      <c r="B200" s="245" t="n"/>
      <c r="C200" s="245" t="n"/>
      <c r="D200" s="245" t="n"/>
      <c r="E200" s="245" t="n"/>
      <c r="F200" s="245" t="n"/>
      <c r="G200" s="245" t="n"/>
      <c r="H200" s="247" t="n">
        <v>40</v>
      </c>
      <c r="I200" s="245" t="inlineStr"/>
      <c r="J200" s="245" t="inlineStr"/>
      <c r="K200" s="245" t="inlineStr">
        <is>
          <t>10IN MEDIUM MFM EK</t>
        </is>
      </c>
      <c r="L200" s="245" t="inlineStr">
        <is>
          <t>WA-MMF-10K-IN</t>
        </is>
      </c>
      <c r="M200" s="248" t="inlineStr">
        <is>
          <t>MIWU00224</t>
        </is>
      </c>
      <c r="N200" s="245" t="inlineStr">
        <is>
          <t>F.MFM.10K.005.BU</t>
        </is>
      </c>
      <c r="O200" s="245" t="n"/>
      <c r="P200" s="245" t="n"/>
      <c r="Q200" s="250">
        <f>R200/H200</f>
        <v/>
      </c>
      <c r="R200" s="251" t="n">
        <v>3498.8</v>
      </c>
      <c r="S200" s="249" t="n">
        <v>17796</v>
      </c>
      <c r="T200" s="252">
        <f>S200*R200</f>
        <v/>
      </c>
      <c r="U200" s="245" t="n"/>
      <c r="V200" s="245" t="n"/>
      <c r="W200" s="245" t="inlineStr">
        <is>
          <t>ETD : 04-09-2026</t>
        </is>
      </c>
      <c r="X200" s="245" t="n"/>
      <c r="Y200" s="245" t="n"/>
      <c r="Z200" s="245" t="n"/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7" t="n">
        <v>92</v>
      </c>
      <c r="I201" s="245" t="inlineStr"/>
      <c r="J201" s="245" t="inlineStr"/>
      <c r="K201" s="245" t="inlineStr">
        <is>
          <t>10IN MEDIUM MFM QN</t>
        </is>
      </c>
      <c r="L201" s="245" t="inlineStr">
        <is>
          <t>WA-MMF-10Q-IN</t>
        </is>
      </c>
      <c r="M201" s="248" t="inlineStr">
        <is>
          <t>MIWU00224</t>
        </is>
      </c>
      <c r="N201" s="245" t="inlineStr">
        <is>
          <t>F.MFM.10Q.005.BU</t>
        </is>
      </c>
      <c r="O201" s="245" t="n"/>
      <c r="P201" s="245" t="n"/>
      <c r="Q201" s="250">
        <f>R201/H201</f>
        <v/>
      </c>
      <c r="R201" s="251" t="n">
        <v>6583.52</v>
      </c>
      <c r="S201" s="249" t="n">
        <v>17796</v>
      </c>
      <c r="T201" s="252">
        <f>S201*R201</f>
        <v/>
      </c>
      <c r="U201" s="245" t="n"/>
      <c r="V201" s="245" t="n"/>
      <c r="W201" s="245" t="n"/>
      <c r="X201" s="245" t="n"/>
      <c r="Y201" s="245" t="n"/>
      <c r="Z201" s="245" t="n"/>
    </row>
    <row r="202" ht="16.5" customHeight="1" s="202">
      <c r="A202" s="245" t="n"/>
      <c r="B202" s="245" t="n"/>
      <c r="C202" s="245" t="n"/>
      <c r="D202" s="245" t="n"/>
      <c r="E202" s="245" t="n"/>
      <c r="F202" s="245" t="n"/>
      <c r="G202" s="245" t="n"/>
      <c r="H202" s="247" t="n">
        <v>40</v>
      </c>
      <c r="I202" s="245" t="inlineStr"/>
      <c r="J202" s="245" t="inlineStr"/>
      <c r="K202" s="245" t="inlineStr">
        <is>
          <t>10IN MEDIUM MFM TW</t>
        </is>
      </c>
      <c r="L202" s="245" t="inlineStr">
        <is>
          <t>WA-MMF-10T-IN</t>
        </is>
      </c>
      <c r="M202" s="248" t="inlineStr">
        <is>
          <t>MIWU00224</t>
        </is>
      </c>
      <c r="N202" s="245" t="inlineStr">
        <is>
          <t>F.MFM.10T.005.BU</t>
        </is>
      </c>
      <c r="O202" s="245" t="n"/>
      <c r="P202" s="245" t="n"/>
      <c r="Q202" s="250">
        <f>R202/H202</f>
        <v/>
      </c>
      <c r="R202" s="251" t="n">
        <v>1840.8</v>
      </c>
      <c r="S202" s="249" t="n">
        <v>17796</v>
      </c>
      <c r="T202" s="252">
        <f>S202*R202</f>
        <v/>
      </c>
      <c r="U202" s="245" t="n"/>
      <c r="V202" s="245" t="n"/>
      <c r="W202" s="245" t="n"/>
      <c r="X202" s="245" t="n"/>
      <c r="Y202" s="245" t="n"/>
      <c r="Z202" s="245" t="n"/>
    </row>
    <row r="203" ht="16.5" customHeight="1" s="202">
      <c r="A203" s="245" t="n"/>
      <c r="B203" s="245" t="n"/>
      <c r="C203" s="245" t="n"/>
      <c r="D203" s="245" t="n"/>
      <c r="E203" s="245" t="n"/>
      <c r="F203" s="245" t="n"/>
      <c r="G203" s="245" t="n"/>
      <c r="H203" s="247" t="n">
        <v>40</v>
      </c>
      <c r="I203" s="245" t="inlineStr"/>
      <c r="J203" s="245" t="inlineStr"/>
      <c r="K203" s="245" t="inlineStr">
        <is>
          <t>10IN MEDIUM MFM TX</t>
        </is>
      </c>
      <c r="L203" s="245" t="inlineStr">
        <is>
          <t>WA-MMF-10TXL-IN</t>
        </is>
      </c>
      <c r="M203" s="248" t="inlineStr">
        <is>
          <t>MIWU00224</t>
        </is>
      </c>
      <c r="N203" s="245" t="inlineStr">
        <is>
          <t>F.MFM.10X.005.BU</t>
        </is>
      </c>
      <c r="O203" s="245" t="n"/>
      <c r="P203" s="245" t="n"/>
      <c r="Q203" s="250">
        <f>R203/H203</f>
        <v/>
      </c>
      <c r="R203" s="251" t="n">
        <v>1946</v>
      </c>
      <c r="S203" s="249" t="n">
        <v>17796</v>
      </c>
      <c r="T203" s="252">
        <f>S203*R203</f>
        <v/>
      </c>
      <c r="U203" s="245" t="n"/>
      <c r="V203" s="245" t="n"/>
      <c r="W203" s="245" t="n"/>
      <c r="X203" s="245" t="n"/>
      <c r="Y203" s="245" t="n"/>
      <c r="Z203" s="245" t="n"/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30</v>
      </c>
      <c r="I204" s="245" t="inlineStr"/>
      <c r="J204" s="245" t="inlineStr"/>
      <c r="K204" s="245" t="inlineStr">
        <is>
          <t>12IN MEDIUM MFM FL</t>
        </is>
      </c>
      <c r="L204" s="245" t="inlineStr">
        <is>
          <t>WA-MMF-12F-IN</t>
        </is>
      </c>
      <c r="M204" s="248" t="inlineStr">
        <is>
          <t>MIWU00224</t>
        </is>
      </c>
      <c r="N204" s="245" t="inlineStr">
        <is>
          <t>F.MFM.12F.005.BU</t>
        </is>
      </c>
      <c r="O204" s="245" t="n"/>
      <c r="P204" s="245" t="n"/>
      <c r="Q204" s="250">
        <f>R204/H204</f>
        <v/>
      </c>
      <c r="R204" s="251" t="n">
        <v>2089.5</v>
      </c>
      <c r="S204" s="249" t="n">
        <v>17796</v>
      </c>
      <c r="T204" s="252">
        <f>S204*R204</f>
        <v/>
      </c>
      <c r="U204" s="245" t="n"/>
      <c r="V204" s="245" t="n"/>
      <c r="W204" s="245" t="n"/>
      <c r="X204" s="245" t="n"/>
      <c r="Y204" s="245" t="n"/>
      <c r="Z204" s="245" t="n"/>
    </row>
    <row r="205" ht="16.5" customHeight="1" s="202">
      <c r="A205" s="245" t="n"/>
      <c r="B205" s="245" t="n"/>
      <c r="C205" s="245" t="n"/>
      <c r="D205" s="245" t="n"/>
      <c r="E205" s="245" t="n"/>
      <c r="F205" s="245" t="n"/>
      <c r="G205" s="245" t="n"/>
      <c r="H205" s="247" t="n">
        <v>32</v>
      </c>
      <c r="I205" s="245" t="inlineStr"/>
      <c r="J205" s="245" t="inlineStr"/>
      <c r="K205" s="245" t="inlineStr">
        <is>
          <t>12IN MEDIUM MFM EK</t>
        </is>
      </c>
      <c r="L205" s="245" t="inlineStr">
        <is>
          <t>WA-MMF-12K-IN</t>
        </is>
      </c>
      <c r="M205" s="248" t="inlineStr">
        <is>
          <t>MIWU00224</t>
        </is>
      </c>
      <c r="N205" s="245" t="inlineStr">
        <is>
          <t>F.MFM.12K.005.BU</t>
        </is>
      </c>
      <c r="O205" s="245" t="n"/>
      <c r="P205" s="245" t="n"/>
      <c r="Q205" s="250">
        <f>R205/H205</f>
        <v/>
      </c>
      <c r="R205" s="251" t="n">
        <v>3163.52</v>
      </c>
      <c r="S205" s="249" t="n">
        <v>17796</v>
      </c>
      <c r="T205" s="252">
        <f>S205*R205</f>
        <v/>
      </c>
      <c r="U205" s="245" t="n"/>
      <c r="V205" s="245" t="n"/>
      <c r="W205" s="245" t="n"/>
      <c r="X205" s="245" t="n"/>
      <c r="Y205" s="245" t="n"/>
      <c r="Z205" s="245" t="n"/>
    </row>
    <row r="206" ht="16.5" customHeight="1" s="202">
      <c r="A206" s="245" t="n"/>
      <c r="B206" s="245" t="n"/>
      <c r="C206" s="245" t="n"/>
      <c r="D206" s="245" t="n"/>
      <c r="E206" s="245" t="n"/>
      <c r="F206" s="245" t="n"/>
      <c r="G206" s="245" t="n"/>
      <c r="H206" s="247" t="n">
        <v>67</v>
      </c>
      <c r="I206" s="245" t="inlineStr"/>
      <c r="J206" s="245" t="inlineStr"/>
      <c r="K206" s="245" t="inlineStr">
        <is>
          <t>12IN MEDIUM MFM QN</t>
        </is>
      </c>
      <c r="L206" s="245" t="inlineStr">
        <is>
          <t>WA-MMF-12Q-IN</t>
        </is>
      </c>
      <c r="M206" s="248" t="inlineStr">
        <is>
          <t>MIWU00224</t>
        </is>
      </c>
      <c r="N206" s="245" t="inlineStr">
        <is>
          <t>F.MFM.12Q.005.BU</t>
        </is>
      </c>
      <c r="O206" s="245" t="n"/>
      <c r="P206" s="245" t="n"/>
      <c r="Q206" s="250">
        <f>R206/H206</f>
        <v/>
      </c>
      <c r="R206" s="251" t="n">
        <v>5424.99</v>
      </c>
      <c r="S206" s="249" t="n">
        <v>17796</v>
      </c>
      <c r="T206" s="252">
        <f>S206*R206</f>
        <v/>
      </c>
      <c r="U206" s="245" t="n"/>
      <c r="V206" s="245" t="n"/>
      <c r="W206" s="245" t="n"/>
      <c r="X206" s="245" t="n"/>
      <c r="Y206" s="245" t="n"/>
      <c r="Z206" s="245" t="n"/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7" t="n">
        <v>30</v>
      </c>
      <c r="I207" s="245" t="inlineStr"/>
      <c r="J207" s="245" t="inlineStr"/>
      <c r="K207" s="245" t="inlineStr">
        <is>
          <t>12IN MEDIUM MFM TW</t>
        </is>
      </c>
      <c r="L207" s="245" t="inlineStr">
        <is>
          <t>WA-MMF-12T-IN</t>
        </is>
      </c>
      <c r="M207" s="248" t="inlineStr">
        <is>
          <t>MIWU00224</t>
        </is>
      </c>
      <c r="N207" s="245" t="inlineStr">
        <is>
          <t>F.MFM.12T.005.BU</t>
        </is>
      </c>
      <c r="O207" s="245" t="n"/>
      <c r="P207" s="245" t="n"/>
      <c r="Q207" s="250">
        <f>R207/H207</f>
        <v/>
      </c>
      <c r="R207" s="251" t="n">
        <v>1563</v>
      </c>
      <c r="S207" s="249" t="n">
        <v>17796</v>
      </c>
      <c r="T207" s="252">
        <f>S207*R207</f>
        <v/>
      </c>
      <c r="U207" s="245" t="n"/>
      <c r="V207" s="245" t="n"/>
      <c r="W207" s="245" t="n"/>
      <c r="X207" s="245" t="n"/>
      <c r="Y207" s="245" t="n"/>
      <c r="Z207" s="245" t="n"/>
    </row>
    <row r="208" ht="16.5" customHeight="1" s="202">
      <c r="A208" s="245" t="n"/>
      <c r="B208" s="245" t="n"/>
      <c r="C208" s="245" t="n"/>
      <c r="D208" s="245" t="n"/>
      <c r="E208" s="245" t="n"/>
      <c r="F208" s="245" t="n"/>
      <c r="G208" s="245" t="n"/>
      <c r="H208" s="247" t="n">
        <v>69</v>
      </c>
      <c r="I208" s="245" t="inlineStr"/>
      <c r="J208" s="245" t="inlineStr"/>
      <c r="K208" s="245" t="inlineStr">
        <is>
          <t>6IN MEDIUM MFM TW</t>
        </is>
      </c>
      <c r="L208" s="245" t="inlineStr">
        <is>
          <t>WA-MMF-6T-IN</t>
        </is>
      </c>
      <c r="M208" s="248" t="inlineStr">
        <is>
          <t>MIWU00224</t>
        </is>
      </c>
      <c r="N208" s="245" t="inlineStr">
        <is>
          <t>F.MFM.06T.002.BU</t>
        </is>
      </c>
      <c r="O208" s="245" t="n"/>
      <c r="P208" s="245" t="n"/>
      <c r="Q208" s="250">
        <f>R208/H208</f>
        <v/>
      </c>
      <c r="R208" s="251" t="n">
        <v>2214.9</v>
      </c>
      <c r="S208" s="249" t="n">
        <v>17796</v>
      </c>
      <c r="T208" s="252">
        <f>S208*R208</f>
        <v/>
      </c>
      <c r="U208" s="245" t="n"/>
      <c r="V208" s="245" t="n"/>
      <c r="W208" s="245" t="n"/>
      <c r="X208" s="245" t="n"/>
      <c r="Y208" s="245" t="n"/>
      <c r="Z208" s="245" t="n"/>
    </row>
    <row r="209" ht="16.5" customHeight="1" s="202">
      <c r="A209" s="245" t="n"/>
      <c r="B209" s="245" t="n"/>
      <c r="C209" s="245" t="n"/>
      <c r="D209" s="245" t="n"/>
      <c r="E209" s="245" t="n"/>
      <c r="F209" s="245" t="n"/>
      <c r="G209" s="245" t="n"/>
      <c r="H209" s="247" t="n">
        <v>26</v>
      </c>
      <c r="I209" s="245" t="inlineStr"/>
      <c r="J209" s="245" t="inlineStr"/>
      <c r="K209" s="245" t="inlineStr">
        <is>
          <t>8IN MEDIUM MFM TW</t>
        </is>
      </c>
      <c r="L209" s="245" t="inlineStr">
        <is>
          <t>WA-MMF-8T-IN</t>
        </is>
      </c>
      <c r="M209" s="248" t="inlineStr">
        <is>
          <t>MIWU00224</t>
        </is>
      </c>
      <c r="N209" s="245" t="inlineStr">
        <is>
          <t>F.MFM.08T.005.BU</t>
        </is>
      </c>
      <c r="O209" s="245" t="n"/>
      <c r="P209" s="245" t="n"/>
      <c r="Q209" s="250">
        <f>R209/H209</f>
        <v/>
      </c>
      <c r="R209" s="251" t="n">
        <v>1010.88</v>
      </c>
      <c r="S209" s="249" t="n">
        <v>17796</v>
      </c>
      <c r="T209" s="252">
        <f>S209*R209</f>
        <v/>
      </c>
      <c r="U209" s="245" t="n"/>
      <c r="V209" s="245" t="n"/>
      <c r="W209" s="245" t="n"/>
      <c r="X209" s="245" t="n"/>
      <c r="Y209" s="245" t="n"/>
      <c r="Z209" s="245" t="n"/>
    </row>
    <row r="210" ht="17.1" customHeight="1" s="202">
      <c r="A210" s="254" t="n"/>
      <c r="B210" s="254" t="n"/>
      <c r="C210" s="254" t="n"/>
      <c r="D210" s="254" t="n"/>
      <c r="E210" s="254" t="n"/>
      <c r="F210" s="254" t="n"/>
      <c r="G210" s="254" t="n"/>
      <c r="H210" s="255">
        <f>SUM(H199:H209)</f>
        <v/>
      </c>
      <c r="I210" s="254">
        <f>COUNTA(I199:I209)</f>
        <v/>
      </c>
      <c r="J210" s="254" t="n"/>
      <c r="K210" s="254" t="n"/>
      <c r="L210" s="254" t="n"/>
      <c r="M210" s="254" t="n"/>
      <c r="N210" s="254" t="n"/>
      <c r="O210" s="256">
        <f>SUM(O199:O209)</f>
        <v/>
      </c>
      <c r="P210" s="256">
        <f>SUM(P199:P209)</f>
        <v/>
      </c>
      <c r="Q210" s="254" t="n"/>
      <c r="R210" s="257">
        <f>SUM(R199:R209)</f>
        <v/>
      </c>
      <c r="S210" s="254" t="n"/>
      <c r="T210" s="258">
        <f>SUM(T199:T209)</f>
        <v/>
      </c>
      <c r="U210" s="254" t="n"/>
      <c r="V210" s="254" t="n"/>
      <c r="W210" s="254" t="n"/>
      <c r="X210" s="254" t="n"/>
      <c r="Y210" s="254" t="n"/>
      <c r="Z210" s="254" t="n"/>
    </row>
    <row r="211" ht="16.5" customHeight="1" s="202">
      <c r="A211" s="245" t="n">
        <v>22</v>
      </c>
      <c r="B211" s="245" t="inlineStr">
        <is>
          <t>000030ZIK48020260827000707</t>
        </is>
      </c>
      <c r="C211" s="245" t="n">
        <v>542695</v>
      </c>
      <c r="D211" s="245" t="n">
        <v>542627</v>
      </c>
      <c r="E211" s="246" t="n">
        <v>46262</v>
      </c>
      <c r="F211" s="245" t="inlineStr">
        <is>
          <t>ID2608-8282</t>
        </is>
      </c>
      <c r="G211" s="246" t="n">
        <v>46261</v>
      </c>
      <c r="H211" s="247" t="n">
        <v>90</v>
      </c>
      <c r="I211" s="245" t="inlineStr">
        <is>
          <t>TEMU8890781</t>
        </is>
      </c>
      <c r="J211" s="245" t="inlineStr">
        <is>
          <t>40FT</t>
        </is>
      </c>
      <c r="K211" s="245" t="inlineStr">
        <is>
          <t>10IN MEDIUM MFM FL</t>
        </is>
      </c>
      <c r="L211" s="245" t="inlineStr">
        <is>
          <t>WA-MMF-10F-IN</t>
        </is>
      </c>
      <c r="M211" s="248" t="inlineStr">
        <is>
          <t>MIWU00227</t>
        </is>
      </c>
      <c r="N211" s="245" t="inlineStr">
        <is>
          <t>F.MFM.10F.005.BU</t>
        </is>
      </c>
      <c r="O211" s="249" t="n">
        <v>12471.5</v>
      </c>
      <c r="P211" s="249" t="n">
        <v>11328</v>
      </c>
      <c r="Q211" s="250">
        <f>R211/H211</f>
        <v/>
      </c>
      <c r="R211" s="251" t="n">
        <v>5434.2</v>
      </c>
      <c r="S211" s="249" t="n">
        <v>17796</v>
      </c>
      <c r="T211" s="252">
        <f>S211*R211</f>
        <v/>
      </c>
      <c r="U211" s="245" t="inlineStr">
        <is>
          <t>040300/KPPBC</t>
        </is>
      </c>
      <c r="V211" s="245" t="inlineStr">
        <is>
          <t>TG. PRIOK</t>
        </is>
      </c>
      <c r="W211" s="245" t="inlineStr">
        <is>
          <t>NEWARK, US</t>
        </is>
      </c>
      <c r="X211" s="245" t="inlineStr">
        <is>
          <t>MELLOW INC</t>
        </is>
      </c>
      <c r="Y211" s="245" t="inlineStr">
        <is>
          <t>MAEU275514821</t>
        </is>
      </c>
      <c r="Z211" s="246" t="n">
        <v>46262</v>
      </c>
    </row>
    <row r="212" ht="16.5" customHeight="1" s="202">
      <c r="A212" s="245" t="n"/>
      <c r="B212" s="245" t="n"/>
      <c r="C212" s="245" t="n"/>
      <c r="D212" s="245" t="n"/>
      <c r="E212" s="245" t="n"/>
      <c r="F212" s="245" t="n"/>
      <c r="G212" s="245" t="n"/>
      <c r="H212" s="247" t="n">
        <v>105</v>
      </c>
      <c r="I212" s="245" t="inlineStr"/>
      <c r="J212" s="245" t="inlineStr"/>
      <c r="K212" s="245" t="inlineStr">
        <is>
          <t>10IN MEDIUM MFM QN</t>
        </is>
      </c>
      <c r="L212" s="245" t="inlineStr">
        <is>
          <t>WA-MMF-10Q-IN</t>
        </is>
      </c>
      <c r="M212" s="248" t="inlineStr">
        <is>
          <t>MIWU00227</t>
        </is>
      </c>
      <c r="N212" s="245" t="inlineStr">
        <is>
          <t>F.MFM.10Q.005.BU</t>
        </is>
      </c>
      <c r="O212" s="245" t="n"/>
      <c r="P212" s="245" t="n"/>
      <c r="Q212" s="250">
        <f>R212/H212</f>
        <v/>
      </c>
      <c r="R212" s="251" t="n">
        <v>7513.8</v>
      </c>
      <c r="S212" s="249" t="n">
        <v>17796</v>
      </c>
      <c r="T212" s="252">
        <f>S212*R212</f>
        <v/>
      </c>
      <c r="U212" s="245" t="n"/>
      <c r="V212" s="245" t="n"/>
      <c r="W212" s="245" t="inlineStr">
        <is>
          <t>ETD : 04-09-2026</t>
        </is>
      </c>
      <c r="X212" s="245" t="n"/>
      <c r="Y212" s="245" t="n"/>
      <c r="Z212" s="245" t="n"/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7" t="n">
        <v>25</v>
      </c>
      <c r="I213" s="245" t="inlineStr"/>
      <c r="J213" s="245" t="inlineStr"/>
      <c r="K213" s="245" t="inlineStr">
        <is>
          <t>12IN MEDIUM MFM EK</t>
        </is>
      </c>
      <c r="L213" s="245" t="inlineStr">
        <is>
          <t>WA-MMF-12K-IN</t>
        </is>
      </c>
      <c r="M213" s="248" t="inlineStr">
        <is>
          <t>MIWU00227</t>
        </is>
      </c>
      <c r="N213" s="245" t="inlineStr">
        <is>
          <t>F.MFM.12K.005.BU</t>
        </is>
      </c>
      <c r="O213" s="245" t="n"/>
      <c r="P213" s="245" t="n"/>
      <c r="Q213" s="250">
        <f>R213/H213</f>
        <v/>
      </c>
      <c r="R213" s="251" t="n">
        <v>2471.5</v>
      </c>
      <c r="S213" s="249" t="n">
        <v>17796</v>
      </c>
      <c r="T213" s="252">
        <f>S213*R213</f>
        <v/>
      </c>
      <c r="U213" s="245" t="n"/>
      <c r="V213" s="245" t="n"/>
      <c r="W213" s="245" t="n"/>
      <c r="X213" s="245" t="n"/>
      <c r="Y213" s="245" t="n"/>
      <c r="Z213" s="245" t="n"/>
    </row>
    <row r="214" ht="16.5" customHeight="1" s="202">
      <c r="A214" s="245" t="n"/>
      <c r="B214" s="245" t="n"/>
      <c r="C214" s="245" t="n"/>
      <c r="D214" s="245" t="n"/>
      <c r="E214" s="245" t="n"/>
      <c r="F214" s="245" t="n"/>
      <c r="G214" s="245" t="n"/>
      <c r="H214" s="247" t="n">
        <v>60</v>
      </c>
      <c r="I214" s="245" t="inlineStr"/>
      <c r="J214" s="245" t="inlineStr"/>
      <c r="K214" s="245" t="inlineStr">
        <is>
          <t>12IN MEDIUM MFM QN</t>
        </is>
      </c>
      <c r="L214" s="245" t="inlineStr">
        <is>
          <t>WA-MMF-12Q-IN</t>
        </is>
      </c>
      <c r="M214" s="248" t="inlineStr">
        <is>
          <t>MIWU00227</t>
        </is>
      </c>
      <c r="N214" s="245" t="inlineStr">
        <is>
          <t>F.MFM.12Q.005.BU</t>
        </is>
      </c>
      <c r="O214" s="245" t="n"/>
      <c r="P214" s="245" t="n"/>
      <c r="Q214" s="250">
        <f>R214/H214</f>
        <v/>
      </c>
      <c r="R214" s="251" t="n">
        <v>4858.2</v>
      </c>
      <c r="S214" s="249" t="n">
        <v>17796</v>
      </c>
      <c r="T214" s="252">
        <f>S214*R214</f>
        <v/>
      </c>
      <c r="U214" s="245" t="n"/>
      <c r="V214" s="245" t="n"/>
      <c r="W214" s="245" t="n"/>
      <c r="X214" s="245" t="n"/>
      <c r="Y214" s="245" t="n"/>
      <c r="Z214" s="245" t="n"/>
    </row>
    <row r="215" ht="16.5" customHeight="1" s="202">
      <c r="A215" s="245" t="n"/>
      <c r="B215" s="245" t="n"/>
      <c r="C215" s="245" t="n"/>
      <c r="D215" s="245" t="n"/>
      <c r="E215" s="245" t="n"/>
      <c r="F215" s="245" t="n"/>
      <c r="G215" s="245" t="n"/>
      <c r="H215" s="247" t="n">
        <v>30</v>
      </c>
      <c r="I215" s="245" t="inlineStr"/>
      <c r="J215" s="245" t="inlineStr"/>
      <c r="K215" s="245" t="inlineStr">
        <is>
          <t>14IN MEDIUM MFM FL</t>
        </is>
      </c>
      <c r="L215" s="245" t="inlineStr">
        <is>
          <t>WA-MMF-14F-IN</t>
        </is>
      </c>
      <c r="M215" s="248" t="inlineStr">
        <is>
          <t>MIWU00227</t>
        </is>
      </c>
      <c r="N215" s="245" t="inlineStr">
        <is>
          <t>F.MFM.14F.000.BU</t>
        </is>
      </c>
      <c r="O215" s="245" t="n"/>
      <c r="P215" s="245" t="n"/>
      <c r="Q215" s="250">
        <f>R215/H215</f>
        <v/>
      </c>
      <c r="R215" s="251" t="n">
        <v>2338.8</v>
      </c>
      <c r="S215" s="249" t="n">
        <v>17796</v>
      </c>
      <c r="T215" s="252">
        <f>S215*R215</f>
        <v/>
      </c>
      <c r="U215" s="245" t="n"/>
      <c r="V215" s="245" t="n"/>
      <c r="W215" s="245" t="n"/>
      <c r="X215" s="245" t="n"/>
      <c r="Y215" s="245" t="n"/>
      <c r="Z215" s="245" t="n"/>
    </row>
    <row r="216" ht="16.5" customHeight="1" s="202">
      <c r="A216" s="245" t="n"/>
      <c r="B216" s="245" t="n"/>
      <c r="C216" s="245" t="n"/>
      <c r="D216" s="245" t="n"/>
      <c r="E216" s="245" t="n"/>
      <c r="F216" s="245" t="n"/>
      <c r="G216" s="245" t="n"/>
      <c r="H216" s="247" t="n">
        <v>30</v>
      </c>
      <c r="I216" s="245" t="inlineStr"/>
      <c r="J216" s="245" t="inlineStr"/>
      <c r="K216" s="245" t="inlineStr">
        <is>
          <t>14IN MEDIUM MFM EK</t>
        </is>
      </c>
      <c r="L216" s="245" t="inlineStr">
        <is>
          <t>WA-MMF-14K-IN</t>
        </is>
      </c>
      <c r="M216" s="248" t="inlineStr">
        <is>
          <t>MIWU00227</t>
        </is>
      </c>
      <c r="N216" s="245" t="inlineStr">
        <is>
          <t>F.MFM.14K.000.BU</t>
        </is>
      </c>
      <c r="O216" s="245" t="n"/>
      <c r="P216" s="245" t="n"/>
      <c r="Q216" s="250">
        <f>R216/H216</f>
        <v/>
      </c>
      <c r="R216" s="251" t="n">
        <v>3357</v>
      </c>
      <c r="S216" s="249" t="n">
        <v>17796</v>
      </c>
      <c r="T216" s="252">
        <f>S216*R216</f>
        <v/>
      </c>
      <c r="U216" s="245" t="n"/>
      <c r="V216" s="245" t="n"/>
      <c r="W216" s="245" t="n"/>
      <c r="X216" s="245" t="n"/>
      <c r="Y216" s="245" t="n"/>
      <c r="Z216" s="245" t="n"/>
    </row>
    <row r="217" ht="16.5" customHeight="1" s="202">
      <c r="A217" s="245" t="n"/>
      <c r="B217" s="245" t="n"/>
      <c r="C217" s="245" t="n"/>
      <c r="D217" s="245" t="n"/>
      <c r="E217" s="245" t="n"/>
      <c r="F217" s="245" t="n"/>
      <c r="G217" s="245" t="n"/>
      <c r="H217" s="247" t="n">
        <v>60</v>
      </c>
      <c r="I217" s="245" t="inlineStr"/>
      <c r="J217" s="245" t="inlineStr"/>
      <c r="K217" s="245" t="inlineStr">
        <is>
          <t>14IN MEDIUM MFM QN</t>
        </is>
      </c>
      <c r="L217" s="245" t="inlineStr">
        <is>
          <t>WA-MMF-14Q-IN</t>
        </is>
      </c>
      <c r="M217" s="248" t="inlineStr">
        <is>
          <t>MIWU00227</t>
        </is>
      </c>
      <c r="N217" s="245" t="inlineStr">
        <is>
          <t>F.MFM.14Q.000.BU</t>
        </is>
      </c>
      <c r="O217" s="245" t="n"/>
      <c r="P217" s="245" t="n"/>
      <c r="Q217" s="250">
        <f>R217/H217</f>
        <v/>
      </c>
      <c r="R217" s="251" t="n">
        <v>5440.2</v>
      </c>
      <c r="S217" s="249" t="n">
        <v>17796</v>
      </c>
      <c r="T217" s="252">
        <f>S217*R217</f>
        <v/>
      </c>
      <c r="U217" s="245" t="n"/>
      <c r="V217" s="245" t="n"/>
      <c r="W217" s="245" t="n"/>
      <c r="X217" s="245" t="n"/>
      <c r="Y217" s="245" t="n"/>
      <c r="Z217" s="245" t="n"/>
    </row>
    <row r="218" ht="16.5" customHeight="1" s="202">
      <c r="A218" s="245" t="n"/>
      <c r="B218" s="245" t="n"/>
      <c r="C218" s="245" t="n"/>
      <c r="D218" s="245" t="n"/>
      <c r="E218" s="245" t="n"/>
      <c r="F218" s="245" t="n"/>
      <c r="G218" s="245" t="n"/>
      <c r="H218" s="247" t="n">
        <v>70</v>
      </c>
      <c r="I218" s="245" t="inlineStr"/>
      <c r="J218" s="245" t="inlineStr"/>
      <c r="K218" s="245" t="inlineStr">
        <is>
          <t>6IN MEDIUM MFM TW</t>
        </is>
      </c>
      <c r="L218" s="245" t="inlineStr">
        <is>
          <t>WA-MMF-6T-IN</t>
        </is>
      </c>
      <c r="M218" s="248" t="inlineStr">
        <is>
          <t>MIWU00227</t>
        </is>
      </c>
      <c r="N218" s="245" t="inlineStr">
        <is>
          <t>F.MFM.06T.002.BU</t>
        </is>
      </c>
      <c r="O218" s="245" t="n"/>
      <c r="P218" s="245" t="n"/>
      <c r="Q218" s="250">
        <f>R218/H218</f>
        <v/>
      </c>
      <c r="R218" s="251" t="n">
        <v>2247</v>
      </c>
      <c r="S218" s="249" t="n">
        <v>17796</v>
      </c>
      <c r="T218" s="252">
        <f>S218*R218</f>
        <v/>
      </c>
      <c r="U218" s="245" t="n"/>
      <c r="V218" s="245" t="n"/>
      <c r="W218" s="245" t="n"/>
      <c r="X218" s="245" t="n"/>
      <c r="Y218" s="245" t="n"/>
      <c r="Z218" s="245" t="n"/>
    </row>
    <row r="219" ht="17.1" customHeight="1" s="202">
      <c r="A219" s="254" t="n"/>
      <c r="B219" s="254" t="n"/>
      <c r="C219" s="254" t="n"/>
      <c r="D219" s="254" t="n"/>
      <c r="E219" s="254" t="n"/>
      <c r="F219" s="254" t="n"/>
      <c r="G219" s="254" t="n"/>
      <c r="H219" s="255">
        <f>SUM(H211:H218)</f>
        <v/>
      </c>
      <c r="I219" s="254">
        <f>COUNTA(I211:I218)</f>
        <v/>
      </c>
      <c r="J219" s="254" t="n"/>
      <c r="K219" s="254" t="n"/>
      <c r="L219" s="254" t="n"/>
      <c r="M219" s="254" t="n"/>
      <c r="N219" s="254" t="n"/>
      <c r="O219" s="256">
        <f>SUM(O211:O218)</f>
        <v/>
      </c>
      <c r="P219" s="256">
        <f>SUM(P211:P218)</f>
        <v/>
      </c>
      <c r="Q219" s="254" t="n"/>
      <c r="R219" s="257">
        <f>SUM(R211:R218)</f>
        <v/>
      </c>
      <c r="S219" s="254" t="n"/>
      <c r="T219" s="258">
        <f>SUM(T211:T218)</f>
        <v/>
      </c>
      <c r="U219" s="254" t="n"/>
      <c r="V219" s="254" t="n"/>
      <c r="W219" s="254" t="n"/>
      <c r="X219" s="254" t="n"/>
      <c r="Y219" s="254" t="n"/>
      <c r="Z219" s="254" t="n"/>
    </row>
    <row r="220" ht="16.5" customHeight="1" s="202">
      <c r="A220" s="245" t="n">
        <v>23</v>
      </c>
      <c r="B220" s="245" t="inlineStr">
        <is>
          <t>000030ZIK48020260828000708</t>
        </is>
      </c>
      <c r="C220" s="245" t="n">
        <v>436558</v>
      </c>
      <c r="D220" s="245" t="n">
        <v>436298</v>
      </c>
      <c r="E220" s="246" t="n">
        <v>46262</v>
      </c>
      <c r="F220" s="245" t="inlineStr">
        <is>
          <t>SPL/030/ZDI/VIII/2026</t>
        </is>
      </c>
      <c r="G220" s="246" t="n">
        <v>46262</v>
      </c>
      <c r="H220" s="247" t="n"/>
      <c r="I220" s="245" t="n"/>
      <c r="J220" s="245" t="n"/>
      <c r="K220" s="245" t="n"/>
      <c r="L220" s="245" t="n"/>
      <c r="M220" s="248" t="n"/>
      <c r="N220" s="245" t="n"/>
      <c r="O220" s="249" t="n">
        <v>0.57</v>
      </c>
      <c r="P220" s="249" t="n">
        <v>0.36</v>
      </c>
      <c r="Q220" s="250">
        <f>R220/H220</f>
        <v/>
      </c>
      <c r="R220" s="251" t="n"/>
      <c r="S220" s="249" t="n"/>
      <c r="T220" s="252">
        <f>S220*R220</f>
        <v/>
      </c>
      <c r="U220" s="245" t="inlineStr">
        <is>
          <t>050100/KPPBC</t>
        </is>
      </c>
      <c r="V220" s="245" t="inlineStr">
        <is>
          <t>S. HATTA</t>
        </is>
      </c>
      <c r="W220" s="245" t="inlineStr">
        <is>
          <t>INCHEON INTL APT/SEOUL, KR</t>
        </is>
      </c>
      <c r="X220" s="245" t="inlineStr">
        <is>
          <t>ZINUS KOREA</t>
        </is>
      </c>
      <c r="Y220" s="245" t="inlineStr">
        <is>
          <t>876410602854</t>
        </is>
      </c>
      <c r="Z220" s="246" t="n">
        <v>46262</v>
      </c>
    </row>
    <row r="221" ht="16.5" customHeight="1" s="202">
      <c r="A221" s="245" t="n"/>
      <c r="B221" s="245" t="n"/>
      <c r="C221" s="245" t="n"/>
      <c r="D221" s="245" t="n"/>
      <c r="E221" s="245" t="n"/>
      <c r="F221" s="245" t="n"/>
      <c r="G221" s="245" t="n"/>
      <c r="H221" s="245" t="n"/>
      <c r="I221" s="245" t="n"/>
      <c r="J221" s="245" t="n"/>
      <c r="K221" s="245" t="n"/>
      <c r="L221" s="245" t="n"/>
      <c r="M221" s="245" t="n"/>
      <c r="N221" s="245" t="n"/>
      <c r="O221" s="245" t="n"/>
      <c r="P221" s="245" t="n"/>
      <c r="Q221" s="245" t="n"/>
      <c r="R221" s="245" t="n"/>
      <c r="S221" s="245" t="n"/>
      <c r="T221" s="245" t="n"/>
      <c r="U221" s="245" t="n"/>
      <c r="V221" s="245" t="n"/>
      <c r="W221" s="245" t="inlineStr">
        <is>
          <t>ETD : 04-09-2026</t>
        </is>
      </c>
      <c r="X221" s="245" t="n"/>
      <c r="Y221" s="245" t="n"/>
      <c r="Z221" s="245" t="n"/>
    </row>
    <row r="222" ht="17.1" customHeight="1" s="202">
      <c r="A222" s="254" t="n"/>
      <c r="B222" s="254" t="n"/>
      <c r="C222" s="254" t="n"/>
      <c r="D222" s="254" t="n"/>
      <c r="E222" s="254" t="n"/>
      <c r="F222" s="254" t="n"/>
      <c r="G222" s="254" t="n"/>
      <c r="H222" s="255">
        <f>SUM(H220:H221)</f>
        <v/>
      </c>
      <c r="I222" s="254">
        <f>COUNTA(I220:I221)</f>
        <v/>
      </c>
      <c r="J222" s="254" t="n"/>
      <c r="K222" s="254" t="n"/>
      <c r="L222" s="254" t="n"/>
      <c r="M222" s="254" t="n"/>
      <c r="N222" s="254" t="n"/>
      <c r="O222" s="256">
        <f>SUM(O220:O221)</f>
        <v/>
      </c>
      <c r="P222" s="256">
        <f>SUM(P220:P221)</f>
        <v/>
      </c>
      <c r="Q222" s="254" t="n"/>
      <c r="R222" s="257">
        <f>SUM(R220:R221)</f>
        <v/>
      </c>
      <c r="S222" s="254" t="n"/>
      <c r="T222" s="258">
        <f>SUM(T220:T221)</f>
        <v/>
      </c>
      <c r="U222" s="254" t="n"/>
      <c r="V222" s="254" t="n"/>
      <c r="W222" s="254" t="n"/>
      <c r="X222" s="254" t="n"/>
      <c r="Y222" s="254" t="n"/>
      <c r="Z222" s="254" t="n"/>
    </row>
    <row r="223" ht="16.5" customHeight="1" s="202">
      <c r="A223" s="245" t="n">
        <v>24</v>
      </c>
      <c r="B223" s="245" t="inlineStr">
        <is>
          <t>000030ZIK48020260828000709</t>
        </is>
      </c>
      <c r="C223" s="245" t="n">
        <v>548352</v>
      </c>
      <c r="D223" s="245" t="n">
        <v>548300</v>
      </c>
      <c r="E223" s="246" t="n">
        <v>46265</v>
      </c>
      <c r="F223" s="245" t="inlineStr">
        <is>
          <t>ID2608-8219</t>
        </is>
      </c>
      <c r="G223" s="246" t="n">
        <v>46255</v>
      </c>
      <c r="H223" s="247" t="n">
        <v>90</v>
      </c>
      <c r="I223" s="245" t="inlineStr">
        <is>
          <t>MSGU5123312</t>
        </is>
      </c>
      <c r="J223" s="245" t="inlineStr">
        <is>
          <t>40FT</t>
        </is>
      </c>
      <c r="K223" s="245" t="inlineStr">
        <is>
          <t>10IN MEDIUM MFM FL</t>
        </is>
      </c>
      <c r="L223" s="245" t="inlineStr">
        <is>
          <t>WA-MMF-10F-IN</t>
        </is>
      </c>
      <c r="M223" s="248" t="inlineStr">
        <is>
          <t>MIWU00228</t>
        </is>
      </c>
      <c r="N223" s="245" t="inlineStr">
        <is>
          <t>F.MFM.10F.005.BU</t>
        </is>
      </c>
      <c r="O223" s="249" t="n">
        <v>12471.5</v>
      </c>
      <c r="P223" s="249" t="n">
        <v>11328</v>
      </c>
      <c r="Q223" s="250">
        <f>R223/H223</f>
        <v/>
      </c>
      <c r="R223" s="251" t="n">
        <v>5434.2</v>
      </c>
      <c r="S223" s="249" t="n">
        <v>17796</v>
      </c>
      <c r="T223" s="252">
        <f>S223*R223</f>
        <v/>
      </c>
      <c r="U223" s="245" t="inlineStr">
        <is>
          <t>040300/KPPBC</t>
        </is>
      </c>
      <c r="V223" s="245" t="inlineStr">
        <is>
          <t>TG. PRIOK</t>
        </is>
      </c>
      <c r="W223" s="245" t="inlineStr">
        <is>
          <t>NEW YORK, US</t>
        </is>
      </c>
      <c r="X223" s="245" t="inlineStr">
        <is>
          <t>MELLOW INC</t>
        </is>
      </c>
      <c r="Y223" s="245" t="inlineStr">
        <is>
          <t>MEDUKU632171</t>
        </is>
      </c>
      <c r="Z223" s="246" t="n">
        <v>46265</v>
      </c>
    </row>
    <row r="224" ht="16.5" customHeight="1" s="202">
      <c r="A224" s="245" t="n"/>
      <c r="B224" s="245" t="n"/>
      <c r="C224" s="245" t="n"/>
      <c r="D224" s="245" t="n"/>
      <c r="E224" s="245" t="n"/>
      <c r="F224" s="245" t="n"/>
      <c r="G224" s="245" t="n"/>
      <c r="H224" s="247" t="n">
        <v>105</v>
      </c>
      <c r="I224" s="245" t="inlineStr"/>
      <c r="J224" s="245" t="inlineStr"/>
      <c r="K224" s="245" t="inlineStr">
        <is>
          <t>10IN MEDIUM MFM QN</t>
        </is>
      </c>
      <c r="L224" s="245" t="inlineStr">
        <is>
          <t>WA-MMF-10Q-IN</t>
        </is>
      </c>
      <c r="M224" s="248" t="inlineStr">
        <is>
          <t>MIWU00228</t>
        </is>
      </c>
      <c r="N224" s="245" t="inlineStr">
        <is>
          <t>F.MFM.10Q.005.BU</t>
        </is>
      </c>
      <c r="O224" s="245" t="n"/>
      <c r="P224" s="245" t="n"/>
      <c r="Q224" s="250">
        <f>R224/H224</f>
        <v/>
      </c>
      <c r="R224" s="251" t="n">
        <v>7513.8</v>
      </c>
      <c r="S224" s="249" t="n">
        <v>17796</v>
      </c>
      <c r="T224" s="252">
        <f>S224*R224</f>
        <v/>
      </c>
      <c r="U224" s="245" t="n"/>
      <c r="V224" s="245" t="n"/>
      <c r="W224" s="245" t="inlineStr">
        <is>
          <t>ETD : 05-09-2026</t>
        </is>
      </c>
      <c r="X224" s="245" t="n"/>
      <c r="Y224" s="245" t="n"/>
      <c r="Z224" s="245" t="n"/>
    </row>
    <row r="225" ht="16.5" customHeight="1" s="202">
      <c r="A225" s="245" t="n"/>
      <c r="B225" s="245" t="n"/>
      <c r="C225" s="245" t="n"/>
      <c r="D225" s="245" t="n"/>
      <c r="E225" s="245" t="n"/>
      <c r="F225" s="245" t="n"/>
      <c r="G225" s="245" t="n"/>
      <c r="H225" s="247" t="n">
        <v>25</v>
      </c>
      <c r="I225" s="245" t="inlineStr"/>
      <c r="J225" s="245" t="inlineStr"/>
      <c r="K225" s="245" t="inlineStr">
        <is>
          <t>12IN MEDIUM MFM EK</t>
        </is>
      </c>
      <c r="L225" s="245" t="inlineStr">
        <is>
          <t>WA-MMF-12K-IN</t>
        </is>
      </c>
      <c r="M225" s="248" t="inlineStr">
        <is>
          <t>MIWU00228</t>
        </is>
      </c>
      <c r="N225" s="245" t="inlineStr">
        <is>
          <t>F.MFM.12K.005.BU</t>
        </is>
      </c>
      <c r="O225" s="245" t="n"/>
      <c r="P225" s="245" t="n"/>
      <c r="Q225" s="250">
        <f>R225/H225</f>
        <v/>
      </c>
      <c r="R225" s="251" t="n">
        <v>2471.5</v>
      </c>
      <c r="S225" s="249" t="n">
        <v>17796</v>
      </c>
      <c r="T225" s="252">
        <f>S225*R225</f>
        <v/>
      </c>
      <c r="U225" s="245" t="n"/>
      <c r="V225" s="245" t="n"/>
      <c r="W225" s="245" t="n"/>
      <c r="X225" s="245" t="n"/>
      <c r="Y225" s="245" t="n"/>
      <c r="Z225" s="245" t="n"/>
    </row>
    <row r="226" ht="16.5" customHeight="1" s="202">
      <c r="A226" s="245" t="n"/>
      <c r="B226" s="245" t="n"/>
      <c r="C226" s="245" t="n"/>
      <c r="D226" s="245" t="n"/>
      <c r="E226" s="245" t="n"/>
      <c r="F226" s="245" t="n"/>
      <c r="G226" s="245" t="n"/>
      <c r="H226" s="247" t="n">
        <v>60</v>
      </c>
      <c r="I226" s="245" t="inlineStr"/>
      <c r="J226" s="245" t="inlineStr"/>
      <c r="K226" s="245" t="inlineStr">
        <is>
          <t>12IN MEDIUM MFM QN</t>
        </is>
      </c>
      <c r="L226" s="245" t="inlineStr">
        <is>
          <t>WA-MMF-12Q-IN</t>
        </is>
      </c>
      <c r="M226" s="248" t="inlineStr">
        <is>
          <t>MIWU00228</t>
        </is>
      </c>
      <c r="N226" s="245" t="inlineStr">
        <is>
          <t>F.MFM.12Q.005.BU</t>
        </is>
      </c>
      <c r="O226" s="245" t="n"/>
      <c r="P226" s="245" t="n"/>
      <c r="Q226" s="250">
        <f>R226/H226</f>
        <v/>
      </c>
      <c r="R226" s="251" t="n">
        <v>4858.2</v>
      </c>
      <c r="S226" s="249" t="n">
        <v>17796</v>
      </c>
      <c r="T226" s="252">
        <f>S226*R226</f>
        <v/>
      </c>
      <c r="U226" s="245" t="n"/>
      <c r="V226" s="245" t="n"/>
      <c r="W226" s="245" t="n"/>
      <c r="X226" s="245" t="n"/>
      <c r="Y226" s="245" t="n"/>
      <c r="Z226" s="245" t="n"/>
    </row>
    <row r="227" ht="16.5" customHeight="1" s="202">
      <c r="A227" s="245" t="n"/>
      <c r="B227" s="245" t="n"/>
      <c r="C227" s="245" t="n"/>
      <c r="D227" s="245" t="n"/>
      <c r="E227" s="245" t="n"/>
      <c r="F227" s="245" t="n"/>
      <c r="G227" s="245" t="n"/>
      <c r="H227" s="247" t="n">
        <v>30</v>
      </c>
      <c r="I227" s="245" t="inlineStr"/>
      <c r="J227" s="245" t="inlineStr"/>
      <c r="K227" s="245" t="inlineStr">
        <is>
          <t>14IN MEDIUM MFM FL</t>
        </is>
      </c>
      <c r="L227" s="245" t="inlineStr">
        <is>
          <t>WA-MMF-14F-IN</t>
        </is>
      </c>
      <c r="M227" s="248" t="inlineStr">
        <is>
          <t>MIWU00228</t>
        </is>
      </c>
      <c r="N227" s="245" t="inlineStr">
        <is>
          <t>F.MFM.14F.000.BU</t>
        </is>
      </c>
      <c r="O227" s="245" t="n"/>
      <c r="P227" s="245" t="n"/>
      <c r="Q227" s="250">
        <f>R227/H227</f>
        <v/>
      </c>
      <c r="R227" s="251" t="n">
        <v>2338.8</v>
      </c>
      <c r="S227" s="249" t="n">
        <v>17796</v>
      </c>
      <c r="T227" s="252">
        <f>S227*R227</f>
        <v/>
      </c>
      <c r="U227" s="245" t="n"/>
      <c r="V227" s="245" t="n"/>
      <c r="W227" s="245" t="n"/>
      <c r="X227" s="245" t="n"/>
      <c r="Y227" s="245" t="n"/>
      <c r="Z227" s="245" t="n"/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7" t="n">
        <v>30</v>
      </c>
      <c r="I228" s="245" t="inlineStr"/>
      <c r="J228" s="245" t="inlineStr"/>
      <c r="K228" s="245" t="inlineStr">
        <is>
          <t>14IN MEDIUM MFM EK</t>
        </is>
      </c>
      <c r="L228" s="245" t="inlineStr">
        <is>
          <t>WA-MMF-14K-IN</t>
        </is>
      </c>
      <c r="M228" s="248" t="inlineStr">
        <is>
          <t>MIWU00228</t>
        </is>
      </c>
      <c r="N228" s="245" t="inlineStr">
        <is>
          <t>F.MFM.14K.000.BU</t>
        </is>
      </c>
      <c r="O228" s="245" t="n"/>
      <c r="P228" s="245" t="n"/>
      <c r="Q228" s="250">
        <f>R228/H228</f>
        <v/>
      </c>
      <c r="R228" s="251" t="n">
        <v>3357</v>
      </c>
      <c r="S228" s="249" t="n">
        <v>17796</v>
      </c>
      <c r="T228" s="252">
        <f>S228*R228</f>
        <v/>
      </c>
      <c r="U228" s="245" t="n"/>
      <c r="V228" s="245" t="n"/>
      <c r="W228" s="245" t="n"/>
      <c r="X228" s="245" t="n"/>
      <c r="Y228" s="245" t="n"/>
      <c r="Z228" s="245" t="n"/>
    </row>
    <row r="229" ht="16.5" customHeight="1" s="202">
      <c r="A229" s="245" t="n"/>
      <c r="B229" s="245" t="n"/>
      <c r="C229" s="245" t="n"/>
      <c r="D229" s="245" t="n"/>
      <c r="E229" s="245" t="n"/>
      <c r="F229" s="245" t="n"/>
      <c r="G229" s="245" t="n"/>
      <c r="H229" s="247" t="n">
        <v>60</v>
      </c>
      <c r="I229" s="245" t="inlineStr"/>
      <c r="J229" s="245" t="inlineStr"/>
      <c r="K229" s="245" t="inlineStr">
        <is>
          <t>14IN MEDIUM MFM QN</t>
        </is>
      </c>
      <c r="L229" s="245" t="inlineStr">
        <is>
          <t>WA-MMF-14Q-IN</t>
        </is>
      </c>
      <c r="M229" s="248" t="inlineStr">
        <is>
          <t>MIWU00228</t>
        </is>
      </c>
      <c r="N229" s="245" t="inlineStr">
        <is>
          <t>F.MFM.14Q.000.BU</t>
        </is>
      </c>
      <c r="O229" s="245" t="n"/>
      <c r="P229" s="245" t="n"/>
      <c r="Q229" s="250">
        <f>R229/H229</f>
        <v/>
      </c>
      <c r="R229" s="251" t="n">
        <v>5440.2</v>
      </c>
      <c r="S229" s="249" t="n">
        <v>17796</v>
      </c>
      <c r="T229" s="252">
        <f>S229*R229</f>
        <v/>
      </c>
      <c r="U229" s="245" t="n"/>
      <c r="V229" s="245" t="n"/>
      <c r="W229" s="245" t="n"/>
      <c r="X229" s="245" t="n"/>
      <c r="Y229" s="245" t="n"/>
      <c r="Z229" s="245" t="n"/>
    </row>
    <row r="230" ht="16.5" customHeight="1" s="202">
      <c r="A230" s="245" t="n"/>
      <c r="B230" s="245" t="n"/>
      <c r="C230" s="245" t="n"/>
      <c r="D230" s="245" t="n"/>
      <c r="E230" s="245" t="n"/>
      <c r="F230" s="245" t="n"/>
      <c r="G230" s="245" t="n"/>
      <c r="H230" s="247" t="n">
        <v>70</v>
      </c>
      <c r="I230" s="245" t="inlineStr"/>
      <c r="J230" s="245" t="inlineStr"/>
      <c r="K230" s="245" t="inlineStr">
        <is>
          <t>6IN MEDIUM MFM TW</t>
        </is>
      </c>
      <c r="L230" s="245" t="inlineStr">
        <is>
          <t>WA-MMF-6T-IN</t>
        </is>
      </c>
      <c r="M230" s="248" t="inlineStr">
        <is>
          <t>MIWU00228</t>
        </is>
      </c>
      <c r="N230" s="245" t="inlineStr">
        <is>
          <t>F.MFM.06T.002.BU</t>
        </is>
      </c>
      <c r="O230" s="245" t="n"/>
      <c r="P230" s="245" t="n"/>
      <c r="Q230" s="250">
        <f>R230/H230</f>
        <v/>
      </c>
      <c r="R230" s="251" t="n">
        <v>2247</v>
      </c>
      <c r="S230" s="249" t="n">
        <v>17796</v>
      </c>
      <c r="T230" s="252">
        <f>S230*R230</f>
        <v/>
      </c>
      <c r="U230" s="245" t="n"/>
      <c r="V230" s="245" t="n"/>
      <c r="W230" s="245" t="n"/>
      <c r="X230" s="245" t="n"/>
      <c r="Y230" s="245" t="n"/>
      <c r="Z230" s="245" t="n"/>
    </row>
    <row r="231" ht="17.1" customHeight="1" s="202">
      <c r="A231" s="254" t="n"/>
      <c r="B231" s="254" t="n"/>
      <c r="C231" s="254" t="n"/>
      <c r="D231" s="254" t="n"/>
      <c r="E231" s="254" t="n"/>
      <c r="F231" s="254" t="n"/>
      <c r="G231" s="254" t="n"/>
      <c r="H231" s="255">
        <f>SUM(H223:H230)</f>
        <v/>
      </c>
      <c r="I231" s="254">
        <f>COUNTA(I223:I230)</f>
        <v/>
      </c>
      <c r="J231" s="254" t="n"/>
      <c r="K231" s="254" t="n"/>
      <c r="L231" s="254" t="n"/>
      <c r="M231" s="254" t="n"/>
      <c r="N231" s="254" t="n"/>
      <c r="O231" s="256">
        <f>SUM(O223:O230)</f>
        <v/>
      </c>
      <c r="P231" s="256">
        <f>SUM(P223:P230)</f>
        <v/>
      </c>
      <c r="Q231" s="254" t="n"/>
      <c r="R231" s="257">
        <f>SUM(R223:R230)</f>
        <v/>
      </c>
      <c r="S231" s="254" t="n"/>
      <c r="T231" s="258">
        <f>SUM(T223:T230)</f>
        <v/>
      </c>
      <c r="U231" s="254" t="n"/>
      <c r="V231" s="254" t="n"/>
      <c r="W231" s="254" t="n"/>
      <c r="X231" s="254" t="n"/>
      <c r="Y231" s="254" t="n"/>
      <c r="Z231" s="254" t="n"/>
    </row>
    <row r="232" ht="16.5" customHeight="1" s="202">
      <c r="A232" s="245" t="n">
        <v>25</v>
      </c>
      <c r="B232" s="245" t="inlineStr">
        <is>
          <t>000030ZIK48020260828000710</t>
        </is>
      </c>
      <c r="C232" s="245" t="n">
        <v>548363</v>
      </c>
      <c r="D232" s="245" t="n">
        <v>548311</v>
      </c>
      <c r="E232" s="246" t="n">
        <v>46265</v>
      </c>
      <c r="F232" s="245" t="inlineStr">
        <is>
          <t>ID2608-8220</t>
        </is>
      </c>
      <c r="G232" s="246" t="n">
        <v>46255</v>
      </c>
      <c r="H232" s="247" t="n">
        <v>90</v>
      </c>
      <c r="I232" s="245" t="inlineStr">
        <is>
          <t>MSBU6863022</t>
        </is>
      </c>
      <c r="J232" s="245" t="inlineStr">
        <is>
          <t>40FT</t>
        </is>
      </c>
      <c r="K232" s="245" t="inlineStr">
        <is>
          <t>10IN MEDIUM MFM FL</t>
        </is>
      </c>
      <c r="L232" s="245" t="inlineStr">
        <is>
          <t>WA-MMF-10F-IN</t>
        </is>
      </c>
      <c r="M232" s="248" t="inlineStr">
        <is>
          <t>MIWU00229</t>
        </is>
      </c>
      <c r="N232" s="245" t="inlineStr">
        <is>
          <t>F.MFM.10F.005.BU</t>
        </is>
      </c>
      <c r="O232" s="249" t="n">
        <v>12471.5</v>
      </c>
      <c r="P232" s="249" t="n">
        <v>11328</v>
      </c>
      <c r="Q232" s="250">
        <f>R232/H232</f>
        <v/>
      </c>
      <c r="R232" s="251" t="n">
        <v>5434.2</v>
      </c>
      <c r="S232" s="249" t="n">
        <v>17796</v>
      </c>
      <c r="T232" s="252">
        <f>S232*R232</f>
        <v/>
      </c>
      <c r="U232" s="245" t="inlineStr">
        <is>
          <t>040300/KPPBC</t>
        </is>
      </c>
      <c r="V232" s="245" t="inlineStr">
        <is>
          <t>TG. PRIOK</t>
        </is>
      </c>
      <c r="W232" s="245" t="inlineStr">
        <is>
          <t>NEW YORK, US</t>
        </is>
      </c>
      <c r="X232" s="245" t="inlineStr">
        <is>
          <t>MELLOW INC</t>
        </is>
      </c>
      <c r="Y232" s="245" t="inlineStr">
        <is>
          <t>MEDUKU632205</t>
        </is>
      </c>
      <c r="Z232" s="246" t="n">
        <v>46265</v>
      </c>
    </row>
    <row r="233" ht="16.5" customHeight="1" s="202">
      <c r="A233" s="245" t="n"/>
      <c r="B233" s="245" t="n"/>
      <c r="C233" s="245" t="n"/>
      <c r="D233" s="245" t="n"/>
      <c r="E233" s="245" t="n"/>
      <c r="F233" s="245" t="n"/>
      <c r="G233" s="245" t="n"/>
      <c r="H233" s="247" t="n">
        <v>105</v>
      </c>
      <c r="I233" s="245" t="inlineStr"/>
      <c r="J233" s="245" t="inlineStr"/>
      <c r="K233" s="245" t="inlineStr">
        <is>
          <t>10IN MEDIUM MFM QN</t>
        </is>
      </c>
      <c r="L233" s="245" t="inlineStr">
        <is>
          <t>WA-MMF-10Q-IN</t>
        </is>
      </c>
      <c r="M233" s="248" t="inlineStr">
        <is>
          <t>MIWU00229</t>
        </is>
      </c>
      <c r="N233" s="245" t="inlineStr">
        <is>
          <t>F.MFM.10Q.005.BU</t>
        </is>
      </c>
      <c r="O233" s="245" t="n"/>
      <c r="P233" s="245" t="n"/>
      <c r="Q233" s="250">
        <f>R233/H233</f>
        <v/>
      </c>
      <c r="R233" s="251" t="n">
        <v>7513.8</v>
      </c>
      <c r="S233" s="249" t="n">
        <v>17796</v>
      </c>
      <c r="T233" s="252">
        <f>S233*R233</f>
        <v/>
      </c>
      <c r="U233" s="245" t="n"/>
      <c r="V233" s="245" t="n"/>
      <c r="W233" s="245" t="inlineStr">
        <is>
          <t>ETD : 05-09-2026</t>
        </is>
      </c>
      <c r="X233" s="245" t="n"/>
      <c r="Y233" s="245" t="n"/>
      <c r="Z233" s="245" t="n"/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25</v>
      </c>
      <c r="I234" s="245" t="inlineStr"/>
      <c r="J234" s="245" t="inlineStr"/>
      <c r="K234" s="245" t="inlineStr">
        <is>
          <t>12IN MEDIUM MFM EK</t>
        </is>
      </c>
      <c r="L234" s="245" t="inlineStr">
        <is>
          <t>WA-MMF-12K-IN</t>
        </is>
      </c>
      <c r="M234" s="248" t="inlineStr">
        <is>
          <t>MIWU00229</t>
        </is>
      </c>
      <c r="N234" s="245" t="inlineStr">
        <is>
          <t>F.MFM.12K.005.BU</t>
        </is>
      </c>
      <c r="O234" s="245" t="n"/>
      <c r="P234" s="245" t="n"/>
      <c r="Q234" s="250">
        <f>R234/H234</f>
        <v/>
      </c>
      <c r="R234" s="251" t="n">
        <v>2471.5</v>
      </c>
      <c r="S234" s="249" t="n">
        <v>17796</v>
      </c>
      <c r="T234" s="252">
        <f>S234*R234</f>
        <v/>
      </c>
      <c r="U234" s="245" t="n"/>
      <c r="V234" s="245" t="n"/>
      <c r="W234" s="245" t="n"/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60</v>
      </c>
      <c r="I235" s="245" t="inlineStr"/>
      <c r="J235" s="245" t="inlineStr"/>
      <c r="K235" s="245" t="inlineStr">
        <is>
          <t>12IN MEDIUM MFM QN</t>
        </is>
      </c>
      <c r="L235" s="245" t="inlineStr">
        <is>
          <t>WA-MMF-12Q-IN</t>
        </is>
      </c>
      <c r="M235" s="248" t="inlineStr">
        <is>
          <t>MIWU00229</t>
        </is>
      </c>
      <c r="N235" s="245" t="inlineStr">
        <is>
          <t>F.MFM.12Q.005.BU</t>
        </is>
      </c>
      <c r="O235" s="245" t="n"/>
      <c r="P235" s="245" t="n"/>
      <c r="Q235" s="250">
        <f>R235/H235</f>
        <v/>
      </c>
      <c r="R235" s="251" t="n">
        <v>4858.2</v>
      </c>
      <c r="S235" s="249" t="n">
        <v>17796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30</v>
      </c>
      <c r="I236" s="245" t="inlineStr"/>
      <c r="J236" s="245" t="inlineStr"/>
      <c r="K236" s="245" t="inlineStr">
        <is>
          <t>14IN MEDIUM MFM FL</t>
        </is>
      </c>
      <c r="L236" s="245" t="inlineStr">
        <is>
          <t>WA-MMF-14F-IN</t>
        </is>
      </c>
      <c r="M236" s="248" t="inlineStr">
        <is>
          <t>MIWU00229</t>
        </is>
      </c>
      <c r="N236" s="245" t="inlineStr">
        <is>
          <t>F.MFM.14F.000.BU</t>
        </is>
      </c>
      <c r="O236" s="245" t="n"/>
      <c r="P236" s="245" t="n"/>
      <c r="Q236" s="250">
        <f>R236/H236</f>
        <v/>
      </c>
      <c r="R236" s="251" t="n">
        <v>2338.8</v>
      </c>
      <c r="S236" s="249" t="n">
        <v>17796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30</v>
      </c>
      <c r="I237" s="245" t="inlineStr"/>
      <c r="J237" s="245" t="inlineStr"/>
      <c r="K237" s="245" t="inlineStr">
        <is>
          <t>14IN MEDIUM MFM EK</t>
        </is>
      </c>
      <c r="L237" s="245" t="inlineStr">
        <is>
          <t>WA-MMF-14K-IN</t>
        </is>
      </c>
      <c r="M237" s="248" t="inlineStr">
        <is>
          <t>MIWU00229</t>
        </is>
      </c>
      <c r="N237" s="245" t="inlineStr">
        <is>
          <t>F.MFM.14K.000.BU</t>
        </is>
      </c>
      <c r="O237" s="245" t="n"/>
      <c r="P237" s="245" t="n"/>
      <c r="Q237" s="250">
        <f>R237/H237</f>
        <v/>
      </c>
      <c r="R237" s="251" t="n">
        <v>3357</v>
      </c>
      <c r="S237" s="249" t="n">
        <v>17796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60</v>
      </c>
      <c r="I238" s="245" t="inlineStr"/>
      <c r="J238" s="245" t="inlineStr"/>
      <c r="K238" s="245" t="inlineStr">
        <is>
          <t>14IN MEDIUM MFM QN</t>
        </is>
      </c>
      <c r="L238" s="245" t="inlineStr">
        <is>
          <t>WA-MMF-14Q-IN</t>
        </is>
      </c>
      <c r="M238" s="248" t="inlineStr">
        <is>
          <t>MIWU00229</t>
        </is>
      </c>
      <c r="N238" s="245" t="inlineStr">
        <is>
          <t>F.MFM.14Q.000.BU</t>
        </is>
      </c>
      <c r="O238" s="245" t="n"/>
      <c r="P238" s="245" t="n"/>
      <c r="Q238" s="250">
        <f>R238/H238</f>
        <v/>
      </c>
      <c r="R238" s="251" t="n">
        <v>5440.2</v>
      </c>
      <c r="S238" s="249" t="n">
        <v>17796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6.5" customHeight="1" s="202">
      <c r="A239" s="245" t="n"/>
      <c r="B239" s="245" t="n"/>
      <c r="C239" s="245" t="n"/>
      <c r="D239" s="245" t="n"/>
      <c r="E239" s="245" t="n"/>
      <c r="F239" s="245" t="n"/>
      <c r="G239" s="245" t="n"/>
      <c r="H239" s="247" t="n">
        <v>70</v>
      </c>
      <c r="I239" s="245" t="inlineStr"/>
      <c r="J239" s="245" t="inlineStr"/>
      <c r="K239" s="245" t="inlineStr">
        <is>
          <t>6IN MEDIUM MFM TW</t>
        </is>
      </c>
      <c r="L239" s="245" t="inlineStr">
        <is>
          <t>WA-MMF-6T-IN</t>
        </is>
      </c>
      <c r="M239" s="248" t="inlineStr">
        <is>
          <t>MIWU00229</t>
        </is>
      </c>
      <c r="N239" s="245" t="inlineStr">
        <is>
          <t>F.MFM.06T.002.BU</t>
        </is>
      </c>
      <c r="O239" s="245" t="n"/>
      <c r="P239" s="245" t="n"/>
      <c r="Q239" s="250">
        <f>R239/H239</f>
        <v/>
      </c>
      <c r="R239" s="251" t="n">
        <v>2247</v>
      </c>
      <c r="S239" s="249" t="n">
        <v>17796</v>
      </c>
      <c r="T239" s="252">
        <f>S239*R239</f>
        <v/>
      </c>
      <c r="U239" s="245" t="n"/>
      <c r="V239" s="245" t="n"/>
      <c r="W239" s="245" t="n"/>
      <c r="X239" s="245" t="n"/>
      <c r="Y239" s="245" t="n"/>
      <c r="Z239" s="245" t="n"/>
    </row>
    <row r="240" ht="17.1" customHeight="1" s="202">
      <c r="A240" s="254" t="n"/>
      <c r="B240" s="254" t="n"/>
      <c r="C240" s="254" t="n"/>
      <c r="D240" s="254" t="n"/>
      <c r="E240" s="254" t="n"/>
      <c r="F240" s="254" t="n"/>
      <c r="G240" s="254" t="n"/>
      <c r="H240" s="255">
        <f>SUM(H232:H239)</f>
        <v/>
      </c>
      <c r="I240" s="254">
        <f>COUNTA(I232:I239)</f>
        <v/>
      </c>
      <c r="J240" s="254" t="n"/>
      <c r="K240" s="254" t="n"/>
      <c r="L240" s="254" t="n"/>
      <c r="M240" s="254" t="n"/>
      <c r="N240" s="254" t="n"/>
      <c r="O240" s="256">
        <f>SUM(O232:O239)</f>
        <v/>
      </c>
      <c r="P240" s="256">
        <f>SUM(P232:P239)</f>
        <v/>
      </c>
      <c r="Q240" s="254" t="n"/>
      <c r="R240" s="257">
        <f>SUM(R232:R239)</f>
        <v/>
      </c>
      <c r="S240" s="254" t="n"/>
      <c r="T240" s="258">
        <f>SUM(T232:T239)</f>
        <v/>
      </c>
      <c r="U240" s="254" t="n"/>
      <c r="V240" s="254" t="n"/>
      <c r="W240" s="254" t="n"/>
      <c r="X240" s="254" t="n"/>
      <c r="Y240" s="254" t="n"/>
      <c r="Z240" s="254" t="n"/>
    </row>
    <row r="241" ht="16.5" customHeight="1" s="202">
      <c r="A241" s="245" t="n">
        <v>26</v>
      </c>
      <c r="B241" s="245" t="inlineStr">
        <is>
          <t>000030ZIK48020260828000711</t>
        </is>
      </c>
      <c r="C241" s="245" t="n">
        <v>548383</v>
      </c>
      <c r="D241" s="245" t="n">
        <v>548331</v>
      </c>
      <c r="E241" s="246" t="n">
        <v>46265</v>
      </c>
      <c r="F241" s="245" t="inlineStr">
        <is>
          <t>ID2608-8221</t>
        </is>
      </c>
      <c r="G241" s="246" t="n">
        <v>46255</v>
      </c>
      <c r="H241" s="247" t="n">
        <v>94</v>
      </c>
      <c r="I241" s="245" t="inlineStr">
        <is>
          <t>MEDU4414423</t>
        </is>
      </c>
      <c r="J241" s="245" t="inlineStr">
        <is>
          <t>40FT</t>
        </is>
      </c>
      <c r="K241" s="245" t="inlineStr">
        <is>
          <t>10IN MEDIUM MFM FL</t>
        </is>
      </c>
      <c r="L241" s="245" t="inlineStr">
        <is>
          <t>WA-MMF-10F-IN</t>
        </is>
      </c>
      <c r="M241" s="248" t="inlineStr">
        <is>
          <t>MIWU00231</t>
        </is>
      </c>
      <c r="N241" s="245" t="inlineStr">
        <is>
          <t>F.MFM.10F.005.BU</t>
        </is>
      </c>
      <c r="O241" s="249" t="n">
        <v>12176.6</v>
      </c>
      <c r="P241" s="249" t="n">
        <v>11020.9</v>
      </c>
      <c r="Q241" s="250">
        <f>R241/H241</f>
        <v/>
      </c>
      <c r="R241" s="251" t="n">
        <v>5675.72</v>
      </c>
      <c r="S241" s="249" t="n">
        <v>17796</v>
      </c>
      <c r="T241" s="252">
        <f>S241*R241</f>
        <v/>
      </c>
      <c r="U241" s="245" t="inlineStr">
        <is>
          <t>040300/KPPBC</t>
        </is>
      </c>
      <c r="V241" s="245" t="inlineStr">
        <is>
          <t>TG. PRIOK</t>
        </is>
      </c>
      <c r="W241" s="245" t="inlineStr">
        <is>
          <t>NEW YORK, US</t>
        </is>
      </c>
      <c r="X241" s="245" t="inlineStr">
        <is>
          <t>MELLOW INC</t>
        </is>
      </c>
      <c r="Y241" s="245" t="inlineStr">
        <is>
          <t>MEDUKU632106</t>
        </is>
      </c>
      <c r="Z241" s="246" t="n">
        <v>46265</v>
      </c>
    </row>
    <row r="242" ht="16.5" customHeight="1" s="202">
      <c r="A242" s="245" t="n"/>
      <c r="B242" s="245" t="n"/>
      <c r="C242" s="245" t="n"/>
      <c r="D242" s="245" t="n"/>
      <c r="E242" s="245" t="n"/>
      <c r="F242" s="245" t="n"/>
      <c r="G242" s="245" t="n"/>
      <c r="H242" s="247" t="n">
        <v>80</v>
      </c>
      <c r="I242" s="245" t="inlineStr"/>
      <c r="J242" s="245" t="inlineStr"/>
      <c r="K242" s="245" t="inlineStr">
        <is>
          <t>10IN MEDIUM MFM QN</t>
        </is>
      </c>
      <c r="L242" s="245" t="inlineStr">
        <is>
          <t>WA-MMF-10Q-IN</t>
        </is>
      </c>
      <c r="M242" s="248" t="inlineStr">
        <is>
          <t>MIWU00231</t>
        </is>
      </c>
      <c r="N242" s="245" t="inlineStr">
        <is>
          <t>F.MFM.10Q.005.BU</t>
        </is>
      </c>
      <c r="O242" s="245" t="n"/>
      <c r="P242" s="245" t="n"/>
      <c r="Q242" s="250">
        <f>R242/H242</f>
        <v/>
      </c>
      <c r="R242" s="251" t="n">
        <v>5724.8</v>
      </c>
      <c r="S242" s="249" t="n">
        <v>17796</v>
      </c>
      <c r="T242" s="252">
        <f>S242*R242</f>
        <v/>
      </c>
      <c r="U242" s="245" t="n"/>
      <c r="V242" s="245" t="n"/>
      <c r="W242" s="245" t="inlineStr">
        <is>
          <t>ETD : 05-09-2026</t>
        </is>
      </c>
      <c r="X242" s="245" t="n"/>
      <c r="Y242" s="245" t="n"/>
      <c r="Z242" s="245" t="n"/>
    </row>
    <row r="243" ht="16.5" customHeight="1" s="202">
      <c r="A243" s="245" t="n"/>
      <c r="B243" s="245" t="n"/>
      <c r="C243" s="245" t="n"/>
      <c r="D243" s="245" t="n"/>
      <c r="E243" s="245" t="n"/>
      <c r="F243" s="245" t="n"/>
      <c r="G243" s="245" t="n"/>
      <c r="H243" s="247" t="n">
        <v>34</v>
      </c>
      <c r="I243" s="245" t="inlineStr"/>
      <c r="J243" s="245" t="inlineStr"/>
      <c r="K243" s="245" t="inlineStr">
        <is>
          <t>12IN MEDIUM MFM QN</t>
        </is>
      </c>
      <c r="L243" s="245" t="inlineStr">
        <is>
          <t>WA-MMF-12Q-IN</t>
        </is>
      </c>
      <c r="M243" s="248" t="inlineStr">
        <is>
          <t>MIWU00231</t>
        </is>
      </c>
      <c r="N243" s="245" t="inlineStr">
        <is>
          <t>F.MFM.12Q.005.BU</t>
        </is>
      </c>
      <c r="O243" s="245" t="n"/>
      <c r="P243" s="245" t="n"/>
      <c r="Q243" s="250">
        <f>R243/H243</f>
        <v/>
      </c>
      <c r="R243" s="251" t="n">
        <v>2752.98</v>
      </c>
      <c r="S243" s="249" t="n">
        <v>17796</v>
      </c>
      <c r="T243" s="252">
        <f>S243*R243</f>
        <v/>
      </c>
      <c r="U243" s="245" t="n"/>
      <c r="V243" s="245" t="n"/>
      <c r="W243" s="245" t="n"/>
      <c r="X243" s="245" t="n"/>
      <c r="Y243" s="245" t="n"/>
      <c r="Z243" s="245" t="n"/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7" t="n">
        <v>57</v>
      </c>
      <c r="I244" s="245" t="inlineStr"/>
      <c r="J244" s="245" t="inlineStr"/>
      <c r="K244" s="245" t="inlineStr">
        <is>
          <t>14IN MEDIUM MFM FL</t>
        </is>
      </c>
      <c r="L244" s="245" t="inlineStr">
        <is>
          <t>WA-MMF-14F-IN</t>
        </is>
      </c>
      <c r="M244" s="248" t="inlineStr">
        <is>
          <t>MIWU00231</t>
        </is>
      </c>
      <c r="N244" s="245" t="inlineStr">
        <is>
          <t>F.MFM.14F.000.BU</t>
        </is>
      </c>
      <c r="O244" s="245" t="n"/>
      <c r="P244" s="245" t="n"/>
      <c r="Q244" s="250">
        <f>R244/H244</f>
        <v/>
      </c>
      <c r="R244" s="251" t="n">
        <v>4443.72</v>
      </c>
      <c r="S244" s="249" t="n">
        <v>17796</v>
      </c>
      <c r="T244" s="252">
        <f>S244*R244</f>
        <v/>
      </c>
      <c r="U244" s="245" t="n"/>
      <c r="V244" s="245" t="n"/>
      <c r="W244" s="245" t="n"/>
      <c r="X244" s="245" t="n"/>
      <c r="Y244" s="245" t="n"/>
      <c r="Z244" s="245" t="n"/>
    </row>
    <row r="245" ht="16.5" customHeight="1" s="202">
      <c r="A245" s="245" t="n"/>
      <c r="B245" s="245" t="n"/>
      <c r="C245" s="245" t="n"/>
      <c r="D245" s="245" t="n"/>
      <c r="E245" s="245" t="n"/>
      <c r="F245" s="245" t="n"/>
      <c r="G245" s="245" t="n"/>
      <c r="H245" s="247" t="n">
        <v>68</v>
      </c>
      <c r="I245" s="245" t="inlineStr"/>
      <c r="J245" s="245" t="inlineStr"/>
      <c r="K245" s="245" t="inlineStr">
        <is>
          <t>14IN MEDIUM MFM EK</t>
        </is>
      </c>
      <c r="L245" s="245" t="inlineStr">
        <is>
          <t>WA-MMF-14K-IN</t>
        </is>
      </c>
      <c r="M245" s="248" t="inlineStr">
        <is>
          <t>MIWU00231</t>
        </is>
      </c>
      <c r="N245" s="245" t="inlineStr">
        <is>
          <t>F.MFM.14K.000.BU</t>
        </is>
      </c>
      <c r="O245" s="245" t="n"/>
      <c r="P245" s="245" t="n"/>
      <c r="Q245" s="250">
        <f>R245/H245</f>
        <v/>
      </c>
      <c r="R245" s="251" t="n">
        <v>7609.2</v>
      </c>
      <c r="S245" s="249" t="n">
        <v>17796</v>
      </c>
      <c r="T245" s="252">
        <f>S245*R245</f>
        <v/>
      </c>
      <c r="U245" s="245" t="n"/>
      <c r="V245" s="245" t="n"/>
      <c r="W245" s="245" t="n"/>
      <c r="X245" s="245" t="n"/>
      <c r="Y245" s="245" t="n"/>
      <c r="Z245" s="245" t="n"/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7" t="n">
        <v>76</v>
      </c>
      <c r="I246" s="245" t="inlineStr"/>
      <c r="J246" s="245" t="inlineStr"/>
      <c r="K246" s="245" t="inlineStr">
        <is>
          <t>6IN MEDIUM MFM TW</t>
        </is>
      </c>
      <c r="L246" s="245" t="inlineStr">
        <is>
          <t>WA-MMF-6T-IN</t>
        </is>
      </c>
      <c r="M246" s="248" t="inlineStr">
        <is>
          <t>MIWU00231</t>
        </is>
      </c>
      <c r="N246" s="245" t="inlineStr">
        <is>
          <t>F.MFM.06T.002.BU</t>
        </is>
      </c>
      <c r="O246" s="245" t="n"/>
      <c r="P246" s="245" t="n"/>
      <c r="Q246" s="250">
        <f>R246/H246</f>
        <v/>
      </c>
      <c r="R246" s="251" t="n">
        <v>2439.6</v>
      </c>
      <c r="S246" s="249" t="n">
        <v>17796</v>
      </c>
      <c r="T246" s="252">
        <f>S246*R246</f>
        <v/>
      </c>
      <c r="U246" s="245" t="n"/>
      <c r="V246" s="245" t="n"/>
      <c r="W246" s="245" t="n"/>
      <c r="X246" s="245" t="n"/>
      <c r="Y246" s="245" t="n"/>
      <c r="Z246" s="245" t="n"/>
    </row>
    <row r="247" ht="16.5" customHeight="1" s="202">
      <c r="A247" s="245" t="n"/>
      <c r="B247" s="245" t="n"/>
      <c r="C247" s="245" t="n"/>
      <c r="D247" s="245" t="n"/>
      <c r="E247" s="245" t="n"/>
      <c r="F247" s="245" t="n"/>
      <c r="G247" s="245" t="n"/>
      <c r="H247" s="247" t="n">
        <v>69</v>
      </c>
      <c r="I247" s="245" t="inlineStr"/>
      <c r="J247" s="245" t="inlineStr"/>
      <c r="K247" s="245" t="inlineStr">
        <is>
          <t>8IN PLUSH MFM QN</t>
        </is>
      </c>
      <c r="L247" s="245" t="inlineStr">
        <is>
          <t>WA-PMF-8Q-IN</t>
        </is>
      </c>
      <c r="M247" s="248" t="inlineStr">
        <is>
          <t>MIWU00231</t>
        </is>
      </c>
      <c r="N247" s="245" t="inlineStr">
        <is>
          <t>F.MFM.08Q.006.BU</t>
        </is>
      </c>
      <c r="O247" s="245" t="n"/>
      <c r="P247" s="245" t="n"/>
      <c r="Q247" s="250">
        <f>R247/H247</f>
        <v/>
      </c>
      <c r="R247" s="251" t="n">
        <v>3879.18</v>
      </c>
      <c r="S247" s="249" t="n">
        <v>17796</v>
      </c>
      <c r="T247" s="252">
        <f>S247*R247</f>
        <v/>
      </c>
      <c r="U247" s="245" t="n"/>
      <c r="V247" s="245" t="n"/>
      <c r="W247" s="245" t="n"/>
      <c r="X247" s="245" t="n"/>
      <c r="Y247" s="245" t="n"/>
      <c r="Z247" s="245" t="n"/>
    </row>
    <row r="248" ht="17.1" customHeight="1" s="202">
      <c r="A248" s="254" t="n"/>
      <c r="B248" s="254" t="n"/>
      <c r="C248" s="254" t="n"/>
      <c r="D248" s="254" t="n"/>
      <c r="E248" s="254" t="n"/>
      <c r="F248" s="254" t="n"/>
      <c r="G248" s="254" t="n"/>
      <c r="H248" s="255">
        <f>SUM(H241:H247)</f>
        <v/>
      </c>
      <c r="I248" s="254">
        <f>COUNTA(I241:I247)</f>
        <v/>
      </c>
      <c r="J248" s="254" t="n"/>
      <c r="K248" s="254" t="n"/>
      <c r="L248" s="254" t="n"/>
      <c r="M248" s="254" t="n"/>
      <c r="N248" s="254" t="n"/>
      <c r="O248" s="256">
        <f>SUM(O241:O247)</f>
        <v/>
      </c>
      <c r="P248" s="256">
        <f>SUM(P241:P247)</f>
        <v/>
      </c>
      <c r="Q248" s="254" t="n"/>
      <c r="R248" s="257">
        <f>SUM(R241:R247)</f>
        <v/>
      </c>
      <c r="S248" s="254" t="n"/>
      <c r="T248" s="258">
        <f>SUM(T241:T247)</f>
        <v/>
      </c>
      <c r="U248" s="254" t="n"/>
      <c r="V248" s="254" t="n"/>
      <c r="W248" s="254" t="n"/>
      <c r="X248" s="254" t="n"/>
      <c r="Y248" s="254" t="n"/>
      <c r="Z248" s="254" t="n"/>
    </row>
    <row r="249" ht="16.5" customHeight="1" s="202">
      <c r="A249" s="245" t="n">
        <v>27</v>
      </c>
      <c r="B249" s="245" t="inlineStr">
        <is>
          <t>000030ZIK48020260828000712</t>
        </is>
      </c>
      <c r="C249" s="245" t="n">
        <v>548812</v>
      </c>
      <c r="D249" s="245" t="n">
        <v>548758</v>
      </c>
      <c r="E249" s="246" t="n">
        <v>46265</v>
      </c>
      <c r="F249" s="245" t="inlineStr">
        <is>
          <t>ID2608-8245</t>
        </is>
      </c>
      <c r="G249" s="246" t="n">
        <v>46260</v>
      </c>
      <c r="H249" s="247" t="n">
        <v>342</v>
      </c>
      <c r="I249" s="245" t="inlineStr">
        <is>
          <t>EMCU1735276</t>
        </is>
      </c>
      <c r="J249" s="245" t="inlineStr">
        <is>
          <t>40FT</t>
        </is>
      </c>
      <c r="K249" s="245" t="inlineStr">
        <is>
          <t>12IN MYGEL FOAM MATTRESS EK</t>
        </is>
      </c>
      <c r="L249" s="245" t="inlineStr">
        <is>
          <t>ZU-MFGN1YZI-12K</t>
        </is>
      </c>
      <c r="M249" s="248" t="inlineStr">
        <is>
          <t>2FIWL9HP</t>
        </is>
      </c>
      <c r="N249" s="245" t="inlineStr">
        <is>
          <t>F.MFG.12K.002.AD</t>
        </is>
      </c>
      <c r="O249" s="249" t="n">
        <v>36836.61</v>
      </c>
      <c r="P249" s="249" t="n">
        <v>32549.16</v>
      </c>
      <c r="Q249" s="250">
        <f>R249/H249</f>
        <v/>
      </c>
      <c r="R249" s="251" t="n">
        <v>34808.76</v>
      </c>
      <c r="S249" s="249" t="n">
        <v>17796</v>
      </c>
      <c r="T249" s="252">
        <f>S249*R249</f>
        <v/>
      </c>
      <c r="U249" s="245" t="inlineStr">
        <is>
          <t>040300/KPPBC</t>
        </is>
      </c>
      <c r="V249" s="245" t="inlineStr">
        <is>
          <t>TG. PRIOK</t>
        </is>
      </c>
      <c r="W249" s="245" t="inlineStr">
        <is>
          <t>SAVANNAH, US</t>
        </is>
      </c>
      <c r="X249" s="245" t="inlineStr">
        <is>
          <t>AMAZON.COM SERVICES LLC</t>
        </is>
      </c>
      <c r="Y249" s="245" t="inlineStr">
        <is>
          <t>EGLV080600544795</t>
        </is>
      </c>
      <c r="Z249" s="246" t="n">
        <v>46265</v>
      </c>
    </row>
    <row r="250" ht="16.5" customHeight="1" s="202">
      <c r="A250" s="245" t="n"/>
      <c r="B250" s="245" t="n"/>
      <c r="C250" s="245" t="n"/>
      <c r="D250" s="245" t="n"/>
      <c r="E250" s="245" t="n"/>
      <c r="F250" s="245" t="n"/>
      <c r="G250" s="245" t="n"/>
      <c r="H250" s="247" t="n">
        <v>1</v>
      </c>
      <c r="I250" s="245" t="inlineStr">
        <is>
          <t>EGSU1759472</t>
        </is>
      </c>
      <c r="J250" s="245" t="inlineStr">
        <is>
          <t>40FT</t>
        </is>
      </c>
      <c r="K250" s="245" t="inlineStr">
        <is>
          <t>6IN OPP HD TW</t>
        </is>
      </c>
      <c r="L250" s="245" t="inlineStr">
        <is>
          <t>ZU-MFMA1OZI-06T</t>
        </is>
      </c>
      <c r="M250" s="248" t="inlineStr">
        <is>
          <t>2FIWL9HP</t>
        </is>
      </c>
      <c r="N250" s="245" t="inlineStr">
        <is>
          <t>F.MFM.06T.008.AD</t>
        </is>
      </c>
      <c r="O250" s="245" t="n"/>
      <c r="P250" s="245" t="n"/>
      <c r="Q250" s="250">
        <f>R250/H250</f>
        <v/>
      </c>
      <c r="R250" s="251" t="n">
        <v>26.95</v>
      </c>
      <c r="S250" s="249" t="n">
        <v>17796</v>
      </c>
      <c r="T250" s="252">
        <f>S250*R250</f>
        <v/>
      </c>
      <c r="U250" s="245" t="n"/>
      <c r="V250" s="245" t="n"/>
      <c r="W250" s="245" t="inlineStr">
        <is>
          <t>ETD : 04-09-2026</t>
        </is>
      </c>
      <c r="X250" s="245" t="n"/>
      <c r="Y250" s="245" t="n"/>
      <c r="Z250" s="245" t="n"/>
    </row>
    <row r="251" ht="16.5" customHeight="1" s="202">
      <c r="A251" s="245" t="n"/>
      <c r="B251" s="245" t="n"/>
      <c r="C251" s="245" t="n"/>
      <c r="D251" s="245" t="n"/>
      <c r="E251" s="245" t="n"/>
      <c r="F251" s="245" t="n"/>
      <c r="G251" s="245" t="n"/>
      <c r="H251" s="247" t="n">
        <v>4</v>
      </c>
      <c r="I251" s="245" t="inlineStr">
        <is>
          <t>EGSU9649580</t>
        </is>
      </c>
      <c r="J251" s="245" t="inlineStr">
        <is>
          <t>40FT</t>
        </is>
      </c>
      <c r="K251" s="245" t="inlineStr">
        <is>
          <t>10IN OPP HD FL</t>
        </is>
      </c>
      <c r="L251" s="245" t="inlineStr">
        <is>
          <t>ZU-MFMA1OZI-10F</t>
        </is>
      </c>
      <c r="M251" s="248" t="inlineStr">
        <is>
          <t>2FIWL9HP</t>
        </is>
      </c>
      <c r="N251" s="245" t="inlineStr">
        <is>
          <t>F.MFM.10F.013.AD</t>
        </is>
      </c>
      <c r="O251" s="245" t="n"/>
      <c r="P251" s="245" t="n"/>
      <c r="Q251" s="250">
        <f>R251/H251</f>
        <v/>
      </c>
      <c r="R251" s="251" t="n">
        <v>191.64</v>
      </c>
      <c r="S251" s="249" t="n">
        <v>17796</v>
      </c>
      <c r="T251" s="252">
        <f>S251*R251</f>
        <v/>
      </c>
      <c r="U251" s="245" t="n"/>
      <c r="V251" s="245" t="n"/>
      <c r="W251" s="245" t="n"/>
      <c r="X251" s="245" t="n"/>
      <c r="Y251" s="245" t="n"/>
      <c r="Z251" s="245" t="n"/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7" t="n">
        <v>1</v>
      </c>
      <c r="I252" s="245" t="inlineStr"/>
      <c r="J252" s="245" t="inlineStr"/>
      <c r="K252" s="245" t="inlineStr">
        <is>
          <t>10IN OPP HD TW</t>
        </is>
      </c>
      <c r="L252" s="245" t="inlineStr">
        <is>
          <t>ZU-MFMA1OZI-10T</t>
        </is>
      </c>
      <c r="M252" s="248" t="inlineStr">
        <is>
          <t>2FIWL9HP</t>
        </is>
      </c>
      <c r="N252" s="245" t="inlineStr">
        <is>
          <t>F.MFM.10T.013.AD</t>
        </is>
      </c>
      <c r="O252" s="245" t="n"/>
      <c r="P252" s="245" t="n"/>
      <c r="Q252" s="250">
        <f>R252/H252</f>
        <v/>
      </c>
      <c r="R252" s="251" t="n">
        <v>38.93</v>
      </c>
      <c r="S252" s="249" t="n">
        <v>17796</v>
      </c>
      <c r="T252" s="252">
        <f>S252*R252</f>
        <v/>
      </c>
      <c r="U252" s="245" t="n"/>
      <c r="V252" s="245" t="n"/>
      <c r="W252" s="245" t="n"/>
      <c r="X252" s="245" t="n"/>
      <c r="Y252" s="245" t="n"/>
      <c r="Z252" s="245" t="n"/>
    </row>
    <row r="253" ht="16.5" customHeight="1" s="202">
      <c r="A253" s="245" t="n"/>
      <c r="B253" s="245" t="n"/>
      <c r="C253" s="245" t="n"/>
      <c r="D253" s="245" t="n"/>
      <c r="E253" s="245" t="n"/>
      <c r="F253" s="245" t="n"/>
      <c r="G253" s="245" t="n"/>
      <c r="H253" s="247" t="n">
        <v>2</v>
      </c>
      <c r="I253" s="245" t="inlineStr"/>
      <c r="J253" s="245" t="inlineStr"/>
      <c r="K253" s="245" t="inlineStr">
        <is>
          <t>10IN GREEN TEA MF MATTRESS SQ</t>
        </is>
      </c>
      <c r="L253" s="245" t="inlineStr">
        <is>
          <t>ZU-MFMA1FZI-10S</t>
        </is>
      </c>
      <c r="M253" s="248" t="inlineStr">
        <is>
          <t>455K14DY</t>
        </is>
      </c>
      <c r="N253" s="245" t="inlineStr">
        <is>
          <t>F.MFM.10S.009.AD</t>
        </is>
      </c>
      <c r="O253" s="245" t="n"/>
      <c r="P253" s="245" t="n"/>
      <c r="Q253" s="250">
        <f>R253/H253</f>
        <v/>
      </c>
      <c r="R253" s="251" t="n">
        <v>146.04</v>
      </c>
      <c r="S253" s="249" t="n">
        <v>17796</v>
      </c>
      <c r="T253" s="252">
        <f>S253*R253</f>
        <v/>
      </c>
      <c r="U253" s="245" t="n"/>
      <c r="V253" s="245" t="n"/>
      <c r="W253" s="245" t="n"/>
      <c r="X253" s="245" t="n"/>
      <c r="Y253" s="245" t="n"/>
      <c r="Z253" s="245" t="n"/>
    </row>
    <row r="254" ht="16.5" customHeight="1" s="202">
      <c r="A254" s="245" t="n"/>
      <c r="B254" s="245" t="n"/>
      <c r="C254" s="245" t="n"/>
      <c r="D254" s="245" t="n"/>
      <c r="E254" s="245" t="n"/>
      <c r="F254" s="245" t="n"/>
      <c r="G254" s="245" t="n"/>
      <c r="H254" s="247" t="n">
        <v>2</v>
      </c>
      <c r="I254" s="245" t="inlineStr"/>
      <c r="J254" s="245" t="inlineStr"/>
      <c r="K254" s="245" t="inlineStr">
        <is>
          <t>12IN OPP HD TW</t>
        </is>
      </c>
      <c r="L254" s="245" t="inlineStr">
        <is>
          <t>ZU-MFMA1OZI-12T</t>
        </is>
      </c>
      <c r="M254" s="248" t="inlineStr">
        <is>
          <t>455K14DY</t>
        </is>
      </c>
      <c r="N254" s="245" t="inlineStr">
        <is>
          <t>F.MFM.12T.010.AD</t>
        </is>
      </c>
      <c r="O254" s="245" t="n"/>
      <c r="P254" s="245" t="n"/>
      <c r="Q254" s="250">
        <f>R254/H254</f>
        <v/>
      </c>
      <c r="R254" s="251" t="n">
        <v>83.84</v>
      </c>
      <c r="S254" s="249" t="n">
        <v>17796</v>
      </c>
      <c r="T254" s="252">
        <f>S254*R254</f>
        <v/>
      </c>
      <c r="U254" s="245" t="n"/>
      <c r="V254" s="245" t="n"/>
      <c r="W254" s="245" t="n"/>
      <c r="X254" s="245" t="n"/>
      <c r="Y254" s="245" t="n"/>
      <c r="Z254" s="245" t="n"/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580</v>
      </c>
      <c r="I255" s="245" t="inlineStr"/>
      <c r="J255" s="245" t="inlineStr"/>
      <c r="K255" s="245" t="inlineStr">
        <is>
          <t>8IN GREEN TEA MF MATTRESS FL</t>
        </is>
      </c>
      <c r="L255" s="245" t="inlineStr">
        <is>
          <t>ZU-MFMA1ZZI-08F</t>
        </is>
      </c>
      <c r="M255" s="248" t="inlineStr">
        <is>
          <t>455K14DY</t>
        </is>
      </c>
      <c r="N255" s="245" t="inlineStr">
        <is>
          <t>F.MFM.08F.008.AD</t>
        </is>
      </c>
      <c r="O255" s="245" t="n"/>
      <c r="P255" s="245" t="n"/>
      <c r="Q255" s="250">
        <f>R255/H255</f>
        <v/>
      </c>
      <c r="R255" s="251" t="n">
        <v>32474.2</v>
      </c>
      <c r="S255" s="249" t="n">
        <v>17796</v>
      </c>
      <c r="T255" s="252">
        <f>S255*R255</f>
        <v/>
      </c>
      <c r="U255" s="245" t="n"/>
      <c r="V255" s="245" t="n"/>
      <c r="W255" s="245" t="n"/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2</v>
      </c>
      <c r="I256" s="245" t="inlineStr"/>
      <c r="J256" s="245" t="inlineStr"/>
      <c r="K256" s="245" t="inlineStr">
        <is>
          <t>12IN GREEN TEA MF MATTRESS FL</t>
        </is>
      </c>
      <c r="L256" s="245" t="inlineStr">
        <is>
          <t>ZU-MFMA1ZZI-12F</t>
        </is>
      </c>
      <c r="M256" s="248" t="inlineStr">
        <is>
          <t>455K14DY</t>
        </is>
      </c>
      <c r="N256" s="245" t="inlineStr">
        <is>
          <t>F.MFM.12F.006.AD</t>
        </is>
      </c>
      <c r="O256" s="245" t="n"/>
      <c r="P256" s="245" t="n"/>
      <c r="Q256" s="250">
        <f>R256/H256</f>
        <v/>
      </c>
      <c r="R256" s="251" t="n">
        <v>141.92</v>
      </c>
      <c r="S256" s="249" t="n">
        <v>17796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</v>
      </c>
      <c r="I257" s="245" t="inlineStr"/>
      <c r="J257" s="245" t="inlineStr"/>
      <c r="K257" s="245" t="inlineStr">
        <is>
          <t>8IN OPP HD FL</t>
        </is>
      </c>
      <c r="L257" s="245" t="inlineStr">
        <is>
          <t>ZU-MFMA1OZI-08F</t>
        </is>
      </c>
      <c r="M257" s="248" t="inlineStr">
        <is>
          <t>4JXMTZ8O</t>
        </is>
      </c>
      <c r="N257" s="245" t="inlineStr">
        <is>
          <t>F.MFM.08F.013.AD</t>
        </is>
      </c>
      <c r="O257" s="245" t="n"/>
      <c r="P257" s="245" t="n"/>
      <c r="Q257" s="250">
        <f>R257/H257</f>
        <v/>
      </c>
      <c r="R257" s="251" t="n">
        <v>38.93</v>
      </c>
      <c r="S257" s="249" t="n">
        <v>17796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3</v>
      </c>
      <c r="I258" s="245" t="inlineStr"/>
      <c r="J258" s="245" t="inlineStr"/>
      <c r="K258" s="245" t="inlineStr">
        <is>
          <t>10IN OPP HD TW</t>
        </is>
      </c>
      <c r="L258" s="245" t="inlineStr">
        <is>
          <t>ZU-MFMA1OZI-10T</t>
        </is>
      </c>
      <c r="M258" s="248" t="inlineStr">
        <is>
          <t>4JXMTZ8O</t>
        </is>
      </c>
      <c r="N258" s="245" t="inlineStr">
        <is>
          <t>F.MFM.10T.013.AD</t>
        </is>
      </c>
      <c r="O258" s="245" t="n"/>
      <c r="P258" s="245" t="n"/>
      <c r="Q258" s="250">
        <f>R258/H258</f>
        <v/>
      </c>
      <c r="R258" s="251" t="n">
        <v>116.79</v>
      </c>
      <c r="S258" s="249" t="n">
        <v>17796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1</v>
      </c>
      <c r="I259" s="245" t="inlineStr"/>
      <c r="J259" s="245" t="inlineStr"/>
      <c r="K259" s="245" t="inlineStr">
        <is>
          <t>6IN GREEN TEA MF MATTRESS NT</t>
        </is>
      </c>
      <c r="L259" s="245" t="inlineStr">
        <is>
          <t>ZU-MFMA1ZZI-06N</t>
        </is>
      </c>
      <c r="M259" s="248" t="inlineStr">
        <is>
          <t>4JXMTZ8O</t>
        </is>
      </c>
      <c r="N259" s="245" t="inlineStr">
        <is>
          <t>F.MFM.06N.007.AD</t>
        </is>
      </c>
      <c r="O259" s="245" t="n"/>
      <c r="P259" s="245" t="n"/>
      <c r="Q259" s="250">
        <f>R259/H259</f>
        <v/>
      </c>
      <c r="R259" s="251" t="n">
        <v>25.09</v>
      </c>
      <c r="S259" s="249" t="n">
        <v>17796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6.5" customHeight="1" s="202">
      <c r="A260" s="245" t="n"/>
      <c r="B260" s="245" t="n"/>
      <c r="C260" s="245" t="n"/>
      <c r="D260" s="245" t="n"/>
      <c r="E260" s="245" t="n"/>
      <c r="F260" s="245" t="n"/>
      <c r="G260" s="245" t="n"/>
      <c r="H260" s="247" t="n">
        <v>192</v>
      </c>
      <c r="I260" s="245" t="inlineStr"/>
      <c r="J260" s="245" t="inlineStr"/>
      <c r="K260" s="245" t="inlineStr">
        <is>
          <t>8IN GREEN TEA MF MATTRESS FL</t>
        </is>
      </c>
      <c r="L260" s="245" t="inlineStr">
        <is>
          <t>ZU-MFMA1ZZI-08F</t>
        </is>
      </c>
      <c r="M260" s="248" t="inlineStr">
        <is>
          <t>4JXMTZ8O</t>
        </is>
      </c>
      <c r="N260" s="245" t="inlineStr">
        <is>
          <t>F.MFM.08F.008.AD</t>
        </is>
      </c>
      <c r="O260" s="245" t="n"/>
      <c r="P260" s="245" t="n"/>
      <c r="Q260" s="250">
        <f>R260/H260</f>
        <v/>
      </c>
      <c r="R260" s="251" t="n">
        <v>10750.08</v>
      </c>
      <c r="S260" s="249" t="n">
        <v>17796</v>
      </c>
      <c r="T260" s="252">
        <f>S260*R260</f>
        <v/>
      </c>
      <c r="U260" s="245" t="n"/>
      <c r="V260" s="245" t="n"/>
      <c r="W260" s="245" t="n"/>
      <c r="X260" s="245" t="n"/>
      <c r="Y260" s="245" t="n"/>
      <c r="Z260" s="245" t="n"/>
    </row>
    <row r="261" ht="16.5" customHeight="1" s="202">
      <c r="A261" s="245" t="n"/>
      <c r="B261" s="245" t="n"/>
      <c r="C261" s="245" t="n"/>
      <c r="D261" s="245" t="n"/>
      <c r="E261" s="245" t="n"/>
      <c r="F261" s="245" t="n"/>
      <c r="G261" s="245" t="n"/>
      <c r="H261" s="247" t="n">
        <v>1</v>
      </c>
      <c r="I261" s="245" t="inlineStr"/>
      <c r="J261" s="245" t="inlineStr"/>
      <c r="K261" s="245" t="inlineStr">
        <is>
          <t>10IN GREEN TEA MF MATTRESS EK</t>
        </is>
      </c>
      <c r="L261" s="245" t="inlineStr">
        <is>
          <t>ZU-MFMA1ZZI-10K</t>
        </is>
      </c>
      <c r="M261" s="248" t="inlineStr">
        <is>
          <t>4JXMTZ8O</t>
        </is>
      </c>
      <c r="N261" s="245" t="inlineStr">
        <is>
          <t>F.MFM.10K.007.AD</t>
        </is>
      </c>
      <c r="O261" s="245" t="n"/>
      <c r="P261" s="245" t="n"/>
      <c r="Q261" s="250">
        <f>R261/H261</f>
        <v/>
      </c>
      <c r="R261" s="251" t="n">
        <v>97.11</v>
      </c>
      <c r="S261" s="249" t="n">
        <v>17796</v>
      </c>
      <c r="T261" s="252">
        <f>S261*R261</f>
        <v/>
      </c>
      <c r="U261" s="245" t="n"/>
      <c r="V261" s="245" t="n"/>
      <c r="W261" s="245" t="n"/>
      <c r="X261" s="245" t="n"/>
      <c r="Y261" s="245" t="n"/>
      <c r="Z261" s="245" t="n"/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7" t="n">
        <v>1</v>
      </c>
      <c r="I262" s="245" t="inlineStr"/>
      <c r="J262" s="245" t="inlineStr"/>
      <c r="K262" s="245" t="inlineStr">
        <is>
          <t>12IN GREEN TEA MF MATTRESS FL</t>
        </is>
      </c>
      <c r="L262" s="245" t="inlineStr">
        <is>
          <t>ZU-MFMA1ZZI-12F</t>
        </is>
      </c>
      <c r="M262" s="248" t="inlineStr">
        <is>
          <t>4JXMTZ8O</t>
        </is>
      </c>
      <c r="N262" s="245" t="inlineStr">
        <is>
          <t>F.MFM.12F.006.AD</t>
        </is>
      </c>
      <c r="O262" s="245" t="n"/>
      <c r="P262" s="245" t="n"/>
      <c r="Q262" s="250">
        <f>R262/H262</f>
        <v/>
      </c>
      <c r="R262" s="251" t="n">
        <v>70.95999999999999</v>
      </c>
      <c r="S262" s="249" t="n">
        <v>17796</v>
      </c>
      <c r="T262" s="252">
        <f>S262*R262</f>
        <v/>
      </c>
      <c r="U262" s="245" t="n"/>
      <c r="V262" s="245" t="n"/>
      <c r="W262" s="245" t="n"/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7" t="n">
        <v>180</v>
      </c>
      <c r="I263" s="245" t="inlineStr"/>
      <c r="J263" s="245" t="inlineStr"/>
      <c r="K263" s="245" t="inlineStr">
        <is>
          <t>14IN GREEN TEA FOAM MATTRESS K</t>
        </is>
      </c>
      <c r="L263" s="245" t="inlineStr">
        <is>
          <t>ZU-MFMA1ZZI-14K</t>
        </is>
      </c>
      <c r="M263" s="248" t="inlineStr">
        <is>
          <t>4JXMTZ8O</t>
        </is>
      </c>
      <c r="N263" s="245" t="inlineStr">
        <is>
          <t>F.MFM.14K.000.AD</t>
        </is>
      </c>
      <c r="O263" s="245" t="n"/>
      <c r="P263" s="245" t="n"/>
      <c r="Q263" s="250">
        <f>R263/H263</f>
        <v/>
      </c>
      <c r="R263" s="251" t="n">
        <v>23277.6</v>
      </c>
      <c r="S263" s="249" t="n">
        <v>17796</v>
      </c>
      <c r="T263" s="252">
        <f>S263*R263</f>
        <v/>
      </c>
      <c r="U263" s="245" t="n"/>
      <c r="V263" s="245" t="n"/>
      <c r="W263" s="245" t="n"/>
      <c r="X263" s="245" t="n"/>
      <c r="Y263" s="245" t="n"/>
      <c r="Z263" s="245" t="n"/>
    </row>
    <row r="264" ht="17.1" customHeight="1" s="202">
      <c r="A264" s="254" t="n"/>
      <c r="B264" s="254" t="n"/>
      <c r="C264" s="254" t="n"/>
      <c r="D264" s="254" t="n"/>
      <c r="E264" s="254" t="n"/>
      <c r="F264" s="254" t="n"/>
      <c r="G264" s="254" t="n"/>
      <c r="H264" s="255">
        <f>SUM(H249:H263)</f>
        <v/>
      </c>
      <c r="I264" s="254">
        <f>COUNTA(I249:I263)</f>
        <v/>
      </c>
      <c r="J264" s="254" t="n"/>
      <c r="K264" s="254" t="n"/>
      <c r="L264" s="254" t="n"/>
      <c r="M264" s="254" t="n"/>
      <c r="N264" s="254" t="n"/>
      <c r="O264" s="256">
        <f>SUM(O249:O263)</f>
        <v/>
      </c>
      <c r="P264" s="256">
        <f>SUM(P249:P263)</f>
        <v/>
      </c>
      <c r="Q264" s="254" t="n"/>
      <c r="R264" s="257">
        <f>SUM(R249:R263)</f>
        <v/>
      </c>
      <c r="S264" s="254" t="n"/>
      <c r="T264" s="258">
        <f>SUM(T249:T263)</f>
        <v/>
      </c>
      <c r="U264" s="254" t="n"/>
      <c r="V264" s="254" t="n"/>
      <c r="W264" s="254" t="n"/>
      <c r="X264" s="254" t="n"/>
      <c r="Y264" s="254" t="n"/>
      <c r="Z264" s="254" t="n"/>
    </row>
    <row r="265" ht="16.5" customHeight="1" s="202">
      <c r="A265" s="245" t="n">
        <v>28</v>
      </c>
      <c r="B265" s="245" t="inlineStr">
        <is>
          <t>000030ZIK48020260828000713</t>
        </is>
      </c>
      <c r="C265" s="245" t="n">
        <v>548669</v>
      </c>
      <c r="D265" s="245" t="n">
        <v>548617</v>
      </c>
      <c r="E265" s="246" t="n">
        <v>46265</v>
      </c>
      <c r="F265" s="245" t="inlineStr">
        <is>
          <t>ID2608-8258</t>
        </is>
      </c>
      <c r="G265" s="246" t="n">
        <v>46260</v>
      </c>
      <c r="H265" s="247" t="n">
        <v>86</v>
      </c>
      <c r="I265" s="245" t="inlineStr">
        <is>
          <t>WHSU6117958</t>
        </is>
      </c>
      <c r="J265" s="245" t="inlineStr">
        <is>
          <t>40FT</t>
        </is>
      </c>
      <c r="K265" s="245" t="inlineStr">
        <is>
          <t>10IN MEDIUM MFM FL</t>
        </is>
      </c>
      <c r="L265" s="245" t="inlineStr">
        <is>
          <t>WA-MMF-10F-IN</t>
        </is>
      </c>
      <c r="M265" s="248" t="inlineStr">
        <is>
          <t>MIWU00214</t>
        </is>
      </c>
      <c r="N265" s="245" t="inlineStr">
        <is>
          <t>F.MFM.10F.005.BU</t>
        </is>
      </c>
      <c r="O265" s="249" t="n">
        <v>11906.4</v>
      </c>
      <c r="P265" s="249" t="n">
        <v>10793.8</v>
      </c>
      <c r="Q265" s="250">
        <f>R265/H265</f>
        <v/>
      </c>
      <c r="R265" s="251" t="n">
        <v>5192.68</v>
      </c>
      <c r="S265" s="249" t="n">
        <v>17796</v>
      </c>
      <c r="T265" s="252">
        <f>S265*R265</f>
        <v/>
      </c>
      <c r="U265" s="245" t="inlineStr">
        <is>
          <t>040300/KPPBC</t>
        </is>
      </c>
      <c r="V265" s="245" t="inlineStr">
        <is>
          <t>TG. PRIOK</t>
        </is>
      </c>
      <c r="W265" s="245" t="inlineStr">
        <is>
          <t>NEW YORK, US</t>
        </is>
      </c>
      <c r="X265" s="245" t="inlineStr">
        <is>
          <t>MELLOW INC</t>
        </is>
      </c>
      <c r="Y265" s="245" t="inlineStr">
        <is>
          <t>WHLC049GX09540</t>
        </is>
      </c>
      <c r="Z265" s="246" t="n">
        <v>46265</v>
      </c>
    </row>
    <row r="266" ht="16.5" customHeight="1" s="202">
      <c r="A266" s="245" t="n"/>
      <c r="B266" s="245" t="n"/>
      <c r="C266" s="245" t="n"/>
      <c r="D266" s="245" t="n"/>
      <c r="E266" s="245" t="n"/>
      <c r="F266" s="245" t="n"/>
      <c r="G266" s="245" t="n"/>
      <c r="H266" s="247" t="n">
        <v>75</v>
      </c>
      <c r="I266" s="245" t="inlineStr"/>
      <c r="J266" s="245" t="inlineStr"/>
      <c r="K266" s="245" t="inlineStr">
        <is>
          <t>10IN MEDIUM MFM EK</t>
        </is>
      </c>
      <c r="L266" s="245" t="inlineStr">
        <is>
          <t>WA-MMF-10K-IN</t>
        </is>
      </c>
      <c r="M266" s="248" t="inlineStr">
        <is>
          <t>MIWU00214</t>
        </is>
      </c>
      <c r="N266" s="245" t="inlineStr">
        <is>
          <t>F.MFM.10K.005.BU</t>
        </is>
      </c>
      <c r="O266" s="245" t="n"/>
      <c r="P266" s="245" t="n"/>
      <c r="Q266" s="250">
        <f>R266/H266</f>
        <v/>
      </c>
      <c r="R266" s="251" t="n">
        <v>6560.25</v>
      </c>
      <c r="S266" s="249" t="n">
        <v>17796</v>
      </c>
      <c r="T266" s="252">
        <f>S266*R266</f>
        <v/>
      </c>
      <c r="U266" s="245" t="n"/>
      <c r="V266" s="245" t="n"/>
      <c r="W266" s="245" t="inlineStr">
        <is>
          <t>ETD : 04-09-2026</t>
        </is>
      </c>
      <c r="X266" s="245" t="n"/>
      <c r="Y266" s="245" t="n"/>
      <c r="Z266" s="245" t="n"/>
    </row>
    <row r="267" ht="16.5" customHeight="1" s="202">
      <c r="A267" s="245" t="n"/>
      <c r="B267" s="245" t="n"/>
      <c r="C267" s="245" t="n"/>
      <c r="D267" s="245" t="n"/>
      <c r="E267" s="245" t="n"/>
      <c r="F267" s="245" t="n"/>
      <c r="G267" s="245" t="n"/>
      <c r="H267" s="247" t="n">
        <v>88</v>
      </c>
      <c r="I267" s="245" t="inlineStr"/>
      <c r="J267" s="245" t="inlineStr"/>
      <c r="K267" s="245" t="inlineStr">
        <is>
          <t>10IN MEDIUM MFM QN</t>
        </is>
      </c>
      <c r="L267" s="245" t="inlineStr">
        <is>
          <t>WA-MMF-10Q-IN</t>
        </is>
      </c>
      <c r="M267" s="248" t="inlineStr">
        <is>
          <t>MIWU00214</t>
        </is>
      </c>
      <c r="N267" s="245" t="inlineStr">
        <is>
          <t>F.MFM.10Q.005.BU</t>
        </is>
      </c>
      <c r="O267" s="245" t="n"/>
      <c r="P267" s="245" t="n"/>
      <c r="Q267" s="250">
        <f>R267/H267</f>
        <v/>
      </c>
      <c r="R267" s="251" t="n">
        <v>6297.28</v>
      </c>
      <c r="S267" s="249" t="n">
        <v>17796</v>
      </c>
      <c r="T267" s="252">
        <f>S267*R267</f>
        <v/>
      </c>
      <c r="U267" s="245" t="n"/>
      <c r="V267" s="245" t="n"/>
      <c r="W267" s="245" t="n"/>
      <c r="X267" s="245" t="n"/>
      <c r="Y267" s="245" t="n"/>
      <c r="Z267" s="245" t="n"/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7" t="n">
        <v>40</v>
      </c>
      <c r="I268" s="245" t="inlineStr"/>
      <c r="J268" s="245" t="inlineStr"/>
      <c r="K268" s="245" t="inlineStr">
        <is>
          <t>10IN MEDIUM MFM TW</t>
        </is>
      </c>
      <c r="L268" s="245" t="inlineStr">
        <is>
          <t>WA-MMF-10T-IN</t>
        </is>
      </c>
      <c r="M268" s="248" t="inlineStr">
        <is>
          <t>MIWU00214</t>
        </is>
      </c>
      <c r="N268" s="245" t="inlineStr">
        <is>
          <t>F.MFM.10T.005.BU</t>
        </is>
      </c>
      <c r="O268" s="245" t="n"/>
      <c r="P268" s="245" t="n"/>
      <c r="Q268" s="250">
        <f>R268/H268</f>
        <v/>
      </c>
      <c r="R268" s="251" t="n">
        <v>1840.8</v>
      </c>
      <c r="S268" s="249" t="n">
        <v>17796</v>
      </c>
      <c r="T268" s="252">
        <f>S268*R268</f>
        <v/>
      </c>
      <c r="U268" s="245" t="n"/>
      <c r="V268" s="245" t="n"/>
      <c r="W268" s="245" t="n"/>
      <c r="X268" s="245" t="n"/>
      <c r="Y268" s="245" t="n"/>
      <c r="Z268" s="245" t="n"/>
    </row>
    <row r="269" ht="16.5" customHeight="1" s="202">
      <c r="A269" s="245" t="n"/>
      <c r="B269" s="245" t="n"/>
      <c r="C269" s="245" t="n"/>
      <c r="D269" s="245" t="n"/>
      <c r="E269" s="245" t="n"/>
      <c r="F269" s="245" t="n"/>
      <c r="G269" s="245" t="n"/>
      <c r="H269" s="247" t="n">
        <v>40</v>
      </c>
      <c r="I269" s="245" t="inlineStr"/>
      <c r="J269" s="245" t="inlineStr"/>
      <c r="K269" s="245" t="inlineStr">
        <is>
          <t>6IN MEDIUM MFM FL</t>
        </is>
      </c>
      <c r="L269" s="245" t="inlineStr">
        <is>
          <t>WA-MMF-6F-IN</t>
        </is>
      </c>
      <c r="M269" s="248" t="inlineStr">
        <is>
          <t>MIWU00214</t>
        </is>
      </c>
      <c r="N269" s="245" t="inlineStr">
        <is>
          <t>F.MFM.06F.002.BU</t>
        </is>
      </c>
      <c r="O269" s="245" t="n"/>
      <c r="P269" s="245" t="n"/>
      <c r="Q269" s="250">
        <f>R269/H269</f>
        <v/>
      </c>
      <c r="R269" s="251" t="n">
        <v>1704.8</v>
      </c>
      <c r="S269" s="249" t="n">
        <v>17796</v>
      </c>
      <c r="T269" s="252">
        <f>S269*R269</f>
        <v/>
      </c>
      <c r="U269" s="245" t="n"/>
      <c r="V269" s="245" t="n"/>
      <c r="W269" s="245" t="n"/>
      <c r="X269" s="245" t="n"/>
      <c r="Y269" s="245" t="n"/>
      <c r="Z269" s="245" t="n"/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7" t="n">
        <v>67</v>
      </c>
      <c r="I270" s="245" t="inlineStr"/>
      <c r="J270" s="245" t="inlineStr"/>
      <c r="K270" s="245" t="inlineStr">
        <is>
          <t>6IN MEDIUM MFM TW</t>
        </is>
      </c>
      <c r="L270" s="245" t="inlineStr">
        <is>
          <t>WA-MMF-6T-IN</t>
        </is>
      </c>
      <c r="M270" s="248" t="inlineStr">
        <is>
          <t>MIWU00214</t>
        </is>
      </c>
      <c r="N270" s="245" t="inlineStr">
        <is>
          <t>F.MFM.06T.002.BU</t>
        </is>
      </c>
      <c r="O270" s="245" t="n"/>
      <c r="P270" s="245" t="n"/>
      <c r="Q270" s="250">
        <f>R270/H270</f>
        <v/>
      </c>
      <c r="R270" s="251" t="n">
        <v>2150.7</v>
      </c>
      <c r="S270" s="249" t="n">
        <v>17796</v>
      </c>
      <c r="T270" s="252">
        <f>S270*R270</f>
        <v/>
      </c>
      <c r="U270" s="245" t="n"/>
      <c r="V270" s="245" t="n"/>
      <c r="W270" s="245" t="n"/>
      <c r="X270" s="245" t="n"/>
      <c r="Y270" s="245" t="n"/>
      <c r="Z270" s="245" t="n"/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7" t="n">
        <v>21</v>
      </c>
      <c r="I271" s="245" t="inlineStr"/>
      <c r="J271" s="245" t="inlineStr"/>
      <c r="K271" s="245" t="inlineStr">
        <is>
          <t>6IN MEDIUM MFM TX</t>
        </is>
      </c>
      <c r="L271" s="245" t="inlineStr">
        <is>
          <t>WA-MMF-6TXL-IN</t>
        </is>
      </c>
      <c r="M271" s="248" t="inlineStr">
        <is>
          <t>MIWU00214</t>
        </is>
      </c>
      <c r="N271" s="245" t="inlineStr">
        <is>
          <t>F.MFM.06X.002.BU</t>
        </is>
      </c>
      <c r="O271" s="245" t="n"/>
      <c r="P271" s="245" t="n"/>
      <c r="Q271" s="250">
        <f>R271/H271</f>
        <v/>
      </c>
      <c r="R271" s="251" t="n">
        <v>714.21</v>
      </c>
      <c r="S271" s="249" t="n">
        <v>17796</v>
      </c>
      <c r="T271" s="252">
        <f>S271*R271</f>
        <v/>
      </c>
      <c r="U271" s="245" t="n"/>
      <c r="V271" s="245" t="n"/>
      <c r="W271" s="245" t="n"/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7" t="n">
        <v>45</v>
      </c>
      <c r="I272" s="245" t="inlineStr"/>
      <c r="J272" s="245" t="inlineStr"/>
      <c r="K272" s="245" t="inlineStr">
        <is>
          <t>8IN MEDIUM MFM FL</t>
        </is>
      </c>
      <c r="L272" s="245" t="inlineStr">
        <is>
          <t>WA-MMF-8F-IN</t>
        </is>
      </c>
      <c r="M272" s="248" t="inlineStr">
        <is>
          <t>MIWU00214</t>
        </is>
      </c>
      <c r="N272" s="245" t="inlineStr">
        <is>
          <t>F.MFM.08F.005.BU</t>
        </is>
      </c>
      <c r="O272" s="245" t="n"/>
      <c r="P272" s="245" t="n"/>
      <c r="Q272" s="250">
        <f>R272/H272</f>
        <v/>
      </c>
      <c r="R272" s="251" t="n">
        <v>2344.5</v>
      </c>
      <c r="S272" s="249" t="n">
        <v>17796</v>
      </c>
      <c r="T272" s="252">
        <f>S272*R272</f>
        <v/>
      </c>
      <c r="U272" s="245" t="n"/>
      <c r="V272" s="245" t="n"/>
      <c r="W272" s="245" t="n"/>
      <c r="X272" s="245" t="n"/>
      <c r="Y272" s="245" t="n"/>
      <c r="Z272" s="245" t="n"/>
    </row>
    <row r="273" ht="16.5" customHeight="1" s="202">
      <c r="A273" s="245" t="n"/>
      <c r="B273" s="245" t="n"/>
      <c r="C273" s="245" t="n"/>
      <c r="D273" s="245" t="n"/>
      <c r="E273" s="245" t="n"/>
      <c r="F273" s="245" t="n"/>
      <c r="G273" s="245" t="n"/>
      <c r="H273" s="247" t="n">
        <v>42</v>
      </c>
      <c r="I273" s="245" t="inlineStr"/>
      <c r="J273" s="245" t="inlineStr"/>
      <c r="K273" s="245" t="inlineStr">
        <is>
          <t>8IN MEDIUM MFM QN</t>
        </is>
      </c>
      <c r="L273" s="245" t="inlineStr">
        <is>
          <t>WA-MMF-8Q-IN</t>
        </is>
      </c>
      <c r="M273" s="248" t="inlineStr">
        <is>
          <t>MIWU00214</t>
        </is>
      </c>
      <c r="N273" s="245" t="inlineStr">
        <is>
          <t>F.MFM.08Q.005.BU</t>
        </is>
      </c>
      <c r="O273" s="245" t="n"/>
      <c r="P273" s="245" t="n"/>
      <c r="Q273" s="250">
        <f>R273/H273</f>
        <v/>
      </c>
      <c r="R273" s="251" t="n">
        <v>2590.98</v>
      </c>
      <c r="S273" s="249" t="n">
        <v>17796</v>
      </c>
      <c r="T273" s="252">
        <f>S273*R273</f>
        <v/>
      </c>
      <c r="U273" s="245" t="n"/>
      <c r="V273" s="245" t="n"/>
      <c r="W273" s="245" t="n"/>
      <c r="X273" s="245" t="n"/>
      <c r="Y273" s="245" t="n"/>
      <c r="Z273" s="245" t="n"/>
    </row>
    <row r="274" ht="16.5" customHeight="1" s="202">
      <c r="A274" s="245" t="n"/>
      <c r="B274" s="245" t="n"/>
      <c r="C274" s="245" t="n"/>
      <c r="D274" s="245" t="n"/>
      <c r="E274" s="245" t="n"/>
      <c r="F274" s="245" t="n"/>
      <c r="G274" s="245" t="n"/>
      <c r="H274" s="247" t="n">
        <v>55</v>
      </c>
      <c r="I274" s="245" t="inlineStr"/>
      <c r="J274" s="245" t="inlineStr"/>
      <c r="K274" s="245" t="inlineStr">
        <is>
          <t>8IN MEDIUM MFM TW</t>
        </is>
      </c>
      <c r="L274" s="245" t="inlineStr">
        <is>
          <t>WA-MMF-8T-IN</t>
        </is>
      </c>
      <c r="M274" s="248" t="inlineStr">
        <is>
          <t>MIWU00214</t>
        </is>
      </c>
      <c r="N274" s="245" t="inlineStr">
        <is>
          <t>F.MFM.08T.005.BU</t>
        </is>
      </c>
      <c r="O274" s="245" t="n"/>
      <c r="P274" s="245" t="n"/>
      <c r="Q274" s="250">
        <f>R274/H274</f>
        <v/>
      </c>
      <c r="R274" s="251" t="n">
        <v>2138.4</v>
      </c>
      <c r="S274" s="249" t="n">
        <v>17796</v>
      </c>
      <c r="T274" s="252">
        <f>S274*R274</f>
        <v/>
      </c>
      <c r="U274" s="245" t="n"/>
      <c r="V274" s="245" t="n"/>
      <c r="W274" s="245" t="n"/>
      <c r="X274" s="245" t="n"/>
      <c r="Y274" s="245" t="n"/>
      <c r="Z274" s="245" t="n"/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7" t="n">
        <v>40</v>
      </c>
      <c r="I275" s="245" t="inlineStr"/>
      <c r="J275" s="245" t="inlineStr"/>
      <c r="K275" s="245" t="inlineStr">
        <is>
          <t>8IN MEDIUM MFM TX</t>
        </is>
      </c>
      <c r="L275" s="245" t="inlineStr">
        <is>
          <t>WA-MMF-8TXL-IN</t>
        </is>
      </c>
      <c r="M275" s="248" t="inlineStr">
        <is>
          <t>MIWU00214</t>
        </is>
      </c>
      <c r="N275" s="245" t="inlineStr">
        <is>
          <t>F.MFM.08X.005.BU</t>
        </is>
      </c>
      <c r="O275" s="245" t="n"/>
      <c r="P275" s="245" t="n"/>
      <c r="Q275" s="250">
        <f>R275/H275</f>
        <v/>
      </c>
      <c r="R275" s="251" t="n">
        <v>1637.2</v>
      </c>
      <c r="S275" s="249" t="n">
        <v>17796</v>
      </c>
      <c r="T275" s="252">
        <f>S275*R275</f>
        <v/>
      </c>
      <c r="U275" s="245" t="n"/>
      <c r="V275" s="245" t="n"/>
      <c r="W275" s="245" t="n"/>
      <c r="X275" s="245" t="n"/>
      <c r="Y275" s="245" t="n"/>
      <c r="Z275" s="245" t="n"/>
    </row>
    <row r="276" ht="17.1" customHeight="1" s="202">
      <c r="A276" s="254" t="n"/>
      <c r="B276" s="254" t="n"/>
      <c r="C276" s="254" t="n"/>
      <c r="D276" s="254" t="n"/>
      <c r="E276" s="254" t="n"/>
      <c r="F276" s="254" t="n"/>
      <c r="G276" s="254" t="n"/>
      <c r="H276" s="255">
        <f>SUM(H265:H275)</f>
        <v/>
      </c>
      <c r="I276" s="254">
        <f>COUNTA(I265:I275)</f>
        <v/>
      </c>
      <c r="J276" s="254" t="n"/>
      <c r="K276" s="254" t="n"/>
      <c r="L276" s="254" t="n"/>
      <c r="M276" s="254" t="n"/>
      <c r="N276" s="254" t="n"/>
      <c r="O276" s="256">
        <f>SUM(O265:O275)</f>
        <v/>
      </c>
      <c r="P276" s="256">
        <f>SUM(P265:P275)</f>
        <v/>
      </c>
      <c r="Q276" s="254" t="n"/>
      <c r="R276" s="257">
        <f>SUM(R265:R275)</f>
        <v/>
      </c>
      <c r="S276" s="254" t="n"/>
      <c r="T276" s="258">
        <f>SUM(T265:T275)</f>
        <v/>
      </c>
      <c r="U276" s="254" t="n"/>
      <c r="V276" s="254" t="n"/>
      <c r="W276" s="254" t="n"/>
      <c r="X276" s="254" t="n"/>
      <c r="Y276" s="254" t="n"/>
      <c r="Z276" s="254" t="n"/>
    </row>
    <row r="277" ht="16.5" customHeight="1" s="202">
      <c r="A277" s="245" t="n">
        <v>29</v>
      </c>
      <c r="B277" s="245" t="inlineStr">
        <is>
          <t>000030ZIK48020260828000714</t>
        </is>
      </c>
      <c r="C277" s="245" t="n">
        <v>548580</v>
      </c>
      <c r="D277" s="245" t="n">
        <v>548528</v>
      </c>
      <c r="E277" s="246" t="n">
        <v>46265</v>
      </c>
      <c r="F277" s="245" t="inlineStr">
        <is>
          <t>ID2608-8260</t>
        </is>
      </c>
      <c r="G277" s="246" t="n">
        <v>46260</v>
      </c>
      <c r="H277" s="247" t="n">
        <v>90</v>
      </c>
      <c r="I277" s="245" t="inlineStr">
        <is>
          <t>WHSU8164183</t>
        </is>
      </c>
      <c r="J277" s="245" t="inlineStr">
        <is>
          <t>40FT</t>
        </is>
      </c>
      <c r="K277" s="245" t="inlineStr">
        <is>
          <t>10IN MEDIUM MFM FL</t>
        </is>
      </c>
      <c r="L277" s="245" t="inlineStr">
        <is>
          <t>WA-MMF-10F-IN</t>
        </is>
      </c>
      <c r="M277" s="248" t="inlineStr">
        <is>
          <t>MIWU00226</t>
        </is>
      </c>
      <c r="N277" s="245" t="inlineStr">
        <is>
          <t>F.MFM.10F.005.BU</t>
        </is>
      </c>
      <c r="O277" s="249" t="n">
        <v>12471.5</v>
      </c>
      <c r="P277" s="249" t="n">
        <v>11328</v>
      </c>
      <c r="Q277" s="250">
        <f>R277/H277</f>
        <v/>
      </c>
      <c r="R277" s="251" t="n">
        <v>5434.2</v>
      </c>
      <c r="S277" s="249" t="n">
        <v>17796</v>
      </c>
      <c r="T277" s="252">
        <f>S277*R277</f>
        <v/>
      </c>
      <c r="U277" s="245" t="inlineStr">
        <is>
          <t>040300/KPPBC</t>
        </is>
      </c>
      <c r="V277" s="245" t="inlineStr">
        <is>
          <t>TG. PRIOK</t>
        </is>
      </c>
      <c r="W277" s="245" t="inlineStr">
        <is>
          <t>NEW YORK, US</t>
        </is>
      </c>
      <c r="X277" s="245" t="inlineStr">
        <is>
          <t>MELLOW INC</t>
        </is>
      </c>
      <c r="Y277" s="245" t="inlineStr">
        <is>
          <t>WHLC049GX09541</t>
        </is>
      </c>
      <c r="Z277" s="246" t="n">
        <v>46265</v>
      </c>
    </row>
    <row r="278" ht="16.5" customHeight="1" s="202">
      <c r="A278" s="245" t="n"/>
      <c r="B278" s="245" t="n"/>
      <c r="C278" s="245" t="n"/>
      <c r="D278" s="245" t="n"/>
      <c r="E278" s="245" t="n"/>
      <c r="F278" s="245" t="n"/>
      <c r="G278" s="245" t="n"/>
      <c r="H278" s="247" t="n">
        <v>105</v>
      </c>
      <c r="I278" s="245" t="inlineStr"/>
      <c r="J278" s="245" t="inlineStr"/>
      <c r="K278" s="245" t="inlineStr">
        <is>
          <t>10IN MEDIUM MFM QN</t>
        </is>
      </c>
      <c r="L278" s="245" t="inlineStr">
        <is>
          <t>WA-MMF-10Q-IN</t>
        </is>
      </c>
      <c r="M278" s="248" t="inlineStr">
        <is>
          <t>MIWU00226</t>
        </is>
      </c>
      <c r="N278" s="245" t="inlineStr">
        <is>
          <t>F.MFM.10Q.005.BU</t>
        </is>
      </c>
      <c r="O278" s="245" t="n"/>
      <c r="P278" s="245" t="n"/>
      <c r="Q278" s="250">
        <f>R278/H278</f>
        <v/>
      </c>
      <c r="R278" s="251" t="n">
        <v>7513.8</v>
      </c>
      <c r="S278" s="249" t="n">
        <v>17796</v>
      </c>
      <c r="T278" s="252">
        <f>S278*R278</f>
        <v/>
      </c>
      <c r="U278" s="245" t="n"/>
      <c r="V278" s="245" t="n"/>
      <c r="W278" s="245" t="inlineStr">
        <is>
          <t>ETD : 04-09-2026</t>
        </is>
      </c>
      <c r="X278" s="245" t="n"/>
      <c r="Y278" s="245" t="n"/>
      <c r="Z278" s="245" t="n"/>
    </row>
    <row r="279" ht="16.5" customHeight="1" s="202">
      <c r="A279" s="245" t="n"/>
      <c r="B279" s="245" t="n"/>
      <c r="C279" s="245" t="n"/>
      <c r="D279" s="245" t="n"/>
      <c r="E279" s="245" t="n"/>
      <c r="F279" s="245" t="n"/>
      <c r="G279" s="245" t="n"/>
      <c r="H279" s="247" t="n">
        <v>25</v>
      </c>
      <c r="I279" s="245" t="inlineStr"/>
      <c r="J279" s="245" t="inlineStr"/>
      <c r="K279" s="245" t="inlineStr">
        <is>
          <t>12IN MEDIUM MFM EK</t>
        </is>
      </c>
      <c r="L279" s="245" t="inlineStr">
        <is>
          <t>WA-MMF-12K-IN</t>
        </is>
      </c>
      <c r="M279" s="248" t="inlineStr">
        <is>
          <t>MIWU00226</t>
        </is>
      </c>
      <c r="N279" s="245" t="inlineStr">
        <is>
          <t>F.MFM.12K.005.BU</t>
        </is>
      </c>
      <c r="O279" s="245" t="n"/>
      <c r="P279" s="245" t="n"/>
      <c r="Q279" s="250">
        <f>R279/H279</f>
        <v/>
      </c>
      <c r="R279" s="251" t="n">
        <v>2471.5</v>
      </c>
      <c r="S279" s="249" t="n">
        <v>17796</v>
      </c>
      <c r="T279" s="252">
        <f>S279*R279</f>
        <v/>
      </c>
      <c r="U279" s="245" t="n"/>
      <c r="V279" s="245" t="n"/>
      <c r="W279" s="245" t="n"/>
      <c r="X279" s="245" t="n"/>
      <c r="Y279" s="245" t="n"/>
      <c r="Z279" s="245" t="n"/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7" t="n">
        <v>60</v>
      </c>
      <c r="I280" s="245" t="inlineStr"/>
      <c r="J280" s="245" t="inlineStr"/>
      <c r="K280" s="245" t="inlineStr">
        <is>
          <t>12IN MEDIUM MFM QN</t>
        </is>
      </c>
      <c r="L280" s="245" t="inlineStr">
        <is>
          <t>WA-MMF-12Q-IN</t>
        </is>
      </c>
      <c r="M280" s="248" t="inlineStr">
        <is>
          <t>MIWU00226</t>
        </is>
      </c>
      <c r="N280" s="245" t="inlineStr">
        <is>
          <t>F.MFM.12Q.005.BU</t>
        </is>
      </c>
      <c r="O280" s="245" t="n"/>
      <c r="P280" s="245" t="n"/>
      <c r="Q280" s="250">
        <f>R280/H280</f>
        <v/>
      </c>
      <c r="R280" s="251" t="n">
        <v>4858.2</v>
      </c>
      <c r="S280" s="249" t="n">
        <v>17796</v>
      </c>
      <c r="T280" s="252">
        <f>S280*R280</f>
        <v/>
      </c>
      <c r="U280" s="245" t="n"/>
      <c r="V280" s="245" t="n"/>
      <c r="W280" s="245" t="n"/>
      <c r="X280" s="245" t="n"/>
      <c r="Y280" s="245" t="n"/>
      <c r="Z280" s="245" t="n"/>
    </row>
    <row r="281" ht="16.5" customHeight="1" s="202">
      <c r="A281" s="245" t="n"/>
      <c r="B281" s="245" t="n"/>
      <c r="C281" s="245" t="n"/>
      <c r="D281" s="245" t="n"/>
      <c r="E281" s="245" t="n"/>
      <c r="F281" s="245" t="n"/>
      <c r="G281" s="245" t="n"/>
      <c r="H281" s="247" t="n">
        <v>30</v>
      </c>
      <c r="I281" s="245" t="inlineStr"/>
      <c r="J281" s="245" t="inlineStr"/>
      <c r="K281" s="245" t="inlineStr">
        <is>
          <t>14IN MEDIUM MFM FL</t>
        </is>
      </c>
      <c r="L281" s="245" t="inlineStr">
        <is>
          <t>WA-MMF-14F-IN</t>
        </is>
      </c>
      <c r="M281" s="248" t="inlineStr">
        <is>
          <t>MIWU00226</t>
        </is>
      </c>
      <c r="N281" s="245" t="inlineStr">
        <is>
          <t>F.MFM.14F.000.BU</t>
        </is>
      </c>
      <c r="O281" s="245" t="n"/>
      <c r="P281" s="245" t="n"/>
      <c r="Q281" s="250">
        <f>R281/H281</f>
        <v/>
      </c>
      <c r="R281" s="251" t="n">
        <v>2338.8</v>
      </c>
      <c r="S281" s="249" t="n">
        <v>17796</v>
      </c>
      <c r="T281" s="252">
        <f>S281*R281</f>
        <v/>
      </c>
      <c r="U281" s="245" t="n"/>
      <c r="V281" s="245" t="n"/>
      <c r="W281" s="245" t="n"/>
      <c r="X281" s="245" t="n"/>
      <c r="Y281" s="245" t="n"/>
      <c r="Z281" s="245" t="n"/>
    </row>
    <row r="282" ht="16.5" customHeight="1" s="202">
      <c r="A282" s="245" t="n"/>
      <c r="B282" s="245" t="n"/>
      <c r="C282" s="245" t="n"/>
      <c r="D282" s="245" t="n"/>
      <c r="E282" s="245" t="n"/>
      <c r="F282" s="245" t="n"/>
      <c r="G282" s="245" t="n"/>
      <c r="H282" s="247" t="n">
        <v>30</v>
      </c>
      <c r="I282" s="245" t="inlineStr"/>
      <c r="J282" s="245" t="inlineStr"/>
      <c r="K282" s="245" t="inlineStr">
        <is>
          <t>14IN MEDIUM MFM EK</t>
        </is>
      </c>
      <c r="L282" s="245" t="inlineStr">
        <is>
          <t>WA-MMF-14K-IN</t>
        </is>
      </c>
      <c r="M282" s="248" t="inlineStr">
        <is>
          <t>MIWU00226</t>
        </is>
      </c>
      <c r="N282" s="245" t="inlineStr">
        <is>
          <t>F.MFM.14K.000.BU</t>
        </is>
      </c>
      <c r="O282" s="245" t="n"/>
      <c r="P282" s="245" t="n"/>
      <c r="Q282" s="250">
        <f>R282/H282</f>
        <v/>
      </c>
      <c r="R282" s="251" t="n">
        <v>3357</v>
      </c>
      <c r="S282" s="249" t="n">
        <v>17796</v>
      </c>
      <c r="T282" s="252">
        <f>S282*R282</f>
        <v/>
      </c>
      <c r="U282" s="245" t="n"/>
      <c r="V282" s="245" t="n"/>
      <c r="W282" s="245" t="n"/>
      <c r="X282" s="245" t="n"/>
      <c r="Y282" s="245" t="n"/>
      <c r="Z282" s="245" t="n"/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7" t="n">
        <v>60</v>
      </c>
      <c r="I283" s="245" t="inlineStr"/>
      <c r="J283" s="245" t="inlineStr"/>
      <c r="K283" s="245" t="inlineStr">
        <is>
          <t>14IN MEDIUM MFM QN</t>
        </is>
      </c>
      <c r="L283" s="245" t="inlineStr">
        <is>
          <t>WA-MMF-14Q-IN</t>
        </is>
      </c>
      <c r="M283" s="248" t="inlineStr">
        <is>
          <t>MIWU00226</t>
        </is>
      </c>
      <c r="N283" s="245" t="inlineStr">
        <is>
          <t>F.MFM.14Q.000.BU</t>
        </is>
      </c>
      <c r="O283" s="245" t="n"/>
      <c r="P283" s="245" t="n"/>
      <c r="Q283" s="250">
        <f>R283/H283</f>
        <v/>
      </c>
      <c r="R283" s="251" t="n">
        <v>5440.2</v>
      </c>
      <c r="S283" s="249" t="n">
        <v>17796</v>
      </c>
      <c r="T283" s="252">
        <f>S283*R283</f>
        <v/>
      </c>
      <c r="U283" s="245" t="n"/>
      <c r="V283" s="245" t="n"/>
      <c r="W283" s="245" t="n"/>
      <c r="X283" s="245" t="n"/>
      <c r="Y283" s="245" t="n"/>
      <c r="Z283" s="245" t="n"/>
    </row>
    <row r="284" ht="16.5" customHeight="1" s="202">
      <c r="A284" s="245" t="n"/>
      <c r="B284" s="245" t="n"/>
      <c r="C284" s="245" t="n"/>
      <c r="D284" s="245" t="n"/>
      <c r="E284" s="245" t="n"/>
      <c r="F284" s="245" t="n"/>
      <c r="G284" s="245" t="n"/>
      <c r="H284" s="247" t="n">
        <v>70</v>
      </c>
      <c r="I284" s="245" t="inlineStr"/>
      <c r="J284" s="245" t="inlineStr"/>
      <c r="K284" s="245" t="inlineStr">
        <is>
          <t>6IN MEDIUM MFM TW</t>
        </is>
      </c>
      <c r="L284" s="245" t="inlineStr">
        <is>
          <t>WA-MMF-6T-IN</t>
        </is>
      </c>
      <c r="M284" s="248" t="inlineStr">
        <is>
          <t>MIWU00226</t>
        </is>
      </c>
      <c r="N284" s="245" t="inlineStr">
        <is>
          <t>F.MFM.06T.002.BU</t>
        </is>
      </c>
      <c r="O284" s="245" t="n"/>
      <c r="P284" s="245" t="n"/>
      <c r="Q284" s="250">
        <f>R284/H284</f>
        <v/>
      </c>
      <c r="R284" s="251" t="n">
        <v>2247</v>
      </c>
      <c r="S284" s="249" t="n">
        <v>17796</v>
      </c>
      <c r="T284" s="252">
        <f>S284*R284</f>
        <v/>
      </c>
      <c r="U284" s="245" t="n"/>
      <c r="V284" s="245" t="n"/>
      <c r="W284" s="245" t="n"/>
      <c r="X284" s="245" t="n"/>
      <c r="Y284" s="245" t="n"/>
      <c r="Z284" s="245" t="n"/>
    </row>
    <row r="285" ht="17.1" customHeight="1" s="202">
      <c r="A285" s="254" t="n"/>
      <c r="B285" s="254" t="n"/>
      <c r="C285" s="254" t="n"/>
      <c r="D285" s="254" t="n"/>
      <c r="E285" s="254" t="n"/>
      <c r="F285" s="254" t="n"/>
      <c r="G285" s="254" t="n"/>
      <c r="H285" s="255">
        <f>SUM(H277:H284)</f>
        <v/>
      </c>
      <c r="I285" s="254">
        <f>COUNTA(I277:I284)</f>
        <v/>
      </c>
      <c r="J285" s="254" t="n"/>
      <c r="K285" s="254" t="n"/>
      <c r="L285" s="254" t="n"/>
      <c r="M285" s="254" t="n"/>
      <c r="N285" s="254" t="n"/>
      <c r="O285" s="256">
        <f>SUM(O277:O284)</f>
        <v/>
      </c>
      <c r="P285" s="256">
        <f>SUM(P277:P284)</f>
        <v/>
      </c>
      <c r="Q285" s="254" t="n"/>
      <c r="R285" s="257">
        <f>SUM(R277:R284)</f>
        <v/>
      </c>
      <c r="S285" s="254" t="n"/>
      <c r="T285" s="258">
        <f>SUM(T277:T284)</f>
        <v/>
      </c>
      <c r="U285" s="254" t="n"/>
      <c r="V285" s="254" t="n"/>
      <c r="W285" s="254" t="n"/>
      <c r="X285" s="254" t="n"/>
      <c r="Y285" s="254" t="n"/>
      <c r="Z285" s="254" t="n"/>
    </row>
    <row r="286" ht="16.5" customHeight="1" s="202">
      <c r="A286" s="245" t="n">
        <v>30</v>
      </c>
      <c r="B286" s="245" t="inlineStr">
        <is>
          <t>000030ZIK48020260828000715</t>
        </is>
      </c>
      <c r="C286" s="245" t="n">
        <v>548544</v>
      </c>
      <c r="D286" s="245" t="n">
        <v>548492</v>
      </c>
      <c r="E286" s="246" t="n">
        <v>46265</v>
      </c>
      <c r="F286" s="245" t="inlineStr">
        <is>
          <t>ID2608-8262</t>
        </is>
      </c>
      <c r="G286" s="246" t="n">
        <v>46260</v>
      </c>
      <c r="H286" s="247" t="n">
        <v>84</v>
      </c>
      <c r="I286" s="245" t="inlineStr">
        <is>
          <t>WHSU6733146</t>
        </is>
      </c>
      <c r="J286" s="245" t="inlineStr">
        <is>
          <t>40FT</t>
        </is>
      </c>
      <c r="K286" s="245" t="inlineStr">
        <is>
          <t>10IN MEDIUM MFM FL</t>
        </is>
      </c>
      <c r="L286" s="245" t="inlineStr">
        <is>
          <t>WA-MMF-10F-IN</t>
        </is>
      </c>
      <c r="M286" s="248" t="inlineStr">
        <is>
          <t>MIWU00215</t>
        </is>
      </c>
      <c r="N286" s="245" t="inlineStr">
        <is>
          <t>F.MFM.10F.005.BU</t>
        </is>
      </c>
      <c r="O286" s="249" t="n">
        <v>12135.68</v>
      </c>
      <c r="P286" s="249" t="n">
        <v>10914.42</v>
      </c>
      <c r="Q286" s="250">
        <f>R286/H286</f>
        <v/>
      </c>
      <c r="R286" s="251" t="n">
        <v>5071.92</v>
      </c>
      <c r="S286" s="249" t="n">
        <v>17796</v>
      </c>
      <c r="T286" s="252">
        <f>S286*R286</f>
        <v/>
      </c>
      <c r="U286" s="245" t="inlineStr">
        <is>
          <t>040300/KPPBC</t>
        </is>
      </c>
      <c r="V286" s="245" t="inlineStr">
        <is>
          <t>TG. PRIOK</t>
        </is>
      </c>
      <c r="W286" s="245" t="inlineStr">
        <is>
          <t>SAVANNAH, US</t>
        </is>
      </c>
      <c r="X286" s="245" t="inlineStr">
        <is>
          <t>MELLOW INC</t>
        </is>
      </c>
      <c r="Y286" s="245" t="inlineStr">
        <is>
          <t>WHLC049GX09539</t>
        </is>
      </c>
      <c r="Z286" s="246" t="n">
        <v>46265</v>
      </c>
    </row>
    <row r="287" ht="16.5" customHeight="1" s="202">
      <c r="A287" s="245" t="n"/>
      <c r="B287" s="245" t="n"/>
      <c r="C287" s="245" t="n"/>
      <c r="D287" s="245" t="n"/>
      <c r="E287" s="245" t="n"/>
      <c r="F287" s="245" t="n"/>
      <c r="G287" s="245" t="n"/>
      <c r="H287" s="247" t="n">
        <v>47</v>
      </c>
      <c r="I287" s="245" t="inlineStr"/>
      <c r="J287" s="245" t="inlineStr"/>
      <c r="K287" s="245" t="inlineStr">
        <is>
          <t>10IN MEDIUM MFM EK</t>
        </is>
      </c>
      <c r="L287" s="245" t="inlineStr">
        <is>
          <t>WA-MMF-10K-IN</t>
        </is>
      </c>
      <c r="M287" s="248" t="inlineStr">
        <is>
          <t>MIWU00215</t>
        </is>
      </c>
      <c r="N287" s="245" t="inlineStr">
        <is>
          <t>F.MFM.10K.005.BU</t>
        </is>
      </c>
      <c r="O287" s="245" t="n"/>
      <c r="P287" s="245" t="n"/>
      <c r="Q287" s="250">
        <f>R287/H287</f>
        <v/>
      </c>
      <c r="R287" s="251" t="n">
        <v>4111.09</v>
      </c>
      <c r="S287" s="249" t="n">
        <v>17796</v>
      </c>
      <c r="T287" s="252">
        <f>S287*R287</f>
        <v/>
      </c>
      <c r="U287" s="245" t="n"/>
      <c r="V287" s="245" t="n"/>
      <c r="W287" s="245" t="inlineStr">
        <is>
          <t>ETD : 04-09-2026</t>
        </is>
      </c>
      <c r="X287" s="245" t="n"/>
      <c r="Y287" s="245" t="n"/>
      <c r="Z287" s="245" t="n"/>
    </row>
    <row r="288" ht="16.5" customHeight="1" s="202">
      <c r="A288" s="245" t="n"/>
      <c r="B288" s="245" t="n"/>
      <c r="C288" s="245" t="n"/>
      <c r="D288" s="245" t="n"/>
      <c r="E288" s="245" t="n"/>
      <c r="F288" s="245" t="n"/>
      <c r="G288" s="245" t="n"/>
      <c r="H288" s="247" t="n">
        <v>88</v>
      </c>
      <c r="I288" s="245" t="inlineStr"/>
      <c r="J288" s="245" t="inlineStr"/>
      <c r="K288" s="245" t="inlineStr">
        <is>
          <t>10IN MEDIUM MFM QN</t>
        </is>
      </c>
      <c r="L288" s="245" t="inlineStr">
        <is>
          <t>WA-MMF-10Q-IN</t>
        </is>
      </c>
      <c r="M288" s="248" t="inlineStr">
        <is>
          <t>MIWU00215</t>
        </is>
      </c>
      <c r="N288" s="245" t="inlineStr">
        <is>
          <t>F.MFM.10Q.005.BU</t>
        </is>
      </c>
      <c r="O288" s="245" t="n"/>
      <c r="P288" s="245" t="n"/>
      <c r="Q288" s="250">
        <f>R288/H288</f>
        <v/>
      </c>
      <c r="R288" s="251" t="n">
        <v>6297.28</v>
      </c>
      <c r="S288" s="249" t="n">
        <v>17796</v>
      </c>
      <c r="T288" s="252">
        <f>S288*R288</f>
        <v/>
      </c>
      <c r="U288" s="245" t="n"/>
      <c r="V288" s="245" t="n"/>
      <c r="W288" s="245" t="n"/>
      <c r="X288" s="245" t="n"/>
      <c r="Y288" s="245" t="n"/>
      <c r="Z288" s="245" t="n"/>
    </row>
    <row r="289" ht="16.5" customHeight="1" s="202">
      <c r="A289" s="245" t="n"/>
      <c r="B289" s="245" t="n"/>
      <c r="C289" s="245" t="n"/>
      <c r="D289" s="245" t="n"/>
      <c r="E289" s="245" t="n"/>
      <c r="F289" s="245" t="n"/>
      <c r="G289" s="245" t="n"/>
      <c r="H289" s="247" t="n">
        <v>46</v>
      </c>
      <c r="I289" s="245" t="inlineStr"/>
      <c r="J289" s="245" t="inlineStr"/>
      <c r="K289" s="245" t="inlineStr">
        <is>
          <t>10IN MEDIUM MFM TW</t>
        </is>
      </c>
      <c r="L289" s="245" t="inlineStr">
        <is>
          <t>WA-MMF-10T-IN</t>
        </is>
      </c>
      <c r="M289" s="248" t="inlineStr">
        <is>
          <t>MIWU00215</t>
        </is>
      </c>
      <c r="N289" s="245" t="inlineStr">
        <is>
          <t>F.MFM.10T.005.BU</t>
        </is>
      </c>
      <c r="O289" s="245" t="n"/>
      <c r="P289" s="245" t="n"/>
      <c r="Q289" s="250">
        <f>R289/H289</f>
        <v/>
      </c>
      <c r="R289" s="251" t="n">
        <v>2116.92</v>
      </c>
      <c r="S289" s="249" t="n">
        <v>17796</v>
      </c>
      <c r="T289" s="252">
        <f>S289*R289</f>
        <v/>
      </c>
      <c r="U289" s="245" t="n"/>
      <c r="V289" s="245" t="n"/>
      <c r="W289" s="245" t="n"/>
      <c r="X289" s="245" t="n"/>
      <c r="Y289" s="245" t="n"/>
      <c r="Z289" s="245" t="n"/>
    </row>
    <row r="290" ht="16.5" customHeight="1" s="202">
      <c r="A290" s="245" t="n"/>
      <c r="B290" s="245" t="n"/>
      <c r="C290" s="245" t="n"/>
      <c r="D290" s="245" t="n"/>
      <c r="E290" s="245" t="n"/>
      <c r="F290" s="245" t="n"/>
      <c r="G290" s="245" t="n"/>
      <c r="H290" s="247" t="n">
        <v>52</v>
      </c>
      <c r="I290" s="245" t="inlineStr"/>
      <c r="J290" s="245" t="inlineStr"/>
      <c r="K290" s="245" t="inlineStr">
        <is>
          <t>10IN MEDIUM MFM TX</t>
        </is>
      </c>
      <c r="L290" s="245" t="inlineStr">
        <is>
          <t>WA-MMF-10TXL-IN</t>
        </is>
      </c>
      <c r="M290" s="248" t="inlineStr">
        <is>
          <t>MIWU00215</t>
        </is>
      </c>
      <c r="N290" s="245" t="inlineStr">
        <is>
          <t>F.MFM.10X.005.BU</t>
        </is>
      </c>
      <c r="O290" s="245" t="n"/>
      <c r="P290" s="245" t="n"/>
      <c r="Q290" s="250">
        <f>R290/H290</f>
        <v/>
      </c>
      <c r="R290" s="251" t="n">
        <v>2529.8</v>
      </c>
      <c r="S290" s="249" t="n">
        <v>17796</v>
      </c>
      <c r="T290" s="252">
        <f>S290*R290</f>
        <v/>
      </c>
      <c r="U290" s="245" t="n"/>
      <c r="V290" s="245" t="n"/>
      <c r="W290" s="245" t="n"/>
      <c r="X290" s="245" t="n"/>
      <c r="Y290" s="245" t="n"/>
      <c r="Z290" s="245" t="n"/>
    </row>
    <row r="291" ht="16.5" customHeight="1" s="202">
      <c r="A291" s="245" t="n"/>
      <c r="B291" s="245" t="n"/>
      <c r="C291" s="245" t="n"/>
      <c r="D291" s="245" t="n"/>
      <c r="E291" s="245" t="n"/>
      <c r="F291" s="245" t="n"/>
      <c r="G291" s="245" t="n"/>
      <c r="H291" s="247" t="n">
        <v>40</v>
      </c>
      <c r="I291" s="245" t="inlineStr"/>
      <c r="J291" s="245" t="inlineStr"/>
      <c r="K291" s="245" t="inlineStr">
        <is>
          <t>12IN MEDIUM MFM FL</t>
        </is>
      </c>
      <c r="L291" s="245" t="inlineStr">
        <is>
          <t>WA-MMF-12F-IN</t>
        </is>
      </c>
      <c r="M291" s="248" t="inlineStr">
        <is>
          <t>MIWU00215</t>
        </is>
      </c>
      <c r="N291" s="245" t="inlineStr">
        <is>
          <t>F.MFM.12F.005.BU</t>
        </is>
      </c>
      <c r="O291" s="245" t="n"/>
      <c r="P291" s="245" t="n"/>
      <c r="Q291" s="250">
        <f>R291/H291</f>
        <v/>
      </c>
      <c r="R291" s="251" t="n">
        <v>2786</v>
      </c>
      <c r="S291" s="249" t="n">
        <v>17796</v>
      </c>
      <c r="T291" s="252">
        <f>S291*R291</f>
        <v/>
      </c>
      <c r="U291" s="245" t="n"/>
      <c r="V291" s="245" t="n"/>
      <c r="W291" s="245" t="n"/>
      <c r="X291" s="245" t="n"/>
      <c r="Y291" s="245" t="n"/>
      <c r="Z291" s="245" t="n"/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7" t="n">
        <v>69</v>
      </c>
      <c r="I292" s="245" t="inlineStr"/>
      <c r="J292" s="245" t="inlineStr"/>
      <c r="K292" s="245" t="inlineStr">
        <is>
          <t>6IN MEDIUM MFM TW</t>
        </is>
      </c>
      <c r="L292" s="245" t="inlineStr">
        <is>
          <t>WA-MMF-6T-IN</t>
        </is>
      </c>
      <c r="M292" s="248" t="inlineStr">
        <is>
          <t>MIWU00215</t>
        </is>
      </c>
      <c r="N292" s="245" t="inlineStr">
        <is>
          <t>F.MFM.06T.002.BU</t>
        </is>
      </c>
      <c r="O292" s="245" t="n"/>
      <c r="P292" s="245" t="n"/>
      <c r="Q292" s="250">
        <f>R292/H292</f>
        <v/>
      </c>
      <c r="R292" s="251" t="n">
        <v>2214.9</v>
      </c>
      <c r="S292" s="249" t="n">
        <v>17796</v>
      </c>
      <c r="T292" s="252">
        <f>S292*R292</f>
        <v/>
      </c>
      <c r="U292" s="245" t="n"/>
      <c r="V292" s="245" t="n"/>
      <c r="W292" s="245" t="n"/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7" t="n">
        <v>40</v>
      </c>
      <c r="I293" s="245" t="inlineStr"/>
      <c r="J293" s="245" t="inlineStr"/>
      <c r="K293" s="245" t="inlineStr">
        <is>
          <t>8IN MEDIUM MFM FL</t>
        </is>
      </c>
      <c r="L293" s="245" t="inlineStr">
        <is>
          <t>WA-MMF-8F-IN</t>
        </is>
      </c>
      <c r="M293" s="248" t="inlineStr">
        <is>
          <t>MIWU00215</t>
        </is>
      </c>
      <c r="N293" s="245" t="inlineStr">
        <is>
          <t>F.MFM.08F.005.BU</t>
        </is>
      </c>
      <c r="O293" s="245" t="n"/>
      <c r="P293" s="245" t="n"/>
      <c r="Q293" s="250">
        <f>R293/H293</f>
        <v/>
      </c>
      <c r="R293" s="251" t="n">
        <v>2084</v>
      </c>
      <c r="S293" s="249" t="n">
        <v>17796</v>
      </c>
      <c r="T293" s="252">
        <f>S293*R293</f>
        <v/>
      </c>
      <c r="U293" s="245" t="n"/>
      <c r="V293" s="245" t="n"/>
      <c r="W293" s="245" t="n"/>
      <c r="X293" s="245" t="n"/>
      <c r="Y293" s="245" t="n"/>
      <c r="Z293" s="245" t="n"/>
    </row>
    <row r="294" ht="16.5" customHeight="1" s="202">
      <c r="A294" s="245" t="n"/>
      <c r="B294" s="245" t="n"/>
      <c r="C294" s="245" t="n"/>
      <c r="D294" s="245" t="n"/>
      <c r="E294" s="245" t="n"/>
      <c r="F294" s="245" t="n"/>
      <c r="G294" s="245" t="n"/>
      <c r="H294" s="247" t="n">
        <v>35</v>
      </c>
      <c r="I294" s="245" t="inlineStr"/>
      <c r="J294" s="245" t="inlineStr"/>
      <c r="K294" s="245" t="inlineStr">
        <is>
          <t>8IN MEDIUM MFM QN</t>
        </is>
      </c>
      <c r="L294" s="245" t="inlineStr">
        <is>
          <t>WA-MMF-8Q-IN</t>
        </is>
      </c>
      <c r="M294" s="248" t="inlineStr">
        <is>
          <t>MIWU00215</t>
        </is>
      </c>
      <c r="N294" s="245" t="inlineStr">
        <is>
          <t>F.MFM.08Q.005.BU</t>
        </is>
      </c>
      <c r="O294" s="245" t="n"/>
      <c r="P294" s="245" t="n"/>
      <c r="Q294" s="250">
        <f>R294/H294</f>
        <v/>
      </c>
      <c r="R294" s="251" t="n">
        <v>2159.15</v>
      </c>
      <c r="S294" s="249" t="n">
        <v>17796</v>
      </c>
      <c r="T294" s="252">
        <f>S294*R294</f>
        <v/>
      </c>
      <c r="U294" s="245" t="n"/>
      <c r="V294" s="245" t="n"/>
      <c r="W294" s="245" t="n"/>
      <c r="X294" s="245" t="n"/>
      <c r="Y294" s="245" t="n"/>
      <c r="Z294" s="245" t="n"/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7" t="n">
        <v>65</v>
      </c>
      <c r="I295" s="245" t="inlineStr"/>
      <c r="J295" s="245" t="inlineStr"/>
      <c r="K295" s="245" t="inlineStr">
        <is>
          <t>8IN MEDIUM MFM TW</t>
        </is>
      </c>
      <c r="L295" s="245" t="inlineStr">
        <is>
          <t>WA-MMF-8T-IN</t>
        </is>
      </c>
      <c r="M295" s="248" t="inlineStr">
        <is>
          <t>MIWU00215</t>
        </is>
      </c>
      <c r="N295" s="245" t="inlineStr">
        <is>
          <t>F.MFM.08T.005.BU</t>
        </is>
      </c>
      <c r="O295" s="245" t="n"/>
      <c r="P295" s="245" t="n"/>
      <c r="Q295" s="250">
        <f>R295/H295</f>
        <v/>
      </c>
      <c r="R295" s="251" t="n">
        <v>2527.2</v>
      </c>
      <c r="S295" s="249" t="n">
        <v>17796</v>
      </c>
      <c r="T295" s="252">
        <f>S295*R295</f>
        <v/>
      </c>
      <c r="U295" s="245" t="n"/>
      <c r="V295" s="245" t="n"/>
      <c r="W295" s="245" t="n"/>
      <c r="X295" s="245" t="n"/>
      <c r="Y295" s="245" t="n"/>
      <c r="Z295" s="245" t="n"/>
    </row>
    <row r="296" ht="17.1" customHeight="1" s="202">
      <c r="A296" s="254" t="n"/>
      <c r="B296" s="254" t="n"/>
      <c r="C296" s="254" t="n"/>
      <c r="D296" s="254" t="n"/>
      <c r="E296" s="254" t="n"/>
      <c r="F296" s="254" t="n"/>
      <c r="G296" s="254" t="n"/>
      <c r="H296" s="255">
        <f>SUM(H286:H295)</f>
        <v/>
      </c>
      <c r="I296" s="254">
        <f>COUNTA(I286:I295)</f>
        <v/>
      </c>
      <c r="J296" s="254" t="n"/>
      <c r="K296" s="254" t="n"/>
      <c r="L296" s="254" t="n"/>
      <c r="M296" s="254" t="n"/>
      <c r="N296" s="254" t="n"/>
      <c r="O296" s="256">
        <f>SUM(O286:O295)</f>
        <v/>
      </c>
      <c r="P296" s="256">
        <f>SUM(P286:P295)</f>
        <v/>
      </c>
      <c r="Q296" s="254" t="n"/>
      <c r="R296" s="257">
        <f>SUM(R286:R295)</f>
        <v/>
      </c>
      <c r="S296" s="254" t="n"/>
      <c r="T296" s="258">
        <f>SUM(T286:T295)</f>
        <v/>
      </c>
      <c r="U296" s="254" t="n"/>
      <c r="V296" s="254" t="n"/>
      <c r="W296" s="254" t="n"/>
      <c r="X296" s="254" t="n"/>
      <c r="Y296" s="254" t="n"/>
      <c r="Z296" s="254" t="n"/>
    </row>
    <row r="297" ht="16.5" customHeight="1" s="202">
      <c r="A297" s="245" t="n">
        <v>31</v>
      </c>
      <c r="B297" s="245" t="inlineStr">
        <is>
          <t>000030ZIK48020260828000716</t>
        </is>
      </c>
      <c r="C297" s="245" t="n">
        <v>548611</v>
      </c>
      <c r="D297" s="245" t="n">
        <v>548559</v>
      </c>
      <c r="E297" s="246" t="n">
        <v>46265</v>
      </c>
      <c r="F297" s="245" t="inlineStr">
        <is>
          <t>ID2608-8263</t>
        </is>
      </c>
      <c r="G297" s="246" t="n">
        <v>46260</v>
      </c>
      <c r="H297" s="247" t="n">
        <v>20</v>
      </c>
      <c r="I297" s="245" t="inlineStr">
        <is>
          <t>MSKU1511314</t>
        </is>
      </c>
      <c r="J297" s="245" t="inlineStr">
        <is>
          <t>40FT</t>
        </is>
      </c>
      <c r="K297" s="245" t="inlineStr">
        <is>
          <t>10IN FIRM MF MATTRESS FL</t>
        </is>
      </c>
      <c r="L297" s="245" t="inlineStr">
        <is>
          <t>WA-FMF-10F</t>
        </is>
      </c>
      <c r="M297" s="248" t="inlineStr">
        <is>
          <t>MIWU00236</t>
        </is>
      </c>
      <c r="N297" s="245" t="inlineStr">
        <is>
          <t>F.MFM.10F.000.BU</t>
        </is>
      </c>
      <c r="O297" s="249" t="n">
        <v>12389.92</v>
      </c>
      <c r="P297" s="249" t="n">
        <v>11142.54</v>
      </c>
      <c r="Q297" s="250">
        <f>R297/H297</f>
        <v/>
      </c>
      <c r="R297" s="251" t="n">
        <v>1229.8</v>
      </c>
      <c r="S297" s="249" t="n">
        <v>17796</v>
      </c>
      <c r="T297" s="252">
        <f>S297*R297</f>
        <v/>
      </c>
      <c r="U297" s="245" t="inlineStr">
        <is>
          <t>040300/KPPBC</t>
        </is>
      </c>
      <c r="V297" s="245" t="inlineStr">
        <is>
          <t>TG. PRIOK</t>
        </is>
      </c>
      <c r="W297" s="245" t="inlineStr">
        <is>
          <t>SAVANNAH, US</t>
        </is>
      </c>
      <c r="X297" s="245" t="inlineStr">
        <is>
          <t>MELLOW INC</t>
        </is>
      </c>
      <c r="Y297" s="245" t="inlineStr">
        <is>
          <t>MAEU275334983</t>
        </is>
      </c>
      <c r="Z297" s="246" t="n">
        <v>46265</v>
      </c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7" t="n">
        <v>23</v>
      </c>
      <c r="I298" s="245" t="inlineStr"/>
      <c r="J298" s="245" t="inlineStr"/>
      <c r="K298" s="245" t="inlineStr">
        <is>
          <t>10IN FIRM MF MATTRESS QN</t>
        </is>
      </c>
      <c r="L298" s="245" t="inlineStr">
        <is>
          <t>WA-FMF-10Q</t>
        </is>
      </c>
      <c r="M298" s="248" t="inlineStr">
        <is>
          <t>MIWU00236</t>
        </is>
      </c>
      <c r="N298" s="245" t="inlineStr">
        <is>
          <t>F.MFM.10Q.000.BU</t>
        </is>
      </c>
      <c r="O298" s="245" t="n"/>
      <c r="P298" s="245" t="n"/>
      <c r="Q298" s="250">
        <f>R298/H298</f>
        <v/>
      </c>
      <c r="R298" s="251" t="n">
        <v>1674.86</v>
      </c>
      <c r="S298" s="249" t="n">
        <v>17796</v>
      </c>
      <c r="T298" s="252">
        <f>S298*R298</f>
        <v/>
      </c>
      <c r="U298" s="245" t="n"/>
      <c r="V298" s="245" t="n"/>
      <c r="W298" s="245" t="inlineStr">
        <is>
          <t>ETD : 07-09-2026</t>
        </is>
      </c>
      <c r="X298" s="245" t="n"/>
      <c r="Y298" s="245" t="n"/>
      <c r="Z298" s="245" t="n"/>
    </row>
    <row r="299" ht="16.5" customHeight="1" s="202">
      <c r="A299" s="245" t="n"/>
      <c r="B299" s="245" t="n"/>
      <c r="C299" s="245" t="n"/>
      <c r="D299" s="245" t="n"/>
      <c r="E299" s="245" t="n"/>
      <c r="F299" s="245" t="n"/>
      <c r="G299" s="245" t="n"/>
      <c r="H299" s="247" t="n">
        <v>20</v>
      </c>
      <c r="I299" s="245" t="inlineStr"/>
      <c r="J299" s="245" t="inlineStr"/>
      <c r="K299" s="245" t="inlineStr">
        <is>
          <t>10IN FIRM MF MATTRESS TW</t>
        </is>
      </c>
      <c r="L299" s="245" t="inlineStr">
        <is>
          <t>WA-FMF-10T</t>
        </is>
      </c>
      <c r="M299" s="248" t="inlineStr">
        <is>
          <t>MIWU00236</t>
        </is>
      </c>
      <c r="N299" s="245" t="inlineStr">
        <is>
          <t>F.MFM.10T.000.BU</t>
        </is>
      </c>
      <c r="O299" s="245" t="n"/>
      <c r="P299" s="245" t="n"/>
      <c r="Q299" s="250">
        <f>R299/H299</f>
        <v/>
      </c>
      <c r="R299" s="251" t="n">
        <v>938.4</v>
      </c>
      <c r="S299" s="249" t="n">
        <v>17796</v>
      </c>
      <c r="T299" s="252">
        <f>S299*R299</f>
        <v/>
      </c>
      <c r="U299" s="245" t="n"/>
      <c r="V299" s="245" t="n"/>
      <c r="W299" s="245" t="n"/>
      <c r="X299" s="245" t="n"/>
      <c r="Y299" s="245" t="n"/>
      <c r="Z299" s="245" t="n"/>
    </row>
    <row r="300" ht="16.5" customHeight="1" s="202">
      <c r="A300" s="245" t="n"/>
      <c r="B300" s="245" t="n"/>
      <c r="C300" s="245" t="n"/>
      <c r="D300" s="245" t="n"/>
      <c r="E300" s="245" t="n"/>
      <c r="F300" s="245" t="n"/>
      <c r="G300" s="245" t="n"/>
      <c r="H300" s="247" t="n">
        <v>38</v>
      </c>
      <c r="I300" s="245" t="inlineStr"/>
      <c r="J300" s="245" t="inlineStr"/>
      <c r="K300" s="245" t="inlineStr">
        <is>
          <t>12IN FIRM MF MATTRESS FL</t>
        </is>
      </c>
      <c r="L300" s="245" t="inlineStr">
        <is>
          <t>WA-FMF-12F</t>
        </is>
      </c>
      <c r="M300" s="248" t="inlineStr">
        <is>
          <t>MIWU00236</t>
        </is>
      </c>
      <c r="N300" s="245" t="inlineStr">
        <is>
          <t>F.MFM.12F.000.BU</t>
        </is>
      </c>
      <c r="O300" s="245" t="n"/>
      <c r="P300" s="245" t="n"/>
      <c r="Q300" s="250">
        <f>R300/H300</f>
        <v/>
      </c>
      <c r="R300" s="251" t="n">
        <v>2681.28</v>
      </c>
      <c r="S300" s="249" t="n">
        <v>17796</v>
      </c>
      <c r="T300" s="252">
        <f>S300*R300</f>
        <v/>
      </c>
      <c r="U300" s="245" t="n"/>
      <c r="V300" s="245" t="n"/>
      <c r="W300" s="245" t="n"/>
      <c r="X300" s="245" t="n"/>
      <c r="Y300" s="245" t="n"/>
      <c r="Z300" s="245" t="n"/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7" t="n">
        <v>36</v>
      </c>
      <c r="I301" s="245" t="inlineStr"/>
      <c r="J301" s="245" t="inlineStr"/>
      <c r="K301" s="245" t="inlineStr">
        <is>
          <t>12IN FIRM MF MATTRESS QN</t>
        </is>
      </c>
      <c r="L301" s="245" t="inlineStr">
        <is>
          <t>WA-FMF-12Q</t>
        </is>
      </c>
      <c r="M301" s="248" t="inlineStr">
        <is>
          <t>MIWU00236</t>
        </is>
      </c>
      <c r="N301" s="245" t="inlineStr">
        <is>
          <t>F.MFM.12Q.000.BU</t>
        </is>
      </c>
      <c r="O301" s="245" t="n"/>
      <c r="P301" s="245" t="n"/>
      <c r="Q301" s="250">
        <f>R301/H301</f>
        <v/>
      </c>
      <c r="R301" s="251" t="n">
        <v>2959.2</v>
      </c>
      <c r="S301" s="249" t="n">
        <v>17796</v>
      </c>
      <c r="T301" s="252">
        <f>S301*R301</f>
        <v/>
      </c>
      <c r="U301" s="245" t="n"/>
      <c r="V301" s="245" t="n"/>
      <c r="W301" s="245" t="n"/>
      <c r="X301" s="245" t="n"/>
      <c r="Y301" s="245" t="n"/>
      <c r="Z301" s="245" t="n"/>
    </row>
    <row r="302" ht="16.5" customHeight="1" s="202">
      <c r="A302" s="245" t="n"/>
      <c r="B302" s="245" t="n"/>
      <c r="C302" s="245" t="n"/>
      <c r="D302" s="245" t="n"/>
      <c r="E302" s="245" t="n"/>
      <c r="F302" s="245" t="n"/>
      <c r="G302" s="245" t="n"/>
      <c r="H302" s="247" t="n">
        <v>50</v>
      </c>
      <c r="I302" s="245" t="inlineStr"/>
      <c r="J302" s="245" t="inlineStr"/>
      <c r="K302" s="245" t="inlineStr">
        <is>
          <t>12IN FIRM MF MATTRESS TW</t>
        </is>
      </c>
      <c r="L302" s="245" t="inlineStr">
        <is>
          <t>WA-FMF-12T</t>
        </is>
      </c>
      <c r="M302" s="248" t="inlineStr">
        <is>
          <t>MIWU00236</t>
        </is>
      </c>
      <c r="N302" s="245" t="inlineStr">
        <is>
          <t>F.MFM.12T.000.BU</t>
        </is>
      </c>
      <c r="O302" s="245" t="n"/>
      <c r="P302" s="245" t="n"/>
      <c r="Q302" s="250">
        <f>R302/H302</f>
        <v/>
      </c>
      <c r="R302" s="251" t="n">
        <v>2653.5</v>
      </c>
      <c r="S302" s="249" t="n">
        <v>17796</v>
      </c>
      <c r="T302" s="252">
        <f>S302*R302</f>
        <v/>
      </c>
      <c r="U302" s="245" t="n"/>
      <c r="V302" s="245" t="n"/>
      <c r="W302" s="245" t="n"/>
      <c r="X302" s="245" t="n"/>
      <c r="Y302" s="245" t="n"/>
      <c r="Z302" s="245" t="n"/>
    </row>
    <row r="303" ht="16.5" customHeight="1" s="202">
      <c r="A303" s="245" t="n"/>
      <c r="B303" s="245" t="n"/>
      <c r="C303" s="245" t="n"/>
      <c r="D303" s="245" t="n"/>
      <c r="E303" s="245" t="n"/>
      <c r="F303" s="245" t="n"/>
      <c r="G303" s="245" t="n"/>
      <c r="H303" s="247" t="n">
        <v>70</v>
      </c>
      <c r="I303" s="245" t="inlineStr"/>
      <c r="J303" s="245" t="inlineStr"/>
      <c r="K303" s="245" t="inlineStr">
        <is>
          <t>10IN MEDIUM MFM FL</t>
        </is>
      </c>
      <c r="L303" s="245" t="inlineStr">
        <is>
          <t>WA-MMF-10F-IN</t>
        </is>
      </c>
      <c r="M303" s="248" t="inlineStr">
        <is>
          <t>MIWU00236</t>
        </is>
      </c>
      <c r="N303" s="245" t="inlineStr">
        <is>
          <t>F.MFM.10F.005.BU</t>
        </is>
      </c>
      <c r="O303" s="245" t="n"/>
      <c r="P303" s="245" t="n"/>
      <c r="Q303" s="250">
        <f>R303/H303</f>
        <v/>
      </c>
      <c r="R303" s="251" t="n">
        <v>4226.6</v>
      </c>
      <c r="S303" s="249" t="n">
        <v>17796</v>
      </c>
      <c r="T303" s="252">
        <f>S303*R303</f>
        <v/>
      </c>
      <c r="U303" s="245" t="n"/>
      <c r="V303" s="245" t="n"/>
      <c r="W303" s="245" t="n"/>
      <c r="X303" s="245" t="n"/>
      <c r="Y303" s="245" t="n"/>
      <c r="Z303" s="245" t="n"/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7" t="n">
        <v>89</v>
      </c>
      <c r="I304" s="245" t="inlineStr"/>
      <c r="J304" s="245" t="inlineStr"/>
      <c r="K304" s="245" t="inlineStr">
        <is>
          <t>10IN MEDIUM MFM QN</t>
        </is>
      </c>
      <c r="L304" s="245" t="inlineStr">
        <is>
          <t>WA-MMF-10Q-IN</t>
        </is>
      </c>
      <c r="M304" s="248" t="inlineStr">
        <is>
          <t>MIWU00236</t>
        </is>
      </c>
      <c r="N304" s="245" t="inlineStr">
        <is>
          <t>F.MFM.10Q.005.BU</t>
        </is>
      </c>
      <c r="O304" s="245" t="n"/>
      <c r="P304" s="245" t="n"/>
      <c r="Q304" s="250">
        <f>R304/H304</f>
        <v/>
      </c>
      <c r="R304" s="251" t="n">
        <v>6368.84</v>
      </c>
      <c r="S304" s="249" t="n">
        <v>17796</v>
      </c>
      <c r="T304" s="252">
        <f>S304*R304</f>
        <v/>
      </c>
      <c r="U304" s="245" t="n"/>
      <c r="V304" s="245" t="n"/>
      <c r="W304" s="245" t="n"/>
      <c r="X304" s="245" t="n"/>
      <c r="Y304" s="245" t="n"/>
      <c r="Z304" s="245" t="n"/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7" t="n">
        <v>48</v>
      </c>
      <c r="I305" s="245" t="inlineStr"/>
      <c r="J305" s="245" t="inlineStr"/>
      <c r="K305" s="245" t="inlineStr">
        <is>
          <t>14IN MEDIUM MFM QN</t>
        </is>
      </c>
      <c r="L305" s="245" t="inlineStr">
        <is>
          <t>WA-MMF-14Q-IN</t>
        </is>
      </c>
      <c r="M305" s="248" t="inlineStr">
        <is>
          <t>MIWU00236</t>
        </is>
      </c>
      <c r="N305" s="245" t="inlineStr">
        <is>
          <t>F.MFM.14Q.000.BU</t>
        </is>
      </c>
      <c r="O305" s="245" t="n"/>
      <c r="P305" s="245" t="n"/>
      <c r="Q305" s="250">
        <f>R305/H305</f>
        <v/>
      </c>
      <c r="R305" s="251" t="n">
        <v>4352.16</v>
      </c>
      <c r="S305" s="249" t="n">
        <v>17796</v>
      </c>
      <c r="T305" s="252">
        <f>S305*R305</f>
        <v/>
      </c>
      <c r="U305" s="245" t="n"/>
      <c r="V305" s="245" t="n"/>
      <c r="W305" s="245" t="n"/>
      <c r="X305" s="245" t="n"/>
      <c r="Y305" s="245" t="n"/>
      <c r="Z305" s="245" t="n"/>
    </row>
    <row r="306" ht="16.5" customHeight="1" s="202">
      <c r="A306" s="245" t="n"/>
      <c r="B306" s="245" t="n"/>
      <c r="C306" s="245" t="n"/>
      <c r="D306" s="245" t="n"/>
      <c r="E306" s="245" t="n"/>
      <c r="F306" s="245" t="n"/>
      <c r="G306" s="245" t="n"/>
      <c r="H306" s="247" t="n">
        <v>73</v>
      </c>
      <c r="I306" s="245" t="inlineStr"/>
      <c r="J306" s="245" t="inlineStr"/>
      <c r="K306" s="245" t="inlineStr">
        <is>
          <t>6IN MEDIUM MFM TW</t>
        </is>
      </c>
      <c r="L306" s="245" t="inlineStr">
        <is>
          <t>WA-MMF-6T-IN</t>
        </is>
      </c>
      <c r="M306" s="248" t="inlineStr">
        <is>
          <t>MIWU00236</t>
        </is>
      </c>
      <c r="N306" s="245" t="inlineStr">
        <is>
          <t>F.MFM.06T.002.BU</t>
        </is>
      </c>
      <c r="O306" s="245" t="n"/>
      <c r="P306" s="245" t="n"/>
      <c r="Q306" s="250">
        <f>R306/H306</f>
        <v/>
      </c>
      <c r="R306" s="251" t="n">
        <v>2343.3</v>
      </c>
      <c r="S306" s="249" t="n">
        <v>17796</v>
      </c>
      <c r="T306" s="252">
        <f>S306*R306</f>
        <v/>
      </c>
      <c r="U306" s="245" t="n"/>
      <c r="V306" s="245" t="n"/>
      <c r="W306" s="245" t="n"/>
      <c r="X306" s="245" t="n"/>
      <c r="Y306" s="245" t="n"/>
      <c r="Z306" s="245" t="n"/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7" t="n">
        <v>28</v>
      </c>
      <c r="I307" s="245" t="inlineStr"/>
      <c r="J307" s="245" t="inlineStr"/>
      <c r="K307" s="245" t="inlineStr">
        <is>
          <t>10IN PLUSH MFM FL</t>
        </is>
      </c>
      <c r="L307" s="245" t="inlineStr">
        <is>
          <t>WA-PMF-10F-IN</t>
        </is>
      </c>
      <c r="M307" s="248" t="inlineStr">
        <is>
          <t>MIWU00236</t>
        </is>
      </c>
      <c r="N307" s="245" t="inlineStr">
        <is>
          <t>F.MFM.10F.006.BU</t>
        </is>
      </c>
      <c r="O307" s="245" t="n"/>
      <c r="P307" s="245" t="n"/>
      <c r="Q307" s="250">
        <f>R307/H307</f>
        <v/>
      </c>
      <c r="R307" s="251" t="n">
        <v>1755.6</v>
      </c>
      <c r="S307" s="249" t="n">
        <v>17796</v>
      </c>
      <c r="T307" s="252">
        <f>S307*R307</f>
        <v/>
      </c>
      <c r="U307" s="245" t="n"/>
      <c r="V307" s="245" t="n"/>
      <c r="W307" s="245" t="n"/>
      <c r="X307" s="245" t="n"/>
      <c r="Y307" s="245" t="n"/>
      <c r="Z307" s="245" t="n"/>
    </row>
    <row r="308" ht="16.5" customHeight="1" s="202">
      <c r="A308" s="245" t="n"/>
      <c r="B308" s="245" t="n"/>
      <c r="C308" s="245" t="n"/>
      <c r="D308" s="245" t="n"/>
      <c r="E308" s="245" t="n"/>
      <c r="F308" s="245" t="n"/>
      <c r="G308" s="245" t="n"/>
      <c r="H308" s="247" t="n">
        <v>20</v>
      </c>
      <c r="I308" s="245" t="inlineStr"/>
      <c r="J308" s="245" t="inlineStr"/>
      <c r="K308" s="245" t="inlineStr">
        <is>
          <t>8IN PLUSH MFM FL</t>
        </is>
      </c>
      <c r="L308" s="245" t="inlineStr">
        <is>
          <t>WA-PMF-8F-IN</t>
        </is>
      </c>
      <c r="M308" s="248" t="inlineStr">
        <is>
          <t>MIWU00236</t>
        </is>
      </c>
      <c r="N308" s="245" t="inlineStr">
        <is>
          <t>F.MFM.08F.006.BU</t>
        </is>
      </c>
      <c r="O308" s="245" t="n"/>
      <c r="P308" s="245" t="n"/>
      <c r="Q308" s="250">
        <f>R308/H308</f>
        <v/>
      </c>
      <c r="R308" s="251" t="n">
        <v>956.4</v>
      </c>
      <c r="S308" s="249" t="n">
        <v>17796</v>
      </c>
      <c r="T308" s="252">
        <f>S308*R308</f>
        <v/>
      </c>
      <c r="U308" s="245" t="n"/>
      <c r="V308" s="245" t="n"/>
      <c r="W308" s="245" t="n"/>
      <c r="X308" s="245" t="n"/>
      <c r="Y308" s="245" t="n"/>
      <c r="Z308" s="245" t="n"/>
    </row>
    <row r="309" ht="16.5" customHeight="1" s="202">
      <c r="A309" s="245" t="n"/>
      <c r="B309" s="245" t="n"/>
      <c r="C309" s="245" t="n"/>
      <c r="D309" s="245" t="n"/>
      <c r="E309" s="245" t="n"/>
      <c r="F309" s="245" t="n"/>
      <c r="G309" s="245" t="n"/>
      <c r="H309" s="247" t="n">
        <v>42</v>
      </c>
      <c r="I309" s="245" t="inlineStr"/>
      <c r="J309" s="245" t="inlineStr"/>
      <c r="K309" s="245" t="inlineStr">
        <is>
          <t>8IN PLUSH MFM TW</t>
        </is>
      </c>
      <c r="L309" s="245" t="inlineStr">
        <is>
          <t>WA-PMF-8T-IN</t>
        </is>
      </c>
      <c r="M309" s="248" t="inlineStr">
        <is>
          <t>MIWU00236</t>
        </is>
      </c>
      <c r="N309" s="245" t="inlineStr">
        <is>
          <t>F.MFM.08T.006.BU</t>
        </is>
      </c>
      <c r="O309" s="245" t="n"/>
      <c r="P309" s="245" t="n"/>
      <c r="Q309" s="250">
        <f>R309/H309</f>
        <v/>
      </c>
      <c r="R309" s="251" t="n">
        <v>1518.72</v>
      </c>
      <c r="S309" s="249" t="n">
        <v>17796</v>
      </c>
      <c r="T309" s="252">
        <f>S309*R309</f>
        <v/>
      </c>
      <c r="U309" s="245" t="n"/>
      <c r="V309" s="245" t="n"/>
      <c r="W309" s="245" t="n"/>
      <c r="X309" s="245" t="n"/>
      <c r="Y309" s="245" t="n"/>
      <c r="Z309" s="245" t="n"/>
    </row>
    <row r="310" ht="17.1" customHeight="1" s="202">
      <c r="A310" s="254" t="n"/>
      <c r="B310" s="254" t="n"/>
      <c r="C310" s="254" t="n"/>
      <c r="D310" s="254" t="n"/>
      <c r="E310" s="254" t="n"/>
      <c r="F310" s="254" t="n"/>
      <c r="G310" s="254" t="n"/>
      <c r="H310" s="255">
        <f>SUM(H297:H309)</f>
        <v/>
      </c>
      <c r="I310" s="254">
        <f>COUNTA(I297:I309)</f>
        <v/>
      </c>
      <c r="J310" s="254" t="n"/>
      <c r="K310" s="254" t="n"/>
      <c r="L310" s="254" t="n"/>
      <c r="M310" s="254" t="n"/>
      <c r="N310" s="254" t="n"/>
      <c r="O310" s="256">
        <f>SUM(O297:O309)</f>
        <v/>
      </c>
      <c r="P310" s="256">
        <f>SUM(P297:P309)</f>
        <v/>
      </c>
      <c r="Q310" s="254" t="n"/>
      <c r="R310" s="257">
        <f>SUM(R297:R309)</f>
        <v/>
      </c>
      <c r="S310" s="254" t="n"/>
      <c r="T310" s="258">
        <f>SUM(T297:T309)</f>
        <v/>
      </c>
      <c r="U310" s="254" t="n"/>
      <c r="V310" s="254" t="n"/>
      <c r="W310" s="254" t="n"/>
      <c r="X310" s="254" t="n"/>
      <c r="Y310" s="254" t="n"/>
      <c r="Z310" s="254" t="n"/>
    </row>
    <row r="311" ht="16.5" customHeight="1" s="202">
      <c r="A311" s="245" t="n">
        <v>32</v>
      </c>
      <c r="B311" s="245" t="inlineStr">
        <is>
          <t>000030ZIK48020260828000717</t>
        </is>
      </c>
      <c r="C311" s="245" t="n">
        <v>548640</v>
      </c>
      <c r="D311" s="245" t="n">
        <v>548588</v>
      </c>
      <c r="E311" s="246" t="n">
        <v>46265</v>
      </c>
      <c r="F311" s="245" t="inlineStr">
        <is>
          <t>ID2608-8264</t>
        </is>
      </c>
      <c r="G311" s="246" t="n">
        <v>46260</v>
      </c>
      <c r="H311" s="247" t="n">
        <v>92</v>
      </c>
      <c r="I311" s="245" t="inlineStr">
        <is>
          <t>TCLU4993676</t>
        </is>
      </c>
      <c r="J311" s="245" t="inlineStr">
        <is>
          <t>40FT</t>
        </is>
      </c>
      <c r="K311" s="245" t="inlineStr">
        <is>
          <t>10IN MEDIUM MFM FL</t>
        </is>
      </c>
      <c r="L311" s="245" t="inlineStr">
        <is>
          <t>WA-MMF-10F-IN</t>
        </is>
      </c>
      <c r="M311" s="248" t="inlineStr">
        <is>
          <t>MIWU00237</t>
        </is>
      </c>
      <c r="N311" s="245" t="inlineStr">
        <is>
          <t>F.MFM.10F.005.BU</t>
        </is>
      </c>
      <c r="O311" s="249" t="n">
        <v>12840.4</v>
      </c>
      <c r="P311" s="249" t="n">
        <v>11668.2</v>
      </c>
      <c r="Q311" s="250">
        <f>R311/H311</f>
        <v/>
      </c>
      <c r="R311" s="251" t="n">
        <v>5554.96</v>
      </c>
      <c r="S311" s="249" t="n">
        <v>17796</v>
      </c>
      <c r="T311" s="252">
        <f>S311*R311</f>
        <v/>
      </c>
      <c r="U311" s="245" t="inlineStr">
        <is>
          <t>040300/KPPBC</t>
        </is>
      </c>
      <c r="V311" s="245" t="inlineStr">
        <is>
          <t>TG. PRIOK</t>
        </is>
      </c>
      <c r="W311" s="245" t="inlineStr">
        <is>
          <t>SAVANNAH, US</t>
        </is>
      </c>
      <c r="X311" s="245" t="inlineStr">
        <is>
          <t>MELLOW INC</t>
        </is>
      </c>
      <c r="Y311" s="245" t="inlineStr">
        <is>
          <t>MAEU275334977</t>
        </is>
      </c>
      <c r="Z311" s="246" t="n">
        <v>46265</v>
      </c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94</v>
      </c>
      <c r="I312" s="245" t="inlineStr"/>
      <c r="J312" s="245" t="inlineStr"/>
      <c r="K312" s="245" t="inlineStr">
        <is>
          <t>10IN MEDIUM MFM QN</t>
        </is>
      </c>
      <c r="L312" s="245" t="inlineStr">
        <is>
          <t>WA-MMF-10Q-IN</t>
        </is>
      </c>
      <c r="M312" s="248" t="inlineStr">
        <is>
          <t>MIWU00237</t>
        </is>
      </c>
      <c r="N312" s="245" t="inlineStr">
        <is>
          <t>F.MFM.10Q.005.BU</t>
        </is>
      </c>
      <c r="O312" s="245" t="n"/>
      <c r="P312" s="245" t="n"/>
      <c r="Q312" s="250">
        <f>R312/H312</f>
        <v/>
      </c>
      <c r="R312" s="251" t="n">
        <v>6726.64</v>
      </c>
      <c r="S312" s="249" t="n">
        <v>17796</v>
      </c>
      <c r="T312" s="252">
        <f>S312*R312</f>
        <v/>
      </c>
      <c r="U312" s="245" t="n"/>
      <c r="V312" s="245" t="n"/>
      <c r="W312" s="245" t="inlineStr">
        <is>
          <t>ETD : 07-09-2026</t>
        </is>
      </c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33</v>
      </c>
      <c r="I313" s="245" t="inlineStr"/>
      <c r="J313" s="245" t="inlineStr"/>
      <c r="K313" s="245" t="inlineStr">
        <is>
          <t>12IN MEDIUM MFM QN</t>
        </is>
      </c>
      <c r="L313" s="245" t="inlineStr">
        <is>
          <t>WA-MMF-12Q-IN</t>
        </is>
      </c>
      <c r="M313" s="248" t="inlineStr">
        <is>
          <t>MIWU00237</t>
        </is>
      </c>
      <c r="N313" s="245" t="inlineStr">
        <is>
          <t>F.MFM.12Q.005.BU</t>
        </is>
      </c>
      <c r="O313" s="245" t="n"/>
      <c r="P313" s="245" t="n"/>
      <c r="Q313" s="250">
        <f>R313/H313</f>
        <v/>
      </c>
      <c r="R313" s="251" t="n">
        <v>2672.01</v>
      </c>
      <c r="S313" s="249" t="n">
        <v>17796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30</v>
      </c>
      <c r="I314" s="245" t="inlineStr"/>
      <c r="J314" s="245" t="inlineStr"/>
      <c r="K314" s="245" t="inlineStr">
        <is>
          <t>14IN MEDIUM MFM QN</t>
        </is>
      </c>
      <c r="L314" s="245" t="inlineStr">
        <is>
          <t>WA-MMF-14Q-IN</t>
        </is>
      </c>
      <c r="M314" s="248" t="inlineStr">
        <is>
          <t>MIWU00237</t>
        </is>
      </c>
      <c r="N314" s="245" t="inlineStr">
        <is>
          <t>F.MFM.14Q.000.BU</t>
        </is>
      </c>
      <c r="O314" s="245" t="n"/>
      <c r="P314" s="245" t="n"/>
      <c r="Q314" s="250">
        <f>R314/H314</f>
        <v/>
      </c>
      <c r="R314" s="251" t="n">
        <v>2720.1</v>
      </c>
      <c r="S314" s="249" t="n">
        <v>17796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73</v>
      </c>
      <c r="I315" s="245" t="inlineStr"/>
      <c r="J315" s="245" t="inlineStr"/>
      <c r="K315" s="245" t="inlineStr">
        <is>
          <t>6IN MEDIUM MFM TW</t>
        </is>
      </c>
      <c r="L315" s="245" t="inlineStr">
        <is>
          <t>WA-MMF-6T-IN</t>
        </is>
      </c>
      <c r="M315" s="248" t="inlineStr">
        <is>
          <t>MIWU00237</t>
        </is>
      </c>
      <c r="N315" s="245" t="inlineStr">
        <is>
          <t>F.MFM.06T.002.BU</t>
        </is>
      </c>
      <c r="O315" s="245" t="n"/>
      <c r="P315" s="245" t="n"/>
      <c r="Q315" s="250">
        <f>R315/H315</f>
        <v/>
      </c>
      <c r="R315" s="251" t="n">
        <v>2343.3</v>
      </c>
      <c r="S315" s="249" t="n">
        <v>17796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23</v>
      </c>
      <c r="I316" s="245" t="inlineStr"/>
      <c r="J316" s="245" t="inlineStr"/>
      <c r="K316" s="245" t="inlineStr">
        <is>
          <t>10IN PLUSH MFM FL</t>
        </is>
      </c>
      <c r="L316" s="245" t="inlineStr">
        <is>
          <t>WA-PMF-10F-IN</t>
        </is>
      </c>
      <c r="M316" s="248" t="inlineStr">
        <is>
          <t>MIWU00237</t>
        </is>
      </c>
      <c r="N316" s="245" t="inlineStr">
        <is>
          <t>F.MFM.10F.006.BU</t>
        </is>
      </c>
      <c r="O316" s="245" t="n"/>
      <c r="P316" s="245" t="n"/>
      <c r="Q316" s="250">
        <f>R316/H316</f>
        <v/>
      </c>
      <c r="R316" s="251" t="n">
        <v>1442.1</v>
      </c>
      <c r="S316" s="249" t="n">
        <v>17796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79</v>
      </c>
      <c r="I317" s="245" t="inlineStr"/>
      <c r="J317" s="245" t="inlineStr"/>
      <c r="K317" s="245" t="inlineStr">
        <is>
          <t>10IN PLUSH MFM QN</t>
        </is>
      </c>
      <c r="L317" s="245" t="inlineStr">
        <is>
          <t>WA-PMF-10Q-IN</t>
        </is>
      </c>
      <c r="M317" s="248" t="inlineStr">
        <is>
          <t>MIWU00237</t>
        </is>
      </c>
      <c r="N317" s="245" t="inlineStr">
        <is>
          <t>F.MFM.10Q.006.BU</t>
        </is>
      </c>
      <c r="O317" s="245" t="n"/>
      <c r="P317" s="245" t="n"/>
      <c r="Q317" s="250">
        <f>R317/H317</f>
        <v/>
      </c>
      <c r="R317" s="251" t="n">
        <v>5853.9</v>
      </c>
      <c r="S317" s="249" t="n">
        <v>17796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6.5" customHeight="1" s="202">
      <c r="A318" s="245" t="n"/>
      <c r="B318" s="245" t="n"/>
      <c r="C318" s="245" t="n"/>
      <c r="D318" s="245" t="n"/>
      <c r="E318" s="245" t="n"/>
      <c r="F318" s="245" t="n"/>
      <c r="G318" s="245" t="n"/>
      <c r="H318" s="247" t="n">
        <v>88</v>
      </c>
      <c r="I318" s="245" t="inlineStr"/>
      <c r="J318" s="245" t="inlineStr"/>
      <c r="K318" s="245" t="inlineStr">
        <is>
          <t>12IN PLUSH MFM QN</t>
        </is>
      </c>
      <c r="L318" s="245" t="inlineStr">
        <is>
          <t>WA-PMF-12Q-IN</t>
        </is>
      </c>
      <c r="M318" s="248" t="inlineStr">
        <is>
          <t>MIWU00237</t>
        </is>
      </c>
      <c r="N318" s="245" t="inlineStr">
        <is>
          <t>F.MFM.12Q.006.BU</t>
        </is>
      </c>
      <c r="O318" s="245" t="n"/>
      <c r="P318" s="245" t="n"/>
      <c r="Q318" s="250">
        <f>R318/H318</f>
        <v/>
      </c>
      <c r="R318" s="251" t="n">
        <v>7534.56</v>
      </c>
      <c r="S318" s="249" t="n">
        <v>17796</v>
      </c>
      <c r="T318" s="252">
        <f>S318*R318</f>
        <v/>
      </c>
      <c r="U318" s="245" t="n"/>
      <c r="V318" s="245" t="n"/>
      <c r="W318" s="245" t="n"/>
      <c r="X318" s="245" t="n"/>
      <c r="Y318" s="245" t="n"/>
      <c r="Z318" s="245" t="n"/>
    </row>
    <row r="319" ht="17.1" customHeight="1" s="202">
      <c r="A319" s="254" t="n"/>
      <c r="B319" s="254" t="n"/>
      <c r="C319" s="254" t="n"/>
      <c r="D319" s="254" t="n"/>
      <c r="E319" s="254" t="n"/>
      <c r="F319" s="254" t="n"/>
      <c r="G319" s="254" t="n"/>
      <c r="H319" s="255">
        <f>SUM(H311:H318)</f>
        <v/>
      </c>
      <c r="I319" s="254">
        <f>COUNTA(I311:I318)</f>
        <v/>
      </c>
      <c r="J319" s="254" t="n"/>
      <c r="K319" s="254" t="n"/>
      <c r="L319" s="254" t="n"/>
      <c r="M319" s="254" t="n"/>
      <c r="N319" s="254" t="n"/>
      <c r="O319" s="256">
        <f>SUM(O311:O318)</f>
        <v/>
      </c>
      <c r="P319" s="256">
        <f>SUM(P311:P318)</f>
        <v/>
      </c>
      <c r="Q319" s="254" t="n"/>
      <c r="R319" s="257">
        <f>SUM(R311:R318)</f>
        <v/>
      </c>
      <c r="S319" s="254" t="n"/>
      <c r="T319" s="258">
        <f>SUM(T311:T318)</f>
        <v/>
      </c>
      <c r="U319" s="254" t="n"/>
      <c r="V319" s="254" t="n"/>
      <c r="W319" s="254" t="n"/>
      <c r="X319" s="254" t="n"/>
      <c r="Y319" s="254" t="n"/>
      <c r="Z319" s="254" t="n"/>
    </row>
    <row r="320" ht="16.5" customHeight="1" s="202">
      <c r="A320" s="245" t="n">
        <v>33</v>
      </c>
      <c r="B320" s="245" t="inlineStr">
        <is>
          <t>000030ZIK48020260828000718</t>
        </is>
      </c>
      <c r="C320" s="245" t="n">
        <v>550071</v>
      </c>
      <c r="D320" s="245" t="n">
        <v>550021</v>
      </c>
      <c r="E320" s="246" t="n">
        <v>46265</v>
      </c>
      <c r="F320" s="245" t="inlineStr">
        <is>
          <t>ID2608-8246</t>
        </is>
      </c>
      <c r="G320" s="246" t="n">
        <v>46260</v>
      </c>
      <c r="H320" s="247" t="n">
        <v>900</v>
      </c>
      <c r="I320" s="245" t="inlineStr">
        <is>
          <t>MRKU6181342</t>
        </is>
      </c>
      <c r="J320" s="245" t="inlineStr">
        <is>
          <t>40FT</t>
        </is>
      </c>
      <c r="K320" s="245" t="inlineStr">
        <is>
          <t>8IN GREEN TEA MF MATTRESS QN</t>
        </is>
      </c>
      <c r="L320" s="245" t="inlineStr">
        <is>
          <t>SCF-STR-800Q</t>
        </is>
      </c>
      <c r="M320" s="248" t="inlineStr">
        <is>
          <t>0993630502</t>
        </is>
      </c>
      <c r="N320" s="245" t="inlineStr">
        <is>
          <t>F.MFM.08Q.000.WS</t>
        </is>
      </c>
      <c r="O320" s="249" t="n">
        <v>21510</v>
      </c>
      <c r="P320" s="249" t="n">
        <v>19188</v>
      </c>
      <c r="Q320" s="250">
        <f>R320/H320</f>
        <v/>
      </c>
      <c r="R320" s="251" t="n">
        <v>84573</v>
      </c>
      <c r="S320" s="249" t="n">
        <v>17796</v>
      </c>
      <c r="T320" s="252">
        <f>S320*R320</f>
        <v/>
      </c>
      <c r="U320" s="245" t="inlineStr">
        <is>
          <t>040300/KPPBC</t>
        </is>
      </c>
      <c r="V320" s="245" t="inlineStr">
        <is>
          <t>TG. PRIOK</t>
        </is>
      </c>
      <c r="W320" s="245" t="inlineStr">
        <is>
          <t>SAVANNAH, US</t>
        </is>
      </c>
      <c r="X320" s="245" t="inlineStr">
        <is>
          <t>WALMART, INC.</t>
        </is>
      </c>
      <c r="Y320" s="245" t="inlineStr">
        <is>
          <t>MAEU275208722</t>
        </is>
      </c>
      <c r="Z320" s="246" t="n">
        <v>46265</v>
      </c>
    </row>
    <row r="321" ht="16.5" customHeight="1" s="202">
      <c r="A321" s="245" t="n"/>
      <c r="B321" s="245" t="n"/>
      <c r="C321" s="245" t="n"/>
      <c r="D321" s="245" t="n"/>
      <c r="E321" s="245" t="n"/>
      <c r="F321" s="245" t="n"/>
      <c r="G321" s="245" t="n"/>
      <c r="H321" s="245" t="n"/>
      <c r="I321" s="245" t="inlineStr">
        <is>
          <t>TCLU9765410</t>
        </is>
      </c>
      <c r="J321" s="245" t="inlineStr">
        <is>
          <t>40FT</t>
        </is>
      </c>
      <c r="K321" s="245" t="n"/>
      <c r="L321" s="245" t="n"/>
      <c r="M321" s="245" t="n"/>
      <c r="N321" s="245" t="n"/>
      <c r="O321" s="245" t="n"/>
      <c r="P321" s="245" t="n"/>
      <c r="Q321" s="245" t="n"/>
      <c r="R321" s="245" t="n"/>
      <c r="S321" s="245" t="n"/>
      <c r="T321" s="245" t="n"/>
      <c r="U321" s="245" t="n"/>
      <c r="V321" s="245" t="n"/>
      <c r="W321" s="245" t="inlineStr">
        <is>
          <t>ETD : 07-09-2026</t>
        </is>
      </c>
      <c r="X321" s="245" t="n"/>
      <c r="Y321" s="245" t="n"/>
      <c r="Z321" s="245" t="n"/>
    </row>
    <row r="322" ht="17.1" customHeight="1" s="202">
      <c r="A322" s="254" t="n"/>
      <c r="B322" s="254" t="n"/>
      <c r="C322" s="254" t="n"/>
      <c r="D322" s="254" t="n"/>
      <c r="E322" s="254" t="n"/>
      <c r="F322" s="254" t="n"/>
      <c r="G322" s="254" t="n"/>
      <c r="H322" s="255">
        <f>SUM(H320:H321)</f>
        <v/>
      </c>
      <c r="I322" s="254">
        <f>COUNTA(I320:I321)</f>
        <v/>
      </c>
      <c r="J322" s="254" t="n"/>
      <c r="K322" s="254" t="n"/>
      <c r="L322" s="254" t="n"/>
      <c r="M322" s="254" t="n"/>
      <c r="N322" s="254" t="n"/>
      <c r="O322" s="256">
        <f>SUM(O320:O321)</f>
        <v/>
      </c>
      <c r="P322" s="256">
        <f>SUM(P320:P321)</f>
        <v/>
      </c>
      <c r="Q322" s="254" t="n"/>
      <c r="R322" s="257">
        <f>SUM(R320:R321)</f>
        <v/>
      </c>
      <c r="S322" s="254" t="n"/>
      <c r="T322" s="258">
        <f>SUM(T320:T321)</f>
        <v/>
      </c>
      <c r="U322" s="254" t="n"/>
      <c r="V322" s="254" t="n"/>
      <c r="W322" s="254" t="n"/>
      <c r="X322" s="254" t="n"/>
      <c r="Y322" s="254" t="n"/>
      <c r="Z322" s="254" t="n"/>
    </row>
    <row r="323" ht="16.5" customHeight="1" s="202">
      <c r="A323" s="245" t="n">
        <v>34</v>
      </c>
      <c r="B323" s="245" t="inlineStr">
        <is>
          <t>000030ZIK48020260828000719</t>
        </is>
      </c>
      <c r="C323" s="245" t="n">
        <v>548274</v>
      </c>
      <c r="D323" s="245" t="n">
        <v>548223</v>
      </c>
      <c r="E323" s="246" t="n">
        <v>46265</v>
      </c>
      <c r="F323" s="245" t="inlineStr">
        <is>
          <t>ID2608-8251</t>
        </is>
      </c>
      <c r="G323" s="246" t="n">
        <v>46260</v>
      </c>
      <c r="H323" s="247" t="n">
        <v>520</v>
      </c>
      <c r="I323" s="245" t="inlineStr">
        <is>
          <t>MRKU2621084</t>
        </is>
      </c>
      <c r="J323" s="245" t="inlineStr">
        <is>
          <t>40FT</t>
        </is>
      </c>
      <c r="K323" s="245" t="inlineStr">
        <is>
          <t>8IN GREEN TEA MF MATTRESS FL</t>
        </is>
      </c>
      <c r="L323" s="245" t="inlineStr">
        <is>
          <t>SCF-STR-800F</t>
        </is>
      </c>
      <c r="M323" s="248" t="inlineStr">
        <is>
          <t>0993630712</t>
        </is>
      </c>
      <c r="N323" s="245" t="inlineStr">
        <is>
          <t>F.MFM.08F.000.WS</t>
        </is>
      </c>
      <c r="O323" s="249" t="n">
        <v>10618.4</v>
      </c>
      <c r="P323" s="249" t="n">
        <v>9370.4</v>
      </c>
      <c r="Q323" s="250">
        <f>R323/H323</f>
        <v/>
      </c>
      <c r="R323" s="251" t="n">
        <v>41480.4</v>
      </c>
      <c r="S323" s="249" t="n">
        <v>17796</v>
      </c>
      <c r="T323" s="252">
        <f>S323*R323</f>
        <v/>
      </c>
      <c r="U323" s="245" t="inlineStr">
        <is>
          <t>040300/KPPBC</t>
        </is>
      </c>
      <c r="V323" s="245" t="inlineStr">
        <is>
          <t>TG. PRIOK</t>
        </is>
      </c>
      <c r="W323" s="245" t="inlineStr">
        <is>
          <t>SAVANNAH, US</t>
        </is>
      </c>
      <c r="X323" s="245" t="inlineStr">
        <is>
          <t>WALMART, INC.</t>
        </is>
      </c>
      <c r="Y323" s="245" t="inlineStr">
        <is>
          <t>MAEU275403577</t>
        </is>
      </c>
      <c r="Z323" s="246" t="n">
        <v>46265</v>
      </c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5" t="n"/>
      <c r="I324" s="245" t="n"/>
      <c r="J324" s="245" t="n"/>
      <c r="K324" s="245" t="n"/>
      <c r="L324" s="245" t="n"/>
      <c r="M324" s="245" t="n"/>
      <c r="N324" s="245" t="n"/>
      <c r="O324" s="245" t="n"/>
      <c r="P324" s="245" t="n"/>
      <c r="Q324" s="245" t="n"/>
      <c r="R324" s="245" t="n"/>
      <c r="S324" s="245" t="n"/>
      <c r="T324" s="245" t="n"/>
      <c r="U324" s="245" t="n"/>
      <c r="V324" s="245" t="n"/>
      <c r="W324" s="245" t="inlineStr">
        <is>
          <t>ETD : 07-09-2026</t>
        </is>
      </c>
      <c r="X324" s="245" t="n"/>
      <c r="Y324" s="245" t="n"/>
      <c r="Z324" s="245" t="n"/>
    </row>
    <row r="325" ht="17.1" customHeight="1" s="202">
      <c r="A325" s="254" t="n"/>
      <c r="B325" s="254" t="n"/>
      <c r="C325" s="254" t="n"/>
      <c r="D325" s="254" t="n"/>
      <c r="E325" s="254" t="n"/>
      <c r="F325" s="254" t="n"/>
      <c r="G325" s="254" t="n"/>
      <c r="H325" s="255">
        <f>SUM(H323:H324)</f>
        <v/>
      </c>
      <c r="I325" s="254">
        <f>COUNTA(I323:I324)</f>
        <v/>
      </c>
      <c r="J325" s="254" t="n"/>
      <c r="K325" s="254" t="n"/>
      <c r="L325" s="254" t="n"/>
      <c r="M325" s="254" t="n"/>
      <c r="N325" s="254" t="n"/>
      <c r="O325" s="256">
        <f>SUM(O323:O324)</f>
        <v/>
      </c>
      <c r="P325" s="256">
        <f>SUM(P323:P324)</f>
        <v/>
      </c>
      <c r="Q325" s="254" t="n"/>
      <c r="R325" s="257">
        <f>SUM(R323:R324)</f>
        <v/>
      </c>
      <c r="S325" s="254" t="n"/>
      <c r="T325" s="258">
        <f>SUM(T323:T324)</f>
        <v/>
      </c>
      <c r="U325" s="254" t="n"/>
      <c r="V325" s="254" t="n"/>
      <c r="W325" s="254" t="n"/>
      <c r="X325" s="254" t="n"/>
      <c r="Y325" s="254" t="n"/>
      <c r="Z325" s="254" t="n"/>
    </row>
    <row r="326" ht="16.5" customHeight="1" s="202">
      <c r="A326" s="245" t="n">
        <v>35</v>
      </c>
      <c r="B326" s="245" t="inlineStr">
        <is>
          <t>000030ZIK48020260828000720</t>
        </is>
      </c>
      <c r="C326" s="245" t="n">
        <v>548462</v>
      </c>
      <c r="D326" s="245" t="n">
        <v>548410</v>
      </c>
      <c r="E326" s="246" t="n">
        <v>46265</v>
      </c>
      <c r="F326" s="245" t="inlineStr">
        <is>
          <t>ID2608-8308</t>
        </is>
      </c>
      <c r="G326" s="246" t="n">
        <v>46262</v>
      </c>
      <c r="H326" s="247" t="n">
        <v>1040</v>
      </c>
      <c r="I326" s="245" t="inlineStr">
        <is>
          <t>WHSU6588053</t>
        </is>
      </c>
      <c r="J326" s="245" t="inlineStr">
        <is>
          <t>40FT</t>
        </is>
      </c>
      <c r="K326" s="245" t="inlineStr">
        <is>
          <t>8IN GREEN TEA MF MATTRESS FL</t>
        </is>
      </c>
      <c r="L326" s="245" t="inlineStr">
        <is>
          <t>SCF-STR-800F</t>
        </is>
      </c>
      <c r="M326" s="248" t="inlineStr">
        <is>
          <t>0993630749</t>
        </is>
      </c>
      <c r="N326" s="245" t="inlineStr">
        <is>
          <t>F.MFM.08F.000.WS</t>
        </is>
      </c>
      <c r="O326" s="249" t="n">
        <v>21236.8</v>
      </c>
      <c r="P326" s="249" t="n">
        <v>18740.8</v>
      </c>
      <c r="Q326" s="250">
        <f>R326/H326</f>
        <v/>
      </c>
      <c r="R326" s="251" t="n">
        <v>82960.8</v>
      </c>
      <c r="S326" s="249" t="n">
        <v>17796</v>
      </c>
      <c r="T326" s="252">
        <f>S326*R326</f>
        <v/>
      </c>
      <c r="U326" s="245" t="inlineStr">
        <is>
          <t>040300/KPPBC</t>
        </is>
      </c>
      <c r="V326" s="245" t="inlineStr">
        <is>
          <t>TG. PRIOK</t>
        </is>
      </c>
      <c r="W326" s="245" t="inlineStr">
        <is>
          <t>NORFOLK, US</t>
        </is>
      </c>
      <c r="X326" s="245" t="inlineStr">
        <is>
          <t>WALMART, INC.</t>
        </is>
      </c>
      <c r="Y326" s="245" t="inlineStr">
        <is>
          <t>WHLC049GX09758</t>
        </is>
      </c>
      <c r="Z326" s="246" t="n">
        <v>46265</v>
      </c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5" t="n"/>
      <c r="I327" s="245" t="inlineStr">
        <is>
          <t>WHSU6207959</t>
        </is>
      </c>
      <c r="J327" s="245" t="inlineStr">
        <is>
          <t>40FT</t>
        </is>
      </c>
      <c r="K327" s="245" t="n"/>
      <c r="L327" s="245" t="n"/>
      <c r="M327" s="245" t="n"/>
      <c r="N327" s="245" t="n"/>
      <c r="O327" s="245" t="n"/>
      <c r="P327" s="245" t="n"/>
      <c r="Q327" s="245" t="n"/>
      <c r="R327" s="245" t="n"/>
      <c r="S327" s="245" t="n"/>
      <c r="T327" s="245" t="n"/>
      <c r="U327" s="245" t="n"/>
      <c r="V327" s="245" t="n"/>
      <c r="W327" s="245" t="inlineStr">
        <is>
          <t>ETD : 04-09-2026</t>
        </is>
      </c>
      <c r="X327" s="245" t="n"/>
      <c r="Y327" s="245" t="n"/>
      <c r="Z327" s="245" t="n"/>
    </row>
    <row r="328" ht="17.1" customHeight="1" s="202">
      <c r="A328" s="254" t="n"/>
      <c r="B328" s="254" t="n"/>
      <c r="C328" s="254" t="n"/>
      <c r="D328" s="254" t="n"/>
      <c r="E328" s="254" t="n"/>
      <c r="F328" s="254" t="n"/>
      <c r="G328" s="254" t="n"/>
      <c r="H328" s="255">
        <f>SUM(H326:H327)</f>
        <v/>
      </c>
      <c r="I328" s="254">
        <f>COUNTA(I326:I327)</f>
        <v/>
      </c>
      <c r="J328" s="254" t="n"/>
      <c r="K328" s="254" t="n"/>
      <c r="L328" s="254" t="n"/>
      <c r="M328" s="254" t="n"/>
      <c r="N328" s="254" t="n"/>
      <c r="O328" s="256">
        <f>SUM(O326:O327)</f>
        <v/>
      </c>
      <c r="P328" s="256">
        <f>SUM(P326:P327)</f>
        <v/>
      </c>
      <c r="Q328" s="254" t="n"/>
      <c r="R328" s="257">
        <f>SUM(R326:R327)</f>
        <v/>
      </c>
      <c r="S328" s="254" t="n"/>
      <c r="T328" s="258">
        <f>SUM(T326:T327)</f>
        <v/>
      </c>
      <c r="U328" s="254" t="n"/>
      <c r="V328" s="254" t="n"/>
      <c r="W328" s="254" t="n"/>
      <c r="X328" s="254" t="n"/>
      <c r="Y328" s="254" t="n"/>
      <c r="Z328" s="254" t="n"/>
    </row>
    <row r="329" ht="16.5" customHeight="1" s="202">
      <c r="A329" s="245" t="n">
        <v>36</v>
      </c>
      <c r="B329" s="245" t="inlineStr">
        <is>
          <t>000030ZIK48020260828000721</t>
        </is>
      </c>
      <c r="C329" s="245" t="n">
        <v>548308</v>
      </c>
      <c r="D329" s="245" t="n">
        <v>548257</v>
      </c>
      <c r="E329" s="246" t="n">
        <v>46265</v>
      </c>
      <c r="F329" s="245" t="inlineStr">
        <is>
          <t>ID2608-8310</t>
        </is>
      </c>
      <c r="G329" s="246" t="n">
        <v>46262</v>
      </c>
      <c r="H329" s="247" t="n">
        <v>900</v>
      </c>
      <c r="I329" s="245" t="inlineStr">
        <is>
          <t>CAAU5541244</t>
        </is>
      </c>
      <c r="J329" s="245" t="inlineStr">
        <is>
          <t>40FT</t>
        </is>
      </c>
      <c r="K329" s="245" t="inlineStr">
        <is>
          <t>8IN GREEN TEA MF MATTRESS QN</t>
        </is>
      </c>
      <c r="L329" s="245" t="inlineStr">
        <is>
          <t>SCF-STR-800Q</t>
        </is>
      </c>
      <c r="M329" s="248" t="inlineStr">
        <is>
          <t>0993630477</t>
        </is>
      </c>
      <c r="N329" s="245" t="inlineStr">
        <is>
          <t>F.MFM.08Q.000.WS</t>
        </is>
      </c>
      <c r="O329" s="249" t="n">
        <v>21510</v>
      </c>
      <c r="P329" s="249" t="n">
        <v>19188</v>
      </c>
      <c r="Q329" s="250">
        <f>R329/H329</f>
        <v/>
      </c>
      <c r="R329" s="251" t="n">
        <v>84573</v>
      </c>
      <c r="S329" s="249" t="n">
        <v>17796</v>
      </c>
      <c r="T329" s="252">
        <f>S329*R329</f>
        <v/>
      </c>
      <c r="U329" s="245" t="inlineStr">
        <is>
          <t>040300/KPPBC</t>
        </is>
      </c>
      <c r="V329" s="245" t="inlineStr">
        <is>
          <t>TG. PRIOK</t>
        </is>
      </c>
      <c r="W329" s="245" t="inlineStr">
        <is>
          <t>LOS ANGELES, US</t>
        </is>
      </c>
      <c r="X329" s="245" t="inlineStr">
        <is>
          <t>WALMART, INC.</t>
        </is>
      </c>
      <c r="Y329" s="245" t="inlineStr">
        <is>
          <t>HLCUJK1260828163</t>
        </is>
      </c>
      <c r="Z329" s="246" t="n">
        <v>46265</v>
      </c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5" t="n"/>
      <c r="I330" s="245" t="inlineStr">
        <is>
          <t>HAMU1626077</t>
        </is>
      </c>
      <c r="J330" s="245" t="inlineStr">
        <is>
          <t>40FT</t>
        </is>
      </c>
      <c r="K330" s="245" t="n"/>
      <c r="L330" s="245" t="n"/>
      <c r="M330" s="245" t="n"/>
      <c r="N330" s="245" t="n"/>
      <c r="O330" s="245" t="n"/>
      <c r="P330" s="245" t="n"/>
      <c r="Q330" s="245" t="n"/>
      <c r="R330" s="245" t="n"/>
      <c r="S330" s="245" t="n"/>
      <c r="T330" s="245" t="n"/>
      <c r="U330" s="245" t="n"/>
      <c r="V330" s="245" t="n"/>
      <c r="W330" s="245" t="inlineStr">
        <is>
          <t>ETD : 05-09-2026</t>
        </is>
      </c>
      <c r="X330" s="245" t="n"/>
      <c r="Y330" s="245" t="n"/>
      <c r="Z330" s="245" t="n"/>
    </row>
    <row r="331" ht="17.1" customHeight="1" s="202">
      <c r="A331" s="254" t="n"/>
      <c r="B331" s="254" t="n"/>
      <c r="C331" s="254" t="n"/>
      <c r="D331" s="254" t="n"/>
      <c r="E331" s="254" t="n"/>
      <c r="F331" s="254" t="n"/>
      <c r="G331" s="254" t="n"/>
      <c r="H331" s="255">
        <f>SUM(H329:H330)</f>
        <v/>
      </c>
      <c r="I331" s="254">
        <f>COUNTA(I329:I330)</f>
        <v/>
      </c>
      <c r="J331" s="254" t="n"/>
      <c r="K331" s="254" t="n"/>
      <c r="L331" s="254" t="n"/>
      <c r="M331" s="254" t="n"/>
      <c r="N331" s="254" t="n"/>
      <c r="O331" s="256">
        <f>SUM(O329:O330)</f>
        <v/>
      </c>
      <c r="P331" s="256">
        <f>SUM(P329:P330)</f>
        <v/>
      </c>
      <c r="Q331" s="254" t="n"/>
      <c r="R331" s="257">
        <f>SUM(R329:R330)</f>
        <v/>
      </c>
      <c r="S331" s="254" t="n"/>
      <c r="T331" s="258">
        <f>SUM(T329:T330)</f>
        <v/>
      </c>
      <c r="U331" s="254" t="n"/>
      <c r="V331" s="254" t="n"/>
      <c r="W331" s="254" t="n"/>
      <c r="X331" s="254" t="n"/>
      <c r="Y331" s="254" t="n"/>
      <c r="Z331" s="254" t="n"/>
    </row>
    <row r="332" ht="16.5" customHeight="1" s="202">
      <c r="A332" s="245" t="n">
        <v>37</v>
      </c>
      <c r="B332" s="245" t="inlineStr">
        <is>
          <t>000030ZIK48020260828000722</t>
        </is>
      </c>
      <c r="C332" s="245" t="n">
        <v>548441</v>
      </c>
      <c r="D332" s="245" t="n">
        <v>548389</v>
      </c>
      <c r="E332" s="246" t="n">
        <v>46265</v>
      </c>
      <c r="F332" s="245" t="inlineStr">
        <is>
          <t>ID2608-9295</t>
        </is>
      </c>
      <c r="G332" s="246" t="n">
        <v>46262</v>
      </c>
      <c r="H332" s="247" t="n">
        <v>20</v>
      </c>
      <c r="I332" s="245" t="inlineStr">
        <is>
          <t>EGSU1258151</t>
        </is>
      </c>
      <c r="J332" s="245" t="inlineStr">
        <is>
          <t>40FT</t>
        </is>
      </c>
      <c r="K332" s="245" t="inlineStr">
        <is>
          <t>ZINUS 12IN COOLING GREEN TEA MEMORY FOAM MATTRESS QUEEN</t>
        </is>
      </c>
      <c r="L332" s="245" t="inlineStr">
        <is>
          <t>ZU-MFGN5OZI-12Q</t>
        </is>
      </c>
      <c r="M332" s="248" t="inlineStr">
        <is>
          <t>TIN60185</t>
        </is>
      </c>
      <c r="N332" s="245" t="inlineStr">
        <is>
          <t>F.MFG.12Q.012.ZU</t>
        </is>
      </c>
      <c r="O332" s="249" t="n">
        <v>11392.53</v>
      </c>
      <c r="P332" s="249" t="n">
        <v>10432.81</v>
      </c>
      <c r="Q332" s="250">
        <f>R332/H332</f>
        <v/>
      </c>
      <c r="R332" s="251" t="n">
        <v>2116.2</v>
      </c>
      <c r="S332" s="249" t="n">
        <v>17796</v>
      </c>
      <c r="T332" s="252">
        <f>S332*R332</f>
        <v/>
      </c>
      <c r="U332" s="245" t="inlineStr">
        <is>
          <t>040300/KPPBC</t>
        </is>
      </c>
      <c r="V332" s="245" t="inlineStr">
        <is>
          <t>TG. PRIOK</t>
        </is>
      </c>
      <c r="W332" s="245" t="inlineStr">
        <is>
          <t>OAKLAND, US</t>
        </is>
      </c>
      <c r="X332" s="245" t="inlineStr">
        <is>
          <t>ZINUS, INC.</t>
        </is>
      </c>
      <c r="Y332" s="245" t="inlineStr">
        <is>
          <t>EGLV080600452114</t>
        </is>
      </c>
      <c r="Z332" s="246" t="n">
        <v>46265</v>
      </c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113</v>
      </c>
      <c r="I333" s="245" t="inlineStr"/>
      <c r="J333" s="245" t="inlineStr"/>
      <c r="K333" s="245" t="inlineStr">
        <is>
          <t>ZINUS 12IN ULTRA COOLING GREEN TEA MEMORY FOAM MATTRESS KING</t>
        </is>
      </c>
      <c r="L333" s="245" t="inlineStr">
        <is>
          <t>ZU-MFGN5PZI-12K</t>
        </is>
      </c>
      <c r="M333" s="248" t="inlineStr">
        <is>
          <t>TIN60185</t>
        </is>
      </c>
      <c r="N333" s="245" t="inlineStr">
        <is>
          <t>F.MFG.12K.013.ZU</t>
        </is>
      </c>
      <c r="O333" s="245" t="n"/>
      <c r="P333" s="245" t="n"/>
      <c r="Q333" s="250">
        <f>R333/H333</f>
        <v/>
      </c>
      <c r="R333" s="251" t="n">
        <v>18638.22</v>
      </c>
      <c r="S333" s="249" t="n">
        <v>17796</v>
      </c>
      <c r="T333" s="252">
        <f>S333*R333</f>
        <v/>
      </c>
      <c r="U333" s="245" t="n"/>
      <c r="V333" s="245" t="n"/>
      <c r="W333" s="245" t="inlineStr">
        <is>
          <t>ETD : 03-09-2026</t>
        </is>
      </c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20</v>
      </c>
      <c r="I334" s="245" t="inlineStr"/>
      <c r="J334" s="245" t="inlineStr"/>
      <c r="K334" s="245" t="inlineStr">
        <is>
          <t>ZINUS 12IN ULTRA COOLING GREEN TEA MEMORY FOAM MATTRESS QUEEN</t>
        </is>
      </c>
      <c r="L334" s="245" t="inlineStr">
        <is>
          <t>ZU-MFGN5PZI-12Q</t>
        </is>
      </c>
      <c r="M334" s="248" t="inlineStr">
        <is>
          <t>TIN60185</t>
        </is>
      </c>
      <c r="N334" s="245" t="inlineStr">
        <is>
          <t>F.MFG.12Q.013.ZU</t>
        </is>
      </c>
      <c r="O334" s="245" t="n"/>
      <c r="P334" s="245" t="n"/>
      <c r="Q334" s="250">
        <f>R334/H334</f>
        <v/>
      </c>
      <c r="R334" s="251" t="n">
        <v>2736.2</v>
      </c>
      <c r="S334" s="249" t="n">
        <v>17796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60</v>
      </c>
      <c r="I335" s="245" t="inlineStr"/>
      <c r="J335" s="245" t="inlineStr"/>
      <c r="K335" s="245" t="inlineStr">
        <is>
          <t>3IN SLEEPY'S GEL MEMORY FOAM TOPPER KING</t>
        </is>
      </c>
      <c r="L335" s="245" t="inlineStr">
        <is>
          <t>MF-TGTNM1ZI-03K</t>
        </is>
      </c>
      <c r="M335" s="248" t="inlineStr">
        <is>
          <t>TIN60185</t>
        </is>
      </c>
      <c r="N335" s="245" t="inlineStr">
        <is>
          <t>F.TGT.03K.001.ZU</t>
        </is>
      </c>
      <c r="O335" s="245" t="n"/>
      <c r="P335" s="245" t="n"/>
      <c r="Q335" s="250">
        <f>R335/H335</f>
        <v/>
      </c>
      <c r="R335" s="251" t="n">
        <v>2791.2</v>
      </c>
      <c r="S335" s="249" t="n">
        <v>17796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20</v>
      </c>
      <c r="I336" s="245" t="inlineStr"/>
      <c r="J336" s="245" t="inlineStr"/>
      <c r="K336" s="245" t="inlineStr">
        <is>
          <t>14IN PLUSH HYBRID MATTRESS</t>
        </is>
      </c>
      <c r="L336" s="245" t="inlineStr">
        <is>
          <t>ZU-MSHPHMZI-14Q</t>
        </is>
      </c>
      <c r="M336" s="248" t="inlineStr">
        <is>
          <t>TIN60185</t>
        </is>
      </c>
      <c r="N336" s="245" t="inlineStr">
        <is>
          <t>F.MSH.14Q.000.ZU</t>
        </is>
      </c>
      <c r="O336" s="245" t="n"/>
      <c r="P336" s="245" t="n"/>
      <c r="Q336" s="250">
        <f>R336/H336</f>
        <v/>
      </c>
      <c r="R336" s="251" t="n">
        <v>1861.2</v>
      </c>
      <c r="S336" s="249" t="n">
        <v>17796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38</v>
      </c>
      <c r="I337" s="245" t="inlineStr"/>
      <c r="J337" s="245" t="inlineStr"/>
      <c r="K337" s="245" t="inlineStr">
        <is>
          <t>ZINUS 12IN COOLING GREEN TEA HYBRID QUEEN</t>
        </is>
      </c>
      <c r="L337" s="245" t="inlineStr">
        <is>
          <t>ZU-MSHQ5OZI-12Q</t>
        </is>
      </c>
      <c r="M337" s="248" t="inlineStr">
        <is>
          <t>TIN60185</t>
        </is>
      </c>
      <c r="N337" s="245" t="inlineStr">
        <is>
          <t>F.MSH.12Q.024.ZU</t>
        </is>
      </c>
      <c r="O337" s="245" t="n"/>
      <c r="P337" s="245" t="n"/>
      <c r="Q337" s="250">
        <f>R337/H337</f>
        <v/>
      </c>
      <c r="R337" s="251" t="n">
        <v>4705.16</v>
      </c>
      <c r="S337" s="249" t="n">
        <v>17796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7.1" customHeight="1" s="202">
      <c r="A338" s="254" t="n"/>
      <c r="B338" s="254" t="n"/>
      <c r="C338" s="254" t="n"/>
      <c r="D338" s="254" t="n"/>
      <c r="E338" s="254" t="n"/>
      <c r="F338" s="254" t="n"/>
      <c r="G338" s="254" t="n"/>
      <c r="H338" s="255">
        <f>SUM(H332:H337)</f>
        <v/>
      </c>
      <c r="I338" s="254">
        <f>COUNTA(I332:I337)</f>
        <v/>
      </c>
      <c r="J338" s="254" t="n"/>
      <c r="K338" s="254" t="n"/>
      <c r="L338" s="254" t="n"/>
      <c r="M338" s="254" t="n"/>
      <c r="N338" s="254" t="n"/>
      <c r="O338" s="256">
        <f>SUM(O332:O337)</f>
        <v/>
      </c>
      <c r="P338" s="256">
        <f>SUM(P332:P337)</f>
        <v/>
      </c>
      <c r="Q338" s="254" t="n"/>
      <c r="R338" s="257">
        <f>SUM(R332:R337)</f>
        <v/>
      </c>
      <c r="S338" s="254" t="n"/>
      <c r="T338" s="258">
        <f>SUM(T332:T337)</f>
        <v/>
      </c>
      <c r="U338" s="254" t="n"/>
      <c r="V338" s="254" t="n"/>
      <c r="W338" s="254" t="n"/>
      <c r="X338" s="254" t="n"/>
      <c r="Y338" s="254" t="n"/>
      <c r="Z338" s="254" t="n"/>
    </row>
    <row r="339" ht="16.5" customHeight="1" s="202">
      <c r="A339" s="245" t="n">
        <v>38</v>
      </c>
      <c r="B339" s="245" t="inlineStr">
        <is>
          <t>000030ZIK48020260828000723</t>
        </is>
      </c>
      <c r="C339" s="245" t="n">
        <v>551420</v>
      </c>
      <c r="D339" s="245" t="n">
        <v>551373</v>
      </c>
      <c r="E339" s="246" t="n">
        <v>46266</v>
      </c>
      <c r="F339" s="245" t="inlineStr">
        <is>
          <t>ID2608-8315</t>
        </is>
      </c>
      <c r="G339" s="246" t="n">
        <v>46262</v>
      </c>
      <c r="H339" s="247" t="n">
        <v>475</v>
      </c>
      <c r="I339" s="245" t="inlineStr">
        <is>
          <t>YMMU4094237</t>
        </is>
      </c>
      <c r="J339" s="245" t="inlineStr">
        <is>
          <t>40FT</t>
        </is>
      </c>
      <c r="K339" s="245" t="inlineStr">
        <is>
          <t>6IN GREEN TEA MF MATTRESS FL</t>
        </is>
      </c>
      <c r="L339" s="245" t="inlineStr">
        <is>
          <t>EB-FMS-0600F-IN</t>
        </is>
      </c>
      <c r="M339" s="248" t="inlineStr">
        <is>
          <t>43FNUL7Y</t>
        </is>
      </c>
      <c r="N339" s="245" t="inlineStr">
        <is>
          <t>F.MFM.06F.002.BD</t>
        </is>
      </c>
      <c r="O339" s="249" t="n">
        <v>22196.8</v>
      </c>
      <c r="P339" s="249" t="n">
        <v>17634.96</v>
      </c>
      <c r="Q339" s="250">
        <f>R339/H339</f>
        <v/>
      </c>
      <c r="R339" s="251" t="n">
        <v>22363</v>
      </c>
      <c r="S339" s="249" t="n">
        <v>17796</v>
      </c>
      <c r="T339" s="252">
        <f>S339*R339</f>
        <v/>
      </c>
      <c r="U339" s="245" t="inlineStr">
        <is>
          <t>040300/KPPBC</t>
        </is>
      </c>
      <c r="V339" s="245" t="inlineStr">
        <is>
          <t>TG. PRIOK</t>
        </is>
      </c>
      <c r="W339" s="245" t="inlineStr">
        <is>
          <t>NEW YORK, US</t>
        </is>
      </c>
      <c r="X339" s="245" t="inlineStr">
        <is>
          <t>AMAZON.COM SERVICES LLC</t>
        </is>
      </c>
      <c r="Y339" s="245" t="inlineStr">
        <is>
          <t>YMJAE425911711</t>
        </is>
      </c>
      <c r="Z339" s="246" t="n">
        <v>46266</v>
      </c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470</v>
      </c>
      <c r="I340" s="245" t="inlineStr">
        <is>
          <t>MAGU5769055</t>
        </is>
      </c>
      <c r="J340" s="245" t="inlineStr">
        <is>
          <t>40FT</t>
        </is>
      </c>
      <c r="K340" s="245" t="inlineStr">
        <is>
          <t>5IN GEL FOAM MATTRESS TW</t>
        </is>
      </c>
      <c r="L340" s="245" t="inlineStr">
        <is>
          <t>GFM-5T</t>
        </is>
      </c>
      <c r="M340" s="248" t="inlineStr">
        <is>
          <t>43FNUL7Y</t>
        </is>
      </c>
      <c r="N340" s="245" t="inlineStr">
        <is>
          <t>F.MFG.05T.000.BD</t>
        </is>
      </c>
      <c r="O340" s="245" t="n"/>
      <c r="P340" s="245" t="n"/>
      <c r="Q340" s="250">
        <f>R340/H340</f>
        <v/>
      </c>
      <c r="R340" s="251" t="n">
        <v>13893.2</v>
      </c>
      <c r="S340" s="249" t="n">
        <v>17796</v>
      </c>
      <c r="T340" s="252">
        <f>S340*R340</f>
        <v/>
      </c>
      <c r="U340" s="245" t="n"/>
      <c r="V340" s="245" t="n"/>
      <c r="W340" s="245" t="inlineStr">
        <is>
          <t>ETD : 05-09-2026</t>
        </is>
      </c>
      <c r="X340" s="245" t="n"/>
      <c r="Y340" s="245" t="n"/>
      <c r="Z340" s="245" t="n"/>
    </row>
    <row r="341" ht="16.5" customHeight="1" s="202">
      <c r="A341" s="245" t="n"/>
      <c r="B341" s="245" t="n"/>
      <c r="C341" s="245" t="n"/>
      <c r="D341" s="245" t="n"/>
      <c r="E341" s="245" t="n"/>
      <c r="F341" s="245" t="n"/>
      <c r="G341" s="245" t="n"/>
      <c r="H341" s="247" t="n">
        <v>91</v>
      </c>
      <c r="I341" s="245" t="inlineStr"/>
      <c r="J341" s="245" t="inlineStr"/>
      <c r="K341" s="245" t="inlineStr">
        <is>
          <t>6IN GREEN TEA MF MATTRESS FL</t>
        </is>
      </c>
      <c r="L341" s="245" t="inlineStr">
        <is>
          <t>EB-FMS-0600F-IN</t>
        </is>
      </c>
      <c r="M341" s="248" t="inlineStr">
        <is>
          <t>6QDRMEOU</t>
        </is>
      </c>
      <c r="N341" s="245" t="inlineStr">
        <is>
          <t>F.MFM.06F.002.BD</t>
        </is>
      </c>
      <c r="O341" s="245" t="n"/>
      <c r="P341" s="245" t="n"/>
      <c r="Q341" s="250">
        <f>R341/H341</f>
        <v/>
      </c>
      <c r="R341" s="251" t="n">
        <v>4284.28</v>
      </c>
      <c r="S341" s="249" t="n">
        <v>17796</v>
      </c>
      <c r="T341" s="252">
        <f>S341*R341</f>
        <v/>
      </c>
      <c r="U341" s="245" t="n"/>
      <c r="V341" s="245" t="n"/>
      <c r="W341" s="245" t="n"/>
      <c r="X341" s="245" t="n"/>
      <c r="Y341" s="245" t="n"/>
      <c r="Z341" s="245" t="n"/>
    </row>
    <row r="342" ht="16.5" customHeight="1" s="202">
      <c r="A342" s="245" t="n"/>
      <c r="B342" s="245" t="n"/>
      <c r="C342" s="245" t="n"/>
      <c r="D342" s="245" t="n"/>
      <c r="E342" s="245" t="n"/>
      <c r="F342" s="245" t="n"/>
      <c r="G342" s="245" t="n"/>
      <c r="H342" s="247" t="n">
        <v>16</v>
      </c>
      <c r="I342" s="245" t="inlineStr"/>
      <c r="J342" s="245" t="inlineStr"/>
      <c r="K342" s="245" t="inlineStr">
        <is>
          <t>10IN GEL FOAM MATTRESS TW</t>
        </is>
      </c>
      <c r="L342" s="245" t="inlineStr">
        <is>
          <t>GFM-10T</t>
        </is>
      </c>
      <c r="M342" s="248" t="inlineStr">
        <is>
          <t>6QDRMEOU</t>
        </is>
      </c>
      <c r="N342" s="245" t="inlineStr">
        <is>
          <t>F.MFG.10T.000.BD</t>
        </is>
      </c>
      <c r="O342" s="245" t="n"/>
      <c r="P342" s="245" t="n"/>
      <c r="Q342" s="250">
        <f>R342/H342</f>
        <v/>
      </c>
      <c r="R342" s="251" t="n">
        <v>768.64</v>
      </c>
      <c r="S342" s="249" t="n">
        <v>17796</v>
      </c>
      <c r="T342" s="252">
        <f>S342*R342</f>
        <v/>
      </c>
      <c r="U342" s="245" t="n"/>
      <c r="V342" s="245" t="n"/>
      <c r="W342" s="245" t="n"/>
      <c r="X342" s="245" t="n"/>
      <c r="Y342" s="245" t="n"/>
      <c r="Z342" s="245" t="n"/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109</v>
      </c>
      <c r="I343" s="245" t="inlineStr"/>
      <c r="J343" s="245" t="inlineStr"/>
      <c r="K343" s="245" t="inlineStr">
        <is>
          <t>Uraian : GASKET 3,222.04-5IN GEL FOAM MATTRESS TW</t>
        </is>
      </c>
      <c r="L343" s="245" t="inlineStr">
        <is>
          <t>GFM-5T</t>
        </is>
      </c>
      <c r="M343" s="248" t="inlineStr">
        <is>
          <t>6QDRMEOU</t>
        </is>
      </c>
      <c r="N343" s="245" t="inlineStr">
        <is>
          <t>F.MFG.05T.000.BD</t>
        </is>
      </c>
      <c r="O343" s="245" t="n"/>
      <c r="P343" s="245" t="n"/>
      <c r="Q343" s="250">
        <f>R343/H343</f>
        <v/>
      </c>
      <c r="R343" s="251" t="n">
        <v>0</v>
      </c>
      <c r="S343" s="249" t="n">
        <v>17796</v>
      </c>
      <c r="T343" s="252">
        <f>S343*R343</f>
        <v/>
      </c>
      <c r="U343" s="245" t="n"/>
      <c r="V343" s="245" t="n"/>
      <c r="W343" s="245" t="n"/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34</v>
      </c>
      <c r="I344" s="245" t="inlineStr"/>
      <c r="J344" s="245" t="inlineStr"/>
      <c r="K344" s="245" t="inlineStr">
        <is>
          <t>8IN GEL FOAM MATTRESS FL</t>
        </is>
      </c>
      <c r="L344" s="245" t="inlineStr">
        <is>
          <t>GFM-8F</t>
        </is>
      </c>
      <c r="M344" s="248" t="inlineStr">
        <is>
          <t>6QDRMEOU</t>
        </is>
      </c>
      <c r="N344" s="245" t="inlineStr">
        <is>
          <t>F.MFG.08F.000.BD</t>
        </is>
      </c>
      <c r="O344" s="245" t="n"/>
      <c r="P344" s="245" t="n"/>
      <c r="Q344" s="250">
        <f>R344/H344</f>
        <v/>
      </c>
      <c r="R344" s="251" t="n">
        <v>1755.76</v>
      </c>
      <c r="S344" s="249" t="n">
        <v>17796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107</v>
      </c>
      <c r="I345" s="245" t="inlineStr"/>
      <c r="J345" s="245" t="inlineStr"/>
      <c r="K345" s="245" t="inlineStr">
        <is>
          <t>8IN GEL FOAM MATTRESS TW</t>
        </is>
      </c>
      <c r="L345" s="245" t="inlineStr">
        <is>
          <t>GFM-8T</t>
        </is>
      </c>
      <c r="M345" s="248" t="inlineStr">
        <is>
          <t>6QDRMEOU</t>
        </is>
      </c>
      <c r="N345" s="245" t="inlineStr">
        <is>
          <t>F.MFG.08T.000.BD</t>
        </is>
      </c>
      <c r="O345" s="245" t="n"/>
      <c r="P345" s="245" t="n"/>
      <c r="Q345" s="250">
        <f>R345/H345</f>
        <v/>
      </c>
      <c r="R345" s="251" t="n">
        <v>4160.16</v>
      </c>
      <c r="S345" s="249" t="n">
        <v>17796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74</v>
      </c>
      <c r="I346" s="245" t="inlineStr"/>
      <c r="J346" s="245" t="inlineStr"/>
      <c r="K346" s="245" t="inlineStr">
        <is>
          <t>2IN CV LAVENDER MF TOPPER QN</t>
        </is>
      </c>
      <c r="L346" s="245" t="inlineStr">
        <is>
          <t>ECMF-LV2Q-IN</t>
        </is>
      </c>
      <c r="M346" s="248" t="inlineStr">
        <is>
          <t>43FNUL7Y</t>
        </is>
      </c>
      <c r="N346" s="245" t="inlineStr">
        <is>
          <t>F.TMT.02Q.008.BD</t>
        </is>
      </c>
      <c r="O346" s="245" t="n"/>
      <c r="P346" s="245" t="n"/>
      <c r="Q346" s="250">
        <f>R346/H346</f>
        <v/>
      </c>
      <c r="R346" s="251" t="n">
        <v>897.62</v>
      </c>
      <c r="S346" s="249" t="n">
        <v>17796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59</v>
      </c>
      <c r="I347" s="245" t="inlineStr"/>
      <c r="J347" s="245" t="inlineStr"/>
      <c r="K347" s="245" t="inlineStr">
        <is>
          <t>3IN CV LAVENDER MF TOPPER FL</t>
        </is>
      </c>
      <c r="L347" s="245" t="inlineStr">
        <is>
          <t>ECMF-03FL-IN</t>
        </is>
      </c>
      <c r="M347" s="248" t="inlineStr">
        <is>
          <t>6QDRMEOU</t>
        </is>
      </c>
      <c r="N347" s="245" t="inlineStr">
        <is>
          <t>F.TMT.03F.010.BD</t>
        </is>
      </c>
      <c r="O347" s="245" t="n"/>
      <c r="P347" s="245" t="n"/>
      <c r="Q347" s="250">
        <f>R347/H347</f>
        <v/>
      </c>
      <c r="R347" s="251" t="n">
        <v>861.99</v>
      </c>
      <c r="S347" s="249" t="n">
        <v>17796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24</v>
      </c>
      <c r="I348" s="245" t="inlineStr"/>
      <c r="J348" s="245" t="inlineStr"/>
      <c r="K348" s="245" t="inlineStr">
        <is>
          <t>3IN CV LAVENDER MF TOPPER EK</t>
        </is>
      </c>
      <c r="L348" s="245" t="inlineStr">
        <is>
          <t>ECMF-03KL-IN</t>
        </is>
      </c>
      <c r="M348" s="248" t="inlineStr">
        <is>
          <t>6QDRMEOU</t>
        </is>
      </c>
      <c r="N348" s="245" t="inlineStr">
        <is>
          <t>F.TMT.03K.010.BD</t>
        </is>
      </c>
      <c r="O348" s="245" t="n"/>
      <c r="P348" s="245" t="n"/>
      <c r="Q348" s="250">
        <f>R348/H348</f>
        <v/>
      </c>
      <c r="R348" s="251" t="n">
        <v>497.76</v>
      </c>
      <c r="S348" s="249" t="n">
        <v>17796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262</v>
      </c>
      <c r="I349" s="245" t="inlineStr"/>
      <c r="J349" s="245" t="inlineStr"/>
      <c r="K349" s="245" t="inlineStr">
        <is>
          <t>3IN CV LAVENDER MF TOPPER TW</t>
        </is>
      </c>
      <c r="L349" s="245" t="inlineStr">
        <is>
          <t>ECMF-03TL-IN</t>
        </is>
      </c>
      <c r="M349" s="248" t="inlineStr">
        <is>
          <t>6QDRMEOU</t>
        </is>
      </c>
      <c r="N349" s="245" t="inlineStr">
        <is>
          <t>F.TMT.03T.010.BD</t>
        </is>
      </c>
      <c r="O349" s="245" t="n"/>
      <c r="P349" s="245" t="n"/>
      <c r="Q349" s="250">
        <f>R349/H349</f>
        <v/>
      </c>
      <c r="R349" s="251" t="n">
        <v>2895.1</v>
      </c>
      <c r="S349" s="249" t="n">
        <v>17796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6</v>
      </c>
      <c r="I350" s="245" t="inlineStr"/>
      <c r="J350" s="245" t="inlineStr"/>
      <c r="K350" s="245" t="inlineStr">
        <is>
          <t>3IN CV LAVENDER MF TOPPER TX</t>
        </is>
      </c>
      <c r="L350" s="245" t="inlineStr">
        <is>
          <t>ECMF-03TXLL-IN</t>
        </is>
      </c>
      <c r="M350" s="248" t="inlineStr">
        <is>
          <t>6QDRMEOU</t>
        </is>
      </c>
      <c r="N350" s="245" t="inlineStr">
        <is>
          <t>F.TMT.03X.010.BD</t>
        </is>
      </c>
      <c r="O350" s="245" t="n"/>
      <c r="P350" s="245" t="n"/>
      <c r="Q350" s="250">
        <f>R350/H350</f>
        <v/>
      </c>
      <c r="R350" s="251" t="n">
        <v>72.12</v>
      </c>
      <c r="S350" s="249" t="n">
        <v>17796</v>
      </c>
      <c r="T350" s="252">
        <f>S350*R350</f>
        <v/>
      </c>
      <c r="U350" s="245" t="n"/>
      <c r="V350" s="245" t="n"/>
      <c r="W350" s="245" t="n"/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12</v>
      </c>
      <c r="I351" s="245" t="inlineStr"/>
      <c r="J351" s="245" t="inlineStr"/>
      <c r="K351" s="245" t="inlineStr">
        <is>
          <t>2IN CV LAVENDER MF TOPPER FL</t>
        </is>
      </c>
      <c r="L351" s="245" t="inlineStr">
        <is>
          <t>ECMF- N</t>
        </is>
      </c>
      <c r="M351" s="248" t="inlineStr">
        <is>
          <t>6QDRMEOU</t>
        </is>
      </c>
      <c r="N351" s="245" t="inlineStr">
        <is>
          <t>F.TMT.02F.008.BD</t>
        </is>
      </c>
      <c r="O351" s="245" t="n"/>
      <c r="P351" s="245" t="n"/>
      <c r="Q351" s="250">
        <f>R351/H351</f>
        <v/>
      </c>
      <c r="R351" s="251" t="n">
        <v>118.68</v>
      </c>
      <c r="S351" s="249" t="n">
        <v>17796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6.5" customHeight="1" s="202">
      <c r="A352" s="245" t="n"/>
      <c r="B352" s="245" t="n"/>
      <c r="C352" s="245" t="n"/>
      <c r="D352" s="245" t="n"/>
      <c r="E352" s="245" t="n"/>
      <c r="F352" s="245" t="n"/>
      <c r="G352" s="245" t="n"/>
      <c r="H352" s="247" t="n">
        <v>43</v>
      </c>
      <c r="I352" s="245" t="inlineStr"/>
      <c r="J352" s="245" t="inlineStr"/>
      <c r="K352" s="245" t="inlineStr">
        <is>
          <t>2IN CV LAVENDER MF TOPPER EK</t>
        </is>
      </c>
      <c r="L352" s="245" t="inlineStr">
        <is>
          <t>ECMF-LV2K-IN</t>
        </is>
      </c>
      <c r="M352" s="248" t="inlineStr">
        <is>
          <t>6QDRMEOU</t>
        </is>
      </c>
      <c r="N352" s="245" t="inlineStr">
        <is>
          <t>F.TMT.02K.008.BD</t>
        </is>
      </c>
      <c r="O352" s="245" t="n"/>
      <c r="P352" s="245" t="n"/>
      <c r="Q352" s="250">
        <f>R352/H352</f>
        <v/>
      </c>
      <c r="R352" s="251" t="n">
        <v>598.13</v>
      </c>
      <c r="S352" s="249" t="n">
        <v>17796</v>
      </c>
      <c r="T352" s="252">
        <f>S352*R352</f>
        <v/>
      </c>
      <c r="U352" s="245" t="n"/>
      <c r="V352" s="245" t="n"/>
      <c r="W352" s="245" t="n"/>
      <c r="X352" s="245" t="n"/>
      <c r="Y352" s="245" t="n"/>
      <c r="Z352" s="245" t="n"/>
    </row>
    <row r="353" ht="16.5" customHeight="1" s="202">
      <c r="A353" s="245" t="n"/>
      <c r="B353" s="245" t="n"/>
      <c r="C353" s="245" t="n"/>
      <c r="D353" s="245" t="n"/>
      <c r="E353" s="245" t="n"/>
      <c r="F353" s="245" t="n"/>
      <c r="G353" s="245" t="n"/>
      <c r="H353" s="247" t="n">
        <v>19</v>
      </c>
      <c r="I353" s="245" t="inlineStr"/>
      <c r="J353" s="245" t="inlineStr"/>
      <c r="K353" s="245" t="inlineStr">
        <is>
          <t>2IN CV LAVENDER MF TOPPER QN</t>
        </is>
      </c>
      <c r="L353" s="245" t="inlineStr">
        <is>
          <t>ECMF-LV2Q-IN</t>
        </is>
      </c>
      <c r="M353" s="248" t="inlineStr">
        <is>
          <t>6QDRMEOU</t>
        </is>
      </c>
      <c r="N353" s="245" t="inlineStr">
        <is>
          <t>F.TMT.02Q.008.BD</t>
        </is>
      </c>
      <c r="O353" s="245" t="n"/>
      <c r="P353" s="245" t="n"/>
      <c r="Q353" s="250">
        <f>R353/H353</f>
        <v/>
      </c>
      <c r="R353" s="251" t="n">
        <v>230.47</v>
      </c>
      <c r="S353" s="249" t="n">
        <v>17796</v>
      </c>
      <c r="T353" s="252">
        <f>S353*R353</f>
        <v/>
      </c>
      <c r="U353" s="245" t="n"/>
      <c r="V353" s="245" t="n"/>
      <c r="W353" s="245" t="n"/>
      <c r="X353" s="245" t="n"/>
      <c r="Y353" s="245" t="n"/>
      <c r="Z353" s="245" t="n"/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12</v>
      </c>
      <c r="I354" s="245" t="inlineStr"/>
      <c r="J354" s="245" t="inlineStr"/>
      <c r="K354" s="245" t="inlineStr">
        <is>
          <t>4IN CV LAVENDER MF TOPPER QN</t>
        </is>
      </c>
      <c r="L354" s="245" t="inlineStr">
        <is>
          <t>ECMF-LV4Q-IN</t>
        </is>
      </c>
      <c r="M354" s="248" t="inlineStr">
        <is>
          <t>6QDRMEOU</t>
        </is>
      </c>
      <c r="N354" s="245" t="inlineStr">
        <is>
          <t>F.TMT.04Q.012.BD</t>
        </is>
      </c>
      <c r="O354" s="245" t="n"/>
      <c r="P354" s="245" t="n"/>
      <c r="Q354" s="250">
        <f>R354/H354</f>
        <v/>
      </c>
      <c r="R354" s="251" t="n">
        <v>265.8</v>
      </c>
      <c r="S354" s="249" t="n">
        <v>17796</v>
      </c>
      <c r="T354" s="252">
        <f>S354*R354</f>
        <v/>
      </c>
      <c r="U354" s="245" t="n"/>
      <c r="V354" s="245" t="n"/>
      <c r="W354" s="245" t="n"/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44</v>
      </c>
      <c r="I355" s="245" t="inlineStr"/>
      <c r="J355" s="245" t="inlineStr"/>
      <c r="K355" s="245" t="inlineStr">
        <is>
          <t>1.5IN VT GEL MF TOPPER FL</t>
        </is>
      </c>
      <c r="L355" s="245" t="inlineStr">
        <is>
          <t>GMT1.5F-IN</t>
        </is>
      </c>
      <c r="M355" s="248" t="inlineStr">
        <is>
          <t>6QDRMEOU</t>
        </is>
      </c>
      <c r="N355" s="245" t="inlineStr">
        <is>
          <t>F.TGT.01F.004.BD</t>
        </is>
      </c>
      <c r="O355" s="245" t="n"/>
      <c r="P355" s="245" t="n"/>
      <c r="Q355" s="250">
        <f>R355/H355</f>
        <v/>
      </c>
      <c r="R355" s="251" t="n">
        <v>458.92</v>
      </c>
      <c r="S355" s="249" t="n">
        <v>17796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5</v>
      </c>
      <c r="I356" s="245" t="inlineStr"/>
      <c r="J356" s="245" t="inlineStr"/>
      <c r="K356" s="245" t="inlineStr">
        <is>
          <t>1.5IN VT GEL MF TOPPER TW</t>
        </is>
      </c>
      <c r="L356" s="245" t="inlineStr">
        <is>
          <t>GMT1.5T-IN</t>
        </is>
      </c>
      <c r="M356" s="248" t="inlineStr">
        <is>
          <t>6QDRMEOU</t>
        </is>
      </c>
      <c r="N356" s="245" t="inlineStr">
        <is>
          <t>F.TGT.01T.004.BD</t>
        </is>
      </c>
      <c r="O356" s="245" t="n"/>
      <c r="P356" s="245" t="n"/>
      <c r="Q356" s="250">
        <f>R356/H356</f>
        <v/>
      </c>
      <c r="R356" s="251" t="n">
        <v>41.75</v>
      </c>
      <c r="S356" s="249" t="n">
        <v>17796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12</v>
      </c>
      <c r="I357" s="245" t="inlineStr"/>
      <c r="J357" s="245" t="inlineStr"/>
      <c r="K357" s="245" t="inlineStr">
        <is>
          <t>4IN VT GEL MF TOPPER EK</t>
        </is>
      </c>
      <c r="L357" s="245" t="inlineStr">
        <is>
          <t>GMT4K-IN</t>
        </is>
      </c>
      <c r="M357" s="248" t="inlineStr">
        <is>
          <t>6QDRMEOU</t>
        </is>
      </c>
      <c r="N357" s="245" t="inlineStr">
        <is>
          <t>F.TGT.04K.005.BD</t>
        </is>
      </c>
      <c r="O357" s="245" t="n"/>
      <c r="P357" s="245" t="n"/>
      <c r="Q357" s="250">
        <f>R357/H357</f>
        <v/>
      </c>
      <c r="R357" s="251" t="n">
        <v>396.6</v>
      </c>
      <c r="S357" s="249" t="n">
        <v>17796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82</v>
      </c>
      <c r="I358" s="245" t="inlineStr"/>
      <c r="J358" s="245" t="inlineStr"/>
      <c r="K358" s="245" t="inlineStr">
        <is>
          <t>4IN VT GEL MF TOPPER QN</t>
        </is>
      </c>
      <c r="L358" s="245" t="inlineStr">
        <is>
          <t>GMT4Q-IN</t>
        </is>
      </c>
      <c r="M358" s="248" t="inlineStr">
        <is>
          <t>6QDRMEOU</t>
        </is>
      </c>
      <c r="N358" s="245" t="inlineStr">
        <is>
          <t>F.TGT.04Q.005.BD</t>
        </is>
      </c>
      <c r="O358" s="245" t="n"/>
      <c r="P358" s="245" t="n"/>
      <c r="Q358" s="250">
        <f>R358/H358</f>
        <v/>
      </c>
      <c r="R358" s="251" t="n">
        <v>2153.32</v>
      </c>
      <c r="S358" s="249" t="n">
        <v>17796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7.1" customHeight="1" s="202">
      <c r="A359" s="254" t="n"/>
      <c r="B359" s="254" t="n"/>
      <c r="C359" s="254" t="n"/>
      <c r="D359" s="254" t="n"/>
      <c r="E359" s="254" t="n"/>
      <c r="F359" s="254" t="n"/>
      <c r="G359" s="254" t="n"/>
      <c r="H359" s="255">
        <f>SUM(H339:H358)</f>
        <v/>
      </c>
      <c r="I359" s="254">
        <f>COUNTA(I339:I358)</f>
        <v/>
      </c>
      <c r="J359" s="254" t="n"/>
      <c r="K359" s="254" t="n"/>
      <c r="L359" s="254" t="n"/>
      <c r="M359" s="254" t="n"/>
      <c r="N359" s="254" t="n"/>
      <c r="O359" s="256">
        <f>SUM(O339:O358)</f>
        <v/>
      </c>
      <c r="P359" s="256">
        <f>SUM(P339:P358)</f>
        <v/>
      </c>
      <c r="Q359" s="254" t="n"/>
      <c r="R359" s="257">
        <f>SUM(R339:R358)</f>
        <v/>
      </c>
      <c r="S359" s="254" t="n"/>
      <c r="T359" s="258">
        <f>SUM(T339:T358)</f>
        <v/>
      </c>
      <c r="U359" s="254" t="n"/>
      <c r="V359" s="254" t="n"/>
      <c r="W359" s="254" t="n"/>
      <c r="X359" s="254" t="n"/>
      <c r="Y359" s="254" t="n"/>
      <c r="Z359" s="254" t="n"/>
    </row>
    <row r="360" ht="16.5" customHeight="1" s="202">
      <c r="A360" s="245" t="n">
        <v>39</v>
      </c>
      <c r="B360" s="245" t="inlineStr">
        <is>
          <t>000030ZIK48020260828000724</t>
        </is>
      </c>
      <c r="C360" s="245" t="n">
        <v>550128</v>
      </c>
      <c r="D360" s="245" t="n">
        <v>550078</v>
      </c>
      <c r="E360" s="246" t="n">
        <v>46265</v>
      </c>
      <c r="F360" s="245" t="inlineStr">
        <is>
          <t>ID2608-8309</t>
        </is>
      </c>
      <c r="G360" s="246" t="n">
        <v>46262</v>
      </c>
      <c r="H360" s="247" t="n">
        <v>900</v>
      </c>
      <c r="I360" s="245" t="inlineStr">
        <is>
          <t>WHSU6558090</t>
        </is>
      </c>
      <c r="J360" s="245" t="inlineStr">
        <is>
          <t>40FT</t>
        </is>
      </c>
      <c r="K360" s="245" t="inlineStr">
        <is>
          <t>8IN GREEN TEA MF MATTRESS QN</t>
        </is>
      </c>
      <c r="L360" s="245" t="inlineStr">
        <is>
          <t>SCF-STR-800Q</t>
        </is>
      </c>
      <c r="M360" s="248" t="inlineStr">
        <is>
          <t>0993630515</t>
        </is>
      </c>
      <c r="N360" s="245" t="inlineStr">
        <is>
          <t>F.MFM.08Q.000.WS</t>
        </is>
      </c>
      <c r="O360" s="249" t="n">
        <v>21510</v>
      </c>
      <c r="P360" s="249" t="n">
        <v>19188</v>
      </c>
      <c r="Q360" s="250">
        <f>R360/H360</f>
        <v/>
      </c>
      <c r="R360" s="251" t="n">
        <v>84573</v>
      </c>
      <c r="S360" s="249" t="n">
        <v>17796</v>
      </c>
      <c r="T360" s="252">
        <f>S360*R360</f>
        <v/>
      </c>
      <c r="U360" s="245" t="inlineStr">
        <is>
          <t>040300/KPPBC</t>
        </is>
      </c>
      <c r="V360" s="245" t="inlineStr">
        <is>
          <t>TG. PRIOK</t>
        </is>
      </c>
      <c r="W360" s="245" t="inlineStr">
        <is>
          <t>NORFOLK, US</t>
        </is>
      </c>
      <c r="X360" s="245" t="inlineStr">
        <is>
          <t>WALMART, INC.</t>
        </is>
      </c>
      <c r="Y360" s="245" t="inlineStr">
        <is>
          <t>WHLC049GX09723</t>
        </is>
      </c>
      <c r="Z360" s="246" t="n">
        <v>46265</v>
      </c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5" t="n"/>
      <c r="I361" s="245" t="inlineStr">
        <is>
          <t>WHSU6849075</t>
        </is>
      </c>
      <c r="J361" s="245" t="inlineStr">
        <is>
          <t>40FT</t>
        </is>
      </c>
      <c r="K361" s="245" t="n"/>
      <c r="L361" s="245" t="n"/>
      <c r="M361" s="245" t="n"/>
      <c r="N361" s="245" t="n"/>
      <c r="O361" s="245" t="n"/>
      <c r="P361" s="245" t="n"/>
      <c r="Q361" s="245" t="n"/>
      <c r="R361" s="245" t="n"/>
      <c r="S361" s="245" t="n"/>
      <c r="T361" s="245" t="n"/>
      <c r="U361" s="245" t="n"/>
      <c r="V361" s="245" t="n"/>
      <c r="W361" s="245" t="inlineStr">
        <is>
          <t>ETD : 05-09-2026</t>
        </is>
      </c>
      <c r="X361" s="245" t="n"/>
      <c r="Y361" s="245" t="n"/>
      <c r="Z361" s="245" t="n"/>
    </row>
    <row r="362" ht="17.1" customHeight="1" s="202">
      <c r="A362" s="254" t="n"/>
      <c r="B362" s="254" t="n"/>
      <c r="C362" s="254" t="n"/>
      <c r="D362" s="254" t="n"/>
      <c r="E362" s="254" t="n"/>
      <c r="F362" s="254" t="n"/>
      <c r="G362" s="254" t="n"/>
      <c r="H362" s="255">
        <f>SUM(H360:H361)</f>
        <v/>
      </c>
      <c r="I362" s="254">
        <f>COUNTA(I360:I361)</f>
        <v/>
      </c>
      <c r="J362" s="254" t="n"/>
      <c r="K362" s="254" t="n"/>
      <c r="L362" s="254" t="n"/>
      <c r="M362" s="254" t="n"/>
      <c r="N362" s="254" t="n"/>
      <c r="O362" s="256">
        <f>SUM(O360:O361)</f>
        <v/>
      </c>
      <c r="P362" s="256">
        <f>SUM(P360:P361)</f>
        <v/>
      </c>
      <c r="Q362" s="254" t="n"/>
      <c r="R362" s="257">
        <f>SUM(R360:R361)</f>
        <v/>
      </c>
      <c r="S362" s="254" t="n"/>
      <c r="T362" s="258">
        <f>SUM(T360:T361)</f>
        <v/>
      </c>
      <c r="U362" s="254" t="n"/>
      <c r="V362" s="254" t="n"/>
      <c r="W362" s="254" t="n"/>
      <c r="X362" s="254" t="n"/>
      <c r="Y362" s="254" t="n"/>
      <c r="Z362" s="254" t="n"/>
    </row>
    <row r="363" ht="16.5" customHeight="1" s="202">
      <c r="A363" s="245" t="n">
        <v>40</v>
      </c>
      <c r="B363" s="245" t="inlineStr">
        <is>
          <t>000030ZIK48020260828000725</t>
        </is>
      </c>
      <c r="C363" s="245" t="n">
        <v>548878</v>
      </c>
      <c r="D363" s="245" t="n">
        <v>548824</v>
      </c>
      <c r="E363" s="246" t="n">
        <v>46265</v>
      </c>
      <c r="F363" s="245" t="inlineStr">
        <is>
          <t>ID2608-8307</t>
        </is>
      </c>
      <c r="G363" s="246" t="n">
        <v>46262</v>
      </c>
      <c r="H363" s="247" t="n">
        <v>1040</v>
      </c>
      <c r="I363" s="245" t="inlineStr">
        <is>
          <t>CMAU9690431</t>
        </is>
      </c>
      <c r="J363" s="245" t="inlineStr">
        <is>
          <t>40FT</t>
        </is>
      </c>
      <c r="K363" s="245" t="inlineStr">
        <is>
          <t>8IN GREEN TEA MF MATTRESS FL</t>
        </is>
      </c>
      <c r="L363" s="245" t="inlineStr">
        <is>
          <t>SCF-STR-800F</t>
        </is>
      </c>
      <c r="M363" s="248" t="inlineStr">
        <is>
          <t>0993630740</t>
        </is>
      </c>
      <c r="N363" s="245" t="inlineStr">
        <is>
          <t>F.MFM.08F.000.WS</t>
        </is>
      </c>
      <c r="O363" s="249" t="n">
        <v>21236.8</v>
      </c>
      <c r="P363" s="249" t="n">
        <v>18740.8</v>
      </c>
      <c r="Q363" s="250">
        <f>R363/H363</f>
        <v/>
      </c>
      <c r="R363" s="251" t="n">
        <v>82960.8</v>
      </c>
      <c r="S363" s="249" t="n">
        <v>17796</v>
      </c>
      <c r="T363" s="252">
        <f>S363*R363</f>
        <v/>
      </c>
      <c r="U363" s="245" t="inlineStr">
        <is>
          <t>040300/KPPBC</t>
        </is>
      </c>
      <c r="V363" s="245" t="inlineStr">
        <is>
          <t>TG. PRIOK</t>
        </is>
      </c>
      <c r="W363" s="245" t="inlineStr">
        <is>
          <t>HOUSTON, US</t>
        </is>
      </c>
      <c r="X363" s="245" t="inlineStr">
        <is>
          <t>WALMART, INC.</t>
        </is>
      </c>
      <c r="Y363" s="245" t="inlineStr">
        <is>
          <t>CMDUDJA1528242C</t>
        </is>
      </c>
      <c r="Z363" s="246" t="n">
        <v>46265</v>
      </c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5" t="n"/>
      <c r="I364" s="245" t="inlineStr">
        <is>
          <t>TRHU4700085</t>
        </is>
      </c>
      <c r="J364" s="245" t="inlineStr">
        <is>
          <t>40FT</t>
        </is>
      </c>
      <c r="K364" s="245" t="n"/>
      <c r="L364" s="245" t="n"/>
      <c r="M364" s="245" t="n"/>
      <c r="N364" s="245" t="n"/>
      <c r="O364" s="245" t="n"/>
      <c r="P364" s="245" t="n"/>
      <c r="Q364" s="245" t="n"/>
      <c r="R364" s="245" t="n"/>
      <c r="S364" s="245" t="n"/>
      <c r="T364" s="245" t="n"/>
      <c r="U364" s="245" t="n"/>
      <c r="V364" s="245" t="n"/>
      <c r="W364" s="245" t="inlineStr">
        <is>
          <t>ETD : 04-09-2026</t>
        </is>
      </c>
      <c r="X364" s="245" t="n"/>
      <c r="Y364" s="245" t="n"/>
      <c r="Z364" s="245" t="n"/>
    </row>
    <row r="365" ht="17.1" customHeight="1" s="202">
      <c r="A365" s="254" t="n"/>
      <c r="B365" s="254" t="n"/>
      <c r="C365" s="254" t="n"/>
      <c r="D365" s="254" t="n"/>
      <c r="E365" s="254" t="n"/>
      <c r="F365" s="254" t="n"/>
      <c r="G365" s="254" t="n"/>
      <c r="H365" s="255">
        <f>SUM(H363:H364)</f>
        <v/>
      </c>
      <c r="I365" s="254">
        <f>COUNTA(I363:I364)</f>
        <v/>
      </c>
      <c r="J365" s="254" t="n"/>
      <c r="K365" s="254" t="n"/>
      <c r="L365" s="254" t="n"/>
      <c r="M365" s="254" t="n"/>
      <c r="N365" s="254" t="n"/>
      <c r="O365" s="256">
        <f>SUM(O363:O364)</f>
        <v/>
      </c>
      <c r="P365" s="256">
        <f>SUM(P363:P364)</f>
        <v/>
      </c>
      <c r="Q365" s="254" t="n"/>
      <c r="R365" s="257">
        <f>SUM(R363:R364)</f>
        <v/>
      </c>
      <c r="S365" s="254" t="n"/>
      <c r="T365" s="258">
        <f>SUM(T363:T364)</f>
        <v/>
      </c>
      <c r="U365" s="254" t="n"/>
      <c r="V365" s="254" t="n"/>
      <c r="W365" s="254" t="n"/>
      <c r="X365" s="254" t="n"/>
      <c r="Y365" s="254" t="n"/>
      <c r="Z365" s="254" t="n"/>
    </row>
    <row r="366" ht="16.5" customHeight="1" s="202">
      <c r="A366" s="245" t="n">
        <v>41</v>
      </c>
      <c r="B366" s="245" t="inlineStr">
        <is>
          <t>000030ZIK48020260828000726</t>
        </is>
      </c>
      <c r="C366" s="245" t="n">
        <v>548840</v>
      </c>
      <c r="D366" s="245" t="n">
        <v>548786</v>
      </c>
      <c r="E366" s="246" t="n">
        <v>46265</v>
      </c>
      <c r="F366" s="245" t="inlineStr">
        <is>
          <t>ID2608-8306</t>
        </is>
      </c>
      <c r="G366" s="246" t="n">
        <v>46262</v>
      </c>
      <c r="H366" s="247" t="n">
        <v>1386</v>
      </c>
      <c r="I366" s="245" t="inlineStr">
        <is>
          <t>BHCU5033124</t>
        </is>
      </c>
      <c r="J366" s="245" t="inlineStr">
        <is>
          <t>40FT</t>
        </is>
      </c>
      <c r="K366" s="245" t="inlineStr">
        <is>
          <t>8IN GREEN TEA MF MATTRESS TW</t>
        </is>
      </c>
      <c r="L366" s="245" t="inlineStr">
        <is>
          <t>SCF-STR-800T</t>
        </is>
      </c>
      <c r="M366" s="248" t="inlineStr">
        <is>
          <t>0993631012</t>
        </is>
      </c>
      <c r="N366" s="245" t="inlineStr">
        <is>
          <t>F.MFM.08T.000.WS</t>
        </is>
      </c>
      <c r="O366" s="249" t="n">
        <v>21053.34</v>
      </c>
      <c r="P366" s="249" t="n">
        <v>18281.34</v>
      </c>
      <c r="Q366" s="250">
        <f>R366/H366</f>
        <v/>
      </c>
      <c r="R366" s="251" t="n">
        <v>85239</v>
      </c>
      <c r="S366" s="249" t="n">
        <v>17796</v>
      </c>
      <c r="T366" s="252">
        <f>S366*R366</f>
        <v/>
      </c>
      <c r="U366" s="245" t="inlineStr">
        <is>
          <t>040300/KPPBC</t>
        </is>
      </c>
      <c r="V366" s="245" t="inlineStr">
        <is>
          <t>TG. PRIOK</t>
        </is>
      </c>
      <c r="W366" s="245" t="inlineStr">
        <is>
          <t>HOUSTON, US</t>
        </is>
      </c>
      <c r="X366" s="245" t="inlineStr">
        <is>
          <t>WALMART, INC.</t>
        </is>
      </c>
      <c r="Y366" s="245" t="inlineStr">
        <is>
          <t>CMDUDJA1528242B</t>
        </is>
      </c>
      <c r="Z366" s="246" t="n">
        <v>46265</v>
      </c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5" t="n"/>
      <c r="I367" s="245" t="inlineStr">
        <is>
          <t>TEMU8584930</t>
        </is>
      </c>
      <c r="J367" s="245" t="inlineStr">
        <is>
          <t>40FT</t>
        </is>
      </c>
      <c r="K367" s="245" t="n"/>
      <c r="L367" s="245" t="n"/>
      <c r="M367" s="245" t="n"/>
      <c r="N367" s="245" t="n"/>
      <c r="O367" s="245" t="n"/>
      <c r="P367" s="245" t="n"/>
      <c r="Q367" s="245" t="n"/>
      <c r="R367" s="245" t="n"/>
      <c r="S367" s="245" t="n"/>
      <c r="T367" s="245" t="n"/>
      <c r="U367" s="245" t="n"/>
      <c r="V367" s="245" t="n"/>
      <c r="W367" s="245" t="inlineStr">
        <is>
          <t>ETD : 04-09-2026</t>
        </is>
      </c>
      <c r="X367" s="245" t="n"/>
      <c r="Y367" s="245" t="n"/>
      <c r="Z367" s="245" t="n"/>
    </row>
    <row r="368" ht="17.1" customHeight="1" s="202">
      <c r="A368" s="254" t="n"/>
      <c r="B368" s="254" t="n"/>
      <c r="C368" s="254" t="n"/>
      <c r="D368" s="254" t="n"/>
      <c r="E368" s="254" t="n"/>
      <c r="F368" s="254" t="n"/>
      <c r="G368" s="254" t="n"/>
      <c r="H368" s="255">
        <f>SUM(H366:H367)</f>
        <v/>
      </c>
      <c r="I368" s="254">
        <f>COUNTA(I366:I367)</f>
        <v/>
      </c>
      <c r="J368" s="254" t="n"/>
      <c r="K368" s="254" t="n"/>
      <c r="L368" s="254" t="n"/>
      <c r="M368" s="254" t="n"/>
      <c r="N368" s="254" t="n"/>
      <c r="O368" s="256">
        <f>SUM(O366:O367)</f>
        <v/>
      </c>
      <c r="P368" s="256">
        <f>SUM(P366:P367)</f>
        <v/>
      </c>
      <c r="Q368" s="254" t="n"/>
      <c r="R368" s="257">
        <f>SUM(R366:R367)</f>
        <v/>
      </c>
      <c r="S368" s="254" t="n"/>
      <c r="T368" s="258">
        <f>SUM(T366:T367)</f>
        <v/>
      </c>
      <c r="U368" s="254" t="n"/>
      <c r="V368" s="254" t="n"/>
      <c r="W368" s="254" t="n"/>
      <c r="X368" s="254" t="n"/>
      <c r="Y368" s="254" t="n"/>
      <c r="Z368" s="254" t="n"/>
    </row>
    <row r="369" ht="16.5" customHeight="1" s="202">
      <c r="A369" s="245" t="n">
        <v>42</v>
      </c>
      <c r="B369" s="245" t="inlineStr">
        <is>
          <t>000030ZIK48020260828000727</t>
        </is>
      </c>
      <c r="C369" s="245" t="n">
        <v>550275</v>
      </c>
      <c r="D369" s="245" t="n">
        <v>550226</v>
      </c>
      <c r="E369" s="246" t="n">
        <v>46265</v>
      </c>
      <c r="F369" s="245" t="inlineStr">
        <is>
          <t>ID2608-8305</t>
        </is>
      </c>
      <c r="G369" s="246" t="n">
        <v>46262</v>
      </c>
      <c r="H369" s="247" t="n">
        <v>1350</v>
      </c>
      <c r="I369" s="245" t="inlineStr">
        <is>
          <t>TCNU2457809</t>
        </is>
      </c>
      <c r="J369" s="245" t="inlineStr">
        <is>
          <t>40FT</t>
        </is>
      </c>
      <c r="K369" s="245" t="inlineStr">
        <is>
          <t>8IN GREEN TEA MF MATTRESS QN</t>
        </is>
      </c>
      <c r="L369" s="245" t="inlineStr">
        <is>
          <t>SCF-STR-800Q</t>
        </is>
      </c>
      <c r="M369" s="248" t="inlineStr">
        <is>
          <t>0993630529</t>
        </is>
      </c>
      <c r="N369" s="245" t="inlineStr">
        <is>
          <t>F.MFM.08Q.000.WS</t>
        </is>
      </c>
      <c r="O369" s="249" t="n">
        <v>32265</v>
      </c>
      <c r="P369" s="249" t="n">
        <v>28782</v>
      </c>
      <c r="Q369" s="250">
        <f>R369/H369</f>
        <v/>
      </c>
      <c r="R369" s="251" t="n">
        <v>126859.5</v>
      </c>
      <c r="S369" s="249" t="n">
        <v>17796</v>
      </c>
      <c r="T369" s="252">
        <f>S369*R369</f>
        <v/>
      </c>
      <c r="U369" s="245" t="inlineStr">
        <is>
          <t>040300/KPPBC</t>
        </is>
      </c>
      <c r="V369" s="245" t="inlineStr">
        <is>
          <t>TG. PRIOK</t>
        </is>
      </c>
      <c r="W369" s="245" t="inlineStr">
        <is>
          <t>HOUSTON, US</t>
        </is>
      </c>
      <c r="X369" s="245" t="inlineStr">
        <is>
          <t>WALMART, INC.</t>
        </is>
      </c>
      <c r="Y369" s="245" t="inlineStr">
        <is>
          <t>CMDUDJA1528242A</t>
        </is>
      </c>
      <c r="Z369" s="246" t="n">
        <v>46265</v>
      </c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5" t="n"/>
      <c r="I370" s="245" t="inlineStr">
        <is>
          <t>TCNU3875594</t>
        </is>
      </c>
      <c r="J370" s="245" t="inlineStr">
        <is>
          <t>40FT</t>
        </is>
      </c>
      <c r="K370" s="245" t="n"/>
      <c r="L370" s="245" t="n"/>
      <c r="M370" s="245" t="n"/>
      <c r="N370" s="245" t="n"/>
      <c r="O370" s="245" t="n"/>
      <c r="P370" s="245" t="n"/>
      <c r="Q370" s="245" t="n"/>
      <c r="R370" s="245" t="n"/>
      <c r="S370" s="245" t="n"/>
      <c r="T370" s="245" t="n"/>
      <c r="U370" s="245" t="n"/>
      <c r="V370" s="245" t="n"/>
      <c r="W370" s="245" t="inlineStr">
        <is>
          <t>ETD : 04-09-2026</t>
        </is>
      </c>
      <c r="X370" s="245" t="n"/>
      <c r="Y370" s="245" t="n"/>
      <c r="Z370" s="245" t="n"/>
    </row>
    <row r="371" ht="16.5" customHeight="1" s="202">
      <c r="A371" s="245" t="n"/>
      <c r="B371" s="245" t="n"/>
      <c r="C371" s="245" t="n"/>
      <c r="D371" s="245" t="n"/>
      <c r="E371" s="245" t="n"/>
      <c r="F371" s="245" t="n"/>
      <c r="G371" s="245" t="n"/>
      <c r="H371" s="245" t="n"/>
      <c r="I371" s="245" t="inlineStr">
        <is>
          <t>TGBU6706263</t>
        </is>
      </c>
      <c r="J371" s="245" t="inlineStr">
        <is>
          <t>40FT</t>
        </is>
      </c>
      <c r="K371" s="245" t="n"/>
      <c r="L371" s="245" t="n"/>
      <c r="M371" s="245" t="n"/>
      <c r="N371" s="245" t="n"/>
      <c r="O371" s="245" t="n"/>
      <c r="P371" s="245" t="n"/>
      <c r="Q371" s="245" t="n"/>
      <c r="R371" s="245" t="n"/>
      <c r="S371" s="245" t="n"/>
      <c r="T371" s="245" t="n"/>
      <c r="U371" s="245" t="n"/>
      <c r="V371" s="245" t="n"/>
      <c r="W371" s="245" t="n"/>
      <c r="X371" s="245" t="n"/>
      <c r="Y371" s="245" t="n"/>
      <c r="Z371" s="245" t="n"/>
    </row>
    <row r="372" ht="17.1" customHeight="1" s="202">
      <c r="A372" s="254" t="n"/>
      <c r="B372" s="254" t="n"/>
      <c r="C372" s="254" t="n"/>
      <c r="D372" s="254" t="n"/>
      <c r="E372" s="254" t="n"/>
      <c r="F372" s="254" t="n"/>
      <c r="G372" s="254" t="n"/>
      <c r="H372" s="255">
        <f>SUM(H369:H371)</f>
        <v/>
      </c>
      <c r="I372" s="254">
        <f>COUNTA(I369:I371)</f>
        <v/>
      </c>
      <c r="J372" s="254" t="n"/>
      <c r="K372" s="254" t="n"/>
      <c r="L372" s="254" t="n"/>
      <c r="M372" s="254" t="n"/>
      <c r="N372" s="254" t="n"/>
      <c r="O372" s="256">
        <f>SUM(O369:O371)</f>
        <v/>
      </c>
      <c r="P372" s="256">
        <f>SUM(P369:P371)</f>
        <v/>
      </c>
      <c r="Q372" s="254" t="n"/>
      <c r="R372" s="257">
        <f>SUM(R369:R371)</f>
        <v/>
      </c>
      <c r="S372" s="254" t="n"/>
      <c r="T372" s="258">
        <f>SUM(T369:T371)</f>
        <v/>
      </c>
      <c r="U372" s="254" t="n"/>
      <c r="V372" s="254" t="n"/>
      <c r="W372" s="254" t="n"/>
      <c r="X372" s="254" t="n"/>
      <c r="Y372" s="254" t="n"/>
      <c r="Z372" s="254" t="n"/>
    </row>
    <row r="373" ht="16.5" customHeight="1" s="202">
      <c r="A373" s="245" t="n">
        <v>43</v>
      </c>
      <c r="B373" s="245" t="inlineStr">
        <is>
          <t>000030ZIK48020260831000728</t>
        </is>
      </c>
      <c r="C373" s="245" t="n">
        <v>439932</v>
      </c>
      <c r="D373" s="245" t="n">
        <v>439692</v>
      </c>
      <c r="E373" s="246" t="n">
        <v>46265</v>
      </c>
      <c r="F373" s="245" t="inlineStr">
        <is>
          <t>SAMPLE-ZIID26-0074-NCV</t>
        </is>
      </c>
      <c r="G373" s="246" t="n">
        <v>46265</v>
      </c>
      <c r="H373" s="247" t="n">
        <v>1</v>
      </c>
      <c r="I373" s="245" t="inlineStr"/>
      <c r="J373" s="245" t="inlineStr"/>
      <c r="K373" s="245" t="inlineStr">
        <is>
          <t>THREAD SAMPLE</t>
        </is>
      </c>
      <c r="L373" s="245" t="inlineStr">
        <is>
          <t>QT THREAD 210/3 50G</t>
        </is>
      </c>
      <c r="M373" s="248" t="inlineStr"/>
      <c r="N373" s="245" t="inlineStr">
        <is>
          <t>R.SMPL.Z0004</t>
        </is>
      </c>
      <c r="O373" s="249" t="n">
        <v>55.34</v>
      </c>
      <c r="P373" s="249" t="n">
        <v>45.35</v>
      </c>
      <c r="Q373" s="250">
        <f>R373/H373</f>
        <v/>
      </c>
      <c r="R373" s="251" t="n">
        <v>0.04</v>
      </c>
      <c r="S373" s="249" t="n">
        <v>17796</v>
      </c>
      <c r="T373" s="252">
        <f>S373*R373</f>
        <v/>
      </c>
      <c r="U373" s="245" t="inlineStr">
        <is>
          <t>050100/KPPBC</t>
        </is>
      </c>
      <c r="V373" s="245" t="inlineStr">
        <is>
          <t>S. HATTA</t>
        </is>
      </c>
      <c r="W373" s="245" t="inlineStr">
        <is>
          <t>SHANGHAI PU DONG APT, US</t>
        </is>
      </c>
      <c r="X373" s="245" t="inlineStr">
        <is>
          <t>INTER TESTING &amp; CONSULTING SERVICES</t>
        </is>
      </c>
      <c r="Y373" s="245" t="inlineStr">
        <is>
          <t>876491913772</t>
        </is>
      </c>
      <c r="Z373" s="246" t="n">
        <v>46265</v>
      </c>
    </row>
    <row r="374" ht="16.5" customHeight="1" s="202">
      <c r="A374" s="245" t="n"/>
      <c r="B374" s="245" t="n"/>
      <c r="C374" s="245" t="n"/>
      <c r="D374" s="245" t="n"/>
      <c r="E374" s="245" t="n"/>
      <c r="F374" s="245" t="n"/>
      <c r="G374" s="245" t="n"/>
      <c r="H374" s="247" t="n">
        <v>1</v>
      </c>
      <c r="I374" s="245" t="inlineStr"/>
      <c r="J374" s="245" t="inlineStr"/>
      <c r="K374" s="245" t="inlineStr">
        <is>
          <t>THREAD SAMPLE</t>
        </is>
      </c>
      <c r="L374" s="245" t="inlineStr">
        <is>
          <t>QT THREAD 210/3 50M</t>
        </is>
      </c>
      <c r="M374" s="248" t="inlineStr"/>
      <c r="N374" s="245" t="inlineStr">
        <is>
          <t>R.SMPL.Z0004</t>
        </is>
      </c>
      <c r="O374" s="245" t="n"/>
      <c r="P374" s="245" t="n"/>
      <c r="Q374" s="250">
        <f>R374/H374</f>
        <v/>
      </c>
      <c r="R374" s="251" t="n">
        <v>0.04</v>
      </c>
      <c r="S374" s="249" t="n">
        <v>17796</v>
      </c>
      <c r="T374" s="252">
        <f>S374*R374</f>
        <v/>
      </c>
      <c r="U374" s="245" t="n"/>
      <c r="V374" s="245" t="n"/>
      <c r="W374" s="245" t="inlineStr">
        <is>
          <t>ETD : 07-09-2026</t>
        </is>
      </c>
      <c r="X374" s="245" t="n"/>
      <c r="Y374" s="245" t="n"/>
      <c r="Z374" s="245" t="n"/>
    </row>
    <row r="375" ht="16.5" customHeight="1" s="202">
      <c r="A375" s="245" t="n"/>
      <c r="B375" s="245" t="n"/>
      <c r="C375" s="245" t="n"/>
      <c r="D375" s="245" t="n"/>
      <c r="E375" s="245" t="n"/>
      <c r="F375" s="245" t="n"/>
      <c r="G375" s="245" t="n"/>
      <c r="H375" s="247" t="n">
        <v>22</v>
      </c>
      <c r="I375" s="245" t="inlineStr"/>
      <c r="J375" s="245" t="inlineStr"/>
      <c r="K375" s="245" t="inlineStr">
        <is>
          <t>MAIN SEWING SAMPLE</t>
        </is>
      </c>
      <c r="L375" s="245" t="inlineStr">
        <is>
          <t>POLY ZIPPER CHAIN 7#</t>
        </is>
      </c>
      <c r="M375" s="248" t="inlineStr">
        <is>
          <t>LY</t>
        </is>
      </c>
      <c r="N375" s="245" t="inlineStr">
        <is>
          <t>R.SMPL.Z0005</t>
        </is>
      </c>
      <c r="O375" s="245" t="n"/>
      <c r="P375" s="245" t="n"/>
      <c r="Q375" s="250">
        <f>R375/H375</f>
        <v/>
      </c>
      <c r="R375" s="251" t="n">
        <v>8.58</v>
      </c>
      <c r="S375" s="249" t="n">
        <v>17796</v>
      </c>
      <c r="T375" s="252">
        <f>S375*R375</f>
        <v/>
      </c>
      <c r="U375" s="245" t="n"/>
      <c r="V375" s="245" t="n"/>
      <c r="W375" s="245" t="n"/>
      <c r="X375" s="245" t="n"/>
      <c r="Y375" s="245" t="n"/>
      <c r="Z375" s="245" t="n"/>
    </row>
    <row r="376" ht="16.5" customHeight="1" s="202">
      <c r="A376" s="245" t="n"/>
      <c r="B376" s="245" t="n"/>
      <c r="C376" s="245" t="n"/>
      <c r="D376" s="245" t="n"/>
      <c r="E376" s="245" t="n"/>
      <c r="F376" s="245" t="n"/>
      <c r="G376" s="245" t="n"/>
      <c r="H376" s="247" t="n">
        <v>1</v>
      </c>
      <c r="I376" s="245" t="inlineStr"/>
      <c r="J376" s="245" t="inlineStr"/>
      <c r="K376" s="245" t="inlineStr">
        <is>
          <t>JACQUARD SAMPLE</t>
        </is>
      </c>
      <c r="L376" s="245" t="inlineStr">
        <is>
          <t>FABRIC JACQUARD ZW-023</t>
        </is>
      </c>
      <c r="M376" s="248" t="inlineStr"/>
      <c r="N376" s="245" t="inlineStr">
        <is>
          <t>R.SMPL.Z0010</t>
        </is>
      </c>
      <c r="O376" s="245" t="n"/>
      <c r="P376" s="245" t="n"/>
      <c r="Q376" s="250">
        <f>R376/H376</f>
        <v/>
      </c>
      <c r="R376" s="251" t="n">
        <v>0.23</v>
      </c>
      <c r="S376" s="249" t="n">
        <v>17796</v>
      </c>
      <c r="T376" s="252">
        <f>S376*R376</f>
        <v/>
      </c>
      <c r="U376" s="245" t="n"/>
      <c r="V376" s="245" t="n"/>
      <c r="W376" s="245" t="n"/>
      <c r="X376" s="245" t="n"/>
      <c r="Y376" s="245" t="n"/>
      <c r="Z376" s="245" t="n"/>
    </row>
    <row r="377" ht="16.5" customHeight="1" s="202">
      <c r="A377" s="245" t="n"/>
      <c r="B377" s="245" t="n"/>
      <c r="C377" s="245" t="n"/>
      <c r="D377" s="245" t="n"/>
      <c r="E377" s="245" t="n"/>
      <c r="F377" s="245" t="n"/>
      <c r="G377" s="245" t="n"/>
      <c r="H377" s="247" t="n">
        <v>3</v>
      </c>
      <c r="I377" s="245" t="inlineStr"/>
      <c r="J377" s="245" t="inlineStr"/>
      <c r="K377" s="245" t="inlineStr">
        <is>
          <t>MINI SAMPLE FOAM</t>
        </is>
      </c>
      <c r="L377" s="245" t="inlineStr">
        <is>
          <t>MINI SAMPLE NYKIL</t>
        </is>
      </c>
      <c r="M377" s="248" t="inlineStr"/>
      <c r="N377" s="245" t="inlineStr">
        <is>
          <t>F.SMPL.Z0001</t>
        </is>
      </c>
      <c r="O377" s="245" t="n"/>
      <c r="P377" s="245" t="n"/>
      <c r="Q377" s="250">
        <f>R377/H377</f>
        <v/>
      </c>
      <c r="R377" s="251" t="n">
        <v>26.16</v>
      </c>
      <c r="S377" s="249" t="n">
        <v>17796</v>
      </c>
      <c r="T377" s="252">
        <f>S377*R377</f>
        <v/>
      </c>
      <c r="U377" s="245" t="n"/>
      <c r="V377" s="245" t="n"/>
      <c r="W377" s="245" t="n"/>
      <c r="X377" s="245" t="n"/>
      <c r="Y377" s="245" t="n"/>
      <c r="Z377" s="245" t="n"/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3</v>
      </c>
      <c r="I378" s="245" t="inlineStr"/>
      <c r="J378" s="245" t="inlineStr"/>
      <c r="K378" s="245" t="inlineStr">
        <is>
          <t>FOAM MATTRESS</t>
        </is>
      </c>
      <c r="L378" s="245" t="inlineStr">
        <is>
          <t>NYKIL</t>
        </is>
      </c>
      <c r="M378" s="248" t="inlineStr"/>
      <c r="N378" s="245" t="inlineStr">
        <is>
          <t>F.MFM.SAMP</t>
        </is>
      </c>
      <c r="O378" s="245" t="n"/>
      <c r="P378" s="245" t="n"/>
      <c r="Q378" s="250">
        <f>R378/H378</f>
        <v/>
      </c>
      <c r="R378" s="251" t="n">
        <v>104.58</v>
      </c>
      <c r="S378" s="249" t="n">
        <v>17796</v>
      </c>
      <c r="T378" s="252">
        <f>S378*R378</f>
        <v/>
      </c>
      <c r="U378" s="245" t="n"/>
      <c r="V378" s="245" t="n"/>
      <c r="W378" s="245" t="n"/>
      <c r="X378" s="245" t="n"/>
      <c r="Y378" s="245" t="n"/>
      <c r="Z378" s="245" t="n"/>
    </row>
    <row r="379" ht="17.1" customHeight="1" s="202">
      <c r="A379" s="254" t="n"/>
      <c r="B379" s="254" t="n"/>
      <c r="C379" s="254" t="n"/>
      <c r="D379" s="254" t="n"/>
      <c r="E379" s="254" t="n"/>
      <c r="F379" s="254" t="n"/>
      <c r="G379" s="254" t="n"/>
      <c r="H379" s="255">
        <f>SUM(H373:H378)</f>
        <v/>
      </c>
      <c r="I379" s="254">
        <f>COUNTA(I373:I378)</f>
        <v/>
      </c>
      <c r="J379" s="254" t="n"/>
      <c r="K379" s="254" t="n"/>
      <c r="L379" s="254" t="n"/>
      <c r="M379" s="254" t="n"/>
      <c r="N379" s="254" t="n"/>
      <c r="O379" s="256">
        <f>SUM(O373:O378)</f>
        <v/>
      </c>
      <c r="P379" s="256">
        <f>SUM(P373:P378)</f>
        <v/>
      </c>
      <c r="Q379" s="254" t="n"/>
      <c r="R379" s="257">
        <f>SUM(R373:R378)</f>
        <v/>
      </c>
      <c r="S379" s="254" t="n"/>
      <c r="T379" s="258">
        <f>SUM(T373:T378)</f>
        <v/>
      </c>
      <c r="U379" s="254" t="n"/>
      <c r="V379" s="254" t="n"/>
      <c r="W379" s="254" t="n"/>
      <c r="X379" s="254" t="n"/>
      <c r="Y379" s="254" t="n"/>
      <c r="Z379" s="254" t="n"/>
    </row>
    <row r="380" ht="8.1" customHeight="1" s="202"/>
    <row r="381" ht="20.1" customHeight="1" s="202">
      <c r="A381" s="259">
        <f>COUNT(A12:A380)</f>
        <v/>
      </c>
      <c r="B381" s="260" t="n"/>
      <c r="C381" s="260" t="n"/>
      <c r="D381" s="260" t="n"/>
      <c r="E381" s="260" t="n"/>
      <c r="F381" s="260" t="n"/>
      <c r="G381" s="260" t="n"/>
      <c r="H381" s="261">
        <f>SUM(H25,H39,H48,H100,H122,H127,H130,H133,H136,H139,H142,H146,H149,H153,H156,H159,H163,H175,H187,H198,H210,H219,H222,H231,H240,H248,H264,H276,H285,H296,H310,H319,H322,H325,H328,H331,H338,H359,H362,H365,H368,H372,H379)</f>
        <v/>
      </c>
      <c r="I381" s="261">
        <f>SUM(I25,I39,I48,I100,I122,I127,I130,I133,I136,I139,I142,I146,I149,I153,I156,I159,I163,I175,I187,I198,I210,I219,I222,I231,I240,I248,I264,I276,I285,I296,I310,I319,I322,I325,I328,I331,I338,I359,I362,I365,I368,I372,I379)</f>
        <v/>
      </c>
      <c r="J381" s="260" t="n"/>
      <c r="K381" s="260" t="n"/>
      <c r="L381" s="260" t="n"/>
      <c r="M381" s="260" t="n"/>
      <c r="N381" s="260" t="n"/>
      <c r="O381" s="262">
        <f>SUM(O25,O39,O48,O100,O122,O127,O130,O133,O136,O139,O142,O146,O149,O153,O156,O159,O163,O175,O187,O198,O210,O219,O222,O231,O240,O248,O264,O276,O285,O296,O310,O319,O322,O325,O328,O331,O338,O359,O362,O365,O368,O372,O379)</f>
        <v/>
      </c>
      <c r="P381" s="262">
        <f>SUM(P25,P39,P48,P100,P122,P127,P130,P133,P136,P139,P142,P146,P149,P153,P156,P159,P163,P175,P187,P198,P210,P219,P222,P231,P240,P248,P264,P276,P285,P296,P310,P319,P322,P325,P328,P331,P338,P359,P362,P365,P368,P372,P379)</f>
        <v/>
      </c>
      <c r="Q381" s="260" t="n"/>
      <c r="R381" s="263">
        <f>SUM(R25,R39,R48,R100,R122,R127,R130,R133,R136,R139,R142,R146,R149,R153,R156,R159,R163,R175,R187,R198,R210,R219,R222,R231,R240,R248,R264,R276,R285,R296,R310,R319,R322,R325,R328,R331,R338,R359,R362,R365,R368,R372,R379)</f>
        <v/>
      </c>
      <c r="S381" s="260" t="n"/>
      <c r="T381" s="264">
        <f>SUM(T25,T39,T48,T100,T122,T127,T130,T133,T136,T139,T142,T146,T149,T153,T156,T159,T163,T175,T187,T198,T210,T219,T222,T231,T240,T248,T264,T276,T285,T296,T310,T319,T322,T325,T328,T331,T338,T359,T362,T365,T368,T372,T379)</f>
        <v/>
      </c>
      <c r="U381" s="260" t="n"/>
      <c r="V381" s="260" t="n"/>
      <c r="W381" s="260" t="n"/>
      <c r="X381" s="260" t="n"/>
      <c r="Y381" s="260" t="n"/>
      <c r="Z381" s="260" t="n"/>
    </row>
    <row r="382" ht="17.1" customHeight="1" s="202"/>
    <row r="383" ht="17.1" customHeight="1" s="202">
      <c r="B383" s="265" t="inlineStr">
        <is>
          <t>Total Qty Export :</t>
        </is>
      </c>
      <c r="C383" s="266">
        <f>H381-C384</f>
        <v/>
      </c>
    </row>
    <row r="384" ht="17.1" customHeight="1" s="202">
      <c r="B384" s="267" t="inlineStr">
        <is>
          <t>Total Qty Export Sample :</t>
        </is>
      </c>
      <c r="C384" s="268" t="inlineStr"/>
    </row>
    <row r="386" ht="17.1" customHeight="1" s="202">
      <c r="A386" s="269" t="n"/>
      <c r="B386" s="270" t="n"/>
      <c r="C386" s="270" t="n"/>
      <c r="D386" s="271" t="n"/>
      <c r="U386" s="272" t="inlineStr">
        <is>
          <t>Tangerang, 01 September 2026</t>
        </is>
      </c>
    </row>
    <row r="387" ht="17.1" customHeight="1" s="202">
      <c r="A387" s="273" t="inlineStr">
        <is>
          <t>Total Document</t>
        </is>
      </c>
      <c r="C387" s="274">
        <f>A381</f>
        <v/>
      </c>
      <c r="D387" s="275" t="n"/>
      <c r="U387" s="272" t="inlineStr">
        <is>
          <t>Kasubsi Hanggar Pabean dan Cukai</t>
        </is>
      </c>
    </row>
    <row r="388" ht="17.1" customHeight="1" s="202">
      <c r="A388" s="273" t="inlineStr">
        <is>
          <t>Gross Weight</t>
        </is>
      </c>
      <c r="C388" s="276">
        <f>O381</f>
        <v/>
      </c>
      <c r="D388" s="275" t="n"/>
    </row>
    <row r="389" ht="17.1" customHeight="1" s="202">
      <c r="A389" s="273" t="inlineStr">
        <is>
          <t>Nett Weight</t>
        </is>
      </c>
      <c r="C389" s="276">
        <f>P381</f>
        <v/>
      </c>
      <c r="D389" s="275" t="n"/>
    </row>
    <row r="390" ht="17.1" customHeight="1" s="202">
      <c r="A390" s="273" t="inlineStr">
        <is>
          <t>Amount</t>
        </is>
      </c>
      <c r="C390" s="277">
        <f>R381</f>
        <v/>
      </c>
      <c r="D390" s="275" t="n"/>
    </row>
    <row r="391" ht="17.1" customHeight="1" s="202">
      <c r="A391" s="273" t="inlineStr">
        <is>
          <t>Jumlah Container</t>
        </is>
      </c>
      <c r="C391" s="278">
        <f>I381-C392</f>
        <v/>
      </c>
      <c r="D391" s="275" t="n"/>
    </row>
    <row r="392" ht="17.1" customHeight="1" s="202">
      <c r="A392" s="279" t="n"/>
      <c r="C392" s="280" t="inlineStr"/>
      <c r="D392" s="275" t="n"/>
    </row>
    <row r="393" ht="17.1" customHeight="1" s="202">
      <c r="A393" s="279" t="n"/>
      <c r="C393" s="281">
        <f>C391*2+C392</f>
        <v/>
      </c>
      <c r="D393" s="275" t="n"/>
    </row>
    <row r="394" ht="16.2" customHeight="1" s="202">
      <c r="A394" s="282" t="n"/>
      <c r="B394" s="283" t="n"/>
      <c r="C394" s="283" t="n"/>
      <c r="D394" s="284" t="n"/>
    </row>
  </sheetData>
  <autoFilter ref="A10:Z11">
    <filterColumn colId="2" hiddenButton="0" showButton="0"/>
    <filterColumn colId="8" hiddenButton="0" showButton="0"/>
  </autoFilter>
  <mergeCells count="26">
    <mergeCell ref="C390:D390"/>
    <mergeCell ref="C387:D387"/>
    <mergeCell ref="E10:E11"/>
    <mergeCell ref="G10:G11"/>
    <mergeCell ref="M10:M11"/>
    <mergeCell ref="Y10:Y11"/>
    <mergeCell ref="Q10:Q11"/>
    <mergeCell ref="C393:D393"/>
    <mergeCell ref="C10:D10"/>
    <mergeCell ref="C389:D389"/>
    <mergeCell ref="C392:D392"/>
    <mergeCell ref="I10:J11"/>
    <mergeCell ref="A6:Z6"/>
    <mergeCell ref="B10:B11"/>
    <mergeCell ref="A7:Z7"/>
    <mergeCell ref="L10:L11"/>
    <mergeCell ref="X10:X11"/>
    <mergeCell ref="N10:N11"/>
    <mergeCell ref="Z10:Z11"/>
    <mergeCell ref="C388:D388"/>
    <mergeCell ref="A10:A11"/>
    <mergeCell ref="K10:K11"/>
    <mergeCell ref="A8:Z8"/>
    <mergeCell ref="C391:D391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2026-09-01T06:46:58Z</dcterms:modified>
  <cp:lastModifiedBy>Chiswa Dian Hermansyah(ZINUS ZDI)</cp:lastModifiedBy>
</cp:coreProperties>
</file>