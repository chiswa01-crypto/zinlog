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000030ZIK4802026072100494</t>
        </is>
      </c>
      <c r="C12" s="106" t="n">
        <v>450515</v>
      </c>
      <c r="D12" s="106" t="n">
        <v>450465</v>
      </c>
      <c r="E12" s="258" t="n">
        <v>46225</v>
      </c>
      <c r="F12" s="107" t="inlineStr">
        <is>
          <t>SPL/026/ZDI/VII/2026</t>
        </is>
      </c>
      <c r="G12" s="258" t="n">
        <v>46223</v>
      </c>
      <c r="H12" s="108" t="n">
        <v>1</v>
      </c>
      <c r="I12" s="67" t="inlineStr">
        <is>
          <t>TXGU583961</t>
        </is>
      </c>
      <c r="J12" s="67" t="inlineStr">
        <is>
          <t>40FT</t>
        </is>
      </c>
      <c r="K12" s="69" t="inlineStr">
        <is>
          <t>6IN GREEN TEA MF MATTRESS FL</t>
        </is>
      </c>
      <c r="L12" s="109" t="inlineStr">
        <is>
          <t>EB-FMS-0600F-IN</t>
        </is>
      </c>
      <c r="M12" s="110" t="inlineStr">
        <is>
          <t>66X4TV01</t>
        </is>
      </c>
      <c r="N12" s="69" t="inlineStr">
        <is>
          <t>-</t>
        </is>
      </c>
      <c r="O12" s="111" t="n">
        <v>12962.5</v>
      </c>
      <c r="P12" s="111" t="n">
        <v>11730</v>
      </c>
      <c r="Q12" s="259">
        <f>IFERROR(R12/H12, 0)</f>
        <v/>
      </c>
      <c r="R12" s="260" t="n">
        <v>40018</v>
      </c>
      <c r="S12" s="261" t="n">
        <v>18056</v>
      </c>
      <c r="T12" s="261">
        <f>IFERROR(S12*R12, 0)</f>
        <v/>
      </c>
      <c r="U12" s="73" t="inlineStr">
        <is>
          <t>PEMUATAN</t>
        </is>
      </c>
      <c r="V12" s="74" t="inlineStr">
        <is>
          <t>CENGKARENG / SOEKARNO</t>
        </is>
      </c>
      <c r="W12" s="75" t="inlineStr">
        <is>
          <t>Ekspor</t>
        </is>
      </c>
      <c r="X12" s="76" t="inlineStr"/>
      <c r="Y12" s="77" t="inlineStr">
        <is>
          <t>EGLV080600441901</t>
        </is>
      </c>
      <c r="Z12" s="258" t="n">
        <v>46225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>
        <is>
          <t>TXGU583961</t>
        </is>
      </c>
      <c r="J13" s="67" t="inlineStr">
        <is>
          <t>40FT</t>
        </is>
      </c>
      <c r="K13" s="69" t="inlineStr">
        <is>
          <t>6IN GREEN TEA MF MATTRESS FL</t>
        </is>
      </c>
      <c r="L13" s="109" t="inlineStr">
        <is>
          <t>EB-FMS-0600F-IN</t>
        </is>
      </c>
      <c r="M13" s="110" t="inlineStr">
        <is>
          <t>66X4TV01</t>
        </is>
      </c>
      <c r="N13" s="69" t="inlineStr">
        <is>
          <t>-</t>
        </is>
      </c>
      <c r="O13" s="111" t="n"/>
      <c r="P13" s="111" t="n"/>
      <c r="Q13" s="259">
        <f>IFERROR(R13/H13, 0)</f>
        <v/>
      </c>
      <c r="R13" s="260" t="n">
        <v>40018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000030ZIK4802026072100495</t>
        </is>
      </c>
      <c r="C15" s="106" t="n">
        <v>450530</v>
      </c>
      <c r="D15" s="106" t="n">
        <v>450480</v>
      </c>
      <c r="E15" s="258" t="n">
        <v>46225</v>
      </c>
      <c r="F15" s="107" t="inlineStr">
        <is>
          <t>ID2607-7881</t>
        </is>
      </c>
      <c r="G15" s="258" t="n">
        <v>46223</v>
      </c>
      <c r="H15" s="108" t="n">
        <v>900</v>
      </c>
      <c r="I15" s="67" t="inlineStr">
        <is>
          <t>TXGU583972</t>
        </is>
      </c>
      <c r="J15" s="67" t="inlineStr">
        <is>
          <t>40FT</t>
        </is>
      </c>
      <c r="K15" s="69" t="inlineStr">
        <is>
          <t>94042120 HE:0 - 900.0000 PIECE (PCE) - INDONESIA (ID) 84,573 - 8IN GREEN TEA MF MATTRESS QN</t>
        </is>
      </c>
      <c r="L15" s="109" t="inlineStr">
        <is>
          <t>SCF-STR- - 19,188.0000 Kg - KAB. TANGERANG (3603) 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24598.94</v>
      </c>
      <c r="P15" s="111" t="n">
        <v>22252.54</v>
      </c>
      <c r="Q15" s="259">
        <f>IFERROR(R15/H15, 0)</f>
        <v/>
      </c>
      <c r="R15" s="260" t="n">
        <v>36097.6</v>
      </c>
      <c r="S15" s="261" t="n">
        <v>18056</v>
      </c>
      <c r="T15" s="261">
        <f>IFERROR(S15*R15, 0)</f>
        <v/>
      </c>
      <c r="U15" s="73" t="inlineStr">
        <is>
          <t>PEMUATAN</t>
        </is>
      </c>
      <c r="V15" s="74" t="inlineStr">
        <is>
          <t>TANJUNG PRIOK</t>
        </is>
      </c>
      <c r="W15" s="75" t="inlineStr">
        <is>
          <t>Ekspor</t>
        </is>
      </c>
      <c r="X15" s="76" t="inlineStr"/>
      <c r="Y15" s="77" t="inlineStr">
        <is>
          <t>EGLV080600441902</t>
        </is>
      </c>
      <c r="Z15" s="258" t="n">
        <v>46225</v>
      </c>
    </row>
    <row r="16" ht="16.5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7.1" customFormat="1" customHeight="1" s="273">
      <c r="A17" s="104" t="n">
        <v>3</v>
      </c>
      <c r="B17" s="105" t="inlineStr">
        <is>
          <t>000030ZIK4802026072100496</t>
        </is>
      </c>
      <c r="C17" s="274" t="n">
        <v>450545</v>
      </c>
      <c r="D17" s="274" t="n">
        <v>450495</v>
      </c>
      <c r="E17" s="275" t="n">
        <v>46225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TXGU583983</t>
        </is>
      </c>
      <c r="J17" s="67" t="inlineStr">
        <is>
          <t>40FT</t>
        </is>
      </c>
      <c r="K17" s="69" t="inlineStr">
        <is>
          <t>94042120 HE:0 - 520.0000 PIECE (PCE) - INDONESIA (ID) 41,480.4 - 8IN GREEN TEA MF MATTRESS FL</t>
        </is>
      </c>
      <c r="L17" s="277" t="inlineStr">
        <is>
          <t>SCF-STR- - 9,370.4000 Kg - KAB. TANGERANG (3603) 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36235.38</v>
      </c>
      <c r="P17" s="111" t="n">
        <v>32775.08</v>
      </c>
      <c r="Q17" s="259">
        <f>IFERROR(R17/H17, 0)</f>
        <v/>
      </c>
      <c r="R17" s="260" t="n">
        <v>40018</v>
      </c>
      <c r="S17" s="261" t="n">
        <v>18056</v>
      </c>
      <c r="T17" s="261">
        <f>IFERROR(S17*R17, 0)</f>
        <v/>
      </c>
      <c r="U17" s="73" t="inlineStr">
        <is>
          <t>PEMUATAN</t>
        </is>
      </c>
      <c r="V17" s="74" t="inlineStr">
        <is>
          <t>TANJUNG PRIOK</t>
        </is>
      </c>
      <c r="W17" s="75" t="inlineStr">
        <is>
          <t>Ekspor</t>
        </is>
      </c>
      <c r="X17" s="76" t="inlineStr"/>
      <c r="Y17" s="278" t="inlineStr">
        <is>
          <t>EGLV080600441903</t>
        </is>
      </c>
      <c r="Z17" s="279" t="n">
        <v>46225</v>
      </c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>
        <f>SUM(H17:H17)</f>
        <v/>
      </c>
      <c r="I18" s="67">
        <f>COUNTA(I17:I17)</f>
        <v/>
      </c>
      <c r="J18" s="67" t="n"/>
      <c r="K18" s="69" t="n"/>
      <c r="L18" s="109" t="n"/>
      <c r="M18" s="110" t="n"/>
      <c r="N18" s="69" t="n"/>
      <c r="O18" s="111">
        <f>SUM(O17:O17)</f>
        <v/>
      </c>
      <c r="P18" s="111">
        <f>SUM(P17:P17)</f>
        <v/>
      </c>
      <c r="Q18" s="259" t="n"/>
      <c r="R18" s="260">
        <f>SUM(R17:R17)</f>
        <v/>
      </c>
      <c r="S18" s="261" t="n"/>
      <c r="T18" s="261">
        <f>SUM(T17:T17)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>
        <v>4</v>
      </c>
      <c r="B19" s="105" t="inlineStr">
        <is>
          <t>000030ZIK4802026072100497</t>
        </is>
      </c>
      <c r="C19" s="106" t="n">
        <v>450560</v>
      </c>
      <c r="D19" s="106" t="n">
        <v>450510</v>
      </c>
      <c r="E19" s="258" t="n">
        <v>46225</v>
      </c>
      <c r="F19" s="107" t="inlineStr">
        <is>
          <t>ID2607-7887</t>
        </is>
      </c>
      <c r="G19" s="258" t="n">
        <v>46223</v>
      </c>
      <c r="H19" s="108" t="n">
        <v>1</v>
      </c>
      <c r="I19" s="67" t="inlineStr">
        <is>
          <t>TXGU583994</t>
        </is>
      </c>
      <c r="J19" s="67" t="inlineStr">
        <is>
          <t>40FT</t>
        </is>
      </c>
      <c r="K19" s="69" t="inlineStr">
        <is>
          <t>94042120 HE:0 - 1.0000 PIECE (PCE) - INDONESIA (ID) 35.93 - 8IN MYGEL FOAM MATTRESS TW</t>
        </is>
      </c>
      <c r="L19" s="109" t="inlineStr">
        <is>
          <t>ZU- - 12.1400 Kg - KAB. TANGERANG (3603) MFGN1YZI-08T</t>
        </is>
      </c>
      <c r="M19" s="110" t="inlineStr">
        <is>
          <t>1CPXSUHR</t>
        </is>
      </c>
      <c r="N19" s="69" t="inlineStr">
        <is>
          <t>-</t>
        </is>
      </c>
      <c r="O19" s="111" t="n">
        <v>47871.82</v>
      </c>
      <c r="P19" s="111" t="n">
        <v>43297.62</v>
      </c>
      <c r="Q19" s="259">
        <f>IFERROR(R19/H19, 0)</f>
        <v/>
      </c>
      <c r="R19" s="260" t="n">
        <v>36097.6</v>
      </c>
      <c r="S19" s="261" t="n">
        <v>18056</v>
      </c>
      <c r="T19" s="261">
        <f>IFERROR(S19*R19, 0)</f>
        <v/>
      </c>
      <c r="U19" s="73" t="inlineStr">
        <is>
          <t>PEMUATAN</t>
        </is>
      </c>
      <c r="V19" s="74" t="inlineStr">
        <is>
          <t>TANJUNG PRIOK</t>
        </is>
      </c>
      <c r="W19" s="75" t="inlineStr">
        <is>
          <t>Ekspor</t>
        </is>
      </c>
      <c r="X19" s="76" t="inlineStr"/>
      <c r="Y19" s="77" t="inlineStr">
        <is>
          <t>EGLV080600441904</t>
        </is>
      </c>
      <c r="Z19" s="258" t="n">
        <v>46225</v>
      </c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TXGU583994</t>
        </is>
      </c>
      <c r="J20" s="67" t="inlineStr">
        <is>
          <t>40FT</t>
        </is>
      </c>
      <c r="K20" s="69" t="inlineStr">
        <is>
          <t>94042120 HE:0 - 6.0000 PIECE (PCE) - INDONESIA (ID) 372.9 - 8IN GREEN TEA MF MATTRESS SQ</t>
        </is>
      </c>
      <c r="L20" s="109" t="inlineStr">
        <is>
          <t>ZU- - 120.8400 Kg - KAB. TANGERANG (3603) MFMA1FZI-08S</t>
        </is>
      </c>
      <c r="M20" s="110" t="inlineStr">
        <is>
          <t>1CPXSUHR</t>
        </is>
      </c>
      <c r="N20" s="69" t="inlineStr">
        <is>
          <t>-</t>
        </is>
      </c>
      <c r="O20" s="111" t="n"/>
      <c r="P20" s="111" t="n"/>
      <c r="Q20" s="259">
        <f>IFERROR(R20/H20, 0)</f>
        <v/>
      </c>
      <c r="R20" s="260" t="n">
        <v>36097.6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TXGU583994</t>
        </is>
      </c>
      <c r="J21" s="67" t="inlineStr">
        <is>
          <t>40FT</t>
        </is>
      </c>
      <c r="K21" s="69" t="inlineStr">
        <is>
          <t>94042120 HE:0 - 1.0000 PIECE (PCE) - INDONESIA (ID)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36097.6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TXGU583994</t>
        </is>
      </c>
      <c r="J22" s="67" t="inlineStr">
        <is>
          <t>40FT</t>
        </is>
      </c>
      <c r="K22" s="69" t="inlineStr">
        <is>
          <t>94042120 HE:0 - 2.0000 PIECE (PCE) - INDONESIA (ID) 107.8 - 10IN AIRFLOW GEL FOAM MATT QN</t>
        </is>
      </c>
      <c r="L22" s="109" t="inlineStr">
        <is>
          <t>ZU- - 45.8200 Kg - KAB. TANGERANG (3603) MFMA1RZI-10Q</t>
        </is>
      </c>
      <c r="M22" s="110" t="inlineStr">
        <is>
          <t>1CPXSUHR</t>
        </is>
      </c>
      <c r="N22" s="69" t="inlineStr">
        <is>
          <t>-</t>
        </is>
      </c>
      <c r="O22" s="111" t="n"/>
      <c r="P22" s="111" t="n"/>
      <c r="Q22" s="259">
        <f>IFERROR(R22/H22, 0)</f>
        <v/>
      </c>
      <c r="R22" s="260" t="n">
        <v>36097.6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7.1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TXGU583994</t>
        </is>
      </c>
      <c r="J23" s="67" t="inlineStr">
        <is>
          <t>40FT</t>
        </is>
      </c>
      <c r="K23" s="69" t="inlineStr">
        <is>
          <t>94042120 HE:0 - 311.0000 PIECE (PCE) - INDONESIA (ID) 11,920.63 - 6IN GREEN TEA MF MATTRESS FL</t>
        </is>
      </c>
      <c r="L23" s="277" t="inlineStr">
        <is>
          <t>ZU- - 3,974.5800 Kg - KAB. TANGERANG (3603) MFMA1ZZI-06F</t>
        </is>
      </c>
      <c r="M23" s="67" t="inlineStr">
        <is>
          <t>1CPXSUHR</t>
        </is>
      </c>
      <c r="N23" s="69" t="inlineStr">
        <is>
          <t>-</t>
        </is>
      </c>
      <c r="O23" s="111" t="n"/>
      <c r="P23" s="111" t="n"/>
      <c r="Q23" s="259">
        <f>IFERROR(R23/H23, 0)</f>
        <v/>
      </c>
      <c r="R23" s="260" t="n">
        <v>36097.6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7.1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TXGU583994</t>
        </is>
      </c>
      <c r="J24" s="67" t="inlineStr">
        <is>
          <t>40FT</t>
        </is>
      </c>
      <c r="K24" s="69" t="inlineStr">
        <is>
          <t>94042120 HE:0 - 355.0000 PIECE (PCE) - INDONESIA (ID) 19,876.45 - 8IN GREEN TEA MF MATTRESS FL</t>
        </is>
      </c>
      <c r="L24" s="109" t="inlineStr">
        <is>
          <t>ZU- - 5,907.2000 Kg - KAB. TANGERANG (3603) MFMA1ZZI-08F</t>
        </is>
      </c>
      <c r="M24" s="67" t="inlineStr">
        <is>
          <t>1CPXSUHR</t>
        </is>
      </c>
      <c r="N24" s="69" t="inlineStr">
        <is>
          <t>-</t>
        </is>
      </c>
      <c r="O24" s="111" t="n"/>
      <c r="P24" s="111" t="n"/>
      <c r="Q24" s="259">
        <f>IFERROR(R24/H24, 0)</f>
        <v/>
      </c>
      <c r="R24" s="260" t="n">
        <v>36097.6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8.1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TXGU583994</t>
        </is>
      </c>
      <c r="J25" s="76" t="inlineStr">
        <is>
          <t>40FT</t>
        </is>
      </c>
      <c r="K25" s="284" t="inlineStr">
        <is>
          <t>94042120 HE:0 - 1.0000 PIECE (PCE) - INDONESIA (ID) 101.97 - 12IN GREEN TEA MF MATTRESS EK</t>
        </is>
      </c>
      <c r="L25" s="285" t="inlineStr">
        <is>
          <t>ZU- - 37.4700 Kg - KAB. TANGERANG (3603) MFMA1ZZI-12K</t>
        </is>
      </c>
      <c r="M25" s="76" t="inlineStr">
        <is>
          <t>1CPXSUHR</t>
        </is>
      </c>
      <c r="N25" s="284" t="inlineStr">
        <is>
          <t>-</t>
        </is>
      </c>
      <c r="O25" s="286" t="n"/>
      <c r="P25" s="286" t="n"/>
      <c r="Q25" s="287">
        <f>IFERROR(R25/H25, 0)</f>
        <v/>
      </c>
      <c r="R25" s="288" t="n">
        <v>36097.6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20.1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>
        <is>
          <t>TXGU583994</t>
        </is>
      </c>
      <c r="J26" s="300" t="inlineStr">
        <is>
          <t>40FT</t>
        </is>
      </c>
      <c r="K26" s="301" t="inlineStr">
        <is>
          <t>94042120 HE:0 - 5.0000 PIECE (PCE) - INDONESIA (ID) 310.75 - 8IN GREEN TEA MF MATTRESS SQ</t>
        </is>
      </c>
      <c r="L26" s="302" t="inlineStr">
        <is>
          <t>ZU- - 100.7000 Kg - KAB. TANGERANG (3603) MFMA1FZI-08S</t>
        </is>
      </c>
      <c r="M26" s="300" t="inlineStr">
        <is>
          <t>23OYBVEV</t>
        </is>
      </c>
      <c r="N26" s="301" t="inlineStr">
        <is>
          <t>-</t>
        </is>
      </c>
      <c r="O26" s="303" t="n"/>
      <c r="P26" s="303" t="n"/>
      <c r="Q26" s="304">
        <f>IFERROR(R26/H26, 0)</f>
        <v/>
      </c>
      <c r="R26" s="305" t="n">
        <v>36097.6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7.1" customHeight="1" s="223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>
        <is>
          <t>TXGU583994</t>
        </is>
      </c>
      <c r="J27" s="300" t="inlineStr">
        <is>
          <t>40FT</t>
        </is>
      </c>
      <c r="K27" s="301" t="inlineStr">
        <is>
          <t>94042120 HE:0 - 197.0000 PIECE (PCE) - INDONESIA (ID)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36097.6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7.1" customHeight="1" s="223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>
        <is>
          <t>TXGU583994</t>
        </is>
      </c>
      <c r="J28" s="300" t="inlineStr">
        <is>
          <t>40FT</t>
        </is>
      </c>
      <c r="K28" s="301" t="inlineStr">
        <is>
          <t>94042120 HE:0 - 18.0000 PIECE (PCE) - INDONESIA (ID) 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36097.6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7.1" customHeight="1" s="223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>
        <is>
          <t>TXGU583994</t>
        </is>
      </c>
      <c r="J29" s="300" t="inlineStr">
        <is>
          <t>40FT</t>
        </is>
      </c>
      <c r="K29" s="301" t="inlineStr">
        <is>
          <t>94042120 HE:0 - 1.0000 PIECE (PCE) - INDONESIA (ID) 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36097.6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7.1" customHeight="1" s="223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>
        <is>
          <t>TXGU583994</t>
        </is>
      </c>
      <c r="J30" s="300" t="inlineStr">
        <is>
          <t>40FT</t>
        </is>
      </c>
      <c r="K30" s="301" t="inlineStr">
        <is>
          <t>94042120 HE:0 - 2.0000 PIECE (PCE) - INDONESIA (ID) 131.76 - 10IN AIRFLOW GEL FOAM MATT EK</t>
        </is>
      </c>
      <c r="L30" s="302" t="inlineStr">
        <is>
          <t>ZU- - 57.8200 Kg - KAB. TANGERANG (3603) MFMA1RZI-10K</t>
        </is>
      </c>
      <c r="M30" s="300" t="inlineStr">
        <is>
          <t>23OYBVEV</t>
        </is>
      </c>
      <c r="N30" s="301" t="inlineStr">
        <is>
          <t>-</t>
        </is>
      </c>
      <c r="O30" s="303" t="n"/>
      <c r="P30" s="303" t="n"/>
      <c r="Q30" s="304">
        <f>IFERROR(R30/H30, 0)</f>
        <v/>
      </c>
      <c r="R30" s="305" t="n">
        <v>36097.6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7.1" customHeight="1" s="223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>
        <is>
          <t>TXGU583994</t>
        </is>
      </c>
      <c r="J31" s="300" t="inlineStr">
        <is>
          <t>40FT</t>
        </is>
      </c>
      <c r="K31" s="301" t="inlineStr">
        <is>
          <t>94042120 HE:0 - 302.0000 PIECE (PCE) - INDONESIA (ID) 11,756.86 - 6IN MYGEL FOAM MATTRESS FL</t>
        </is>
      </c>
      <c r="L31" s="302" t="inlineStr">
        <is>
          <t>ZU-MFGN1YZI- - 3,868.6200 Kg - KAB. TANGERANG (3603) 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36097.6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7.1" customHeight="1" s="223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>
        <is>
          <t>TXGU583994</t>
        </is>
      </c>
      <c r="J32" s="300" t="inlineStr">
        <is>
          <t>40FT</t>
        </is>
      </c>
      <c r="K32" s="301" t="inlineStr">
        <is>
          <t>94042120 HE:0 - 450.0000 PIECE (PCE) - INDONESIA (ID) 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36097.6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7.1" customHeight="1" s="223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>
        <is>
          <t>TXGU583994</t>
        </is>
      </c>
      <c r="J33" s="300" t="inlineStr">
        <is>
          <t>40FT</t>
        </is>
      </c>
      <c r="K33" s="301" t="inlineStr">
        <is>
          <t>94042120 HE:0 - 1.0000 PIECE (PCE) - INDONESIA (ID) 59.1 - 8IN GREEN TEA MF MATTRESS SQ</t>
        </is>
      </c>
      <c r="L33" s="302" t="inlineStr">
        <is>
          <t>ZU- - 18.2300 Kg - KAB. TANGERANG (3603) MFMA1ZZI-08S</t>
        </is>
      </c>
      <c r="M33" s="300" t="inlineStr">
        <is>
          <t>299957YO</t>
        </is>
      </c>
      <c r="N33" s="301" t="inlineStr">
        <is>
          <t>-</t>
        </is>
      </c>
      <c r="O33" s="303" t="n"/>
      <c r="P33" s="303" t="n"/>
      <c r="Q33" s="304">
        <f>IFERROR(R33/H33, 0)</f>
        <v/>
      </c>
      <c r="R33" s="305" t="n">
        <v>36097.6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7.1" customHeight="1" s="223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>
        <is>
          <t>TXGU583994</t>
        </is>
      </c>
      <c r="J34" s="300" t="inlineStr">
        <is>
          <t>40FT</t>
        </is>
      </c>
      <c r="K34" s="301" t="inlineStr">
        <is>
          <t>94042120 HE:0 - 6.0000 PIECE (PCE) - INDONESIA (ID) 582.66 - 10IN GREEN TEA MF MATTRESS EK</t>
        </is>
      </c>
      <c r="L34" s="302" t="inlineStr">
        <is>
          <t>ZU- - 182.4000 Kg - KAB. TANGERANG (3603) MFMA1ZZI-10K</t>
        </is>
      </c>
      <c r="M34" s="300" t="inlineStr">
        <is>
          <t>299957YO</t>
        </is>
      </c>
      <c r="N34" s="301" t="inlineStr">
        <is>
          <t>-</t>
        </is>
      </c>
      <c r="O34" s="303" t="n"/>
      <c r="P34" s="303" t="n"/>
      <c r="Q34" s="304">
        <f>IFERROR(R34/H34, 0)</f>
        <v/>
      </c>
      <c r="R34" s="305" t="n">
        <v>36097.6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7.1" customHeight="1" s="223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>
        <is>
          <t>TXGU583994</t>
        </is>
      </c>
      <c r="J35" s="300" t="inlineStr">
        <is>
          <t>40FT</t>
        </is>
      </c>
      <c r="K35" s="301" t="inlineStr">
        <is>
          <t>94042120 HE:0 - 149.0000 PIECE (PCE) - INDONESIA (ID) 5,353.57 - 8IN MYGEL FOAM MATTRESS TW</t>
        </is>
      </c>
      <c r="L35" s="302" t="inlineStr">
        <is>
          <t>ZU- - 1,808.8600 Kg - KAB. TANGERANG (3603) MFGN1YZI-08T</t>
        </is>
      </c>
      <c r="M35" s="300" t="inlineStr">
        <is>
          <t>2OD43VAH</t>
        </is>
      </c>
      <c r="N35" s="301" t="inlineStr">
        <is>
          <t>-</t>
        </is>
      </c>
      <c r="O35" s="303" t="n"/>
      <c r="P35" s="303" t="n"/>
      <c r="Q35" s="304">
        <f>IFERROR(R35/H35, 0)</f>
        <v/>
      </c>
      <c r="R35" s="305" t="n">
        <v>36097.6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7.1" customHeight="1" s="223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>
        <is>
          <t>TXGU583994</t>
        </is>
      </c>
      <c r="J36" s="300" t="inlineStr">
        <is>
          <t>40FT</t>
        </is>
      </c>
      <c r="K36" s="301" t="inlineStr">
        <is>
          <t>94042120 HE:0 - 2.0000 PIECE (PCE) - INDONESIA (ID) 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36097.6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7.1" customHeight="1" s="223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>
        <is>
          <t>TXGU583994</t>
        </is>
      </c>
      <c r="J37" s="300" t="inlineStr">
        <is>
          <t>40FT</t>
        </is>
      </c>
      <c r="K37" s="301" t="inlineStr">
        <is>
          <t>94042120 HE:0 - 400.0000 PIECE (PCE) - INDONESIA (ID) 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36097.6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7.1" customHeight="1" s="223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>
        <is>
          <t>TXGU583994</t>
        </is>
      </c>
      <c r="J38" s="300" t="inlineStr">
        <is>
          <t>40FT</t>
        </is>
      </c>
      <c r="K38" s="301" t="inlineStr">
        <is>
          <t>94042120 HE:0 - 1.0000 PIECE (PCE) - INDONESIA (ID) 53.9 - 10IN AIRFLOW GEL FOAM MATT QN</t>
        </is>
      </c>
      <c r="L38" s="302" t="inlineStr">
        <is>
          <t>ZU- - 22.9100 Kg - KAB. TANGERANG (3603) MFMA1RZI-10Q</t>
        </is>
      </c>
      <c r="M38" s="300" t="inlineStr">
        <is>
          <t>2OD43VAH</t>
        </is>
      </c>
      <c r="N38" s="301" t="inlineStr">
        <is>
          <t>-</t>
        </is>
      </c>
      <c r="O38" s="303" t="n"/>
      <c r="P38" s="303" t="n"/>
      <c r="Q38" s="304">
        <f>IFERROR(R38/H38, 0)</f>
        <v/>
      </c>
      <c r="R38" s="305" t="n">
        <v>36097.6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2" customHeight="1" s="223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>
        <is>
          <t>TXGU583994</t>
        </is>
      </c>
      <c r="J39" s="300" t="inlineStr">
        <is>
          <t>40FT</t>
        </is>
      </c>
      <c r="K39" s="301" t="inlineStr">
        <is>
          <t>94042120 HE:0 - 1.0000 PIECE (PCE) - INDONESIA (ID) 67.57 - 12IN AIRFLOW GEL FOAM MATT QN</t>
        </is>
      </c>
      <c r="L39" s="302" t="inlineStr">
        <is>
          <t>ZU- - 29.2000 Kg - KAB. TANGERANG (3603) MFMA1RZI-12Q</t>
        </is>
      </c>
      <c r="M39" s="300" t="inlineStr">
        <is>
          <t>2OD43VAH</t>
        </is>
      </c>
      <c r="N39" s="301" t="inlineStr">
        <is>
          <t>-</t>
        </is>
      </c>
      <c r="O39" s="303" t="n"/>
      <c r="P39" s="303" t="n"/>
      <c r="Q39" s="304">
        <f>IFERROR(R39/H39, 0)</f>
        <v/>
      </c>
      <c r="R39" s="305" t="n">
        <v>36097.6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2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>
        <is>
          <t>TXGU583994</t>
        </is>
      </c>
      <c r="J40" s="300" t="inlineStr">
        <is>
          <t>40FT</t>
        </is>
      </c>
      <c r="K40" s="301" t="inlineStr">
        <is>
          <t>94042120 HE:0 - 1.0000 PIECE (PCE) - INDONESIA (ID) 59.1 - 8IN GREEN TEA MF MATTRESS SQ</t>
        </is>
      </c>
      <c r="L40" s="302" t="inlineStr">
        <is>
          <t>ZU- - 18.2300 Kg - KAB. TANGERANG (3603) MFMA1ZZI-08S</t>
        </is>
      </c>
      <c r="M40" s="300" t="inlineStr">
        <is>
          <t>2OD43VAH</t>
        </is>
      </c>
      <c r="N40" s="301" t="inlineStr">
        <is>
          <t>-</t>
        </is>
      </c>
      <c r="O40" s="303" t="n"/>
      <c r="P40" s="303" t="n"/>
      <c r="Q40" s="304">
        <f>IFERROR(R40/H40, 0)</f>
        <v/>
      </c>
      <c r="R40" s="305" t="n">
        <v>36097.6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>
        <is>
          <t>TXGU583994</t>
        </is>
      </c>
      <c r="J41" s="300" t="inlineStr">
        <is>
          <t>40FT</t>
        </is>
      </c>
      <c r="K41" s="301" t="inlineStr">
        <is>
          <t>94042120 HE:0 - 368.0000 PIECE (PCE) - INDONESIA (ID) 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36097.6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>
        <is>
          <t>TXGU583994</t>
        </is>
      </c>
      <c r="J42" s="300" t="inlineStr">
        <is>
          <t>40FT</t>
        </is>
      </c>
      <c r="K42" s="301" t="inlineStr">
        <is>
          <t>94042120 HE:0 - 198.0000 PIECE (PCE) - INDONESIA (ID) 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36097.6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>
        <is>
          <t>TXGU583994</t>
        </is>
      </c>
      <c r="J43" s="300" t="inlineStr">
        <is>
          <t>40FT</t>
        </is>
      </c>
      <c r="K43" s="301" t="inlineStr">
        <is>
          <t>94042120 HE:0 - 56.0000 PIECE (PCE) - INDONESIA (ID) 3,264.8 - 12IN GREEN TEA MF MATTRESS TX</t>
        </is>
      </c>
      <c r="L43" s="302" t="inlineStr">
        <is>
          <t>ZU- - 1,058.9600 Kg - KAB. TANGERANG (3603) MFMA1ZZI-12X</t>
        </is>
      </c>
      <c r="M43" s="300" t="inlineStr">
        <is>
          <t>2XLW4FKE</t>
        </is>
      </c>
      <c r="N43" s="301" t="inlineStr">
        <is>
          <t>-</t>
        </is>
      </c>
      <c r="O43" s="303" t="n"/>
      <c r="P43" s="303" t="n"/>
      <c r="Q43" s="304">
        <f>IFERROR(R43/H43, 0)</f>
        <v/>
      </c>
      <c r="R43" s="305" t="n">
        <v>36097.6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>
        <is>
          <t>TXGU583994</t>
        </is>
      </c>
      <c r="J44" s="300" t="inlineStr">
        <is>
          <t>40FT</t>
        </is>
      </c>
      <c r="K44" s="301" t="inlineStr">
        <is>
          <t>94042120 HE:0 - 1.0000 PIECE (PCE) - INDONESIA (ID) 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36097.6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>
        <is>
          <t>TXGU583994</t>
        </is>
      </c>
      <c r="J45" s="300" t="inlineStr">
        <is>
          <t>40FT</t>
        </is>
      </c>
      <c r="K45" s="301" t="inlineStr">
        <is>
          <t>94042120 HE:0 - 1,138.0000 PIECE (PCE) - INDONESIA (ID) 26,925.08 - 5IN GREEN TEA MF MATTRESS TW</t>
        </is>
      </c>
      <c r="L45" s="302" t="inlineStr">
        <is>
          <t>ZU- - 10,583.4000 Kg - KAB. TANGERANG (3603) MFMA1ZZI-05T</t>
        </is>
      </c>
      <c r="M45" s="300" t="inlineStr">
        <is>
          <t>4JWS37TM</t>
        </is>
      </c>
      <c r="N45" s="301" t="inlineStr">
        <is>
          <t>-</t>
        </is>
      </c>
      <c r="O45" s="303" t="n"/>
      <c r="P45" s="303" t="n"/>
      <c r="Q45" s="304">
        <f>IFERROR(R45/H45, 0)</f>
        <v/>
      </c>
      <c r="R45" s="305" t="n">
        <v>36097.6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>
      <c r="A46" s="295" t="n"/>
      <c r="B46" s="296" t="n"/>
      <c r="C46" s="297" t="n"/>
      <c r="D46" s="297" t="n"/>
      <c r="E46" s="298" t="n"/>
      <c r="F46" s="299" t="n"/>
      <c r="G46" s="298" t="n"/>
      <c r="H46" s="300">
        <f>SUM(H19:H45)</f>
        <v/>
      </c>
      <c r="I46" s="300">
        <f>COUNTA(I19:I45)</f>
        <v/>
      </c>
      <c r="J46" s="300" t="n"/>
      <c r="K46" s="301" t="n"/>
      <c r="L46" s="302" t="n"/>
      <c r="M46" s="300" t="n"/>
      <c r="N46" s="301" t="n"/>
      <c r="O46" s="303">
        <f>SUM(O19:O45)</f>
        <v/>
      </c>
      <c r="P46" s="303">
        <f>SUM(P19:P45)</f>
        <v/>
      </c>
      <c r="Q46" s="304" t="n"/>
      <c r="R46" s="305">
        <f>SUM(R19:R45)</f>
        <v/>
      </c>
      <c r="S46" s="306" t="n"/>
      <c r="T46" s="306">
        <f>SUM(T19:T45)</f>
        <v/>
      </c>
      <c r="U46" s="307" t="n"/>
      <c r="V46" s="308" t="n"/>
      <c r="W46" s="309" t="n"/>
      <c r="X46" s="300" t="n"/>
      <c r="Y46" s="308" t="n"/>
      <c r="Z46" s="298" t="n"/>
    </row>
    <row r="47">
      <c r="A47" s="295" t="n">
        <v>5</v>
      </c>
      <c r="B47" s="296" t="inlineStr">
        <is>
          <t>000030ZIK4802026072100498</t>
        </is>
      </c>
      <c r="C47" s="297" t="n">
        <v>450575</v>
      </c>
      <c r="D47" s="297" t="n">
        <v>450525</v>
      </c>
      <c r="E47" s="298" t="n">
        <v>46225</v>
      </c>
      <c r="F47" s="299" t="inlineStr">
        <is>
          <t>ID2607-7886</t>
        </is>
      </c>
      <c r="G47" s="298" t="n">
        <v>46223</v>
      </c>
      <c r="H47" s="300" t="n">
        <v>966</v>
      </c>
      <c r="I47" s="300" t="inlineStr">
        <is>
          <t>TXGU584005</t>
        </is>
      </c>
      <c r="J47" s="300" t="inlineStr">
        <is>
          <t>40FT</t>
        </is>
      </c>
      <c r="K47" s="301" t="inlineStr">
        <is>
          <t>94042120 HE:0 - 966.0000 PIECE (PCE) - INDONESIA (ID)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n">
        <v>59508.26</v>
      </c>
      <c r="P47" s="303" t="n">
        <v>53820.16</v>
      </c>
      <c r="Q47" s="304">
        <f>IFERROR(R47/H47, 0)</f>
        <v/>
      </c>
      <c r="R47" s="305" t="n">
        <v>40018</v>
      </c>
      <c r="S47" s="306" t="n">
        <v>18056</v>
      </c>
      <c r="T47" s="306">
        <f>IFERROR(S47*R47, 0)</f>
        <v/>
      </c>
      <c r="U47" s="307" t="inlineStr">
        <is>
          <t>PEMUATAN</t>
        </is>
      </c>
      <c r="V47" s="308" t="inlineStr">
        <is>
          <t>TANJUNG PRIOK</t>
        </is>
      </c>
      <c r="W47" s="309" t="inlineStr">
        <is>
          <t>Ekspor</t>
        </is>
      </c>
      <c r="X47" s="300" t="inlineStr"/>
      <c r="Y47" s="308" t="inlineStr">
        <is>
          <t>EGLV080600441905</t>
        </is>
      </c>
      <c r="Z47" s="298" t="n">
        <v>46225</v>
      </c>
    </row>
    <row r="48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TXGU584005</t>
        </is>
      </c>
      <c r="J48" s="300" t="inlineStr">
        <is>
          <t>40FT</t>
        </is>
      </c>
      <c r="K48" s="301" t="inlineStr">
        <is>
          <t>94042120 HE:0 - 1,145.0000 PIECE (PCE) - INDONESIA (ID) 27,090.7 - 5IN GREEN TEA MF MATTRESS TW</t>
        </is>
      </c>
      <c r="L48" s="302" t="inlineStr">
        <is>
          <t>ZU- - 10,648.5000 Kg - KAB. TANGERANG (3603) MFMA1ZZI-05T</t>
        </is>
      </c>
      <c r="M48" s="300" t="inlineStr">
        <is>
          <t>4I3CD5IH</t>
        </is>
      </c>
      <c r="N48" s="301" t="inlineStr">
        <is>
          <t>-</t>
        </is>
      </c>
      <c r="O48" s="303" t="n"/>
      <c r="P48" s="303" t="n"/>
      <c r="Q48" s="304">
        <f>IFERROR(R48/H48, 0)</f>
        <v/>
      </c>
      <c r="R48" s="305" t="n">
        <v>40018</v>
      </c>
      <c r="S48" s="306" t="n">
        <v>18056</v>
      </c>
      <c r="T48" s="306">
        <f>IFERROR(S48*R48, 0)</f>
        <v/>
      </c>
      <c r="U48" s="307" t="n"/>
      <c r="V48" s="308" t="n"/>
      <c r="W48" s="309" t="inlineStr">
        <is>
          <t>ETD : 27-07-2026</t>
        </is>
      </c>
      <c r="X48" s="300" t="n"/>
      <c r="Y48" s="308" t="n"/>
      <c r="Z48" s="298" t="n"/>
    </row>
    <row r="49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TXGU584005</t>
        </is>
      </c>
      <c r="J49" s="300" t="inlineStr">
        <is>
          <t>40FT</t>
        </is>
      </c>
      <c r="K49" s="301" t="inlineStr">
        <is>
          <t>94042120 HE:0 - 1,144.0000 PIECE (PCE) - INDONESIA (ID) 27,067.04 - 5IN GREEN TEA MF MATTRESS TW</t>
        </is>
      </c>
      <c r="L49" s="302" t="inlineStr">
        <is>
          <t>ZU- - 10,639.2000 Kg - KAB. TANGERANG (3603) MFMA1ZZI-05T</t>
        </is>
      </c>
      <c r="M49" s="300" t="inlineStr">
        <is>
          <t>88Y96MHS</t>
        </is>
      </c>
      <c r="N49" s="301" t="inlineStr">
        <is>
          <t>-</t>
        </is>
      </c>
      <c r="O49" s="303" t="n"/>
      <c r="P49" s="303" t="n"/>
      <c r="Q49" s="304">
        <f>IFERROR(R49/H49, 0)</f>
        <v/>
      </c>
      <c r="R49" s="305" t="n">
        <v>40018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TXGU584005</t>
        </is>
      </c>
      <c r="J50" s="300" t="inlineStr">
        <is>
          <t>40FT</t>
        </is>
      </c>
      <c r="K50" s="301" t="inlineStr">
        <is>
          <t>94042120 HE:0 - 502.0000 PIECE (PCE) - INDONESIA (ID) 42,062.58 - 12IN GREEN TEA MF MATTRESS QN</t>
        </is>
      </c>
      <c r="L50" s="302" t="inlineStr">
        <is>
          <t>ZU- - 14,196.5600 Kg - KAB. TANGERANG (3603) MFMA1ZZI-12Q</t>
        </is>
      </c>
      <c r="M50" s="300" t="inlineStr">
        <is>
          <t>8B4RWISK</t>
        </is>
      </c>
      <c r="N50" s="301" t="inlineStr">
        <is>
          <t>-</t>
        </is>
      </c>
      <c r="O50" s="303" t="n"/>
      <c r="P50" s="303" t="n"/>
      <c r="Q50" s="304">
        <f>IFERROR(R50/H50, 0)</f>
        <v/>
      </c>
      <c r="R50" s="305" t="n">
        <v>40018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TXGU584005</t>
        </is>
      </c>
      <c r="J51" s="300" t="inlineStr">
        <is>
          <t>40FT</t>
        </is>
      </c>
      <c r="K51" s="301" t="inlineStr">
        <is>
          <t>94042120 HE:0 - 3.0000 PIECE (PCE) - INDONESIA (ID)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40018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TXGU584005</t>
        </is>
      </c>
      <c r="J52" s="300" t="inlineStr">
        <is>
          <t>40FT</t>
        </is>
      </c>
      <c r="K52" s="301" t="inlineStr">
        <is>
          <t>94042120 HE:0 - 400.0000 PIECE (PCE) - INDONESIA (ID) 14,372 - 8IN GREEN TEA MF MATTRESS TW</t>
        </is>
      </c>
      <c r="L52" s="302" t="inlineStr">
        <is>
          <t>ZU- - 4,844.0000 Kg - KAB. TANGERANG (3603) MFMA1ZZI-08T</t>
        </is>
      </c>
      <c r="M52" s="300" t="inlineStr">
        <is>
          <t>8GO2PUDD</t>
        </is>
      </c>
      <c r="N52" s="301" t="inlineStr">
        <is>
          <t>-</t>
        </is>
      </c>
      <c r="O52" s="303" t="n"/>
      <c r="P52" s="303" t="n"/>
      <c r="Q52" s="304">
        <f>IFERROR(R52/H52, 0)</f>
        <v/>
      </c>
      <c r="R52" s="305" t="n">
        <v>40018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TXGU584005</t>
        </is>
      </c>
      <c r="J53" s="300" t="inlineStr">
        <is>
          <t>40FT</t>
        </is>
      </c>
      <c r="K53" s="301" t="inlineStr">
        <is>
          <t>94042120 HE:0 - 206.0000 PIECE (PCE) - INDONESIA (ID) 17,260.74 - 12IN GREEN TEA MF MATTRESS QN</t>
        </is>
      </c>
      <c r="L53" s="302" t="inlineStr">
        <is>
          <t>ZU- - 5,825.6800 Kg - KAB. TANGERANG (3603) MFMA1ZZI-12Q</t>
        </is>
      </c>
      <c r="M53" s="300" t="inlineStr">
        <is>
          <t>8GO2PUDD</t>
        </is>
      </c>
      <c r="N53" s="301" t="inlineStr">
        <is>
          <t>-</t>
        </is>
      </c>
      <c r="O53" s="303" t="n"/>
      <c r="P53" s="303" t="n"/>
      <c r="Q53" s="304">
        <f>IFERROR(R53/H53, 0)</f>
        <v/>
      </c>
      <c r="R53" s="305" t="n">
        <v>40018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>
        <is>
          <t>TXGU584005</t>
        </is>
      </c>
      <c r="J54" s="300" t="inlineStr">
        <is>
          <t>40FT</t>
        </is>
      </c>
      <c r="K54" s="301" t="inlineStr">
        <is>
          <t>94042120 HE:0 - 605.0000 PIECE (PCE) - INDONESIA (ID)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40018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>
        <is>
          <t>TXGU584005</t>
        </is>
      </c>
      <c r="J55" s="300" t="inlineStr">
        <is>
          <t>40FT</t>
        </is>
      </c>
      <c r="K55" s="301" t="inlineStr">
        <is>
          <t>94042120 HE:0 - 427.0000 PIECE (PCE) - INDONESIA (ID) 10,102.82 - 5IN GREEN TEA MF MATTRESS TW</t>
        </is>
      </c>
      <c r="L55" s="302" t="inlineStr">
        <is>
          <t>ZU- - 3,971.1000 Kg - KAB. TANGERANG (3603) MFMA1ZZI-05T</t>
        </is>
      </c>
      <c r="M55" s="300" t="inlineStr">
        <is>
          <t>8VH5JQ8T</t>
        </is>
      </c>
      <c r="N55" s="301" t="inlineStr">
        <is>
          <t>-</t>
        </is>
      </c>
      <c r="O55" s="303" t="n"/>
      <c r="P55" s="303" t="n"/>
      <c r="Q55" s="304">
        <f>IFERROR(R55/H55, 0)</f>
        <v/>
      </c>
      <c r="R55" s="305" t="n">
        <v>40018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>
        <is>
          <t>TXGU584005</t>
        </is>
      </c>
      <c r="J56" s="300" t="inlineStr">
        <is>
          <t>40FT</t>
        </is>
      </c>
      <c r="K56" s="301" t="inlineStr">
        <is>
          <t>94042120 HE:0 - 1.0000 PIECE (PCE) - INDONESIA (ID) 83.79 - 12IN GREEN TEA MF MATTRESS QN</t>
        </is>
      </c>
      <c r="L56" s="302" t="inlineStr">
        <is>
          <t>ZU- - 28.2800 Kg - KAB. TANGERANG (3603) MFMA1ZZI-12Q</t>
        </is>
      </c>
      <c r="M56" s="300" t="inlineStr">
        <is>
          <t>8VH5JQ8T</t>
        </is>
      </c>
      <c r="N56" s="301" t="inlineStr">
        <is>
          <t>-</t>
        </is>
      </c>
      <c r="O56" s="303" t="n"/>
      <c r="P56" s="303" t="n"/>
      <c r="Q56" s="304">
        <f>IFERROR(R56/H56, 0)</f>
        <v/>
      </c>
      <c r="R56" s="305" t="n">
        <v>40018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>
      <c r="A57" s="295" t="n"/>
      <c r="B57" s="296" t="n"/>
      <c r="C57" s="297" t="n"/>
      <c r="D57" s="297" t="n"/>
      <c r="E57" s="298" t="n"/>
      <c r="F57" s="299" t="n"/>
      <c r="G57" s="298" t="n"/>
      <c r="H57" s="300">
        <f>SUM(H47:H56)</f>
        <v/>
      </c>
      <c r="I57" s="300">
        <f>COUNTA(I47:I56)</f>
        <v/>
      </c>
      <c r="J57" s="300" t="n"/>
      <c r="K57" s="301" t="n"/>
      <c r="L57" s="302" t="n"/>
      <c r="M57" s="300" t="n"/>
      <c r="N57" s="301" t="n"/>
      <c r="O57" s="303">
        <f>SUM(O47:O56)</f>
        <v/>
      </c>
      <c r="P57" s="303">
        <f>SUM(P47:P56)</f>
        <v/>
      </c>
      <c r="Q57" s="304" t="n"/>
      <c r="R57" s="305">
        <f>SUM(R47:R56)</f>
        <v/>
      </c>
      <c r="S57" s="306" t="n"/>
      <c r="T57" s="306">
        <f>SUM(T47:T56)</f>
        <v/>
      </c>
      <c r="U57" s="307" t="n"/>
      <c r="V57" s="308" t="n"/>
      <c r="W57" s="309" t="n"/>
      <c r="X57" s="300" t="n"/>
      <c r="Y57" s="308" t="n"/>
      <c r="Z57" s="298" t="n"/>
    </row>
    <row r="58">
      <c r="A58" s="295" t="n">
        <v>6</v>
      </c>
      <c r="B58" s="296" t="inlineStr">
        <is>
          <t>000030ZIK4802026072100499</t>
        </is>
      </c>
      <c r="C58" s="297" t="n">
        <v>450590</v>
      </c>
      <c r="D58" s="297" t="n">
        <v>450540</v>
      </c>
      <c r="E58" s="298" t="n">
        <v>46225</v>
      </c>
      <c r="F58" s="299" t="inlineStr">
        <is>
          <t>ID2607-7885</t>
        </is>
      </c>
      <c r="G58" s="298" t="n">
        <v>46223</v>
      </c>
      <c r="H58" s="300" t="n">
        <v>182</v>
      </c>
      <c r="I58" s="300" t="inlineStr">
        <is>
          <t>TXGU584016</t>
        </is>
      </c>
      <c r="J58" s="300" t="inlineStr">
        <is>
          <t>40FT</t>
        </is>
      </c>
      <c r="K58" s="301" t="inlineStr">
        <is>
          <t>94042120 HE:0 - 182.0000 PIECE (PCE) - INDONESIA (ID) 10,437.7 - 10IN GREEN TEA MF MATTRESS TX</t>
        </is>
      </c>
      <c r="L58" s="302" t="inlineStr">
        <is>
          <t>OLC-FMS- - 3,747.3800 Kg - KAB. TANGERANG (3603) 1000TXL-IN</t>
        </is>
      </c>
      <c r="M58" s="300" t="inlineStr">
        <is>
          <t>5FFUUH8B</t>
        </is>
      </c>
      <c r="N58" s="301" t="inlineStr">
        <is>
          <t>-</t>
        </is>
      </c>
      <c r="O58" s="303" t="n">
        <v>71144.70000000001</v>
      </c>
      <c r="P58" s="303" t="n">
        <v>64342.7</v>
      </c>
      <c r="Q58" s="304">
        <f>IFERROR(R58/H58, 0)</f>
        <v/>
      </c>
      <c r="R58" s="305" t="n">
        <v>36097.6</v>
      </c>
      <c r="S58" s="306" t="n">
        <v>18056</v>
      </c>
      <c r="T58" s="306">
        <f>IFERROR(S58*R58, 0)</f>
        <v/>
      </c>
      <c r="U58" s="307" t="inlineStr">
        <is>
          <t>PEMUATAN</t>
        </is>
      </c>
      <c r="V58" s="308" t="inlineStr">
        <is>
          <t>TANJUNG PRIOK</t>
        </is>
      </c>
      <c r="W58" s="309" t="inlineStr">
        <is>
          <t>Ekspor</t>
        </is>
      </c>
      <c r="X58" s="300" t="inlineStr"/>
      <c r="Y58" s="308" t="inlineStr">
        <is>
          <t>EGLV080600441906</t>
        </is>
      </c>
      <c r="Z58" s="298" t="n">
        <v>46225</v>
      </c>
    </row>
    <row r="59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TXGU584016</t>
        </is>
      </c>
      <c r="J59" s="300" t="inlineStr">
        <is>
          <t>40FT</t>
        </is>
      </c>
      <c r="K59" s="301" t="inlineStr">
        <is>
          <t>94042120 HE:0 - 101.0000 PIECE (PCE) - INDONESIA (ID) 5,225.74 - 12IN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36097.6</v>
      </c>
      <c r="S59" s="306" t="n">
        <v>18056</v>
      </c>
      <c r="T59" s="306">
        <f>IFERROR(S59*R59, 0)</f>
        <v/>
      </c>
      <c r="U59" s="307" t="n"/>
      <c r="V59" s="308" t="n"/>
      <c r="W59" s="309" t="inlineStr">
        <is>
          <t>ETD : 27-07-2026</t>
        </is>
      </c>
      <c r="X59" s="300" t="n"/>
      <c r="Y59" s="308" t="n"/>
      <c r="Z59" s="298" t="n"/>
    </row>
    <row r="60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TXGU584016</t>
        </is>
      </c>
      <c r="J60" s="300" t="inlineStr">
        <is>
          <t>40FT</t>
        </is>
      </c>
      <c r="K60" s="301" t="inlineStr">
        <is>
          <t>94042120 HE:0 - 174.0000 PIECE (PCE) - INDONESIA (ID) 9,978.9 - 10IN GREEN TEA MF MATTRESS TX</t>
        </is>
      </c>
      <c r="L60" s="302" t="inlineStr">
        <is>
          <t>OLC-FMS- - 3,582.6600 Kg - KAB. TANGERANG (3603) 1000TXL-IN</t>
        </is>
      </c>
      <c r="M60" s="300" t="inlineStr">
        <is>
          <t>77K91MJU</t>
        </is>
      </c>
      <c r="N60" s="301" t="inlineStr">
        <is>
          <t>-</t>
        </is>
      </c>
      <c r="O60" s="303" t="n"/>
      <c r="P60" s="303" t="n"/>
      <c r="Q60" s="304">
        <f>IFERROR(R60/H60, 0)</f>
        <v/>
      </c>
      <c r="R60" s="305" t="n">
        <v>36097.6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TXGU584016</t>
        </is>
      </c>
      <c r="J61" s="300" t="inlineStr">
        <is>
          <t>40FT</t>
        </is>
      </c>
      <c r="K61" s="301" t="inlineStr">
        <is>
          <t>94042120 HE:0 - 64.0000 PIECE (PCE) - INDONESIA (ID) 3,311.36 - 12IN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36097.6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TXGU584016</t>
        </is>
      </c>
      <c r="J62" s="300" t="inlineStr">
        <is>
          <t>40FT</t>
        </is>
      </c>
      <c r="K62" s="301" t="inlineStr">
        <is>
          <t>94042120 HE:0 - 99.0000 PIECE (PCE) - INDONESIA (ID) 5,677.65 - 10IN GREEN TEA MF MATTRESS TX</t>
        </is>
      </c>
      <c r="L62" s="302" t="inlineStr">
        <is>
          <t>OLC-FMS- - 2,038.4100 Kg - KAB. TANGERANG (3603) 1000TXL-IN</t>
        </is>
      </c>
      <c r="M62" s="300" t="inlineStr">
        <is>
          <t>7D4ITY4N</t>
        </is>
      </c>
      <c r="N62" s="301" t="inlineStr">
        <is>
          <t>-</t>
        </is>
      </c>
      <c r="O62" s="303" t="n"/>
      <c r="P62" s="303" t="n"/>
      <c r="Q62" s="304">
        <f>IFERROR(R62/H62, 0)</f>
        <v/>
      </c>
      <c r="R62" s="305" t="n">
        <v>36097.6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>
        <is>
          <t>TXGU584016</t>
        </is>
      </c>
      <c r="J63" s="300" t="inlineStr">
        <is>
          <t>40FT</t>
        </is>
      </c>
      <c r="K63" s="301" t="inlineStr">
        <is>
          <t>94042120 HE:0 - 1.0000 PIECE (PCE) - INDONESIA (ID) 57.35 - 10IN GREEN TEA MF MATTRESS TX</t>
        </is>
      </c>
      <c r="L63" s="302" t="inlineStr">
        <is>
          <t>OLC-FMS- - 20.5900 Kg - KAB. TANGERANG (3603) 1000TXL-IN</t>
        </is>
      </c>
      <c r="M63" s="300" t="inlineStr">
        <is>
          <t>7MO3ZAUN</t>
        </is>
      </c>
      <c r="N63" s="301" t="inlineStr">
        <is>
          <t>-</t>
        </is>
      </c>
      <c r="O63" s="303" t="n"/>
      <c r="P63" s="303" t="n"/>
      <c r="Q63" s="304">
        <f>IFERROR(R63/H63, 0)</f>
        <v/>
      </c>
      <c r="R63" s="305" t="n">
        <v>36097.6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>
        <is>
          <t>TXGU584016</t>
        </is>
      </c>
      <c r="J64" s="300" t="inlineStr">
        <is>
          <t>40FT</t>
        </is>
      </c>
      <c r="K64" s="301" t="inlineStr">
        <is>
          <t>94042120 HE:0 - 152.0000 PIECE (PCE) - INDONESIA (ID) 7,864.48 - 12IN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36097.6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>
        <is>
          <t>TXGU584016</t>
        </is>
      </c>
      <c r="J65" s="300" t="inlineStr">
        <is>
          <t>40FT</t>
        </is>
      </c>
      <c r="K65" s="301" t="inlineStr">
        <is>
          <t>94049000 HE:0 - 390.0000 PIECE (PCE) - INDONESIA (ID) 5,697.9 - 3IN CV LAVENDER MF TOPPER FL</t>
        </is>
      </c>
      <c r="L65" s="302" t="inlineStr">
        <is>
          <t>ECMF-03FL- - 1,692.6000 Kg - KAB. TANGERANG (3603) 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36097.6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>
        <is>
          <t>TXGU584016</t>
        </is>
      </c>
      <c r="J66" s="300" t="inlineStr">
        <is>
          <t>40FT</t>
        </is>
      </c>
      <c r="K66" s="301" t="inlineStr">
        <is>
          <t>94049000 HE:0 - 874.0000 PIECE (PCE) - INDONESIA (ID) 9,657.7 - 3IN CV LAVENDER MF TOPPER TW</t>
        </is>
      </c>
      <c r="L66" s="302" t="inlineStr">
        <is>
          <t>ECMF- - 2,718.1400 Kg - KAB. TANGERANG (3603) 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36097.6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>
        <is>
          <t>TXGU584016</t>
        </is>
      </c>
      <c r="J67" s="300" t="inlineStr">
        <is>
          <t>40FT</t>
        </is>
      </c>
      <c r="K67" s="301" t="inlineStr">
        <is>
          <t>94049000 HE:0 - 455.0000 PIECE (PCE) - INDONESIA (ID) 6,647.55 - 3IN CV LAVENDER MF TOPPER FL</t>
        </is>
      </c>
      <c r="L67" s="302" t="inlineStr">
        <is>
          <t>ECMF-03FL- - 1,974.7000 Kg - KAB. TANGERANG (3603) 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36097.6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>
        <is>
          <t>TXGU584016</t>
        </is>
      </c>
      <c r="J68" s="300" t="inlineStr">
        <is>
          <t>40FT</t>
        </is>
      </c>
      <c r="K68" s="301" t="inlineStr">
        <is>
          <t>94049000 HE:0 - 196.0000 PIECE (PCE) - INDONESIA (ID) 3,661.28 - 3IN CV LAVENDER MF TOPPER QN</t>
        </is>
      </c>
      <c r="L68" s="302" t="inlineStr">
        <is>
          <t>ECMF- - 1,011.3600 Kg - KAB. TANGERANG (3603) 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36097.6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>
        <is>
          <t>TXGU584016</t>
        </is>
      </c>
      <c r="J69" s="300" t="inlineStr">
        <is>
          <t>40FT</t>
        </is>
      </c>
      <c r="K69" s="301" t="inlineStr">
        <is>
          <t>94049000 HE:0 - 500.0000 PIECE (PCE) - INDONESIA (ID) 5,525 - 3IN CV LAVENDER MF TOPPER TW</t>
        </is>
      </c>
      <c r="L69" s="302" t="inlineStr">
        <is>
          <t>ECMF-03TL- - 1,555.0000 Kg - KAB. TANGERANG (3603) 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36097.6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>
        <is>
          <t>TXGU584016</t>
        </is>
      </c>
      <c r="J70" s="300" t="inlineStr">
        <is>
          <t>40FT</t>
        </is>
      </c>
      <c r="K70" s="301" t="inlineStr">
        <is>
          <t>94049000 HE:0 - 8.0000 PIECE (PCE) - INDONESIA (ID) 96.16 - 3IN CV LAVENDER MF TOPPER TX</t>
        </is>
      </c>
      <c r="L70" s="302" t="inlineStr">
        <is>
          <t>ECMF- - 26.5600 Kg - KAB. TANGERANG (3603) 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36097.6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>
        <is>
          <t>TXGU584016</t>
        </is>
      </c>
      <c r="J71" s="300" t="inlineStr">
        <is>
          <t>40FT</t>
        </is>
      </c>
      <c r="K71" s="301" t="inlineStr">
        <is>
          <t>94049000 HE:0 - 31.0000 PIECE (PCE) - INDONESIA (ID) 438.34 - 4IN CV LAVENDER MF TOPPER TW</t>
        </is>
      </c>
      <c r="L71" s="302" t="inlineStr">
        <is>
          <t>ECMF- - 134.8500 Kg - KAB. TANGERANG (3603) 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36097.6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>
        <is>
          <t>TXGU584016</t>
        </is>
      </c>
      <c r="J72" s="300" t="inlineStr">
        <is>
          <t>40FT</t>
        </is>
      </c>
      <c r="K72" s="301" t="inlineStr">
        <is>
          <t>94049000 HE:0 - 284.0000 PIECE (PCE) - INDONESIA (ID) 4,149.24 - 3IN CV LAVENDER MF TOPPER FL</t>
        </is>
      </c>
      <c r="L72" s="302" t="inlineStr">
        <is>
          <t>ECMF-03FL- - 1,232.5600 Kg - KAB. TANGERANG (3603) 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36097.6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>
        <is>
          <t>TXGU584016</t>
        </is>
      </c>
      <c r="J73" s="300" t="inlineStr">
        <is>
          <t>40FT</t>
        </is>
      </c>
      <c r="K73" s="301" t="inlineStr">
        <is>
          <t>94049000 HE:0 - 337.0000 PIECE (PCE) - INDONESIA (ID) 6,295.16 - 3IN CV LAVENDER MF TOPPER QN</t>
        </is>
      </c>
      <c r="L73" s="302" t="inlineStr">
        <is>
          <t>ECMF-03QL- - 1,738.9200 Kg - KAB. TANGERANG (3603) 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36097.6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>
        <is>
          <t>TXGU584016</t>
        </is>
      </c>
      <c r="J74" s="300" t="inlineStr">
        <is>
          <t>40FT</t>
        </is>
      </c>
      <c r="K74" s="301" t="inlineStr">
        <is>
          <t>94049000 HE:0 - 715.0000 PIECE (PCE) - INDONESIA (ID) 7,900.75 - 3IN CV LAVENDER MF TOPPER TW</t>
        </is>
      </c>
      <c r="L74" s="302" t="inlineStr">
        <is>
          <t>ECMF-03TL- - 2,223.6500 Kg - KAB. TANGERANG (3603) 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36097.6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>
        <is>
          <t>TXGU584016</t>
        </is>
      </c>
      <c r="J75" s="300" t="inlineStr">
        <is>
          <t>40FT</t>
        </is>
      </c>
      <c r="K75" s="301" t="inlineStr">
        <is>
          <t>94049000 HE:0 - 37.0000 PIECE (PCE) - INDONESIA (ID) 444.74 - 3IN CV LAVENDER MF TOPPER TX</t>
        </is>
      </c>
      <c r="L75" s="302" t="inlineStr">
        <is>
          <t>ECMF- - 122.8400 Kg - KAB. TANGERANG (3603) 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36097.6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>
        <is>
          <t>TXGU584016</t>
        </is>
      </c>
      <c r="J76" s="300" t="inlineStr">
        <is>
          <t>40FT</t>
        </is>
      </c>
      <c r="K76" s="301" t="inlineStr">
        <is>
          <t>94049000 HE:0 - 3.0000 PIECE (PCE) - INDONESIA (ID) 36.39 - 2IN CV LAVENDER MF TOPPER QN</t>
        </is>
      </c>
      <c r="L76" s="302" t="inlineStr">
        <is>
          <t>ECMF-LV2Q- - 9.2700 Kg - KAB. TANGERANG (3603) 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36097.6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>
        <is>
          <t>TXGU584016</t>
        </is>
      </c>
      <c r="J77" s="300" t="inlineStr">
        <is>
          <t>40FT</t>
        </is>
      </c>
      <c r="K77" s="301" t="inlineStr">
        <is>
          <t>94049000 HE:0 - 86.0000 PIECE (PCE) - INDONESIA (ID) 1,216.04 - 4IN CV LAVENDER MF TOPPER TW</t>
        </is>
      </c>
      <c r="L77" s="302" t="inlineStr">
        <is>
          <t>ECMF-LV4T- - 374.1000 Kg - KAB. TANGERANG (3603) 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36097.6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>
        <is>
          <t>TXGU584016</t>
        </is>
      </c>
      <c r="J78" s="300" t="inlineStr">
        <is>
          <t>40FT</t>
        </is>
      </c>
      <c r="K78" s="301" t="inlineStr">
        <is>
          <t>94049000 HE:0 - 455.0000 PIECE (PCE) - INDONESIA (ID) 8,499.4 - 3IN CV LAVENDER MF TOPPER QN</t>
        </is>
      </c>
      <c r="L78" s="302" t="inlineStr">
        <is>
          <t>ECMF- - 2,347.8000 Kg - KAB. TANGERANG (3603) 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36097.6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>
        <is>
          <t>TXGU584016</t>
        </is>
      </c>
      <c r="J79" s="300" t="inlineStr">
        <is>
          <t>40FT</t>
        </is>
      </c>
      <c r="K79" s="301" t="inlineStr">
        <is>
          <t>94049000 HE:0 - 1,490.0000 PIECE (PCE) - INDONESIA (ID) 16,464.5 - 3IN CV LAVENDER MF TOPPER TW</t>
        </is>
      </c>
      <c r="L79" s="302" t="inlineStr">
        <is>
          <t>ECMF- - 4,633.9000 Kg - KAB. TANGERANG (3603) 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36097.6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>
        <is>
          <t>TXGU584016</t>
        </is>
      </c>
      <c r="J80" s="300" t="inlineStr">
        <is>
          <t>40FT</t>
        </is>
      </c>
      <c r="K80" s="301" t="inlineStr">
        <is>
          <t>94049000 HE:0 - 35.0000 PIECE (PCE) - INDONESIA (ID) 420.7 - 3IN CV LAVENDER MF TOPPER TX</t>
        </is>
      </c>
      <c r="L80" s="302" t="inlineStr">
        <is>
          <t>ECMF- - 116.2000 Kg - KAB. TANGERANG (3603) 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36097.6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>
        <is>
          <t>TXGU584016</t>
        </is>
      </c>
      <c r="J81" s="300" t="inlineStr">
        <is>
          <t>40FT</t>
        </is>
      </c>
      <c r="K81" s="301" t="inlineStr">
        <is>
          <t>94049000 HE:0 - 119.0000 PIECE (PCE) - INDONESIA (ID) 1,682.66 - 4IN CV LAVENDER MF TOPPER TW</t>
        </is>
      </c>
      <c r="L81" s="302" t="inlineStr">
        <is>
          <t>ECMF- - 517.6500 Kg - KAB. TANGERANG (3603) 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36097.6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>
        <is>
          <t>TXGU584016</t>
        </is>
      </c>
      <c r="J82" s="300" t="inlineStr">
        <is>
          <t>40FT</t>
        </is>
      </c>
      <c r="K82" s="301" t="inlineStr">
        <is>
          <t>94049000 HE:0 - 470.0000 PIECE (PCE) - INDONESIA (ID) 8,779.6 - 3IN CV LAVENDER MF TOPPER QN</t>
        </is>
      </c>
      <c r="L82" s="302" t="inlineStr">
        <is>
          <t>ECMF- - 2,425.2000 Kg - KAB. TANGERANG (3603) 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36097.6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>
        <is>
          <t>TXGU584016</t>
        </is>
      </c>
      <c r="J83" s="300" t="inlineStr">
        <is>
          <t>40FT</t>
        </is>
      </c>
      <c r="K83" s="301" t="inlineStr">
        <is>
          <t>94049000 HE:0 - 323.0000 PIECE (PCE) - INDONESIA (ID) 3,882.46 - 3IN CV LAVENDER MF TOPPER TX</t>
        </is>
      </c>
      <c r="L83" s="302" t="inlineStr">
        <is>
          <t>ECMF- - 1,072.3600 Kg - KAB. TANGERANG (3603) 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36097.6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>
        <is>
          <t>TXGU584016</t>
        </is>
      </c>
      <c r="J84" s="300" t="inlineStr">
        <is>
          <t>40FT</t>
        </is>
      </c>
      <c r="K84" s="301" t="inlineStr">
        <is>
          <t>94049000 HE:0 - 19.0000 PIECE (PCE) - INDONESIA (ID) 230.47 - 2IN CV LAVENDER MF TOPPER QN</t>
        </is>
      </c>
      <c r="L84" s="302" t="inlineStr">
        <is>
          <t>ECMF- - 58.7100 Kg - KAB. TANGERANG (3603) 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36097.6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>
        <is>
          <t>TXGU584016</t>
        </is>
      </c>
      <c r="J85" s="300" t="inlineStr">
        <is>
          <t>40FT</t>
        </is>
      </c>
      <c r="K85" s="301" t="inlineStr">
        <is>
          <t>94049000 HE:0 - 127.0000 PIECE (PCE) - INDONESIA (ID) 1,795.78 - 4IN CV LAVENDER MF TOPPER TW</t>
        </is>
      </c>
      <c r="L85" s="302" t="inlineStr">
        <is>
          <t>ECMF- - 552.4500 Kg - KAB. TANGERANG (3603) 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36097.6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>
      <c r="A86" s="295" t="n"/>
      <c r="B86" s="296" t="n"/>
      <c r="C86" s="297" t="n"/>
      <c r="D86" s="297" t="n"/>
      <c r="E86" s="298" t="n"/>
      <c r="F86" s="299" t="n"/>
      <c r="G86" s="298" t="n"/>
      <c r="H86" s="300">
        <f>SUM(H58:H85)</f>
        <v/>
      </c>
      <c r="I86" s="300">
        <f>COUNTA(I58:I85)</f>
        <v/>
      </c>
      <c r="J86" s="300" t="n"/>
      <c r="K86" s="301" t="n"/>
      <c r="L86" s="302" t="n"/>
      <c r="M86" s="300" t="n"/>
      <c r="N86" s="301" t="n"/>
      <c r="O86" s="303">
        <f>SUM(O58:O85)</f>
        <v/>
      </c>
      <c r="P86" s="303">
        <f>SUM(P58:P85)</f>
        <v/>
      </c>
      <c r="Q86" s="304" t="n"/>
      <c r="R86" s="305">
        <f>SUM(R58:R85)</f>
        <v/>
      </c>
      <c r="S86" s="306" t="n"/>
      <c r="T86" s="306">
        <f>SUM(T58:T85)</f>
        <v/>
      </c>
      <c r="U86" s="307" t="n"/>
      <c r="V86" s="308" t="n"/>
      <c r="W86" s="309" t="n"/>
      <c r="X86" s="300" t="n"/>
      <c r="Y86" s="308" t="n"/>
      <c r="Z86" s="298" t="n"/>
    </row>
    <row r="87">
      <c r="A87" s="128">
        <f>COUNT(A12:A86)</f>
        <v/>
      </c>
      <c r="B87" s="129" t="n"/>
      <c r="C87" s="310" t="n"/>
      <c r="D87" s="311" t="n"/>
      <c r="E87" s="311" t="n"/>
      <c r="F87" s="311" t="n"/>
      <c r="G87" s="311" t="n"/>
      <c r="H87" s="132">
        <f>H14+H16+H18+H46+H57+H86</f>
        <v/>
      </c>
      <c r="I87" s="132">
        <f>I14+I16+I18+I46+I57+I86</f>
        <v/>
      </c>
      <c r="J87" s="133" t="n"/>
      <c r="K87" s="312" t="n"/>
      <c r="L87" s="313" t="n"/>
      <c r="M87" s="314" t="n"/>
      <c r="N87" s="315" t="n"/>
      <c r="O87" s="138">
        <f>O14+O16+O18+O46+O57+O86</f>
        <v/>
      </c>
      <c r="P87" s="138">
        <f>P14+P16+P18+P46+P57+P86</f>
        <v/>
      </c>
      <c r="Q87" s="316" t="n"/>
      <c r="R87" s="317">
        <f>R14+R16+R18+R46+R57+R86</f>
        <v/>
      </c>
      <c r="S87" s="318" t="n"/>
      <c r="T87" s="319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20" t="n"/>
      <c r="I88" s="320" t="n"/>
      <c r="J88" s="321" t="n"/>
      <c r="K88" s="221" t="n"/>
      <c r="L88" s="221" t="n"/>
      <c r="M88" s="221" t="n"/>
      <c r="N88" s="322" t="n"/>
      <c r="Q88" s="323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21" t="n"/>
      <c r="I89" s="321" t="n"/>
      <c r="J89" s="321" t="n"/>
      <c r="K89" s="221" t="n"/>
      <c r="L89" s="221" t="n"/>
      <c r="M89" s="221" t="n"/>
      <c r="N89" s="322" t="n"/>
      <c r="Q89" s="323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24" t="n"/>
      <c r="I90" s="324" t="n"/>
      <c r="J90" s="321" t="n"/>
      <c r="T90" s="325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21" t="n"/>
      <c r="I91" s="321" t="n"/>
      <c r="J91" s="321" t="n"/>
      <c r="K91" s="221" t="n"/>
      <c r="L91" s="221" t="n"/>
      <c r="M91" s="221" t="n"/>
      <c r="R91" s="326" t="n"/>
      <c r="S91" s="325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322" t="n"/>
      <c r="P92" s="327" t="n"/>
      <c r="Q92" s="328" t="n"/>
      <c r="R92" s="326" t="n"/>
      <c r="S92" s="325" t="n"/>
      <c r="T92" s="325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29">
        <f>A87</f>
        <v/>
      </c>
      <c r="D93" s="330" t="n"/>
      <c r="G93" s="169" t="n"/>
      <c r="H93" s="178" t="n"/>
      <c r="I93" s="178" t="n"/>
      <c r="K93" s="221" t="n"/>
      <c r="L93" s="221" t="n"/>
      <c r="M93" s="221" t="n"/>
      <c r="N93" s="322" t="n"/>
      <c r="P93" s="327" t="n"/>
      <c r="Q93" s="328" t="n"/>
      <c r="R93" s="326" t="n"/>
      <c r="S93" s="325" t="n"/>
      <c r="T93" s="325" t="n"/>
      <c r="U93" s="173">
        <f>+[1]REKAP!X34</f>
        <v/>
      </c>
    </row>
    <row r="94">
      <c r="A94" s="174" t="inlineStr">
        <is>
          <t>Gross Weight</t>
        </is>
      </c>
      <c r="B94" s="179" t="n"/>
      <c r="C94" s="331">
        <f>O87</f>
        <v/>
      </c>
      <c r="D94" s="330" t="n"/>
      <c r="H94" s="182" t="n"/>
      <c r="I94" s="183" t="n"/>
      <c r="K94" s="221" t="n"/>
      <c r="L94" s="221" t="n"/>
      <c r="M94" s="221" t="n"/>
      <c r="N94" s="322" t="n"/>
      <c r="P94" s="332" t="n"/>
      <c r="Q94" s="333" t="n"/>
      <c r="R94" s="334" t="n"/>
      <c r="S94" s="335" t="n"/>
      <c r="T94" s="335" t="n"/>
      <c r="U94" s="4" t="n"/>
    </row>
    <row r="95">
      <c r="A95" s="174" t="inlineStr">
        <is>
          <t>Nett Weight</t>
        </is>
      </c>
      <c r="B95" s="179" t="n"/>
      <c r="C95" s="331">
        <f>P87</f>
        <v/>
      </c>
      <c r="D95" s="330" t="n"/>
      <c r="K95" s="221" t="n"/>
      <c r="L95" s="221" t="n"/>
      <c r="M95" s="221" t="n"/>
      <c r="N95" s="322" t="n"/>
      <c r="P95" s="332" t="n"/>
      <c r="Q95" s="333" t="n"/>
      <c r="R95" s="334" t="n"/>
      <c r="S95" s="335" t="n"/>
      <c r="T95" s="335" t="n"/>
      <c r="U95" s="4" t="n"/>
    </row>
    <row r="96">
      <c r="A96" s="174" t="inlineStr">
        <is>
          <t>Amount</t>
        </is>
      </c>
      <c r="B96" s="179" t="n"/>
      <c r="C96" s="336">
        <f>R87</f>
        <v/>
      </c>
      <c r="D96" s="330" t="n"/>
      <c r="K96" s="221" t="n"/>
      <c r="L96" s="221" t="n"/>
      <c r="M96" s="221" t="n"/>
      <c r="N96" s="322" t="n"/>
      <c r="P96" s="332" t="n"/>
      <c r="Q96" s="333" t="n"/>
      <c r="R96" s="334" t="n"/>
      <c r="S96" s="335" t="n"/>
      <c r="T96" s="335" t="n"/>
      <c r="U96" s="190" t="n"/>
    </row>
    <row r="97">
      <c r="A97" s="174" t="inlineStr">
        <is>
          <t>Jumlah Container</t>
        </is>
      </c>
      <c r="B97" s="179" t="n"/>
      <c r="C97" s="337">
        <f>I87</f>
        <v/>
      </c>
      <c r="D97" s="330" t="n"/>
      <c r="K97" s="221" t="n"/>
      <c r="L97" s="221" t="n"/>
      <c r="M97" s="221" t="n"/>
      <c r="N97" s="322" t="n"/>
      <c r="P97" s="332" t="n"/>
      <c r="Q97" s="333" t="n"/>
      <c r="R97" s="334" t="n"/>
      <c r="S97" s="335" t="n"/>
      <c r="T97" s="335" t="n"/>
      <c r="U97" s="173" t="n"/>
    </row>
    <row r="98">
      <c r="A98" s="174" t="n"/>
      <c r="B98" s="179" t="n"/>
      <c r="C98" s="338">
        <f>I28</f>
        <v/>
      </c>
      <c r="D98" s="330" t="n"/>
      <c r="K98" s="221" t="n"/>
      <c r="L98" s="221" t="n"/>
      <c r="M98" s="221" t="n"/>
      <c r="N98" s="322" t="n"/>
      <c r="P98" s="332" t="n"/>
      <c r="Q98" s="333" t="n"/>
      <c r="R98" s="334" t="n"/>
      <c r="S98" s="335" t="n"/>
      <c r="T98" s="335" t="n"/>
      <c r="U98" s="173" t="n"/>
    </row>
    <row r="99">
      <c r="A99" s="195" t="n"/>
      <c r="B99" s="179" t="n"/>
      <c r="C99" s="339">
        <f>C36*2+C37</f>
        <v/>
      </c>
      <c r="D99" s="330" t="n"/>
      <c r="K99" s="221" t="n"/>
      <c r="L99" s="221" t="n"/>
      <c r="M99" s="221" t="n"/>
      <c r="N99" s="322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0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41" t="n"/>
      <c r="L394" s="341" t="n"/>
      <c r="M394" s="341" t="n"/>
      <c r="N394" s="342" t="n"/>
      <c r="O394" s="343" t="n"/>
      <c r="P394" s="343" t="n"/>
      <c r="Q394" s="344" t="n"/>
      <c r="R394" s="345" t="n"/>
      <c r="S394" s="346" t="n"/>
      <c r="T394" s="346" t="n"/>
      <c r="U394" s="347" t="n"/>
      <c r="V394" s="347" t="n"/>
      <c r="W394" s="347" t="n"/>
      <c r="X394" s="347" t="n"/>
      <c r="Y394" s="347" t="n"/>
      <c r="Z394" s="347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2026-07-25T17:35:51Z</dcterms:modified>
  <cp:lastModifiedBy>Chiswa Dian Hermansyah(ZINUS ZDI)</cp:lastModifiedBy>
</cp:coreProperties>
</file>