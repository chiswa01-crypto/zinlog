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>
        <f>COUNT(A12:A85)</f>
        <v/>
      </c>
      <c r="B86" s="324" t="n"/>
      <c r="C86" s="304" t="n"/>
      <c r="D86" s="304" t="n"/>
      <c r="E86" s="317" t="n"/>
      <c r="F86" s="320" t="n"/>
      <c r="G86" s="317" t="n"/>
      <c r="H86" s="311">
        <f>SUM(H22,H50,H79,H82,H85)</f>
        <v/>
      </c>
      <c r="I86" s="311">
        <f>SUM(I22,I50,I79,I82,I85)</f>
        <v/>
      </c>
      <c r="J86" s="311" t="n"/>
      <c r="K86" s="309" t="n"/>
      <c r="L86" s="310" t="n"/>
      <c r="M86" s="311" t="n"/>
      <c r="N86" s="309" t="n"/>
      <c r="O86" s="306">
        <f>SUM(O22,O50,O79,O82,O85)</f>
        <v/>
      </c>
      <c r="P86" s="306">
        <f>SUM(P22,P50,P79,P82,P85)</f>
        <v/>
      </c>
      <c r="Q86" s="312" t="n"/>
      <c r="R86" s="307">
        <f>SUM(R22,R50,R79,R82,R85)</f>
        <v/>
      </c>
      <c r="S86" s="308" t="n"/>
      <c r="T86" s="308">
        <f>SUM(T22,T50,T79,T82,T85)</f>
        <v/>
      </c>
      <c r="U86" s="313" t="n"/>
      <c r="V86" s="315" t="n"/>
      <c r="W86" s="316" t="n"/>
      <c r="X86" s="311" t="n"/>
      <c r="Y86" s="315" t="n"/>
      <c r="Z86" s="317" t="n"/>
    </row>
    <row r="87"/>
    <row r="88" ht="20" customHeight="1" s="223">
      <c r="B88" s="338" t="inlineStr">
        <is>
          <t>Total Qty Export :</t>
        </is>
      </c>
      <c r="C88" s="339">
        <f>H86-C89</f>
        <v/>
      </c>
    </row>
    <row r="89" ht="20" customHeight="1" s="223">
      <c r="B89" s="340" t="inlineStr">
        <is>
          <t>Total Qty Export Sample :</t>
        </is>
      </c>
      <c r="C89" s="341" t="n">
        <v>0</v>
      </c>
    </row>
    <row r="90"/>
    <row r="91" ht="20" customHeight="1" s="223">
      <c r="U91" s="340" t="inlineStr">
        <is>
          <t>Tangerang, 30 July 2026</t>
        </is>
      </c>
    </row>
    <row r="92" ht="20" customHeight="1" s="223">
      <c r="A92" s="342" t="inlineStr">
        <is>
          <t>Total Document</t>
        </is>
      </c>
      <c r="C92" s="342">
        <f>A86</f>
        <v/>
      </c>
      <c r="U92" s="340" t="inlineStr">
        <is>
          <t>Kasubsi Hanggar Pabean dan Cukai</t>
        </is>
      </c>
    </row>
    <row r="93" ht="20" customHeight="1" s="223">
      <c r="A93" s="342" t="inlineStr">
        <is>
          <t>Gross Weight</t>
        </is>
      </c>
      <c r="C93" s="342">
        <f>O86</f>
        <v/>
      </c>
    </row>
    <row r="94" ht="20" customHeight="1" s="223">
      <c r="A94" s="342" t="inlineStr">
        <is>
          <t>Nett Weight</t>
        </is>
      </c>
      <c r="C94" s="342">
        <f>P86</f>
        <v/>
      </c>
    </row>
    <row r="95" ht="20" customHeight="1" s="223">
      <c r="A95" s="342" t="inlineStr">
        <is>
          <t>Amount</t>
        </is>
      </c>
      <c r="C95" s="342">
        <f>R86</f>
        <v/>
      </c>
    </row>
    <row r="96" ht="20" customHeight="1" s="223">
      <c r="A96" s="342" t="inlineStr">
        <is>
          <t>Jumlah Container</t>
        </is>
      </c>
      <c r="C96" s="342">
        <f>I86</f>
        <v/>
      </c>
    </row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2026-07-30T14:46:34Z</dcterms:modified>
  <cp:lastModifiedBy>Chiswa Dian Hermansyah(ZINUS ZDI)</cp:lastModifiedBy>
</cp:coreProperties>
</file>