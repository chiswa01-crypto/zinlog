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ZINUS SHIPDOC\Amazon CIPL\2026\9. September\"/>
    </mc:Choice>
  </mc:AlternateContent>
  <xr:revisionPtr revIDLastSave="0" documentId="13_ncr:1_{A892C188-5B01-476F-A2BE-FE022E1C5A8F}" xr6:coauthVersionLast="47" xr6:coauthVersionMax="47" xr10:uidLastSave="{00000000-0000-0000-0000-000000000000}"/>
  <bookViews>
    <workbookView xWindow="-120" yWindow="-120" windowWidth="29040" windowHeight="15840" tabRatio="349" firstSheet="1" activeTab="1" xr2:uid="{00000000-000D-0000-FFFF-FFFF00000000}"/>
  </bookViews>
  <sheets>
    <sheet name="CM" sheetId="3" state="hidden" r:id="rId1"/>
    <sheet name=" CI" sheetId="10" r:id="rId2"/>
    <sheet name=" PL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3._Document" localSheetId="1">'[1]1.Global Setting'!#REF!</definedName>
    <definedName name="_3._Document" localSheetId="2">'[1]1.Global Setting'!#REF!</definedName>
    <definedName name="_4._Cost_center___Profit_Center" localSheetId="1">'[1]1.Global Setting'!#REF!</definedName>
    <definedName name="_4._Cost_center___Profit_Center" localSheetId="2">'[1]1.Global Setting'!#REF!</definedName>
    <definedName name="_5._Tax" localSheetId="1">'[1]1.Global Setting'!#REF!</definedName>
    <definedName name="_5._Tax" localSheetId="2">'[1]1.Global Setting'!#REF!</definedName>
    <definedName name="_xlnm._FilterDatabase" localSheetId="1" hidden="1">' CI'!$B$27:$F$42</definedName>
    <definedName name="_Key2" localSheetId="1" hidden="1">#REF!</definedName>
    <definedName name="_Key2" localSheetId="2" hidden="1">#REF!</definedName>
    <definedName name="_Order1" hidden="1">255</definedName>
    <definedName name="_Order2" hidden="1">255</definedName>
    <definedName name="☞" localSheetId="1">'[2]1.Global Setting'!#REF!</definedName>
    <definedName name="☞" localSheetId="2">'[2]1.Global Setting'!#REF!</definedName>
    <definedName name="a" localSheetId="1">#REF!</definedName>
    <definedName name="a" localSheetId="2">#REF!</definedName>
    <definedName name="application" localSheetId="1">#REF!</definedName>
    <definedName name="application" localSheetId="2">#REF!</definedName>
    <definedName name="_xlnm.Criteria">#REF!</definedName>
    <definedName name="_xlnm.Database" localSheetId="1">'[3]Materials List'!#REF!</definedName>
    <definedName name="_xlnm.Database" localSheetId="2">'[3]Materials List'!#REF!</definedName>
    <definedName name="_xlnm.Database" hidden="1">'[3]Materials List'!#REF!</definedName>
    <definedName name="ETC" localSheetId="1">#REF!</definedName>
    <definedName name="ETC" localSheetId="2">#REF!</definedName>
    <definedName name="_xlnm.Extract" localSheetId="1">#REF!</definedName>
    <definedName name="_xlnm.Extract" localSheetId="2">#REF!</definedName>
    <definedName name="_xlnm.Extract">#REF!</definedName>
    <definedName name="flow" localSheetId="1">#REF!</definedName>
    <definedName name="flow" localSheetId="2">#REF!</definedName>
    <definedName name="head" localSheetId="1">#REF!</definedName>
    <definedName name="head" localSheetId="2">#REF!</definedName>
    <definedName name="Keetsa_Pillows" localSheetId="1">'[4]Materials List'!#REF!</definedName>
    <definedName name="Keetsa_Pillows" localSheetId="2">'[4]Materials List'!#REF!</definedName>
    <definedName name="kmart" localSheetId="1">'[5]Materials List'!#REF!</definedName>
    <definedName name="kmart" localSheetId="2">'[5]Materials List'!#REF!</definedName>
    <definedName name="kmart">'[6]Materials List'!#REF!</definedName>
    <definedName name="MARK" localSheetId="1">'[4]Materials List'!#REF!</definedName>
    <definedName name="MARK" localSheetId="2">'[4]Materials List'!#REF!</definedName>
    <definedName name="MARK2" localSheetId="1">#REF!</definedName>
    <definedName name="MARK2" localSheetId="2">#REF!</definedName>
    <definedName name="_xlnm.Print_Area" localSheetId="1">' CI'!$B$2:$M$128</definedName>
    <definedName name="_xlnm.Print_Area" localSheetId="2">' PL'!$B$2:$K$99</definedName>
    <definedName name="_xlnm.Print_Area" localSheetId="0">CM!$A$1:$J$20</definedName>
    <definedName name="_xlnm.Print_Area" hidden="1">#REF!</definedName>
    <definedName name="_xlnm.Print_Titles" hidden="1">#REF!</definedName>
    <definedName name="RATE1">'[7]WMT-150Q'!$F$13</definedName>
    <definedName name="_xlnm.Recorder" hidden="1">#REF!</definedName>
    <definedName name="STKMV" localSheetId="1" hidden="1">#REF!</definedName>
    <definedName name="STKMV" localSheetId="2" hidden="1">#REF!</definedName>
    <definedName name="tony" localSheetId="1">#REF!</definedName>
    <definedName name="tony" localSheetId="2">#REF!</definedName>
    <definedName name="twort000">'[1]1.Global Setting'!$AB$66</definedName>
    <definedName name="ZIPPERB">#N/A</definedName>
    <definedName name="暗暗">[8]负债表!$G$1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" i="11" l="1"/>
  <c r="P46" i="10"/>
  <c r="O46" i="10"/>
  <c r="N46" i="10"/>
  <c r="P45" i="10"/>
  <c r="O45" i="10"/>
  <c r="N45" i="10"/>
  <c r="C37" i="11"/>
  <c r="F37" i="11"/>
  <c r="G37" i="11"/>
  <c r="J37" i="11" s="1"/>
  <c r="C38" i="11"/>
  <c r="F38" i="11"/>
  <c r="G38" i="11"/>
  <c r="J38" i="11" s="1"/>
  <c r="C39" i="11"/>
  <c r="F39" i="11"/>
  <c r="G39" i="11"/>
  <c r="J39" i="11" s="1"/>
  <c r="C40" i="11"/>
  <c r="F40" i="11"/>
  <c r="G40" i="11"/>
  <c r="J40" i="11" s="1"/>
  <c r="C41" i="11"/>
  <c r="F41" i="11"/>
  <c r="G41" i="11"/>
  <c r="J41" i="11" s="1"/>
  <c r="C42" i="11"/>
  <c r="F42" i="11"/>
  <c r="G42" i="11"/>
  <c r="J42" i="11" s="1"/>
  <c r="C43" i="11"/>
  <c r="F43" i="11"/>
  <c r="G43" i="11"/>
  <c r="J43" i="11" s="1"/>
  <c r="P42" i="10"/>
  <c r="O42" i="10"/>
  <c r="N42" i="10"/>
  <c r="P41" i="10"/>
  <c r="O41" i="10"/>
  <c r="N41" i="10"/>
  <c r="P40" i="10"/>
  <c r="O40" i="10"/>
  <c r="N40" i="10"/>
  <c r="P39" i="10"/>
  <c r="O39" i="10"/>
  <c r="N39" i="10"/>
  <c r="P38" i="10"/>
  <c r="O38" i="10"/>
  <c r="N38" i="10"/>
  <c r="P37" i="10"/>
  <c r="O37" i="10"/>
  <c r="N37" i="10"/>
  <c r="P36" i="10"/>
  <c r="O36" i="10"/>
  <c r="N36" i="10"/>
  <c r="N29" i="10" l="1"/>
  <c r="N44" i="10" l="1"/>
  <c r="O44" i="10"/>
  <c r="P44" i="10"/>
  <c r="N47" i="10"/>
  <c r="O47" i="10"/>
  <c r="P47" i="10"/>
  <c r="N48" i="10"/>
  <c r="O48" i="10"/>
  <c r="P48" i="10"/>
  <c r="C31" i="11" l="1"/>
  <c r="F31" i="11"/>
  <c r="G31" i="11"/>
  <c r="J31" i="11" s="1"/>
  <c r="C32" i="11"/>
  <c r="F32" i="11"/>
  <c r="G32" i="11"/>
  <c r="J32" i="11" s="1"/>
  <c r="C33" i="11"/>
  <c r="F33" i="11"/>
  <c r="G33" i="11"/>
  <c r="J33" i="11" s="1"/>
  <c r="C34" i="11"/>
  <c r="F34" i="11"/>
  <c r="G34" i="11"/>
  <c r="J34" i="11" s="1"/>
  <c r="C35" i="11"/>
  <c r="F35" i="11"/>
  <c r="G35" i="11"/>
  <c r="J35" i="11" s="1"/>
  <c r="C36" i="11"/>
  <c r="F36" i="11"/>
  <c r="G36" i="11"/>
  <c r="J36" i="11" s="1"/>
  <c r="N49" i="10"/>
  <c r="O49" i="10"/>
  <c r="P49" i="10"/>
  <c r="N107" i="10"/>
  <c r="O107" i="10"/>
  <c r="P107" i="10"/>
  <c r="N32" i="10" l="1"/>
  <c r="O32" i="10"/>
  <c r="P32" i="10"/>
  <c r="N33" i="10"/>
  <c r="O33" i="10"/>
  <c r="P33" i="10"/>
  <c r="N34" i="10"/>
  <c r="O34" i="10"/>
  <c r="P34" i="10"/>
  <c r="N35" i="10"/>
  <c r="O35" i="10"/>
  <c r="P35" i="10"/>
  <c r="N30" i="10" l="1"/>
  <c r="N31" i="10"/>
  <c r="P30" i="10" l="1"/>
  <c r="P31" i="10"/>
  <c r="P29" i="10"/>
  <c r="O29" i="10"/>
  <c r="I49" i="10" l="1"/>
  <c r="O30" i="10"/>
  <c r="O31" i="10"/>
  <c r="B5" i="11" l="1"/>
  <c r="B6" i="11"/>
  <c r="B7" i="11"/>
  <c r="M49" i="10" l="1"/>
  <c r="B10" i="11" l="1"/>
  <c r="G30" i="11" l="1"/>
  <c r="F30" i="11"/>
  <c r="F49" i="11" l="1"/>
  <c r="G49" i="11"/>
  <c r="B21" i="11" l="1"/>
  <c r="C24" i="11" l="1"/>
  <c r="J30" i="11"/>
  <c r="J49" i="11" s="1"/>
  <c r="G27" i="11" s="1"/>
  <c r="C30" i="11"/>
  <c r="H11" i="11" l="1"/>
  <c r="I16" i="11"/>
  <c r="I17" i="11"/>
  <c r="I18" i="11"/>
  <c r="J4" i="11"/>
  <c r="H4" i="11" l="1"/>
  <c r="B18" i="11" l="1"/>
  <c r="B17" i="11"/>
  <c r="B16" i="11"/>
  <c r="B15" i="11"/>
  <c r="B12" i="11"/>
  <c r="B11" i="11"/>
  <c r="B23" i="11"/>
  <c r="H21" i="11"/>
  <c r="XFA21" i="11" s="1"/>
  <c r="H18" i="11"/>
  <c r="H17" i="11"/>
  <c r="H16" i="11"/>
  <c r="H15" i="11"/>
  <c r="H10" i="11"/>
  <c r="H6" i="11"/>
  <c r="B4" i="11"/>
  <c r="XFA49" i="11" l="1"/>
  <c r="A13" i="3"/>
  <c r="E13" i="3" l="1"/>
  <c r="D13" i="3"/>
  <c r="C13" i="3"/>
  <c r="E9" i="3"/>
  <c r="H13" i="3" l="1"/>
  <c r="D40" i="11" l="1"/>
  <c r="D38" i="11"/>
  <c r="D42" i="11"/>
  <c r="D31" i="11"/>
  <c r="D39" i="11"/>
  <c r="D33" i="11"/>
  <c r="D30" i="11"/>
  <c r="XFA30" i="11" s="1"/>
  <c r="D36" i="11"/>
  <c r="D35" i="11"/>
  <c r="D32" i="11"/>
  <c r="D43" i="11"/>
  <c r="D37" i="11"/>
  <c r="D41" i="11"/>
  <c r="D34" i="11"/>
  <c r="L30" i="10" l="1"/>
  <c r="L32" i="10"/>
  <c r="L34" i="10"/>
  <c r="L35" i="10"/>
  <c r="L42" i="10"/>
  <c r="L40" i="10"/>
  <c r="L36" i="10"/>
  <c r="L33" i="10"/>
  <c r="L37" i="10"/>
  <c r="L38" i="10"/>
  <c r="L29" i="10"/>
  <c r="L31" i="10"/>
  <c r="L41" i="10"/>
  <c r="L39" i="10"/>
  <c r="L49" i="10" l="1"/>
</calcChain>
</file>

<file path=xl/sharedStrings.xml><?xml version="1.0" encoding="utf-8"?>
<sst xmlns="http://schemas.openxmlformats.org/spreadsheetml/2006/main" count="221" uniqueCount="142">
  <si>
    <t>L/C No. and Date</t>
  </si>
  <si>
    <t>T/T PAYMENT</t>
  </si>
  <si>
    <t>Buyer (if other than consignee)</t>
  </si>
  <si>
    <t>Other  Reference</t>
  </si>
  <si>
    <t>*COUNTRY OF ORIGIN : INDONESIA</t>
  </si>
  <si>
    <t>PO#</t>
  </si>
  <si>
    <t>Terms  of  delivery  and  payment</t>
  </si>
  <si>
    <t xml:space="preserve"> </t>
  </si>
  <si>
    <t>JAKARTA, INDONESIA</t>
  </si>
  <si>
    <t>No. &amp; Kind of Pkgs; Goods Description</t>
  </si>
  <si>
    <t>Quantity</t>
    <phoneticPr fontId="0" type="noConversion"/>
  </si>
  <si>
    <t>Unit  Price</t>
  </si>
  <si>
    <t>Amount</t>
  </si>
  <si>
    <t>DESCRIPTION</t>
  </si>
  <si>
    <t>TOTAL :</t>
  </si>
  <si>
    <t>PACKING LIST</t>
  </si>
  <si>
    <t>KGS</t>
  </si>
  <si>
    <t>CONTAINER MANIFEST</t>
  </si>
  <si>
    <t>PAGE.1</t>
  </si>
  <si>
    <t>SHIPPER:  PT. Zinus Global Indonesia</t>
  </si>
  <si>
    <t>CONSIGNEE: ZINUS,INC (USA)</t>
    <phoneticPr fontId="0" type="noConversion"/>
  </si>
  <si>
    <t>CONTAINER NO.</t>
    <phoneticPr fontId="0" type="noConversion"/>
  </si>
  <si>
    <t>CONTAINER SIZE:</t>
  </si>
  <si>
    <t>SEAL NO.</t>
  </si>
  <si>
    <t>SHIPPING LINE</t>
  </si>
  <si>
    <t>VESSEL / VOY.</t>
  </si>
  <si>
    <t>LOADING PORT</t>
  </si>
  <si>
    <t>DISCHARGE PORT / DESTINATION</t>
  </si>
  <si>
    <t>SAILING DATE</t>
  </si>
  <si>
    <t>ARRIVAL DATE</t>
  </si>
  <si>
    <t>PURCHASE ORDER NO.</t>
  </si>
  <si>
    <t>STYLE NO</t>
  </si>
  <si>
    <t>UPC NO</t>
    <phoneticPr fontId="0" type="noConversion"/>
  </si>
  <si>
    <t>BRIEF DESCRIPTION</t>
  </si>
  <si>
    <t>NO. OF</t>
  </si>
  <si>
    <t>MEASUREMENT</t>
  </si>
  <si>
    <t>GROSS WEIGHT</t>
  </si>
  <si>
    <t>SAMPLE</t>
  </si>
  <si>
    <t>B/L NO.</t>
  </si>
  <si>
    <t>CARTONS</t>
  </si>
  <si>
    <t>CBM</t>
  </si>
  <si>
    <t>PCS</t>
    <phoneticPr fontId="0" type="noConversion"/>
  </si>
  <si>
    <t>CTN. NO.</t>
  </si>
  <si>
    <t>TOTAL:</t>
  </si>
  <si>
    <t>SHIPPER'S CO. CHOP &amp;</t>
  </si>
  <si>
    <t xml:space="preserve">AUTHORIZED SIGNATURE: </t>
  </si>
  <si>
    <t>20' 40'S 40RH  40'H  45'</t>
  </si>
  <si>
    <t>Quantity</t>
  </si>
  <si>
    <t>8F, 10 (AMIGO-TOWER) YATAP-RO,</t>
  </si>
  <si>
    <t>JULY. XX, 2019</t>
  </si>
  <si>
    <t>AUGT. XX, 2019</t>
  </si>
  <si>
    <t>XX</t>
  </si>
  <si>
    <t>PO DATE : MAY. XX,2019</t>
  </si>
  <si>
    <t>ETD           : JULY. XX,2019</t>
  </si>
  <si>
    <t xml:space="preserve"> [     ] [  X   ] [     ]   [    ]  [    ]</t>
  </si>
  <si>
    <t>ITEM#</t>
  </si>
  <si>
    <t>410 TERRY AVE. NORTH SEATTLE, WA 98109-5210</t>
  </si>
  <si>
    <t>PCS</t>
  </si>
  <si>
    <t>HS CODE</t>
  </si>
  <si>
    <t>AMAZON.COM SERVICES LLC</t>
  </si>
  <si>
    <t>Invoice No. and Date</t>
  </si>
  <si>
    <t>ZINUS  INC,</t>
  </si>
  <si>
    <t>=Shipping Mark=</t>
  </si>
  <si>
    <t>COMMERCIAL INVOICE</t>
  </si>
  <si>
    <t>UNITED STATES</t>
  </si>
  <si>
    <t>Consignee :</t>
  </si>
  <si>
    <t>Notify :</t>
  </si>
  <si>
    <t xml:space="preserve">DO# </t>
  </si>
  <si>
    <t>Departure Date :</t>
  </si>
  <si>
    <t>Vessel / Flight / Voyage :</t>
  </si>
  <si>
    <t xml:space="preserve">From / Port Of Loading :      </t>
  </si>
  <si>
    <t>Jakarta, INDONESIA</t>
  </si>
  <si>
    <t>F CODE</t>
  </si>
  <si>
    <t>To :</t>
  </si>
  <si>
    <t xml:space="preserve"> Shipper</t>
  </si>
  <si>
    <t>QTY</t>
  </si>
  <si>
    <t>NW/PCS</t>
  </si>
  <si>
    <t>Total NW</t>
  </si>
  <si>
    <t xml:space="preserve"> T/T 90 days after Document Date</t>
  </si>
  <si>
    <t xml:space="preserve">Net  Weight </t>
  </si>
  <si>
    <t xml:space="preserve"> Gross  Weight</t>
  </si>
  <si>
    <t xml:space="preserve">  Measurement</t>
  </si>
  <si>
    <t>= Shipping MARK</t>
  </si>
  <si>
    <t>T/T 90 days after Document Date</t>
  </si>
  <si>
    <t>FOB INDONESIA</t>
  </si>
  <si>
    <t xml:space="preserve">Vessel / Flight  </t>
  </si>
  <si>
    <t>Departure :</t>
  </si>
  <si>
    <t xml:space="preserve"> Total N.W</t>
  </si>
  <si>
    <t>WE DECLARE THAT THE SHIPMENT CONTAINS NO SOLID WOOD PACKING MATERIALS.</t>
  </si>
  <si>
    <t xml:space="preserve">To : </t>
  </si>
  <si>
    <t xml:space="preserve">BL# </t>
  </si>
  <si>
    <t>SHIPPER</t>
  </si>
  <si>
    <t>PT ZINUS DREAM INDONESIA</t>
  </si>
  <si>
    <t>JL. RAYA SERANG KM. 12 RT. 01 RW. 05</t>
  </si>
  <si>
    <t>KP. GEBANG DESA/KEL. SUKADAMAI, KEC. CIKUPA, KAB. TANGERANG</t>
  </si>
  <si>
    <t>BANTEN, INDONESIA</t>
  </si>
  <si>
    <t>Signed by,</t>
  </si>
  <si>
    <t>ZU-MFMA1ZZI-12T</t>
  </si>
  <si>
    <t>F.MFM.12T.006.AD</t>
  </si>
  <si>
    <t>ID2609-9297</t>
  </si>
  <si>
    <t>DAMCO CUSTOMS SERVICES INC.</t>
  </si>
  <si>
    <t>ZINUSNAMCHB@LNS.MAERSK.COM</t>
  </si>
  <si>
    <t>9300 ARROWPOINT BOULEVARD BUILDING1</t>
  </si>
  <si>
    <t>CHARLOTTE, NC 28273</t>
  </si>
  <si>
    <t>81 BEON-GIL BUNDANG-GU, SEONGNAM-SI, GYUNGGI-DO, KOREA</t>
  </si>
  <si>
    <t>8GHY1D8T</t>
  </si>
  <si>
    <t>ZU-MFGN1YZI-12K</t>
  </si>
  <si>
    <t>ZU-MFMA1ZZI-10X</t>
  </si>
  <si>
    <t>ZU-MFMA1ZZI-05T</t>
  </si>
  <si>
    <t>ZU-MFMA1RZI-10T</t>
  </si>
  <si>
    <t>ZU-MFMA1OZI-05T</t>
  </si>
  <si>
    <t>ZU-MFMA1ZZI-06Q</t>
  </si>
  <si>
    <t>ZU-MFMA1ZZI-10T</t>
  </si>
  <si>
    <t>ZU-MFMA1ZZI-10F</t>
  </si>
  <si>
    <t>ZU-MFGN1YZI-10F</t>
  </si>
  <si>
    <t>ZU-MFMA1ZZI-08T</t>
  </si>
  <si>
    <t>F.MFG.12K.002.AD</t>
  </si>
  <si>
    <t>F.MFM.10X.007.AD</t>
  </si>
  <si>
    <t>F.MFM.05T.007.AD</t>
  </si>
  <si>
    <t>F.MFM.10T.014.AD</t>
  </si>
  <si>
    <t>F.MFM.05T.008.AD</t>
  </si>
  <si>
    <t>F.MFM.06Q.007.AD</t>
  </si>
  <si>
    <t>F.MFM.10T.007.AD</t>
  </si>
  <si>
    <t>F.MFM.10F.007.AD</t>
  </si>
  <si>
    <t>F.MFG.10F.002.AD</t>
  </si>
  <si>
    <t>F.MFM.08T.008.AD</t>
  </si>
  <si>
    <t>EBKG18575113</t>
  </si>
  <si>
    <t>MEDUKU810470</t>
  </si>
  <si>
    <t>MSC SINGAPORE IV XF640R</t>
  </si>
  <si>
    <t>LONG BEACH, CA, UNITED STATES</t>
  </si>
  <si>
    <t>9404.21.20</t>
  </si>
  <si>
    <t>12In Mygel Foam Mattress King</t>
  </si>
  <si>
    <t>10IN GREEN TEA FOAM MATTRESS TWIN XL</t>
  </si>
  <si>
    <t>5in Green Tea Foam Mattress Twin</t>
  </si>
  <si>
    <t>12In Green Tea Foam Mattress Twin</t>
  </si>
  <si>
    <t>10In Green Tea Essential Twin Mattress</t>
  </si>
  <si>
    <t>5In Cooling Essential Twin Mattress</t>
  </si>
  <si>
    <t>6In Green Tea Foam Mattress Queen</t>
  </si>
  <si>
    <t>10In Green Tea Foam Mattress Twin</t>
  </si>
  <si>
    <t>10In Green Tea Foam Mattress Full</t>
  </si>
  <si>
    <t>10In Mygel Foam Mattress Full</t>
  </si>
  <si>
    <t>8In Green Tea Foam Mattress Twin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</si>
</sst>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0&quot;KGS&quot;"/>
    <numFmt numFmtId="167" formatCode="#,##0.000"/>
    <numFmt numFmtId="168" formatCode="000000"/>
    <numFmt numFmtId="169" formatCode="&quot;*&quot;0&quot;*&quot;\ "/>
    <numFmt numFmtId="170" formatCode="[$-409]dd/mmm/yy;@"/>
    <numFmt numFmtId="171" formatCode="mm&quot;월&quot;\ dd&quot;일&quot;"/>
    <numFmt numFmtId="172" formatCode="0.000_);[Red]\(0.000\)"/>
    <numFmt numFmtId="173" formatCode="0_);[Red]\(0\)"/>
    <numFmt numFmtId="174" formatCode="_ * #,##0.00_ ;_ * \-#,##0.00_ ;_ * &quot;-&quot;??_ ;_ @_ "/>
    <numFmt numFmtId="175" formatCode="0&quot;PCS&quot;"/>
    <numFmt numFmtId="176" formatCode="0&quot;CTNS&quot;"/>
    <numFmt numFmtId="177" formatCode="0.000&quot;M3&quot;"/>
    <numFmt numFmtId="178" formatCode="[$-23809]m/d/yyyy;@"/>
    <numFmt numFmtId="179" formatCode="_-[$$-409]* #,##0.00_ ;_-[$$-409]* \-#,##0.00\ ;_-[$$-409]* &quot;-&quot;??_ ;_-@_ "/>
    <numFmt numFmtId="180" formatCode="0.00_);[Red]\(0.00\)"/>
    <numFmt numFmtId="181" formatCode="_ * #,##0_ ;_ * \-#,##0_ ;_ * &quot;-&quot;??_ ;_ @_ "/>
    <numFmt numFmtId="182" formatCode="[$-13809]dd\ mmmm\ yyyy;@"/>
  </numFmts>
  <fonts count="31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2"/>
      <name val="바탕체"/>
      <family val="3"/>
      <charset val="134"/>
    </font>
    <font>
      <sz val="12"/>
      <name val="바탕체"/>
      <family val="3"/>
    </font>
    <font>
      <sz val="10"/>
      <name val="Arial"/>
      <family val="2"/>
    </font>
    <font>
      <sz val="11"/>
      <name val="돋움"/>
      <family val="2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rgb="FFFF0000"/>
      <name val="Arial"/>
      <family val="2"/>
    </font>
    <font>
      <sz val="9"/>
      <color indexed="8"/>
      <name val="3 of 9 Barcode"/>
      <family val="5"/>
    </font>
    <font>
      <b/>
      <sz val="9"/>
      <color indexed="8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  <charset val="134"/>
    </font>
    <font>
      <sz val="9"/>
      <color theme="1"/>
      <name val="Calibri"/>
      <family val="2"/>
      <scheme val="minor"/>
    </font>
    <font>
      <b/>
      <sz val="16"/>
      <name val="Arial"/>
      <family val="2"/>
    </font>
    <font>
      <sz val="12"/>
      <name val="Times New Roman"/>
      <family val="1"/>
    </font>
    <font>
      <sz val="11"/>
      <name val="돋움"/>
      <family val="2"/>
      <charset val="129"/>
    </font>
    <font>
      <sz val="12"/>
      <name val="新細明體"/>
      <family val="1"/>
    </font>
    <font>
      <sz val="8"/>
      <color indexed="8"/>
      <name val="Arial"/>
      <family val="2"/>
    </font>
    <font>
      <sz val="12"/>
      <name val="宋体"/>
      <charset val="134"/>
    </font>
    <font>
      <sz val="11"/>
      <color indexed="8"/>
      <name val="宋体"/>
      <family val="3"/>
      <charset val="134"/>
    </font>
    <font>
      <sz val="15"/>
      <name val="Calibri"/>
      <family val="2"/>
      <scheme val="minor"/>
    </font>
    <font>
      <b/>
      <sz val="15"/>
      <name val="Calibri"/>
      <family val="2"/>
      <scheme val="minor"/>
    </font>
    <font>
      <b/>
      <u/>
      <sz val="15"/>
      <name val="Calibri"/>
      <family val="2"/>
      <scheme val="minor"/>
    </font>
    <font>
      <b/>
      <sz val="35"/>
      <name val="Calibri"/>
      <family val="2"/>
      <scheme val="minor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5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1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" fillId="0" borderId="0"/>
    <xf numFmtId="0" fontId="7" fillId="0" borderId="0">
      <alignment vertical="center"/>
    </xf>
    <xf numFmtId="0" fontId="6" fillId="0" borderId="0"/>
    <xf numFmtId="0" fontId="4" fillId="0" borderId="0"/>
    <xf numFmtId="0" fontId="6" fillId="0" borderId="0"/>
    <xf numFmtId="174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>
      <alignment vertical="center"/>
    </xf>
    <xf numFmtId="165" fontId="1" fillId="0" borderId="0" applyFont="0" applyFill="0" applyBorder="0" applyAlignment="0" applyProtection="0"/>
    <xf numFmtId="0" fontId="6" fillId="0" borderId="0"/>
    <xf numFmtId="0" fontId="6" fillId="0" borderId="0"/>
    <xf numFmtId="0" fontId="19" fillId="0" borderId="0">
      <alignment vertical="center"/>
    </xf>
    <xf numFmtId="0" fontId="5" fillId="0" borderId="0"/>
    <xf numFmtId="164" fontId="19" fillId="0" borderId="0" applyFont="0" applyFill="0" applyBorder="0" applyAlignment="0" applyProtection="0">
      <alignment vertical="center"/>
    </xf>
    <xf numFmtId="0" fontId="20" fillId="0" borderId="0"/>
    <xf numFmtId="0" fontId="18" fillId="0" borderId="0"/>
    <xf numFmtId="0" fontId="22" fillId="0" borderId="0">
      <alignment vertical="center"/>
    </xf>
    <xf numFmtId="0" fontId="7" fillId="0" borderId="0"/>
    <xf numFmtId="164" fontId="22" fillId="0" borderId="0" applyFont="0" applyFill="0" applyBorder="0" applyAlignment="0" applyProtection="0"/>
    <xf numFmtId="0" fontId="22" fillId="0" borderId="0"/>
    <xf numFmtId="0" fontId="23" fillId="0" borderId="0">
      <alignment vertical="center"/>
    </xf>
    <xf numFmtId="44" fontId="6" fillId="0" borderId="0" applyFont="0" applyFill="0" applyBorder="0" applyAlignment="0" applyProtection="0"/>
  </cellStyleXfs>
  <cellXfs count="295">
    <xf numFmtId="0" fontId="0" fillId="0" borderId="0" xfId="0"/>
    <xf numFmtId="0" fontId="8" fillId="0" borderId="0" xfId="12" applyFont="1" applyAlignment="1">
      <alignment horizontal="centerContinuous"/>
    </xf>
    <xf numFmtId="168" fontId="8" fillId="0" borderId="0" xfId="12" applyNumberFormat="1" applyFont="1" applyAlignment="1">
      <alignment horizontal="centerContinuous"/>
    </xf>
    <xf numFmtId="167" fontId="8" fillId="0" borderId="0" xfId="12" applyNumberFormat="1" applyFont="1" applyAlignment="1">
      <alignment horizontal="centerContinuous"/>
    </xf>
    <xf numFmtId="0" fontId="8" fillId="0" borderId="0" xfId="12" applyFont="1" applyAlignment="1">
      <alignment horizontal="center"/>
    </xf>
    <xf numFmtId="0" fontId="8" fillId="0" borderId="0" xfId="12" applyFont="1"/>
    <xf numFmtId="0" fontId="9" fillId="0" borderId="0" xfId="12" applyFont="1"/>
    <xf numFmtId="168" fontId="9" fillId="0" borderId="0" xfId="12" applyNumberFormat="1" applyFont="1"/>
    <xf numFmtId="167" fontId="9" fillId="0" borderId="0" xfId="12" applyNumberFormat="1" applyFont="1"/>
    <xf numFmtId="0" fontId="10" fillId="0" borderId="20" xfId="12" applyFont="1" applyBorder="1" applyAlignment="1">
      <alignment horizontal="center" vertical="center"/>
    </xf>
    <xf numFmtId="0" fontId="10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/>
    </xf>
    <xf numFmtId="168" fontId="9" fillId="0" borderId="0" xfId="12" applyNumberFormat="1" applyFont="1" applyAlignment="1">
      <alignment horizontal="center"/>
    </xf>
    <xf numFmtId="0" fontId="8" fillId="0" borderId="9" xfId="12" applyFont="1" applyBorder="1"/>
    <xf numFmtId="169" fontId="8" fillId="0" borderId="8" xfId="12" applyNumberFormat="1" applyFont="1" applyBorder="1"/>
    <xf numFmtId="168" fontId="8" fillId="0" borderId="18" xfId="12" applyNumberFormat="1" applyFont="1" applyBorder="1"/>
    <xf numFmtId="0" fontId="8" fillId="0" borderId="19" xfId="12" applyFont="1" applyBorder="1"/>
    <xf numFmtId="0" fontId="8" fillId="0" borderId="18" xfId="12" applyFont="1" applyBorder="1"/>
    <xf numFmtId="167" fontId="8" fillId="0" borderId="9" xfId="12" applyNumberFormat="1" applyFont="1" applyBorder="1"/>
    <xf numFmtId="0" fontId="8" fillId="0" borderId="8" xfId="12" applyFont="1" applyBorder="1"/>
    <xf numFmtId="0" fontId="8" fillId="0" borderId="19" xfId="12" applyFont="1" applyBorder="1" applyAlignment="1">
      <alignment horizontal="center"/>
    </xf>
    <xf numFmtId="168" fontId="8" fillId="0" borderId="19" xfId="12" applyNumberFormat="1" applyFont="1" applyBorder="1" applyAlignment="1">
      <alignment horizontal="center"/>
    </xf>
    <xf numFmtId="167" fontId="8" fillId="0" borderId="19" xfId="12" applyNumberFormat="1" applyFont="1" applyBorder="1" applyAlignment="1">
      <alignment horizontal="center"/>
    </xf>
    <xf numFmtId="0" fontId="8" fillId="0" borderId="21" xfId="12" applyFont="1" applyBorder="1" applyAlignment="1">
      <alignment horizontal="center"/>
    </xf>
    <xf numFmtId="168" fontId="8" fillId="0" borderId="21" xfId="12" applyNumberFormat="1" applyFont="1" applyBorder="1" applyAlignment="1">
      <alignment horizontal="center"/>
    </xf>
    <xf numFmtId="0" fontId="14" fillId="0" borderId="21" xfId="12" applyFont="1" applyBorder="1" applyAlignment="1">
      <alignment horizontal="center"/>
    </xf>
    <xf numFmtId="167" fontId="8" fillId="0" borderId="21" xfId="12" applyNumberFormat="1" applyFont="1" applyBorder="1" applyAlignment="1">
      <alignment horizontal="center"/>
    </xf>
    <xf numFmtId="0" fontId="8" fillId="0" borderId="22" xfId="12" applyFont="1" applyBorder="1" applyAlignment="1">
      <alignment horizontal="center" vertical="center" wrapText="1"/>
    </xf>
    <xf numFmtId="0" fontId="9" fillId="0" borderId="21" xfId="12" applyFont="1" applyBorder="1" applyAlignment="1">
      <alignment horizontal="center" vertical="center"/>
    </xf>
    <xf numFmtId="172" fontId="9" fillId="0" borderId="21" xfId="12" applyNumberFormat="1" applyFont="1" applyBorder="1" applyAlignment="1">
      <alignment horizontal="center" vertical="center"/>
    </xf>
    <xf numFmtId="167" fontId="9" fillId="0" borderId="21" xfId="12" applyNumberFormat="1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172" fontId="9" fillId="0" borderId="22" xfId="12" applyNumberFormat="1" applyFont="1" applyBorder="1" applyAlignment="1">
      <alignment horizontal="center" vertical="center"/>
    </xf>
    <xf numFmtId="167" fontId="9" fillId="0" borderId="22" xfId="12" applyNumberFormat="1" applyFont="1" applyBorder="1" applyAlignment="1">
      <alignment horizontal="center" vertical="center"/>
    </xf>
    <xf numFmtId="0" fontId="8" fillId="0" borderId="22" xfId="12" applyFont="1" applyBorder="1" applyAlignment="1">
      <alignment horizontal="center"/>
    </xf>
    <xf numFmtId="0" fontId="8" fillId="0" borderId="22" xfId="12" applyFont="1" applyBorder="1" applyAlignment="1">
      <alignment horizontal="center" vertical="center"/>
    </xf>
    <xf numFmtId="0" fontId="8" fillId="0" borderId="0" xfId="12" applyFont="1" applyAlignment="1">
      <alignment horizontal="right" vertical="center"/>
    </xf>
    <xf numFmtId="173" fontId="8" fillId="0" borderId="21" xfId="12" applyNumberFormat="1" applyFont="1" applyBorder="1" applyAlignment="1">
      <alignment horizontal="center" vertical="center"/>
    </xf>
    <xf numFmtId="172" fontId="8" fillId="0" borderId="21" xfId="12" applyNumberFormat="1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5" borderId="0" xfId="12" applyFont="1" applyFill="1"/>
    <xf numFmtId="0" fontId="10" fillId="0" borderId="0" xfId="3" applyFont="1" applyAlignment="1">
      <alignment vertical="center"/>
    </xf>
    <xf numFmtId="0" fontId="15" fillId="4" borderId="22" xfId="10" applyFont="1" applyFill="1" applyBorder="1" applyAlignment="1">
      <alignment horizontal="center" vertical="center" wrapText="1"/>
    </xf>
    <xf numFmtId="0" fontId="16" fillId="4" borderId="22" xfId="13" quotePrefix="1" applyFont="1" applyFill="1" applyBorder="1" applyAlignment="1">
      <alignment horizontal="center" vertical="center"/>
    </xf>
    <xf numFmtId="0" fontId="21" fillId="4" borderId="22" xfId="3" applyFont="1" applyFill="1" applyBorder="1" applyAlignment="1">
      <alignment horizontal="left" vertical="center"/>
    </xf>
    <xf numFmtId="3" fontId="8" fillId="0" borderId="21" xfId="12" applyNumberFormat="1" applyFont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25" fillId="0" borderId="2" xfId="2" applyFont="1" applyBorder="1" applyAlignment="1">
      <alignment vertical="center"/>
    </xf>
    <xf numFmtId="0" fontId="24" fillId="0" borderId="16" xfId="2" applyFont="1" applyBorder="1" applyAlignment="1">
      <alignment vertical="center"/>
    </xf>
    <xf numFmtId="49" fontId="24" fillId="0" borderId="0" xfId="2" applyNumberFormat="1" applyFont="1" applyAlignment="1">
      <alignment horizontal="right" vertical="center"/>
    </xf>
    <xf numFmtId="0" fontId="24" fillId="0" borderId="4" xfId="2" quotePrefix="1" applyFont="1" applyBorder="1" applyAlignment="1">
      <alignment horizontal="left" vertical="center"/>
    </xf>
    <xf numFmtId="0" fontId="24" fillId="0" borderId="5" xfId="28" quotePrefix="1" applyFont="1" applyBorder="1" applyAlignment="1">
      <alignment horizontal="left" vertical="center"/>
    </xf>
    <xf numFmtId="0" fontId="24" fillId="0" borderId="5" xfId="2" applyFont="1" applyBorder="1" applyAlignment="1">
      <alignment vertical="center"/>
    </xf>
    <xf numFmtId="49" fontId="24" fillId="0" borderId="5" xfId="2" applyNumberFormat="1" applyFont="1" applyBorder="1" applyAlignment="1">
      <alignment horizontal="right" vertical="center"/>
    </xf>
    <xf numFmtId="178" fontId="24" fillId="0" borderId="5" xfId="3" applyNumberFormat="1" applyFont="1" applyBorder="1" applyAlignment="1">
      <alignment vertical="center"/>
    </xf>
    <xf numFmtId="0" fontId="25" fillId="0" borderId="9" xfId="2" applyFont="1" applyBorder="1" applyAlignment="1">
      <alignment vertical="center"/>
    </xf>
    <xf numFmtId="0" fontId="24" fillId="0" borderId="8" xfId="2" applyFont="1" applyBorder="1" applyAlignment="1">
      <alignment vertical="center"/>
    </xf>
    <xf numFmtId="49" fontId="24" fillId="0" borderId="8" xfId="2" applyNumberFormat="1" applyFont="1" applyBorder="1" applyAlignment="1">
      <alignment horizontal="right" vertical="center"/>
    </xf>
    <xf numFmtId="0" fontId="24" fillId="0" borderId="2" xfId="2" applyFont="1" applyBorder="1" applyAlignment="1">
      <alignment vertical="center"/>
    </xf>
    <xf numFmtId="0" fontId="24" fillId="0" borderId="4" xfId="2" applyFont="1" applyBorder="1" applyAlignment="1">
      <alignment vertical="center"/>
    </xf>
    <xf numFmtId="0" fontId="24" fillId="0" borderId="17" xfId="2" applyFont="1" applyBorder="1" applyAlignment="1">
      <alignment vertical="center"/>
    </xf>
    <xf numFmtId="0" fontId="25" fillId="0" borderId="8" xfId="2" applyFont="1" applyBorder="1" applyAlignment="1">
      <alignment vertical="center"/>
    </xf>
    <xf numFmtId="0" fontId="24" fillId="0" borderId="18" xfId="2" applyFont="1" applyBorder="1" applyAlignment="1">
      <alignment vertical="center"/>
    </xf>
    <xf numFmtId="0" fontId="24" fillId="0" borderId="0" xfId="3" applyFont="1" applyAlignment="1">
      <alignment vertical="center"/>
    </xf>
    <xf numFmtId="0" fontId="24" fillId="0" borderId="16" xfId="3" applyFont="1" applyBorder="1" applyAlignment="1">
      <alignment vertical="center"/>
    </xf>
    <xf numFmtId="0" fontId="24" fillId="3" borderId="5" xfId="28" applyFont="1" applyFill="1" applyBorder="1" applyAlignment="1" applyProtection="1">
      <alignment vertical="center"/>
      <protection locked="0"/>
    </xf>
    <xf numFmtId="0" fontId="24" fillId="0" borderId="5" xfId="3" applyFont="1" applyBorder="1" applyAlignment="1">
      <alignment vertical="center"/>
    </xf>
    <xf numFmtId="0" fontId="24" fillId="0" borderId="5" xfId="5" applyFont="1" applyBorder="1"/>
    <xf numFmtId="0" fontId="24" fillId="0" borderId="17" xfId="3" applyFont="1" applyBorder="1" applyAlignment="1">
      <alignment vertical="center"/>
    </xf>
    <xf numFmtId="0" fontId="25" fillId="0" borderId="2" xfId="2" applyFont="1" applyBorder="1" applyAlignment="1">
      <alignment horizontal="left" vertical="center"/>
    </xf>
    <xf numFmtId="0" fontId="25" fillId="2" borderId="2" xfId="2" applyFont="1" applyFill="1" applyBorder="1" applyAlignment="1">
      <alignment horizontal="left" vertical="center"/>
    </xf>
    <xf numFmtId="0" fontId="24" fillId="2" borderId="4" xfId="2" applyFont="1" applyFill="1" applyBorder="1" applyAlignment="1">
      <alignment vertical="center"/>
    </xf>
    <xf numFmtId="0" fontId="25" fillId="0" borderId="5" xfId="2" applyFont="1" applyBorder="1" applyAlignment="1">
      <alignment vertical="center"/>
    </xf>
    <xf numFmtId="0" fontId="25" fillId="0" borderId="8" xfId="3" applyFont="1" applyBorder="1" applyAlignment="1">
      <alignment vertical="center"/>
    </xf>
    <xf numFmtId="178" fontId="24" fillId="0" borderId="8" xfId="3" applyNumberFormat="1" applyFont="1" applyBorder="1" applyAlignment="1">
      <alignment horizontal="right" vertical="center"/>
    </xf>
    <xf numFmtId="49" fontId="24" fillId="0" borderId="8" xfId="3" applyNumberFormat="1" applyFont="1" applyBorder="1" applyAlignment="1">
      <alignment vertical="center"/>
    </xf>
    <xf numFmtId="49" fontId="24" fillId="0" borderId="5" xfId="3" applyNumberFormat="1" applyFont="1" applyBorder="1" applyAlignment="1">
      <alignment vertical="center"/>
    </xf>
    <xf numFmtId="0" fontId="24" fillId="2" borderId="0" xfId="2" applyFont="1" applyFill="1" applyAlignment="1">
      <alignment vertical="center"/>
    </xf>
    <xf numFmtId="0" fontId="24" fillId="0" borderId="5" xfId="29" applyFont="1" applyBorder="1" applyAlignment="1">
      <alignment vertical="center" wrapText="1"/>
    </xf>
    <xf numFmtId="0" fontId="24" fillId="2" borderId="5" xfId="3" applyFont="1" applyFill="1" applyBorder="1" applyAlignment="1">
      <alignment vertical="center"/>
    </xf>
    <xf numFmtId="0" fontId="24" fillId="2" borderId="16" xfId="2" applyFont="1" applyFill="1" applyBorder="1" applyAlignment="1">
      <alignment vertical="center"/>
    </xf>
    <xf numFmtId="0" fontId="24" fillId="2" borderId="2" xfId="2" applyFont="1" applyFill="1" applyBorder="1" applyAlignment="1">
      <alignment vertical="center"/>
    </xf>
    <xf numFmtId="0" fontId="25" fillId="0" borderId="24" xfId="3" applyFont="1" applyBorder="1" applyAlignment="1">
      <alignment vertical="center"/>
    </xf>
    <xf numFmtId="0" fontId="24" fillId="0" borderId="12" xfId="2" applyFont="1" applyBorder="1" applyAlignment="1">
      <alignment vertical="center"/>
    </xf>
    <xf numFmtId="0" fontId="24" fillId="0" borderId="12" xfId="3" applyFont="1" applyBorder="1" applyAlignment="1">
      <alignment vertical="center"/>
    </xf>
    <xf numFmtId="0" fontId="25" fillId="0" borderId="25" xfId="7" applyFont="1" applyBorder="1"/>
    <xf numFmtId="0" fontId="24" fillId="0" borderId="25" xfId="2" applyFont="1" applyBorder="1" applyAlignment="1">
      <alignment vertical="center"/>
    </xf>
    <xf numFmtId="0" fontId="24" fillId="0" borderId="25" xfId="2" applyFont="1" applyBorder="1" applyAlignment="1">
      <alignment horizontal="right" vertical="center"/>
    </xf>
    <xf numFmtId="0" fontId="25" fillId="0" borderId="25" xfId="2" applyFont="1" applyBorder="1" applyAlignment="1">
      <alignment vertical="center"/>
    </xf>
    <xf numFmtId="181" fontId="25" fillId="0" borderId="25" xfId="2" applyNumberFormat="1" applyFont="1" applyBorder="1" applyAlignment="1">
      <alignment horizontal="left" vertical="center"/>
    </xf>
    <xf numFmtId="0" fontId="25" fillId="0" borderId="25" xfId="2" applyFont="1" applyBorder="1" applyAlignment="1">
      <alignment horizontal="center" vertical="center"/>
    </xf>
    <xf numFmtId="179" fontId="25" fillId="0" borderId="25" xfId="2" applyNumberFormat="1" applyFont="1" applyBorder="1" applyAlignment="1">
      <alignment horizontal="left" vertical="center"/>
    </xf>
    <xf numFmtId="0" fontId="25" fillId="0" borderId="1" xfId="2" applyFont="1" applyBorder="1" applyAlignment="1">
      <alignment vertical="center"/>
    </xf>
    <xf numFmtId="0" fontId="24" fillId="0" borderId="1" xfId="2" applyFont="1" applyBorder="1" applyAlignment="1">
      <alignment vertical="center"/>
    </xf>
    <xf numFmtId="49" fontId="24" fillId="0" borderId="0" xfId="2" applyNumberFormat="1" applyFont="1" applyAlignment="1">
      <alignment vertical="center"/>
    </xf>
    <xf numFmtId="0" fontId="25" fillId="0" borderId="25" xfId="2" applyFont="1" applyBorder="1" applyAlignment="1">
      <alignment horizontal="right" vertical="center"/>
    </xf>
    <xf numFmtId="175" fontId="25" fillId="0" borderId="25" xfId="2" applyNumberFormat="1" applyFont="1" applyBorder="1" applyAlignment="1">
      <alignment horizontal="center" vertical="center"/>
    </xf>
    <xf numFmtId="176" fontId="25" fillId="0" borderId="25" xfId="2" applyNumberFormat="1" applyFont="1" applyBorder="1" applyAlignment="1">
      <alignment horizontal="center" vertical="center"/>
    </xf>
    <xf numFmtId="177" fontId="25" fillId="0" borderId="25" xfId="3" applyNumberFormat="1" applyFont="1" applyBorder="1" applyAlignment="1">
      <alignment horizontal="center" vertical="center"/>
    </xf>
    <xf numFmtId="0" fontId="24" fillId="0" borderId="11" xfId="2" applyFont="1" applyBorder="1" applyAlignment="1">
      <alignment vertical="center"/>
    </xf>
    <xf numFmtId="0" fontId="25" fillId="0" borderId="10" xfId="3" applyFont="1" applyBorder="1" applyAlignment="1">
      <alignment vertical="center"/>
    </xf>
    <xf numFmtId="0" fontId="24" fillId="0" borderId="10" xfId="2" applyFont="1" applyBorder="1" applyAlignment="1">
      <alignment vertical="center"/>
    </xf>
    <xf numFmtId="0" fontId="24" fillId="0" borderId="26" xfId="2" applyFont="1" applyBorder="1" applyAlignment="1">
      <alignment vertical="center"/>
    </xf>
    <xf numFmtId="0" fontId="24" fillId="0" borderId="0" xfId="2" applyFont="1" applyAlignment="1">
      <alignment horizontal="right" vertical="center"/>
    </xf>
    <xf numFmtId="178" fontId="24" fillId="0" borderId="3" xfId="3" applyNumberFormat="1" applyFont="1" applyBorder="1" applyAlignment="1">
      <alignment vertical="center"/>
    </xf>
    <xf numFmtId="178" fontId="24" fillId="0" borderId="6" xfId="3" applyNumberFormat="1" applyFont="1" applyBorder="1" applyAlignment="1">
      <alignment vertical="center"/>
    </xf>
    <xf numFmtId="0" fontId="24" fillId="3" borderId="1" xfId="28" applyFont="1" applyFill="1" applyBorder="1" applyAlignment="1" applyProtection="1">
      <alignment vertical="center"/>
      <protection locked="0"/>
    </xf>
    <xf numFmtId="49" fontId="24" fillId="0" borderId="30" xfId="2" applyNumberFormat="1" applyFont="1" applyBorder="1" applyAlignment="1">
      <alignment vertical="center"/>
    </xf>
    <xf numFmtId="0" fontId="24" fillId="0" borderId="3" xfId="2" applyFont="1" applyBorder="1" applyAlignment="1">
      <alignment vertical="center"/>
    </xf>
    <xf numFmtId="0" fontId="24" fillId="0" borderId="6" xfId="2" applyFont="1" applyBorder="1" applyAlignment="1">
      <alignment vertical="center"/>
    </xf>
    <xf numFmtId="0" fontId="25" fillId="0" borderId="31" xfId="2" applyFont="1" applyBorder="1" applyAlignment="1">
      <alignment vertical="center"/>
    </xf>
    <xf numFmtId="49" fontId="24" fillId="0" borderId="3" xfId="2" applyNumberFormat="1" applyFont="1" applyBorder="1" applyAlignment="1">
      <alignment vertical="center"/>
    </xf>
    <xf numFmtId="0" fontId="25" fillId="0" borderId="1" xfId="28" applyFont="1" applyBorder="1" applyAlignment="1" applyProtection="1">
      <alignment vertical="center"/>
      <protection locked="0"/>
    </xf>
    <xf numFmtId="0" fontId="25" fillId="0" borderId="3" xfId="3" applyFont="1" applyBorder="1" applyAlignment="1">
      <alignment vertical="center"/>
    </xf>
    <xf numFmtId="0" fontId="24" fillId="0" borderId="3" xfId="28" applyFont="1" applyBorder="1" applyAlignment="1">
      <alignment vertical="center"/>
    </xf>
    <xf numFmtId="0" fontId="24" fillId="0" borderId="3" xfId="3" applyFont="1" applyBorder="1" applyAlignment="1">
      <alignment vertical="center"/>
    </xf>
    <xf numFmtId="0" fontId="24" fillId="0" borderId="7" xfId="3" applyFont="1" applyBorder="1" applyAlignment="1">
      <alignment vertical="center"/>
    </xf>
    <xf numFmtId="0" fontId="24" fillId="0" borderId="1" xfId="28" applyFont="1" applyBorder="1" applyAlignment="1" applyProtection="1">
      <alignment vertical="center"/>
      <protection locked="0"/>
    </xf>
    <xf numFmtId="49" fontId="24" fillId="0" borderId="6" xfId="2" applyNumberFormat="1" applyFont="1" applyBorder="1" applyAlignment="1">
      <alignment vertical="center"/>
    </xf>
    <xf numFmtId="0" fontId="25" fillId="0" borderId="31" xfId="3" applyFont="1" applyBorder="1" applyAlignment="1">
      <alignment vertical="center"/>
    </xf>
    <xf numFmtId="0" fontId="25" fillId="0" borderId="1" xfId="3" applyFont="1" applyBorder="1" applyAlignment="1">
      <alignment vertical="center"/>
    </xf>
    <xf numFmtId="49" fontId="24" fillId="2" borderId="3" xfId="2" applyNumberFormat="1" applyFont="1" applyFill="1" applyBorder="1" applyAlignment="1">
      <alignment vertical="center"/>
    </xf>
    <xf numFmtId="0" fontId="25" fillId="0" borderId="32" xfId="2" applyFont="1" applyBorder="1" applyAlignment="1">
      <alignment vertical="center"/>
    </xf>
    <xf numFmtId="0" fontId="25" fillId="0" borderId="1" xfId="2" quotePrefix="1" applyFont="1" applyBorder="1" applyAlignment="1">
      <alignment vertical="center"/>
    </xf>
    <xf numFmtId="49" fontId="25" fillId="0" borderId="3" xfId="2" applyNumberFormat="1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49" fontId="26" fillId="0" borderId="3" xfId="2" applyNumberFormat="1" applyFont="1" applyBorder="1" applyAlignment="1">
      <alignment horizontal="center" vertical="center"/>
    </xf>
    <xf numFmtId="49" fontId="24" fillId="0" borderId="3" xfId="2" applyNumberFormat="1" applyFont="1" applyBorder="1" applyAlignment="1">
      <alignment horizontal="right" vertical="center"/>
    </xf>
    <xf numFmtId="0" fontId="24" fillId="0" borderId="33" xfId="7" applyFont="1" applyBorder="1" applyAlignment="1">
      <alignment horizontal="right" vertical="center"/>
    </xf>
    <xf numFmtId="0" fontId="24" fillId="0" borderId="1" xfId="7" applyFont="1" applyBorder="1" applyAlignment="1">
      <alignment horizontal="right" vertical="center"/>
    </xf>
    <xf numFmtId="179" fontId="25" fillId="0" borderId="3" xfId="2" applyNumberFormat="1" applyFont="1" applyBorder="1" applyAlignment="1">
      <alignment horizontal="left" vertical="center"/>
    </xf>
    <xf numFmtId="0" fontId="24" fillId="0" borderId="14" xfId="7" applyFont="1" applyBorder="1" applyAlignment="1">
      <alignment horizontal="right" vertical="center"/>
    </xf>
    <xf numFmtId="0" fontId="24" fillId="0" borderId="15" xfId="2" applyFont="1" applyBorder="1" applyAlignment="1">
      <alignment horizontal="center" vertical="center"/>
    </xf>
    <xf numFmtId="1" fontId="24" fillId="0" borderId="15" xfId="2" applyNumberFormat="1" applyFont="1" applyBorder="1" applyAlignment="1">
      <alignment vertical="center"/>
    </xf>
    <xf numFmtId="0" fontId="24" fillId="0" borderId="15" xfId="26" applyFont="1" applyBorder="1" applyAlignment="1">
      <alignment horizontal="left" vertical="center"/>
    </xf>
    <xf numFmtId="0" fontId="24" fillId="0" borderId="15" xfId="29" applyFont="1" applyBorder="1">
      <alignment vertical="center"/>
    </xf>
    <xf numFmtId="0" fontId="24" fillId="0" borderId="15" xfId="2" applyFont="1" applyBorder="1" applyAlignment="1">
      <alignment vertical="center"/>
    </xf>
    <xf numFmtId="0" fontId="24" fillId="0" borderId="15" xfId="3" applyFont="1" applyBorder="1" applyAlignment="1">
      <alignment vertical="center"/>
    </xf>
    <xf numFmtId="49" fontId="24" fillId="0" borderId="15" xfId="2" applyNumberFormat="1" applyFont="1" applyBorder="1" applyAlignment="1">
      <alignment horizontal="right" vertical="center"/>
    </xf>
    <xf numFmtId="49" fontId="24" fillId="0" borderId="13" xfId="2" applyNumberFormat="1" applyFont="1" applyBorder="1" applyAlignment="1">
      <alignment vertical="center"/>
    </xf>
    <xf numFmtId="0" fontId="25" fillId="2" borderId="7" xfId="4" applyFont="1" applyFill="1" applyBorder="1" applyAlignment="1">
      <alignment horizontal="left"/>
    </xf>
    <xf numFmtId="0" fontId="25" fillId="0" borderId="35" xfId="2" applyFont="1" applyBorder="1" applyAlignment="1">
      <alignment vertical="center"/>
    </xf>
    <xf numFmtId="49" fontId="24" fillId="0" borderId="36" xfId="2" applyNumberFormat="1" applyFont="1" applyBorder="1" applyAlignment="1">
      <alignment vertical="center"/>
    </xf>
    <xf numFmtId="166" fontId="24" fillId="0" borderId="3" xfId="3" applyNumberFormat="1" applyFont="1" applyBorder="1" applyAlignment="1">
      <alignment horizontal="center" vertical="center"/>
    </xf>
    <xf numFmtId="0" fontId="25" fillId="0" borderId="33" xfId="7" applyFont="1" applyBorder="1" applyAlignment="1">
      <alignment horizontal="right" vertical="center"/>
    </xf>
    <xf numFmtId="166" fontId="25" fillId="0" borderId="34" xfId="3" applyNumberFormat="1" applyFont="1" applyBorder="1" applyAlignment="1">
      <alignment horizontal="center" vertical="center"/>
    </xf>
    <xf numFmtId="166" fontId="24" fillId="0" borderId="3" xfId="2" applyNumberFormat="1" applyFont="1" applyBorder="1" applyAlignment="1">
      <alignment horizontal="right" vertical="center"/>
    </xf>
    <xf numFmtId="182" fontId="24" fillId="0" borderId="0" xfId="2" applyNumberFormat="1" applyFont="1" applyAlignment="1">
      <alignment vertical="center"/>
    </xf>
    <xf numFmtId="180" fontId="24" fillId="0" borderId="0" xfId="14" applyNumberFormat="1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44" fontId="24" fillId="0" borderId="0" xfId="30" applyFont="1" applyBorder="1" applyAlignment="1">
      <alignment horizontal="center" vertical="center"/>
    </xf>
    <xf numFmtId="0" fontId="25" fillId="0" borderId="1" xfId="7" applyFont="1" applyBorder="1" applyAlignment="1">
      <alignment horizontal="right" vertical="center"/>
    </xf>
    <xf numFmtId="166" fontId="25" fillId="0" borderId="3" xfId="3" applyNumberFormat="1" applyFont="1" applyBorder="1" applyAlignment="1">
      <alignment horizontal="center" vertical="center"/>
    </xf>
    <xf numFmtId="0" fontId="25" fillId="0" borderId="3" xfId="3" applyFont="1" applyBorder="1" applyAlignment="1">
      <alignment horizontal="center" vertical="center" wrapText="1"/>
    </xf>
    <xf numFmtId="166" fontId="25" fillId="0" borderId="25" xfId="2" applyNumberFormat="1" applyFont="1" applyBorder="1" applyAlignment="1">
      <alignment horizontal="center" vertical="center"/>
    </xf>
    <xf numFmtId="44" fontId="24" fillId="0" borderId="0" xfId="30" applyFont="1" applyBorder="1" applyAlignment="1">
      <alignment horizontal="right" vertical="center"/>
    </xf>
    <xf numFmtId="0" fontId="24" fillId="0" borderId="23" xfId="2" applyFont="1" applyBorder="1" applyAlignment="1">
      <alignment vertical="center"/>
    </xf>
    <xf numFmtId="166" fontId="25" fillId="0" borderId="34" xfId="2" applyNumberFormat="1" applyFont="1" applyBorder="1" applyAlignment="1">
      <alignment horizontal="center" vertical="center"/>
    </xf>
    <xf numFmtId="182" fontId="24" fillId="0" borderId="5" xfId="3" applyNumberFormat="1" applyFont="1" applyBorder="1" applyAlignment="1">
      <alignment vertical="center"/>
    </xf>
    <xf numFmtId="182" fontId="24" fillId="0" borderId="7" xfId="3" applyNumberFormat="1" applyFont="1" applyBorder="1" applyAlignment="1">
      <alignment vertical="center"/>
    </xf>
    <xf numFmtId="0" fontId="25" fillId="0" borderId="3" xfId="3" applyFont="1" applyBorder="1" applyAlignment="1">
      <alignment horizontal="left" vertical="center" wrapText="1"/>
    </xf>
    <xf numFmtId="177" fontId="25" fillId="0" borderId="0" xfId="3" applyNumberFormat="1" applyFont="1" applyAlignment="1">
      <alignment horizontal="center" vertical="center"/>
    </xf>
    <xf numFmtId="0" fontId="25" fillId="0" borderId="0" xfId="2" applyFont="1" applyAlignment="1">
      <alignment vertical="center"/>
    </xf>
    <xf numFmtId="178" fontId="24" fillId="0" borderId="0" xfId="3" applyNumberFormat="1" applyFont="1" applyAlignment="1">
      <alignment vertical="center"/>
    </xf>
    <xf numFmtId="0" fontId="24" fillId="3" borderId="0" xfId="28" applyFont="1" applyFill="1" applyAlignment="1" applyProtection="1">
      <alignment vertical="center"/>
      <protection locked="0"/>
    </xf>
    <xf numFmtId="0" fontId="24" fillId="0" borderId="0" xfId="28" applyFont="1" applyAlignment="1">
      <alignment vertical="center"/>
    </xf>
    <xf numFmtId="0" fontId="25" fillId="0" borderId="0" xfId="5" applyFont="1"/>
    <xf numFmtId="0" fontId="25" fillId="0" borderId="0" xfId="3" applyFont="1" applyAlignment="1">
      <alignment vertical="center"/>
    </xf>
    <xf numFmtId="0" fontId="25" fillId="0" borderId="0" xfId="28" applyFont="1" applyAlignment="1">
      <alignment vertical="center"/>
    </xf>
    <xf numFmtId="0" fontId="24" fillId="0" borderId="0" xfId="5" applyFont="1"/>
    <xf numFmtId="0" fontId="24" fillId="0" borderId="0" xfId="3" applyFont="1" applyAlignment="1">
      <alignment horizontal="center" vertical="center"/>
    </xf>
    <xf numFmtId="0" fontId="25" fillId="0" borderId="0" xfId="6" applyFont="1"/>
    <xf numFmtId="0" fontId="24" fillId="0" borderId="0" xfId="6" applyFont="1"/>
    <xf numFmtId="1" fontId="24" fillId="0" borderId="0" xfId="2" applyNumberFormat="1" applyFont="1" applyAlignment="1">
      <alignment vertical="center"/>
    </xf>
    <xf numFmtId="1" fontId="25" fillId="0" borderId="0" xfId="2" applyNumberFormat="1" applyFont="1" applyAlignment="1">
      <alignment vertical="center"/>
    </xf>
    <xf numFmtId="0" fontId="24" fillId="0" borderId="0" xfId="2" applyFont="1" applyAlignment="1">
      <alignment horizontal="left" vertical="center"/>
    </xf>
    <xf numFmtId="0" fontId="24" fillId="2" borderId="0" xfId="3" applyFont="1" applyFill="1" applyAlignment="1">
      <alignment vertical="center"/>
    </xf>
    <xf numFmtId="49" fontId="24" fillId="2" borderId="0" xfId="2" applyNumberFormat="1" applyFont="1" applyFill="1" applyAlignment="1">
      <alignment horizontal="right" vertical="center"/>
    </xf>
    <xf numFmtId="0" fontId="25" fillId="0" borderId="0" xfId="2" quotePrefix="1" applyFont="1" applyAlignment="1">
      <alignment vertical="center"/>
    </xf>
    <xf numFmtId="49" fontId="25" fillId="0" borderId="0" xfId="2" applyNumberFormat="1" applyFont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6" fillId="0" borderId="0" xfId="2" applyFont="1" applyAlignment="1">
      <alignment vertical="center"/>
    </xf>
    <xf numFmtId="49" fontId="26" fillId="0" borderId="0" xfId="2" applyNumberFormat="1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5" fillId="0" borderId="0" xfId="2" applyFont="1" applyAlignment="1">
      <alignment horizontal="left" vertical="center"/>
    </xf>
    <xf numFmtId="1" fontId="24" fillId="0" borderId="0" xfId="2" applyNumberFormat="1" applyFont="1" applyAlignment="1">
      <alignment horizontal="center" vertical="center"/>
    </xf>
    <xf numFmtId="49" fontId="24" fillId="0" borderId="0" xfId="2" applyNumberFormat="1" applyFont="1" applyAlignment="1">
      <alignment horizontal="left" vertical="center"/>
    </xf>
    <xf numFmtId="0" fontId="25" fillId="0" borderId="0" xfId="7" applyFont="1"/>
    <xf numFmtId="181" fontId="25" fillId="0" borderId="0" xfId="2" applyNumberFormat="1" applyFont="1" applyAlignment="1">
      <alignment horizontal="left" vertical="center"/>
    </xf>
    <xf numFmtId="179" fontId="25" fillId="0" borderId="0" xfId="2" applyNumberFormat="1" applyFont="1" applyAlignment="1">
      <alignment horizontal="left" vertical="center"/>
    </xf>
    <xf numFmtId="0" fontId="24" fillId="0" borderId="0" xfId="26" applyFont="1" applyAlignment="1">
      <alignment horizontal="left" vertical="center"/>
    </xf>
    <xf numFmtId="0" fontId="24" fillId="0" borderId="0" xfId="29" applyFont="1">
      <alignment vertical="center"/>
    </xf>
    <xf numFmtId="0" fontId="24" fillId="0" borderId="0" xfId="28" applyFont="1" applyAlignment="1" applyProtection="1">
      <alignment vertical="center"/>
      <protection locked="0"/>
    </xf>
    <xf numFmtId="40" fontId="25" fillId="0" borderId="0" xfId="8" applyNumberFormat="1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167" fontId="25" fillId="0" borderId="0" xfId="8" applyNumberFormat="1" applyFont="1" applyAlignment="1">
      <alignment horizontal="center" vertical="center"/>
    </xf>
    <xf numFmtId="166" fontId="25" fillId="0" borderId="0" xfId="3" applyNumberFormat="1" applyFont="1" applyAlignment="1">
      <alignment horizontal="center" vertical="center"/>
    </xf>
    <xf numFmtId="166" fontId="25" fillId="0" borderId="0" xfId="3" applyNumberFormat="1" applyFont="1" applyAlignment="1">
      <alignment horizontal="left" vertical="center"/>
    </xf>
    <xf numFmtId="2" fontId="25" fillId="0" borderId="0" xfId="8" applyNumberFormat="1" applyFont="1" applyAlignment="1">
      <alignment horizontal="center" vertical="center"/>
    </xf>
    <xf numFmtId="2" fontId="25" fillId="0" borderId="0" xfId="8" applyNumberFormat="1" applyFont="1" applyAlignment="1">
      <alignment horizontal="center" vertical="center" wrapText="1"/>
    </xf>
    <xf numFmtId="0" fontId="26" fillId="0" borderId="0" xfId="2" applyFont="1" applyAlignment="1">
      <alignment horizontal="center" vertical="center"/>
    </xf>
    <xf numFmtId="0" fontId="26" fillId="0" borderId="0" xfId="2" applyFont="1" applyAlignment="1">
      <alignment horizontal="left" vertical="center"/>
    </xf>
    <xf numFmtId="167" fontId="26" fillId="0" borderId="0" xfId="8" applyNumberFormat="1" applyFont="1" applyAlignment="1">
      <alignment horizontal="center" vertical="center"/>
    </xf>
    <xf numFmtId="176" fontId="24" fillId="0" borderId="0" xfId="3" applyNumberFormat="1" applyFont="1" applyAlignment="1">
      <alignment horizontal="center" vertical="center"/>
    </xf>
    <xf numFmtId="175" fontId="24" fillId="0" borderId="0" xfId="3" applyNumberFormat="1" applyFont="1" applyAlignment="1">
      <alignment horizontal="center" vertical="center"/>
    </xf>
    <xf numFmtId="177" fontId="24" fillId="0" borderId="0" xfId="3" applyNumberFormat="1" applyFont="1" applyAlignment="1">
      <alignment horizontal="center" vertical="center"/>
    </xf>
    <xf numFmtId="2" fontId="24" fillId="0" borderId="0" xfId="3" applyNumberFormat="1" applyFont="1" applyAlignment="1">
      <alignment horizontal="center" vertical="center"/>
    </xf>
    <xf numFmtId="166" fontId="24" fillId="0" borderId="0" xfId="3" applyNumberFormat="1" applyFont="1" applyAlignment="1">
      <alignment horizontal="center" vertical="center"/>
    </xf>
    <xf numFmtId="0" fontId="25" fillId="0" borderId="0" xfId="2" applyFont="1" applyAlignment="1">
      <alignment horizontal="right" vertical="center"/>
    </xf>
    <xf numFmtId="175" fontId="25" fillId="0" borderId="0" xfId="2" applyNumberFormat="1" applyFont="1" applyAlignment="1">
      <alignment horizontal="center" vertical="center"/>
    </xf>
    <xf numFmtId="176" fontId="25" fillId="0" borderId="0" xfId="2" applyNumberFormat="1" applyFont="1" applyAlignment="1">
      <alignment horizontal="center" vertical="center"/>
    </xf>
    <xf numFmtId="179" fontId="25" fillId="0" borderId="0" xfId="2" applyNumberFormat="1" applyFont="1" applyAlignment="1">
      <alignment horizontal="center" vertical="center"/>
    </xf>
    <xf numFmtId="179" fontId="24" fillId="0" borderId="0" xfId="3" applyNumberFormat="1" applyFont="1" applyAlignment="1">
      <alignment horizontal="center" vertical="center"/>
    </xf>
    <xf numFmtId="166" fontId="24" fillId="0" borderId="3" xfId="3" applyNumberFormat="1" applyFont="1" applyBorder="1" applyAlignment="1">
      <alignment horizontal="right" vertical="center"/>
    </xf>
    <xf numFmtId="1" fontId="24" fillId="2" borderId="0" xfId="2" applyNumberFormat="1" applyFont="1" applyFill="1" applyAlignment="1">
      <alignment vertical="center"/>
    </xf>
    <xf numFmtId="0" fontId="28" fillId="2" borderId="0" xfId="0" applyFont="1" applyFill="1" applyAlignment="1">
      <alignment horizontal="left"/>
    </xf>
    <xf numFmtId="182" fontId="24" fillId="2" borderId="7" xfId="3" applyNumberFormat="1" applyFont="1" applyFill="1" applyBorder="1" applyAlignment="1">
      <alignment vertical="center"/>
    </xf>
    <xf numFmtId="0" fontId="24" fillId="2" borderId="7" xfId="4" applyFont="1" applyFill="1" applyBorder="1" applyAlignment="1">
      <alignment horizontal="left"/>
    </xf>
    <xf numFmtId="0" fontId="25" fillId="2" borderId="24" xfId="3" applyFont="1" applyFill="1" applyBorder="1" applyAlignment="1">
      <alignment vertical="center"/>
    </xf>
    <xf numFmtId="179" fontId="25" fillId="0" borderId="39" xfId="2" applyNumberFormat="1" applyFont="1" applyBorder="1" applyAlignment="1">
      <alignment horizontal="left" vertical="center"/>
    </xf>
    <xf numFmtId="179" fontId="25" fillId="0" borderId="40" xfId="2" applyNumberFormat="1" applyFont="1" applyBorder="1" applyAlignment="1">
      <alignment horizontal="left" vertical="center"/>
    </xf>
    <xf numFmtId="179" fontId="25" fillId="0" borderId="41" xfId="2" applyNumberFormat="1" applyFont="1" applyBorder="1" applyAlignment="1">
      <alignment horizontal="left" vertical="center"/>
    </xf>
    <xf numFmtId="179" fontId="25" fillId="0" borderId="1" xfId="2" applyNumberFormat="1" applyFont="1" applyBorder="1" applyAlignment="1">
      <alignment horizontal="left" vertical="center"/>
    </xf>
    <xf numFmtId="0" fontId="24" fillId="0" borderId="14" xfId="2" applyFont="1" applyBorder="1" applyAlignment="1">
      <alignment vertical="center"/>
    </xf>
    <xf numFmtId="179" fontId="24" fillId="0" borderId="40" xfId="3" applyNumberFormat="1" applyFont="1" applyBorder="1" applyAlignment="1">
      <alignment horizontal="center" vertical="center"/>
    </xf>
    <xf numFmtId="166" fontId="24" fillId="0" borderId="41" xfId="2" applyNumberFormat="1" applyFont="1" applyBorder="1" applyAlignment="1">
      <alignment horizontal="right" vertical="center"/>
    </xf>
    <xf numFmtId="0" fontId="24" fillId="0" borderId="1" xfId="3" applyFont="1" applyBorder="1" applyAlignment="1">
      <alignment vertical="center"/>
    </xf>
    <xf numFmtId="0" fontId="25" fillId="0" borderId="39" xfId="3" applyFont="1" applyBorder="1" applyAlignment="1">
      <alignment vertical="center"/>
    </xf>
    <xf numFmtId="0" fontId="28" fillId="2" borderId="0" xfId="0" applyFont="1" applyFill="1" applyAlignment="1">
      <alignment wrapText="1"/>
    </xf>
    <xf numFmtId="166" fontId="25" fillId="0" borderId="3" xfId="2" applyNumberFormat="1" applyFont="1" applyBorder="1" applyAlignment="1">
      <alignment horizontal="center" vertical="center"/>
    </xf>
    <xf numFmtId="166" fontId="25" fillId="0" borderId="0" xfId="2" applyNumberFormat="1" applyFont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" fontId="30" fillId="0" borderId="0" xfId="2" applyNumberFormat="1" applyFont="1" applyAlignment="1">
      <alignment horizontal="center" vertical="center"/>
    </xf>
    <xf numFmtId="0" fontId="30" fillId="0" borderId="0" xfId="2" applyFont="1" applyAlignment="1">
      <alignment horizontal="left" vertical="center"/>
    </xf>
    <xf numFmtId="0" fontId="30" fillId="0" borderId="0" xfId="2" applyFont="1" applyAlignment="1">
      <alignment vertical="center"/>
    </xf>
    <xf numFmtId="0" fontId="30" fillId="0" borderId="0" xfId="3" applyFont="1" applyAlignment="1">
      <alignment horizontal="center" vertical="center"/>
    </xf>
    <xf numFmtId="49" fontId="30" fillId="0" borderId="0" xfId="2" applyNumberFormat="1" applyFont="1" applyAlignment="1">
      <alignment horizontal="left" vertical="center"/>
    </xf>
    <xf numFmtId="44" fontId="30" fillId="0" borderId="0" xfId="30" applyFont="1" applyBorder="1" applyAlignment="1">
      <alignment horizontal="center" vertical="center"/>
    </xf>
    <xf numFmtId="44" fontId="30" fillId="0" borderId="0" xfId="30" applyFont="1" applyBorder="1" applyAlignment="1">
      <alignment horizontal="right" vertical="center"/>
    </xf>
    <xf numFmtId="166" fontId="30" fillId="0" borderId="3" xfId="3" applyNumberFormat="1" applyFont="1" applyBorder="1" applyAlignment="1">
      <alignment horizontal="right" vertical="center"/>
    </xf>
    <xf numFmtId="0" fontId="27" fillId="0" borderId="27" xfId="2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0" fontId="27" fillId="0" borderId="29" xfId="2" applyFont="1" applyBorder="1" applyAlignment="1">
      <alignment horizontal="center" vertical="center"/>
    </xf>
    <xf numFmtId="1" fontId="25" fillId="0" borderId="0" xfId="2" applyNumberFormat="1" applyFont="1" applyAlignment="1">
      <alignment horizontal="left" vertical="center" wrapText="1"/>
    </xf>
    <xf numFmtId="0" fontId="8" fillId="0" borderId="19" xfId="12" applyFont="1" applyBorder="1" applyAlignment="1">
      <alignment horizontal="center" vertical="top"/>
    </xf>
    <xf numFmtId="0" fontId="8" fillId="0" borderId="21" xfId="12" applyFont="1" applyBorder="1" applyAlignment="1">
      <alignment horizontal="center" vertical="top"/>
    </xf>
    <xf numFmtId="0" fontId="17" fillId="0" borderId="0" xfId="12" applyFont="1" applyAlignment="1">
      <alignment horizontal="center" vertical="center"/>
    </xf>
    <xf numFmtId="169" fontId="12" fillId="0" borderId="2" xfId="12" applyNumberFormat="1" applyFont="1" applyBorder="1" applyAlignment="1">
      <alignment horizontal="center" vertical="center" wrapText="1"/>
    </xf>
    <xf numFmtId="169" fontId="12" fillId="0" borderId="0" xfId="12" applyNumberFormat="1" applyFont="1" applyAlignment="1">
      <alignment horizontal="center" vertical="center" wrapText="1"/>
    </xf>
    <xf numFmtId="169" fontId="12" fillId="0" borderId="16" xfId="12" applyNumberFormat="1" applyFont="1" applyBorder="1" applyAlignment="1">
      <alignment horizontal="center" vertical="center" wrapText="1"/>
    </xf>
    <xf numFmtId="169" fontId="12" fillId="0" borderId="4" xfId="12" applyNumberFormat="1" applyFont="1" applyBorder="1" applyAlignment="1">
      <alignment horizontal="center" vertical="center" wrapText="1"/>
    </xf>
    <xf numFmtId="169" fontId="12" fillId="0" borderId="5" xfId="12" applyNumberFormat="1" applyFont="1" applyBorder="1" applyAlignment="1">
      <alignment horizontal="center" vertical="center" wrapText="1"/>
    </xf>
    <xf numFmtId="169" fontId="12" fillId="0" borderId="17" xfId="12" applyNumberFormat="1" applyFont="1" applyBorder="1" applyAlignment="1">
      <alignment horizontal="center" vertical="center" wrapText="1"/>
    </xf>
    <xf numFmtId="0" fontId="13" fillId="0" borderId="2" xfId="12" applyFont="1" applyBorder="1" applyAlignment="1">
      <alignment horizontal="center" vertical="center" wrapText="1"/>
    </xf>
    <xf numFmtId="0" fontId="13" fillId="0" borderId="16" xfId="12" applyFont="1" applyBorder="1" applyAlignment="1">
      <alignment horizontal="center" vertical="center" wrapText="1"/>
    </xf>
    <xf numFmtId="0" fontId="13" fillId="0" borderId="4" xfId="12" applyFont="1" applyBorder="1" applyAlignment="1">
      <alignment horizontal="center" vertical="center" wrapText="1"/>
    </xf>
    <xf numFmtId="0" fontId="13" fillId="0" borderId="17" xfId="12" applyFont="1" applyBorder="1" applyAlignment="1">
      <alignment horizontal="center" vertical="center" wrapText="1"/>
    </xf>
    <xf numFmtId="0" fontId="9" fillId="0" borderId="2" xfId="9" applyFont="1" applyBorder="1" applyAlignment="1">
      <alignment horizontal="center" vertical="center"/>
    </xf>
    <xf numFmtId="0" fontId="9" fillId="0" borderId="0" xfId="9" applyFont="1" applyAlignment="1">
      <alignment horizontal="center" vertical="center"/>
    </xf>
    <xf numFmtId="0" fontId="9" fillId="0" borderId="16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9" fillId="0" borderId="5" xfId="9" applyFont="1" applyBorder="1" applyAlignment="1">
      <alignment horizontal="center" vertical="center"/>
    </xf>
    <xf numFmtId="0" fontId="9" fillId="0" borderId="17" xfId="9" applyFont="1" applyBorder="1" applyAlignment="1">
      <alignment horizontal="center" vertical="center"/>
    </xf>
    <xf numFmtId="0" fontId="8" fillId="0" borderId="8" xfId="12" applyFont="1" applyBorder="1" applyAlignment="1">
      <alignment horizontal="center"/>
    </xf>
    <xf numFmtId="0" fontId="8" fillId="0" borderId="18" xfId="12" applyFont="1" applyBorder="1" applyAlignment="1">
      <alignment horizontal="center"/>
    </xf>
    <xf numFmtId="0" fontId="11" fillId="0" borderId="2" xfId="12" applyFont="1" applyBorder="1" applyAlignment="1">
      <alignment horizontal="center" vertical="center"/>
    </xf>
    <xf numFmtId="0" fontId="11" fillId="0" borderId="0" xfId="12" applyFont="1" applyAlignment="1">
      <alignment horizontal="center" vertical="center"/>
    </xf>
    <xf numFmtId="0" fontId="11" fillId="0" borderId="16" xfId="12" applyFont="1" applyBorder="1" applyAlignment="1">
      <alignment horizontal="center" vertical="center"/>
    </xf>
    <xf numFmtId="0" fontId="11" fillId="0" borderId="4" xfId="12" applyFont="1" applyBorder="1" applyAlignment="1">
      <alignment horizontal="center" vertical="center"/>
    </xf>
    <xf numFmtId="0" fontId="11" fillId="0" borderId="5" xfId="12" applyFont="1" applyBorder="1" applyAlignment="1">
      <alignment horizontal="center" vertical="center"/>
    </xf>
    <xf numFmtId="0" fontId="11" fillId="0" borderId="17" xfId="12" applyFont="1" applyBorder="1" applyAlignment="1">
      <alignment horizontal="center" vertical="center"/>
    </xf>
    <xf numFmtId="0" fontId="9" fillId="0" borderId="20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4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170" fontId="9" fillId="0" borderId="2" xfId="12" applyNumberFormat="1" applyFont="1" applyBorder="1" applyAlignment="1">
      <alignment horizontal="center" vertical="center"/>
    </xf>
    <xf numFmtId="170" fontId="9" fillId="0" borderId="0" xfId="12" applyNumberFormat="1" applyFont="1" applyAlignment="1">
      <alignment horizontal="center" vertical="center"/>
    </xf>
    <xf numFmtId="170" fontId="9" fillId="0" borderId="16" xfId="12" applyNumberFormat="1" applyFont="1" applyBorder="1" applyAlignment="1">
      <alignment horizontal="center" vertical="center"/>
    </xf>
    <xf numFmtId="170" fontId="9" fillId="0" borderId="4" xfId="12" applyNumberFormat="1" applyFont="1" applyBorder="1" applyAlignment="1">
      <alignment horizontal="center" vertical="center"/>
    </xf>
    <xf numFmtId="170" fontId="9" fillId="0" borderId="5" xfId="12" applyNumberFormat="1" applyFont="1" applyBorder="1" applyAlignment="1">
      <alignment horizontal="center" vertical="center"/>
    </xf>
    <xf numFmtId="170" fontId="9" fillId="0" borderId="17" xfId="12" applyNumberFormat="1" applyFont="1" applyBorder="1" applyAlignment="1">
      <alignment horizontal="center" vertical="center"/>
    </xf>
    <xf numFmtId="171" fontId="9" fillId="0" borderId="20" xfId="12" applyNumberFormat="1" applyFont="1" applyBorder="1" applyAlignment="1">
      <alignment horizontal="center" vertical="center"/>
    </xf>
    <xf numFmtId="171" fontId="9" fillId="0" borderId="21" xfId="12" applyNumberFormat="1" applyFont="1" applyBorder="1" applyAlignment="1">
      <alignment horizontal="center" vertical="center"/>
    </xf>
    <xf numFmtId="40" fontId="26" fillId="0" borderId="0" xfId="8" applyNumberFormat="1" applyFont="1" applyAlignment="1">
      <alignment horizontal="center" vertical="center"/>
    </xf>
    <xf numFmtId="0" fontId="25" fillId="0" borderId="38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center" vertical="center" wrapText="1"/>
    </xf>
    <xf numFmtId="40" fontId="25" fillId="0" borderId="0" xfId="8" applyNumberFormat="1" applyFont="1" applyAlignment="1">
      <alignment horizontal="center" vertical="center"/>
    </xf>
    <xf numFmtId="0" fontId="25" fillId="0" borderId="0" xfId="8" applyFont="1" applyAlignment="1">
      <alignment horizontal="center" vertical="center"/>
    </xf>
    <xf numFmtId="0" fontId="25" fillId="0" borderId="37" xfId="8" applyFont="1" applyBorder="1" applyAlignment="1">
      <alignment horizontal="center" vertical="center" wrapText="1"/>
    </xf>
    <xf numFmtId="0" fontId="25" fillId="0" borderId="0" xfId="8" applyFont="1" applyAlignment="1">
      <alignment horizontal="center" vertical="center" wrapText="1"/>
    </xf>
    <xf numFmtId="167" fontId="25" fillId="0" borderId="37" xfId="8" applyNumberFormat="1" applyFont="1" applyBorder="1" applyAlignment="1">
      <alignment horizontal="center" vertical="center"/>
    </xf>
    <xf numFmtId="167" fontId="25" fillId="0" borderId="0" xfId="8" applyNumberFormat="1" applyFont="1" applyAlignment="1">
      <alignment horizontal="center" vertical="center"/>
    </xf>
  </cellXfs>
  <cellStyles count="31">
    <cellStyle name="Comma [0] 2" xfId="27" xr:uid="{3A805872-1B5E-473B-9C65-99EA91A12E46}"/>
    <cellStyle name="Comma 2 2" xfId="17" xr:uid="{00000000-0005-0000-0000-000000000000}"/>
    <cellStyle name="Comma 2 3" xfId="15" xr:uid="{00000000-0005-0000-0000-000001000000}"/>
    <cellStyle name="Currency" xfId="30" builtinId="4"/>
    <cellStyle name="Normal" xfId="0" builtinId="0"/>
    <cellStyle name="Normal 2" xfId="28" xr:uid="{EAA47389-AAEE-46C3-933B-2ACD0A24CE44}"/>
    <cellStyle name="Normal 4" xfId="11" xr:uid="{00000000-0005-0000-0000-000004000000}"/>
    <cellStyle name="Normal 4 2" xfId="13" xr:uid="{00000000-0005-0000-0000-000005000000}"/>
    <cellStyle name="Normal 40" xfId="19" xr:uid="{00000000-0005-0000-0000-000006000000}"/>
    <cellStyle name="Normal 6" xfId="16" xr:uid="{00000000-0005-0000-0000-000007000000}"/>
    <cellStyle name="Normal 7" xfId="18" xr:uid="{00000000-0005-0000-0000-000008000000}"/>
    <cellStyle name="Normal 8" xfId="1" xr:uid="{00000000-0005-0000-0000-000009000000}"/>
    <cellStyle name="쉼표 [0] 3 2" xfId="22" xr:uid="{00000000-0005-0000-0000-00000D000000}"/>
    <cellStyle name="표준 2_Kevin's accounts Order List" xfId="21" xr:uid="{00000000-0005-0000-0000-00000E000000}"/>
    <cellStyle name="표준 3 3" xfId="20" xr:uid="{00000000-0005-0000-0000-00000F000000}"/>
    <cellStyle name="표준_CON(STA)_NCT03-0055(NP03-0186)-SUF-WMT2080B,G_ZI05-0567(SAVANNAH2301462027)" xfId="9" xr:uid="{00000000-0005-0000-0000-000010000000}"/>
    <cellStyle name="표준_GP-SDR (1)" xfId="12" xr:uid="{00000000-0005-0000-0000-000011000000}"/>
    <cellStyle name="표준_marking" xfId="7" xr:uid="{00000000-0005-0000-0000-000012000000}"/>
    <cellStyle name="千位分隔_Obusforme order confirmation-08863" xfId="14" xr:uid="{00000000-0005-0000-0000-000014000000}"/>
    <cellStyle name="常规 3" xfId="25" xr:uid="{9844C3F2-6CC7-4957-BE59-A5BF1FE4FCAB}"/>
    <cellStyle name="常规 3 2" xfId="29" xr:uid="{1F03A33C-E959-4D2F-B2F9-729A533A7F83}"/>
    <cellStyle name="常规 3 3 2" xfId="10" xr:uid="{00000000-0005-0000-0000-000015000000}"/>
    <cellStyle name="常规 4" xfId="26" xr:uid="{AFAABF5B-6541-4EFB-AC8E-4CB007C7E757}"/>
    <cellStyle name="常规_320198766032019881613201988162" xfId="23" xr:uid="{00000000-0005-0000-0000-000016000000}"/>
    <cellStyle name="常规_in,pk(SOU)-CC_NCP03-0031,NP03-1074" xfId="8" xr:uid="{00000000-0005-0000-0000-000018000000}"/>
    <cellStyle name="常规_Jct99-0009" xfId="3" xr:uid="{00000000-0005-0000-0000-000019000000}"/>
    <cellStyle name="常规_Jct99-0009_ETD 06 09(PO#ZIN12099)-METRO" xfId="2" xr:uid="{00000000-0005-0000-0000-00001B000000}"/>
    <cellStyle name="常规_JCT99-0352(CF390) 2" xfId="4" xr:uid="{00000000-0005-0000-0000-00001D000000}"/>
    <cellStyle name="常规_JCT99-0352(CF390)_ETD 06 09(PO#ZIN12099)-METRO" xfId="6" xr:uid="{00000000-0005-0000-0000-00001E000000}"/>
    <cellStyle name="常规_JCT99-0352(CF390)_ETD 09.30 (PO#ZIN12181 12186 12166 1221652206 12182   12192)-MATRO" xfId="5" xr:uid="{00000000-0005-0000-0000-00001F000000}"/>
    <cellStyle name="样式 1" xfId="24" xr:uid="{00000000-0005-0000-0000-000023000000}"/>
  </cellStyles>
  <dxfs count="4"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241290</xdr:colOff>
      <xdr:row>119</xdr:row>
      <xdr:rowOff>176893</xdr:rowOff>
    </xdr:from>
    <xdr:to>
      <xdr:col>12</xdr:col>
      <xdr:colOff>326571</xdr:colOff>
      <xdr:row>125</xdr:row>
      <xdr:rowOff>108858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5158893-3C4A-4843-A19D-D16E4A7D27F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8888"/>
        </a:stretch>
      </xdr:blipFill>
      <xdr:spPr>
        <a:xfrm>
          <a:off x="15943933" y="26425072"/>
          <a:ext cx="1473209" cy="1156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11206</xdr:colOff>
      <xdr:row>92</xdr:row>
      <xdr:rowOff>18409</xdr:rowOff>
    </xdr:from>
    <xdr:to>
      <xdr:col>9</xdr:col>
      <xdr:colOff>1224644</xdr:colOff>
      <xdr:row>97</xdr:row>
      <xdr:rowOff>54428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A104143-E9F9-4A81-949D-C89044C342C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8888"/>
        </a:stretch>
      </xdr:blipFill>
      <xdr:spPr>
        <a:xfrm>
          <a:off x="11890242" y="21368016"/>
          <a:ext cx="1213438" cy="1056555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163286</xdr:colOff>
      <xdr:row>1</xdr:row>
      <xdr:rowOff>54429</xdr:rowOff>
    </xdr:from>
    <xdr:to>
      <xdr:col>1</xdr:col>
      <xdr:colOff>753836</xdr:colOff>
      <xdr:row>1</xdr:row>
      <xdr:rowOff>721179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D9685C6D-247A-4EE3-96B3-45A7F58ACA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73"/>
        </a:stretch>
      </xdr:blipFill>
      <xdr:spPr>
        <a:xfrm>
          <a:off x="843643" y="312965"/>
          <a:ext cx="590550" cy="666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592;&#50756;\NORTHPOLE\&#50629;&#47924;&#51312;&#49324;\&#50629;&#47924;&#54028;&#50501;-CO-Northpo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vr\northpole\&#54532;&#47196;&#51229;&#53944;\@PJT&#51652;&#54665;&#44288;&#47532;\PJT&#51652;&#54665;&#44288;&#4753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ew%20Market%20Team\Buyers\Pezcalandia\IGUL%20TENT.xl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terials%20Li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anda\shareddocs\WINDOWS\TEMP\Materials%20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Materials%20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20316;&#25991;&#20214;\BOM\costing%20recap\&#22797;&#20214;%20TYPE\topper%20recap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\&#20844;&#29992;\Documents%20and%20Settings\zz\My%20Documents\&#23004;\&#25253;&#21578;&#36164;&#26009;\&#45824;&#52264;%20&#45824;&#51312;&#543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jt진행절차"/>
      <sheetName val="1.Global Setting"/>
      <sheetName val="1.Master Data"/>
      <sheetName val="1-1.Cost Center"/>
      <sheetName val="1-2.Profit Center"/>
      <sheetName val="1-3.Work Center"/>
      <sheetName val="1-4.Routing"/>
      <sheetName val="1-5.Material Master"/>
      <sheetName val="1-6.제품-공정현황"/>
      <sheetName val="1-8.Issule 대응방안"/>
      <sheetName val="1-7.재가공원가계산"/>
      <sheetName val="-"/>
      <sheetName val="별첨2-1.Field Status-GL"/>
      <sheetName val="Income"/>
      <sheetName val="Gross Profit"/>
      <sheetName val="R FCST"/>
      <sheetName val="Manucaturing Cost"/>
      <sheetName val="Cash "/>
      <sheetName val="BS"/>
      <sheetName val="Reserve"/>
      <sheetName val="Inter Rec"/>
      <sheetName val="Inter Payable"/>
      <sheetName val="GIT"/>
      <sheetName val="Cost Center"/>
      <sheetName val="Expense"/>
      <sheetName val="Cost"/>
      <sheetName val="analysis-Exp"/>
      <sheetName val="Allocation"/>
      <sheetName val="Materials List"/>
      <sheetName val="负债表"/>
      <sheetName val="1_Global_Setting"/>
      <sheetName val="1_Master_Data"/>
      <sheetName val="1-1_Cost_Center"/>
      <sheetName val="1-2_Profit_Center"/>
      <sheetName val="1-3_Work_Center"/>
      <sheetName val="1-4_Routing"/>
      <sheetName val="1-5_Material_Master"/>
      <sheetName val="1-6_제품-공정현황"/>
      <sheetName val="1-8_Issule_대응방안"/>
      <sheetName val="1-7_재가공원가계산"/>
      <sheetName val="별첨2-1_Field_Status-GL"/>
      <sheetName val="Gross_Profit"/>
      <sheetName val="R_FCST"/>
      <sheetName val="Manucaturing_Cost"/>
      <sheetName val="Cash_"/>
      <sheetName val="Inter_Rec"/>
      <sheetName val="Inter_Payable"/>
      <sheetName val="Cost_Center"/>
      <sheetName val="Materials_List"/>
      <sheetName val="Sheet1"/>
      <sheetName val="WMT-150Q"/>
      <sheetName val="00'미수"/>
      <sheetName val="purchase"/>
      <sheetName val="Recap ZFI (Q4)"/>
      <sheetName val="1_Global_Setting1"/>
      <sheetName val="1_Master_Data1"/>
      <sheetName val="1-1_Cost_Center1"/>
      <sheetName val="1-2_Profit_Center1"/>
      <sheetName val="1-3_Work_Center1"/>
      <sheetName val="1-4_Routing1"/>
      <sheetName val="1-5_Material_Master1"/>
      <sheetName val="1-6_제품-공정현황1"/>
      <sheetName val="1-8_Issule_대응방안1"/>
      <sheetName val="1-7_재가공원가계산1"/>
      <sheetName val="별첨2-1_Field_Status-GL1"/>
      <sheetName val="Gross_Profit1"/>
      <sheetName val="R_FCST1"/>
      <sheetName val="Manucaturing_Cost1"/>
      <sheetName val="Cash_1"/>
      <sheetName val="Inter_Rec1"/>
      <sheetName val="Inter_Payable1"/>
      <sheetName val="Cost_Center1"/>
      <sheetName val="Materials_List1"/>
      <sheetName val="Recap_ZFI_(Q4)"/>
      <sheetName val="1_Global_Setting2"/>
      <sheetName val="1_Master_Data2"/>
      <sheetName val="1-1_Cost_Center2"/>
      <sheetName val="1-2_Profit_Center2"/>
      <sheetName val="1-3_Work_Center2"/>
      <sheetName val="1-4_Routing2"/>
      <sheetName val="1-5_Material_Master2"/>
      <sheetName val="1-6_제품-공정현황2"/>
      <sheetName val="1-8_Issule_대응방안2"/>
      <sheetName val="1-7_재가공원가계산2"/>
      <sheetName val="별첨2-1_Field_Status-GL2"/>
      <sheetName val="Gross_Profit2"/>
      <sheetName val="R_FCST2"/>
      <sheetName val="Manucaturing_Cost2"/>
      <sheetName val="Cash_2"/>
      <sheetName val="Inter_Rec2"/>
      <sheetName val="Inter_Payable2"/>
      <sheetName val="Cost_Center2"/>
      <sheetName val="Materials_List2"/>
      <sheetName val="Recap_ZFI_(Q4)1"/>
      <sheetName val="1_Global_Setting3"/>
      <sheetName val="1_Master_Data3"/>
      <sheetName val="1-1_Cost_Center3"/>
      <sheetName val="1-2_Profit_Center3"/>
      <sheetName val="1-3_Work_Center3"/>
      <sheetName val="1-4_Routing3"/>
      <sheetName val="1-5_Material_Master3"/>
      <sheetName val="1-6_제품-공정현황3"/>
      <sheetName val="1-8_Issule_대응방안3"/>
      <sheetName val="1-7_재가공원가계산3"/>
      <sheetName val="별첨2-1_Field_Status-GL3"/>
      <sheetName val="Gross_Profit3"/>
      <sheetName val="R_FCST3"/>
      <sheetName val="Manucaturing_Cost3"/>
      <sheetName val="Cash_3"/>
      <sheetName val="Inter_Rec3"/>
      <sheetName val="Inter_Payable3"/>
      <sheetName val="Cost_Center3"/>
      <sheetName val="Materials_List3"/>
      <sheetName val="Recap_ZFI_(Q4)2"/>
      <sheetName val="1_Global_Setting4"/>
      <sheetName val="1_Master_Data4"/>
      <sheetName val="1-1_Cost_Center4"/>
      <sheetName val="1-2_Profit_Center4"/>
      <sheetName val="1-3_Work_Center4"/>
      <sheetName val="1-4_Routing4"/>
      <sheetName val="1-5_Material_Master4"/>
      <sheetName val="1-6_제품-공정현황4"/>
      <sheetName val="1-8_Issule_대응방안4"/>
      <sheetName val="1-7_재가공원가계산4"/>
      <sheetName val="별첨2-1_Field_Status-GL4"/>
      <sheetName val="Gross_Profit4"/>
      <sheetName val="R_FCST4"/>
      <sheetName val="Manucaturing_Cost4"/>
      <sheetName val="Cash_4"/>
      <sheetName val="Inter_Rec4"/>
      <sheetName val="Inter_Payable4"/>
      <sheetName val="Cost_Center4"/>
      <sheetName val="Materials_List4"/>
      <sheetName val="1_Global_Setting6"/>
      <sheetName val="1_Master_Data6"/>
      <sheetName val="1-1_Cost_Center6"/>
      <sheetName val="1-2_Profit_Center6"/>
      <sheetName val="1-3_Work_Center6"/>
      <sheetName val="1-4_Routing6"/>
      <sheetName val="1-5_Material_Master6"/>
      <sheetName val="1-6_제품-공정현황6"/>
      <sheetName val="1-8_Issule_대응방안6"/>
      <sheetName val="1-7_재가공원가계산6"/>
      <sheetName val="별첨2-1_Field_Status-GL6"/>
      <sheetName val="Gross_Profit6"/>
      <sheetName val="R_FCST6"/>
      <sheetName val="Manucaturing_Cost6"/>
      <sheetName val="Cash_6"/>
      <sheetName val="Inter_Rec6"/>
      <sheetName val="Inter_Payable6"/>
      <sheetName val="Cost_Center6"/>
      <sheetName val="Materials_List6"/>
      <sheetName val="Recap_ZFI_(Q4)4"/>
      <sheetName val="1_Global_Setting5"/>
      <sheetName val="1_Master_Data5"/>
      <sheetName val="1-1_Cost_Center5"/>
      <sheetName val="1-2_Profit_Center5"/>
      <sheetName val="1-3_Work_Center5"/>
      <sheetName val="1-4_Routing5"/>
      <sheetName val="1-5_Material_Master5"/>
      <sheetName val="1-6_제품-공정현황5"/>
      <sheetName val="1-8_Issule_대응방안5"/>
      <sheetName val="1-7_재가공원가계산5"/>
      <sheetName val="별첨2-1_Field_Status-GL5"/>
      <sheetName val="Gross_Profit5"/>
      <sheetName val="R_FCST5"/>
      <sheetName val="Manucaturing_Cost5"/>
      <sheetName val="Cash_5"/>
      <sheetName val="Inter_Rec5"/>
      <sheetName val="Inter_Payable5"/>
      <sheetName val="Cost_Center5"/>
      <sheetName val="Materials_List5"/>
      <sheetName val="Recap_ZFI_(Q4)3"/>
      <sheetName val="AZ-SB13-14"/>
      <sheetName val="SC-SBBK-14"/>
      <sheetName val="1_Global_Setting7"/>
      <sheetName val="1_Master_Data7"/>
      <sheetName val="1-1_Cost_Center7"/>
      <sheetName val="1-2_Profit_Center7"/>
      <sheetName val="1-3_Work_Center7"/>
      <sheetName val="1-4_Routing7"/>
      <sheetName val="1-5_Material_Master7"/>
      <sheetName val="1-6_제품-공정현황7"/>
      <sheetName val="1-8_Issule_대응방안7"/>
      <sheetName val="1-7_재가공원가계산7"/>
      <sheetName val="별첨2-1_Field_Status-GL7"/>
      <sheetName val="Gross_Profit7"/>
      <sheetName val="R_FCST7"/>
      <sheetName val="Manucaturing_Cost7"/>
      <sheetName val="Cash_7"/>
      <sheetName val="Inter_Rec7"/>
      <sheetName val="Inter_Payable7"/>
      <sheetName val="Cost_Center7"/>
      <sheetName val="Materials_List7"/>
      <sheetName val="Recap_ZFI_(Q4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 주간업무"/>
      <sheetName val="Pjt진행절차"/>
      <sheetName val="1.Global Setting"/>
      <sheetName val="별첨1.Chart of Accounts"/>
      <sheetName val="별첨2.Field Status"/>
      <sheetName val="별첨3.Cost Center"/>
      <sheetName val="SAP기능"/>
      <sheetName val="Tables"/>
      <sheetName val="1_Global Setting"/>
      <sheetName val="负债表"/>
      <sheetName val="FI_주간업무"/>
      <sheetName val="1_Global_Setting"/>
      <sheetName val="별첨1_Chart_of_Accounts"/>
      <sheetName val="별첨2_Field_Status"/>
      <sheetName val="별첨3_Cost_Center"/>
      <sheetName val="1_Global_Setting1"/>
      <sheetName val="Sheet1"/>
      <sheetName val="Materials List"/>
      <sheetName val="WMT-150Q"/>
      <sheetName val="申請差異-II"/>
      <sheetName val="進口餘量"/>
      <sheetName val="申請量"/>
      <sheetName val="前期使用"/>
      <sheetName val="核銷餘量"/>
      <sheetName val="FI_주간업무1"/>
      <sheetName val="1_Global_Setting2"/>
      <sheetName val="별첨1_Chart_of_Accounts1"/>
      <sheetName val="별첨2_Field_Status1"/>
      <sheetName val="별첨3_Cost_Center1"/>
      <sheetName val="1_Global_Setting3"/>
      <sheetName val="Materials_List"/>
      <sheetName val="FI_주간업무2"/>
      <sheetName val="1_Global_Setting4"/>
      <sheetName val="별첨1_Chart_of_Accounts2"/>
      <sheetName val="별첨2_Field_Status2"/>
      <sheetName val="별첨3_Cost_Center2"/>
      <sheetName val="1_Global_Setting5"/>
      <sheetName val="Materials_List1"/>
      <sheetName val="FI_주간업무3"/>
      <sheetName val="1_Global_Setting6"/>
      <sheetName val="별첨1_Chart_of_Accounts3"/>
      <sheetName val="별첨2_Field_Status3"/>
      <sheetName val="별첨3_Cost_Center3"/>
      <sheetName val="1_Global_Setting7"/>
      <sheetName val="Materials_List2"/>
      <sheetName val="FI_주간업무4"/>
      <sheetName val="1_Global_Setting8"/>
      <sheetName val="별첨1_Chart_of_Accounts4"/>
      <sheetName val="별첨2_Field_Status4"/>
      <sheetName val="별첨3_Cost_Center4"/>
      <sheetName val="1_Global_Setting9"/>
      <sheetName val="FI_주간업무6"/>
      <sheetName val="1_Global_Setting12"/>
      <sheetName val="별첨1_Chart_of_Accounts6"/>
      <sheetName val="별첨2_Field_Status6"/>
      <sheetName val="별첨3_Cost_Center6"/>
      <sheetName val="1_Global_Setting13"/>
      <sheetName val="Materials_List4"/>
      <sheetName val="FI_주간업무5"/>
      <sheetName val="1_Global_Setting10"/>
      <sheetName val="별첨1_Chart_of_Accounts5"/>
      <sheetName val="별첨2_Field_Status5"/>
      <sheetName val="별첨3_Cost_Center5"/>
      <sheetName val="1_Global_Setting11"/>
      <sheetName val="Materials_Lis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  <sheetName val="Sheet1"/>
      <sheetName val="负债表"/>
      <sheetName val="WMT-150Q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  <sheetName val="ISO Dome"/>
      <sheetName val="Dong"/>
      <sheetName val="WMT-150Q"/>
      <sheetName val="1.Global Setting"/>
      <sheetName val="MSC Table"/>
      <sheetName val="MSC Set"/>
      <sheetName val="New_Materials_List"/>
      <sheetName val="Materials_List"/>
      <sheetName val="ISO_Dome"/>
      <sheetName val="1_Global_Setting"/>
      <sheetName val="MSC_Table"/>
      <sheetName val="MSC_Set"/>
      <sheetName val="5사남"/>
      <sheetName val="整理汇总0903"/>
      <sheetName val="00'미수"/>
      <sheetName val="標準INJ (新)"/>
      <sheetName val="New_Materials_List1"/>
      <sheetName val="Materials_List1"/>
      <sheetName val="ISO_Dome1"/>
      <sheetName val="1_Global_Setting1"/>
      <sheetName val="MSC_Table1"/>
      <sheetName val="MSC_Set1"/>
      <sheetName val="標準INJ_(新)"/>
      <sheetName val="New_Materials_List4"/>
      <sheetName val="Materials_List4"/>
      <sheetName val="ISO_Dome4"/>
      <sheetName val="1_Global_Setting4"/>
      <sheetName val="MSC_Table4"/>
      <sheetName val="MSC_Set4"/>
      <sheetName val="標準INJ_(新)3"/>
      <sheetName val="New_Materials_List2"/>
      <sheetName val="Materials_List2"/>
      <sheetName val="ISO_Dome2"/>
      <sheetName val="1_Global_Setting2"/>
      <sheetName val="MSC_Table2"/>
      <sheetName val="MSC_Set2"/>
      <sheetName val="標準INJ_(新)1"/>
      <sheetName val="New_Materials_List3"/>
      <sheetName val="Materials_List3"/>
      <sheetName val="ISO_Dome3"/>
      <sheetName val="1_Global_Setting3"/>
      <sheetName val="MSC_Table3"/>
      <sheetName val="MSC_Set3"/>
      <sheetName val="標準INJ_(新)2"/>
      <sheetName val="New_Materials_List5"/>
      <sheetName val="Materials_List5"/>
      <sheetName val="ISO_Dome5"/>
      <sheetName val="1_Global_Setting5"/>
      <sheetName val="MSC_Table5"/>
      <sheetName val="MSC_Set5"/>
      <sheetName val="標準INJ_(新)4"/>
      <sheetName val="New_Materials_List6"/>
      <sheetName val="Materials_List6"/>
      <sheetName val="ISO_Dome6"/>
      <sheetName val="1_Global_Setting6"/>
      <sheetName val="MSC_Table6"/>
      <sheetName val="MSC_Set6"/>
      <sheetName val="New_Materials_List8"/>
      <sheetName val="Materials_List8"/>
      <sheetName val="ISO_Dome8"/>
      <sheetName val="1_Global_Setting8"/>
      <sheetName val="MSC_Table8"/>
      <sheetName val="MSC_Set8"/>
      <sheetName val="標準INJ_(新)6"/>
      <sheetName val="New_Materials_List7"/>
      <sheetName val="Materials_List7"/>
      <sheetName val="ISO_Dome7"/>
      <sheetName val="1_Global_Setting7"/>
      <sheetName val="MSC_Table7"/>
      <sheetName val="MSC_Set7"/>
      <sheetName val="標準INJ_(新)5"/>
      <sheetName val="Configure"/>
      <sheetName val="匯總"/>
      <sheetName val="主料"/>
      <sheetName val="New_Materials_List9"/>
      <sheetName val="Materials_List9"/>
      <sheetName val="ISO_Dome9"/>
      <sheetName val="1_Global_Setting9"/>
      <sheetName val="MSC_Table9"/>
      <sheetName val="MSC_Set9"/>
      <sheetName val="標準INJ_(新)7"/>
      <sheetName val="New_Materials_List10"/>
      <sheetName val="Materials_List10"/>
      <sheetName val="ISO_Dome10"/>
      <sheetName val="1_Global_Setting10"/>
      <sheetName val="MSC_Table10"/>
      <sheetName val="MSC_Set10"/>
      <sheetName val="標準INJ_(新)8"/>
      <sheetName val="New_Materials_List11"/>
      <sheetName val="Materials_List11"/>
      <sheetName val="ISO_Dome11"/>
      <sheetName val="1_Global_Setting11"/>
      <sheetName val="MSC_Table11"/>
      <sheetName val="MSC_Set11"/>
      <sheetName val="標準INJ_(新)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  <sheetName val="WMT-150Q"/>
      <sheetName val="ISO Dome"/>
      <sheetName val="Dong"/>
      <sheetName val="匯總"/>
      <sheetName val="標準INJ (新)"/>
      <sheetName val="New_Materials_List"/>
      <sheetName val="Materials_List"/>
      <sheetName val="ISO_Dome"/>
      <sheetName val="標準INJ_(新)"/>
      <sheetName val="Sheet1"/>
      <sheetName val="New_Materials_List1"/>
      <sheetName val="Materials_List1"/>
      <sheetName val="ISO_Dome1"/>
      <sheetName val="標準INJ_(新)1"/>
      <sheetName val="New_Materials_List2"/>
      <sheetName val="Materials_List2"/>
      <sheetName val="ISO_Dome2"/>
      <sheetName val="標準INJ_(新)2"/>
      <sheetName val="New_Materials_List3"/>
      <sheetName val="Materials_List3"/>
      <sheetName val="ISO_Dome3"/>
      <sheetName val="標準INJ_(新)3"/>
      <sheetName val="New_Materials_List4"/>
      <sheetName val="Materials_List4"/>
      <sheetName val="ISO_Dome4"/>
      <sheetName val="標準INJ_(新)4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aterials List"/>
      <sheetName val="Materials List"/>
    </sheetNames>
    <sheetDataSet>
      <sheetData sheetId="0" refreshError="1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T-400T"/>
      <sheetName val="WMT-400F"/>
      <sheetName val="WMT-400Q"/>
      <sheetName val="WMT-400K"/>
      <sheetName val="WMT-MF3MT"/>
      <sheetName val="WMT-200Q"/>
      <sheetName val="WMT-150T"/>
      <sheetName val="WMT-150F"/>
      <sheetName val="WMT-150Q"/>
      <sheetName val="WMT-150K"/>
      <sheetName val="WMT-125F"/>
      <sheetName val="WMT-125Q"/>
      <sheetName val="WMT-125K"/>
      <sheetName val="BJ'S MFT-200Q"/>
      <sheetName val="BJ'S MFT-200K"/>
      <sheetName val="BJ'S RMFT-200F"/>
      <sheetName val="BJ'S RMFT-200Q"/>
      <sheetName val="costing"/>
      <sheetName val="SEIYU-SINGLE"/>
      <sheetName val="VTR-1.5S"/>
      <sheetName val="VTR-1.5D"/>
      <sheetName val="VTR-1.5K"/>
      <sheetName val="VTR-2.75S"/>
      <sheetName val="VTR-2.75D"/>
      <sheetName val="VTR-2.75K"/>
      <sheetName val="TSI-T"/>
      <sheetName val="TSI-F"/>
      <sheetName val="TSI-Q"/>
      <sheetName val="TSI-K"/>
      <sheetName val="WTK-S"/>
      <sheetName val="WTK-D"/>
      <sheetName val="WTK-Q"/>
      <sheetName val="WTK-K"/>
      <sheetName val="WTK-KS"/>
      <sheetName val="INM-150TXL"/>
      <sheetName val="INM-150F"/>
      <sheetName val="INM-150WK"/>
      <sheetName val="INM-300TXL"/>
      <sheetName val="INM-300Q"/>
      <sheetName val="CTC--F"/>
      <sheetName val="CTC-Q"/>
      <sheetName val="CTC-300T"/>
      <sheetName val="CTC-300F"/>
      <sheetName val="CTC-300Q"/>
      <sheetName val="CTC-300K"/>
      <sheetName val="CTC-400T"/>
      <sheetName val="CTC-400F"/>
      <sheetName val="CTC-400Q"/>
      <sheetName val="CTC-400K"/>
      <sheetName val="CCN-200Q"/>
      <sheetName val="CCN-200K"/>
      <sheetName val="CCN-100F"/>
      <sheetName val="CCN-100Q"/>
      <sheetName val="CCN-100K"/>
      <sheetName val="HMD-TRX-T"/>
      <sheetName val="HMD-TRX-F"/>
      <sheetName val="HMD-TRX-Q"/>
      <sheetName val="HMD-TRX-K"/>
      <sheetName val="HMD-TRX-CK"/>
      <sheetName val="200TC C.M-T"/>
      <sheetName val="200TC C.M-F"/>
      <sheetName val="200TC C.M-Q"/>
      <sheetName val="200TC C.M-K"/>
      <sheetName val="260TC-T"/>
      <sheetName val="260TC-F"/>
      <sheetName val="260TC-Q"/>
      <sheetName val="260TC-K"/>
      <sheetName val="Goose DW-T "/>
      <sheetName val="Goose DW-F"/>
      <sheetName val="Goose DW-Q"/>
      <sheetName val="Goose DW-K"/>
      <sheetName val="M.Fiber-T"/>
      <sheetName val="M.Fiber-F"/>
      <sheetName val="M.Fiber-Q"/>
      <sheetName val="M.Fiber-K"/>
      <sheetName val="WMT_150Q"/>
      <sheetName val="Sheet1"/>
      <sheetName val="Materials List"/>
      <sheetName val="topper recap "/>
      <sheetName val="1.global setting"/>
      <sheetName val="Configure"/>
      <sheetName val="BJ'S_MFT-200Q"/>
      <sheetName val="BJ'S_MFT-200K"/>
      <sheetName val="BJ'S_RMFT-200F"/>
      <sheetName val="BJ'S_RMFT-200Q"/>
      <sheetName val="VTR-1_5S"/>
      <sheetName val="VTR-1_5D"/>
      <sheetName val="VTR-1_5K"/>
      <sheetName val="VTR-2_75S"/>
      <sheetName val="VTR-2_75D"/>
      <sheetName val="VTR-2_75K"/>
      <sheetName val="200TC_C_M-T"/>
      <sheetName val="200TC_C_M-F"/>
      <sheetName val="200TC_C_M-Q"/>
      <sheetName val="200TC_C_M-K"/>
      <sheetName val="Goose_DW-T_"/>
      <sheetName val="Goose_DW-F"/>
      <sheetName val="Goose_DW-Q"/>
      <sheetName val="Goose_DW-K"/>
      <sheetName val="M_Fiber-T"/>
      <sheetName val="M_Fiber-F"/>
      <sheetName val="M_Fiber-Q"/>
      <sheetName val="M_Fiber-K"/>
      <sheetName val="Materials_List"/>
      <sheetName val="topper_recap_"/>
      <sheetName val="1_global_setting"/>
      <sheetName val="1000"/>
      <sheetName val="BJ'S_MFT-200Q4"/>
      <sheetName val="BJ'S_MFT-200K4"/>
      <sheetName val="BJ'S_RMFT-200F4"/>
      <sheetName val="BJ'S_RMFT-200Q4"/>
      <sheetName val="VTR-1_5S4"/>
      <sheetName val="VTR-1_5D4"/>
      <sheetName val="VTR-1_5K4"/>
      <sheetName val="VTR-2_75S4"/>
      <sheetName val="VTR-2_75D4"/>
      <sheetName val="VTR-2_75K4"/>
      <sheetName val="200TC_C_M-T4"/>
      <sheetName val="200TC_C_M-F4"/>
      <sheetName val="200TC_C_M-Q4"/>
      <sheetName val="200TC_C_M-K4"/>
      <sheetName val="Goose_DW-T_4"/>
      <sheetName val="Goose_DW-F4"/>
      <sheetName val="Goose_DW-Q4"/>
      <sheetName val="Goose_DW-K4"/>
      <sheetName val="M_Fiber-T4"/>
      <sheetName val="M_Fiber-F4"/>
      <sheetName val="M_Fiber-Q4"/>
      <sheetName val="M_Fiber-K4"/>
      <sheetName val="Materials_List4"/>
      <sheetName val="topper_recap_4"/>
      <sheetName val="1_global_setting4"/>
      <sheetName val="BJ'S_MFT-200Q1"/>
      <sheetName val="BJ'S_MFT-200K1"/>
      <sheetName val="BJ'S_RMFT-200F1"/>
      <sheetName val="BJ'S_RMFT-200Q1"/>
      <sheetName val="VTR-1_5S1"/>
      <sheetName val="VTR-1_5D1"/>
      <sheetName val="VTR-1_5K1"/>
      <sheetName val="VTR-2_75S1"/>
      <sheetName val="VTR-2_75D1"/>
      <sheetName val="VTR-2_75K1"/>
      <sheetName val="200TC_C_M-T1"/>
      <sheetName val="200TC_C_M-F1"/>
      <sheetName val="200TC_C_M-Q1"/>
      <sheetName val="200TC_C_M-K1"/>
      <sheetName val="Goose_DW-T_1"/>
      <sheetName val="Goose_DW-F1"/>
      <sheetName val="Goose_DW-Q1"/>
      <sheetName val="Goose_DW-K1"/>
      <sheetName val="M_Fiber-T1"/>
      <sheetName val="M_Fiber-F1"/>
      <sheetName val="M_Fiber-Q1"/>
      <sheetName val="M_Fiber-K1"/>
      <sheetName val="Materials_List1"/>
      <sheetName val="topper_recap_1"/>
      <sheetName val="1_global_setting1"/>
      <sheetName val="BJ'S_MFT-200Q2"/>
      <sheetName val="BJ'S_MFT-200K2"/>
      <sheetName val="BJ'S_RMFT-200F2"/>
      <sheetName val="BJ'S_RMFT-200Q2"/>
      <sheetName val="VTR-1_5S2"/>
      <sheetName val="VTR-1_5D2"/>
      <sheetName val="VTR-1_5K2"/>
      <sheetName val="VTR-2_75S2"/>
      <sheetName val="VTR-2_75D2"/>
      <sheetName val="VTR-2_75K2"/>
      <sheetName val="200TC_C_M-T2"/>
      <sheetName val="200TC_C_M-F2"/>
      <sheetName val="200TC_C_M-Q2"/>
      <sheetName val="200TC_C_M-K2"/>
      <sheetName val="Goose_DW-T_2"/>
      <sheetName val="Goose_DW-F2"/>
      <sheetName val="Goose_DW-Q2"/>
      <sheetName val="Goose_DW-K2"/>
      <sheetName val="M_Fiber-T2"/>
      <sheetName val="M_Fiber-F2"/>
      <sheetName val="M_Fiber-Q2"/>
      <sheetName val="M_Fiber-K2"/>
      <sheetName val="Materials_List2"/>
      <sheetName val="topper_recap_2"/>
      <sheetName val="1_global_setting2"/>
      <sheetName val="BJ'S_MFT-200Q3"/>
      <sheetName val="BJ'S_MFT-200K3"/>
      <sheetName val="BJ'S_RMFT-200F3"/>
      <sheetName val="BJ'S_RMFT-200Q3"/>
      <sheetName val="VTR-1_5S3"/>
      <sheetName val="VTR-1_5D3"/>
      <sheetName val="VTR-1_5K3"/>
      <sheetName val="VTR-2_75S3"/>
      <sheetName val="VTR-2_75D3"/>
      <sheetName val="VTR-2_75K3"/>
      <sheetName val="200TC_C_M-T3"/>
      <sheetName val="200TC_C_M-F3"/>
      <sheetName val="200TC_C_M-Q3"/>
      <sheetName val="200TC_C_M-K3"/>
      <sheetName val="Goose_DW-T_3"/>
      <sheetName val="Goose_DW-F3"/>
      <sheetName val="Goose_DW-Q3"/>
      <sheetName val="Goose_DW-K3"/>
      <sheetName val="M_Fiber-T3"/>
      <sheetName val="M_Fiber-F3"/>
      <sheetName val="M_Fiber-Q3"/>
      <sheetName val="M_Fiber-K3"/>
      <sheetName val="Materials_List3"/>
      <sheetName val="topper_recap_3"/>
      <sheetName val="1_global_setting3"/>
      <sheetName val="BJ'S_MFT-200Q5"/>
      <sheetName val="BJ'S_MFT-200K5"/>
      <sheetName val="BJ'S_RMFT-200F5"/>
      <sheetName val="BJ'S_RMFT-200Q5"/>
      <sheetName val="VTR-1_5S5"/>
      <sheetName val="VTR-1_5D5"/>
      <sheetName val="VTR-1_5K5"/>
      <sheetName val="VTR-2_75S5"/>
      <sheetName val="VTR-2_75D5"/>
      <sheetName val="VTR-2_75K5"/>
      <sheetName val="200TC_C_M-T5"/>
      <sheetName val="200TC_C_M-F5"/>
      <sheetName val="200TC_C_M-Q5"/>
      <sheetName val="200TC_C_M-K5"/>
      <sheetName val="Goose_DW-T_5"/>
      <sheetName val="Goose_DW-F5"/>
      <sheetName val="Goose_DW-Q5"/>
      <sheetName val="Goose_DW-K5"/>
      <sheetName val="M_Fiber-T5"/>
      <sheetName val="M_Fiber-F5"/>
      <sheetName val="M_Fiber-Q5"/>
      <sheetName val="M_Fiber-K5"/>
      <sheetName val="Materials_List5"/>
      <sheetName val="topper_recap_5"/>
      <sheetName val="1_global_setting5"/>
      <sheetName val="MSC Table"/>
      <sheetName val="MSC Set"/>
      <sheetName val="2000"/>
      <sheetName val="BJ'S_MFT-200Q7"/>
      <sheetName val="BJ'S_MFT-200K7"/>
      <sheetName val="BJ'S_RMFT-200F7"/>
      <sheetName val="BJ'S_RMFT-200Q7"/>
      <sheetName val="VTR-1_5S7"/>
      <sheetName val="VTR-1_5D7"/>
      <sheetName val="VTR-1_5K7"/>
      <sheetName val="VTR-2_75S7"/>
      <sheetName val="VTR-2_75D7"/>
      <sheetName val="VTR-2_75K7"/>
      <sheetName val="200TC_C_M-T7"/>
      <sheetName val="200TC_C_M-F7"/>
      <sheetName val="200TC_C_M-Q7"/>
      <sheetName val="200TC_C_M-K7"/>
      <sheetName val="Goose_DW-T_7"/>
      <sheetName val="Goose_DW-F7"/>
      <sheetName val="Goose_DW-Q7"/>
      <sheetName val="Goose_DW-K7"/>
      <sheetName val="M_Fiber-T7"/>
      <sheetName val="M_Fiber-F7"/>
      <sheetName val="M_Fiber-Q7"/>
      <sheetName val="M_Fiber-K7"/>
      <sheetName val="Materials_List7"/>
      <sheetName val="topper_recap_7"/>
      <sheetName val="1_global_setting7"/>
      <sheetName val="BJ'S_MFT-200Q6"/>
      <sheetName val="BJ'S_MFT-200K6"/>
      <sheetName val="BJ'S_RMFT-200F6"/>
      <sheetName val="BJ'S_RMFT-200Q6"/>
      <sheetName val="VTR-1_5S6"/>
      <sheetName val="VTR-1_5D6"/>
      <sheetName val="VTR-1_5K6"/>
      <sheetName val="VTR-2_75S6"/>
      <sheetName val="VTR-2_75D6"/>
      <sheetName val="VTR-2_75K6"/>
      <sheetName val="200TC_C_M-T6"/>
      <sheetName val="200TC_C_M-F6"/>
      <sheetName val="200TC_C_M-Q6"/>
      <sheetName val="200TC_C_M-K6"/>
      <sheetName val="Goose_DW-T_6"/>
      <sheetName val="Goose_DW-F6"/>
      <sheetName val="Goose_DW-Q6"/>
      <sheetName val="Goose_DW-K6"/>
      <sheetName val="M_Fiber-T6"/>
      <sheetName val="M_Fiber-F6"/>
      <sheetName val="M_Fiber-Q6"/>
      <sheetName val="M_Fiber-K6"/>
      <sheetName val="Materials_List6"/>
      <sheetName val="topper_recap_6"/>
      <sheetName val="1_global_setting6"/>
      <sheetName val="MSC_Table"/>
      <sheetName val="MSC_Set"/>
      <sheetName val="负债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F13">
            <v>8.07</v>
          </cell>
        </row>
      </sheetData>
      <sheetData sheetId="9">
        <row r="13">
          <cell r="F13">
            <v>8.07</v>
          </cell>
        </row>
      </sheetData>
      <sheetData sheetId="10">
        <row r="13">
          <cell r="F13">
            <v>8.07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负债表 (2)"/>
      <sheetName val="资产负债表（USD） (2)"/>
      <sheetName val="负债表"/>
      <sheetName val="资产负债表（USD）"/>
      <sheetName val="Sheet1"/>
      <sheetName val="Materials List"/>
      <sheetName val="1.global setting"/>
      <sheetName val="5사남"/>
      <sheetName val="WMT-150Q"/>
      <sheetName val="24.보증금(전신전화가입권)"/>
    </sheetNames>
    <sheetDataSet>
      <sheetData sheetId="0"/>
      <sheetData sheetId="1"/>
      <sheetData sheetId="2" refreshError="1">
        <row r="1">
          <cell r="G1">
            <v>8.2766999999999999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ZINUSNAMCHB@LNS.MAERSK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view="pageBreakPreview" zoomScaleNormal="100" zoomScaleSheetLayoutView="100" workbookViewId="0">
      <selection activeCell="D29" sqref="D29"/>
    </sheetView>
  </sheetViews>
  <sheetFormatPr defaultRowHeight="15.95" customHeight="1"/>
  <cols>
    <col min="1" max="1" width="19.7109375" style="6" customWidth="1"/>
    <col min="2" max="2" width="9" style="6" bestFit="1" customWidth="1"/>
    <col min="3" max="3" width="17.140625" style="7" customWidth="1"/>
    <col min="4" max="4" width="49.5703125" style="6" customWidth="1"/>
    <col min="5" max="5" width="11.7109375" style="6" customWidth="1"/>
    <col min="6" max="6" width="14.7109375" style="6" customWidth="1"/>
    <col min="7" max="7" width="13.7109375" style="8" customWidth="1"/>
    <col min="8" max="8" width="7.7109375" style="6" bestFit="1" customWidth="1"/>
    <col min="9" max="9" width="8.85546875" style="6" customWidth="1"/>
    <col min="10" max="10" width="13.42578125" style="6" bestFit="1" customWidth="1"/>
    <col min="11" max="12" width="9.140625" style="6"/>
    <col min="13" max="13" width="12.5703125" style="6" bestFit="1" customWidth="1"/>
    <col min="14" max="14" width="15.85546875" style="6" bestFit="1" customWidth="1"/>
    <col min="15" max="16384" width="9.140625" style="6"/>
  </cols>
  <sheetData>
    <row r="1" spans="1:10" ht="20.25">
      <c r="A1" s="247" t="s">
        <v>17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0" ht="15.95" customHeight="1">
      <c r="A2" s="1" t="s">
        <v>7</v>
      </c>
      <c r="B2" s="1"/>
      <c r="C2" s="2"/>
      <c r="D2" s="1"/>
      <c r="E2" s="1"/>
      <c r="F2" s="1"/>
      <c r="G2" s="3"/>
      <c r="H2" s="1"/>
      <c r="I2" s="1"/>
      <c r="J2" s="4" t="s">
        <v>18</v>
      </c>
    </row>
    <row r="3" spans="1:10" ht="15.95" customHeight="1">
      <c r="A3" s="5" t="s">
        <v>19</v>
      </c>
    </row>
    <row r="4" spans="1:10" ht="15.95" customHeight="1">
      <c r="A4" s="5" t="s">
        <v>20</v>
      </c>
    </row>
    <row r="5" spans="1:10" ht="15.95" customHeight="1">
      <c r="A5" s="13" t="s">
        <v>21</v>
      </c>
      <c r="B5" s="14"/>
      <c r="C5" s="15"/>
      <c r="D5" s="16" t="s">
        <v>22</v>
      </c>
      <c r="E5" s="13" t="s">
        <v>23</v>
      </c>
      <c r="F5" s="17"/>
      <c r="G5" s="18" t="s">
        <v>24</v>
      </c>
      <c r="H5" s="19"/>
      <c r="I5" s="19"/>
      <c r="J5" s="17"/>
    </row>
    <row r="6" spans="1:10" ht="15.95" customHeight="1">
      <c r="A6" s="248"/>
      <c r="B6" s="249"/>
      <c r="C6" s="250"/>
      <c r="D6" s="9" t="s">
        <v>46</v>
      </c>
      <c r="E6" s="254"/>
      <c r="F6" s="255"/>
      <c r="G6" s="258"/>
      <c r="H6" s="259"/>
      <c r="I6" s="259"/>
      <c r="J6" s="260"/>
    </row>
    <row r="7" spans="1:10" ht="15.95" customHeight="1">
      <c r="A7" s="251"/>
      <c r="B7" s="252"/>
      <c r="C7" s="253"/>
      <c r="D7" s="10" t="s">
        <v>54</v>
      </c>
      <c r="E7" s="256"/>
      <c r="F7" s="257"/>
      <c r="G7" s="261"/>
      <c r="H7" s="262"/>
      <c r="I7" s="262"/>
      <c r="J7" s="263"/>
    </row>
    <row r="8" spans="1:10" ht="15.95" customHeight="1">
      <c r="A8" s="13" t="s">
        <v>25</v>
      </c>
      <c r="B8" s="264"/>
      <c r="C8" s="265"/>
      <c r="D8" s="16" t="s">
        <v>26</v>
      </c>
      <c r="E8" s="13" t="s">
        <v>27</v>
      </c>
      <c r="F8" s="17"/>
      <c r="G8" s="18" t="s">
        <v>28</v>
      </c>
      <c r="H8" s="19"/>
      <c r="I8" s="17"/>
      <c r="J8" s="16" t="s">
        <v>29</v>
      </c>
    </row>
    <row r="9" spans="1:10" ht="15.95" customHeight="1">
      <c r="A9" s="266"/>
      <c r="B9" s="267"/>
      <c r="C9" s="268"/>
      <c r="D9" s="272" t="s">
        <v>8</v>
      </c>
      <c r="E9" s="274" t="e">
        <f>#REF!</f>
        <v>#REF!</v>
      </c>
      <c r="F9" s="275"/>
      <c r="G9" s="278" t="s">
        <v>49</v>
      </c>
      <c r="H9" s="279"/>
      <c r="I9" s="280"/>
      <c r="J9" s="284" t="s">
        <v>50</v>
      </c>
    </row>
    <row r="10" spans="1:10" ht="15.95" customHeight="1">
      <c r="A10" s="269"/>
      <c r="B10" s="270"/>
      <c r="C10" s="271"/>
      <c r="D10" s="273"/>
      <c r="E10" s="276"/>
      <c r="F10" s="277"/>
      <c r="G10" s="281"/>
      <c r="H10" s="282"/>
      <c r="I10" s="283"/>
      <c r="J10" s="285"/>
    </row>
    <row r="11" spans="1:10" ht="15.95" customHeight="1">
      <c r="A11" s="245" t="s">
        <v>30</v>
      </c>
      <c r="B11" s="20" t="s">
        <v>31</v>
      </c>
      <c r="C11" s="21" t="s">
        <v>32</v>
      </c>
      <c r="D11" s="20" t="s">
        <v>33</v>
      </c>
      <c r="E11" s="20" t="s">
        <v>34</v>
      </c>
      <c r="F11" s="20" t="s">
        <v>35</v>
      </c>
      <c r="G11" s="22" t="s">
        <v>36</v>
      </c>
      <c r="H11" s="20" t="s">
        <v>10</v>
      </c>
      <c r="I11" s="20" t="s">
        <v>37</v>
      </c>
      <c r="J11" s="20" t="s">
        <v>38</v>
      </c>
    </row>
    <row r="12" spans="1:10" ht="15.95" customHeight="1">
      <c r="A12" s="246"/>
      <c r="B12" s="23"/>
      <c r="C12" s="24"/>
      <c r="D12" s="25"/>
      <c r="E12" s="23" t="s">
        <v>39</v>
      </c>
      <c r="F12" s="23" t="s">
        <v>40</v>
      </c>
      <c r="G12" s="26" t="s">
        <v>16</v>
      </c>
      <c r="H12" s="23" t="s">
        <v>41</v>
      </c>
      <c r="I12" s="23" t="s">
        <v>42</v>
      </c>
      <c r="J12" s="23"/>
    </row>
    <row r="13" spans="1:10" ht="15.95" customHeight="1">
      <c r="A13" s="27" t="e">
        <f>#REF!</f>
        <v>#REF!</v>
      </c>
      <c r="B13" s="42" t="s">
        <v>51</v>
      </c>
      <c r="C13" s="43" t="e">
        <f>#REF!</f>
        <v>#REF!</v>
      </c>
      <c r="D13" s="44" t="e">
        <f>#REF!</f>
        <v>#REF!</v>
      </c>
      <c r="E13" s="28" t="e">
        <f>#REF!</f>
        <v>#REF!</v>
      </c>
      <c r="F13" s="29">
        <v>58.344000000000001</v>
      </c>
      <c r="G13" s="30">
        <v>6342.7</v>
      </c>
      <c r="H13" s="31" t="e">
        <f>E13</f>
        <v>#REF!</v>
      </c>
      <c r="I13" s="23"/>
      <c r="J13" s="23"/>
    </row>
    <row r="14" spans="1:10" ht="15.95" customHeight="1">
      <c r="A14" s="27"/>
      <c r="B14" s="42"/>
      <c r="C14" s="43"/>
      <c r="D14" s="44"/>
      <c r="E14" s="28"/>
      <c r="F14" s="32"/>
      <c r="G14" s="33"/>
      <c r="H14" s="31"/>
      <c r="I14" s="34"/>
      <c r="J14" s="35"/>
    </row>
    <row r="15" spans="1:10" ht="15.95" customHeight="1">
      <c r="B15" s="11"/>
      <c r="C15" s="12"/>
      <c r="D15" s="36" t="s">
        <v>43</v>
      </c>
      <c r="E15" s="37"/>
      <c r="F15" s="38"/>
      <c r="G15" s="45"/>
      <c r="H15" s="37"/>
      <c r="I15" s="11"/>
    </row>
    <row r="16" spans="1:10" ht="15.95" customHeight="1">
      <c r="A16" s="5" t="s">
        <v>44</v>
      </c>
      <c r="B16" s="11"/>
      <c r="C16" s="12"/>
      <c r="D16" s="39"/>
    </row>
    <row r="17" spans="1:4" ht="15.95" customHeight="1">
      <c r="A17" s="6" t="s">
        <v>45</v>
      </c>
      <c r="B17" s="11"/>
      <c r="C17" s="12"/>
      <c r="D17" s="39"/>
    </row>
    <row r="18" spans="1:4" ht="15.95" customHeight="1">
      <c r="A18" s="40"/>
      <c r="D18" s="41"/>
    </row>
    <row r="19" spans="1:4" ht="15.95" customHeight="1">
      <c r="A19" s="6" t="s">
        <v>52</v>
      </c>
    </row>
    <row r="20" spans="1:4" ht="15.95" customHeight="1">
      <c r="A20" s="6" t="s">
        <v>53</v>
      </c>
    </row>
  </sheetData>
  <mergeCells count="11">
    <mergeCell ref="A11:A12"/>
    <mergeCell ref="A1:J1"/>
    <mergeCell ref="A6:C7"/>
    <mergeCell ref="E6:F7"/>
    <mergeCell ref="G6:J7"/>
    <mergeCell ref="B8:C8"/>
    <mergeCell ref="A9:C10"/>
    <mergeCell ref="D9:D10"/>
    <mergeCell ref="E9:F10"/>
    <mergeCell ref="G9:I10"/>
    <mergeCell ref="J9:J10"/>
  </mergeCells>
  <pageMargins left="0.7" right="0.7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8435-0374-4903-A0FD-C70EA8319231}">
  <sheetPr>
    <tabColor rgb="FFFFC000"/>
    <pageSetUpPr fitToPage="1"/>
  </sheetPr>
  <dimension ref="B1:Q132"/>
  <sheetViews>
    <sheetView showGridLines="0" tabSelected="1" view="pageBreakPreview" topLeftCell="A2" zoomScale="70" zoomScaleNormal="85" zoomScaleSheetLayoutView="70" workbookViewId="0">
      <selection activeCell="T49" sqref="T49"/>
    </sheetView>
  </sheetViews>
  <sheetFormatPr defaultColWidth="10.28515625" defaultRowHeight="19.5"/>
  <cols>
    <col min="1" max="1" width="10.28515625" style="46"/>
    <col min="2" max="2" width="26.28515625" style="46" customWidth="1"/>
    <col min="3" max="3" width="20.5703125" style="46" customWidth="1"/>
    <col min="4" max="4" width="26.28515625" style="46" customWidth="1"/>
    <col min="5" max="5" width="30.7109375" style="46" customWidth="1"/>
    <col min="6" max="6" width="35.7109375" style="46" customWidth="1"/>
    <col min="7" max="7" width="15.7109375" style="46" customWidth="1"/>
    <col min="8" max="8" width="29.5703125" style="46" customWidth="1"/>
    <col min="9" max="9" width="15.7109375" style="46" customWidth="1"/>
    <col min="10" max="10" width="8.85546875" style="49" customWidth="1"/>
    <col min="11" max="11" width="15.7109375" style="46" customWidth="1"/>
    <col min="12" max="12" width="20.7109375" style="46" customWidth="1"/>
    <col min="13" max="13" width="20.7109375" style="94" customWidth="1"/>
    <col min="14" max="14" width="63.5703125" style="46" hidden="1" customWidth="1"/>
    <col min="15" max="16" width="10.28515625" style="46" hidden="1" customWidth="1"/>
    <col min="17" max="17" width="35.85546875" style="46" hidden="1" customWidth="1"/>
    <col min="18" max="18" width="12.85546875" style="46" customWidth="1"/>
    <col min="19" max="19" width="10.28515625" style="46" customWidth="1"/>
    <col min="20" max="16384" width="10.28515625" style="46"/>
  </cols>
  <sheetData>
    <row r="1" spans="2:13" ht="20.25" thickBot="1"/>
    <row r="2" spans="2:13" ht="59.25" customHeight="1" thickBot="1">
      <c r="B2" s="241" t="s">
        <v>63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3"/>
    </row>
    <row r="3" spans="2:13" ht="15.95" customHeight="1" thickTop="1">
      <c r="B3" s="92" t="s">
        <v>91</v>
      </c>
      <c r="C3" s="162"/>
      <c r="E3" s="162"/>
      <c r="F3" s="48"/>
      <c r="G3" s="47" t="s">
        <v>60</v>
      </c>
      <c r="K3" s="163"/>
      <c r="L3" s="163"/>
      <c r="M3" s="104"/>
    </row>
    <row r="4" spans="2:13" ht="15.95" customHeight="1">
      <c r="B4" s="92" t="s">
        <v>92</v>
      </c>
      <c r="D4" s="162"/>
      <c r="E4" s="162"/>
      <c r="G4" s="50" t="s">
        <v>99</v>
      </c>
      <c r="H4" s="51"/>
      <c r="I4" s="52"/>
      <c r="J4" s="53"/>
      <c r="K4" s="54">
        <v>46289</v>
      </c>
      <c r="L4" s="54"/>
      <c r="M4" s="105"/>
    </row>
    <row r="5" spans="2:13" ht="15.95" customHeight="1">
      <c r="B5" s="117" t="s">
        <v>93</v>
      </c>
      <c r="D5" s="164"/>
      <c r="E5" s="165"/>
      <c r="G5" s="55" t="s">
        <v>0</v>
      </c>
      <c r="H5" s="56"/>
      <c r="I5" s="56"/>
      <c r="J5" s="57"/>
      <c r="K5" s="56"/>
      <c r="L5" s="56"/>
      <c r="M5" s="107"/>
    </row>
    <row r="6" spans="2:13" ht="15.95" customHeight="1">
      <c r="B6" s="117" t="s">
        <v>94</v>
      </c>
      <c r="D6" s="164"/>
      <c r="E6" s="165"/>
      <c r="G6" s="58" t="s">
        <v>1</v>
      </c>
      <c r="J6" s="46"/>
      <c r="M6" s="108"/>
    </row>
    <row r="7" spans="2:13" ht="15.95" customHeight="1">
      <c r="B7" s="117" t="s">
        <v>95</v>
      </c>
      <c r="D7" s="164"/>
      <c r="G7" s="58"/>
      <c r="J7" s="46"/>
      <c r="M7" s="108"/>
    </row>
    <row r="8" spans="2:13" ht="15.95" customHeight="1">
      <c r="B8" s="106"/>
      <c r="D8" s="164"/>
      <c r="G8" s="59"/>
      <c r="H8" s="52"/>
      <c r="I8" s="52"/>
      <c r="J8" s="52"/>
      <c r="K8" s="52"/>
      <c r="L8" s="52"/>
      <c r="M8" s="109"/>
    </row>
    <row r="9" spans="2:13" ht="15.95" customHeight="1">
      <c r="B9" s="110" t="s">
        <v>65</v>
      </c>
      <c r="C9" s="61"/>
      <c r="D9" s="56"/>
      <c r="E9" s="56"/>
      <c r="F9" s="62"/>
      <c r="G9" s="162" t="s">
        <v>2</v>
      </c>
      <c r="M9" s="111"/>
    </row>
    <row r="10" spans="2:13" s="63" customFormat="1" ht="15.95" customHeight="1">
      <c r="B10" s="112" t="s">
        <v>59</v>
      </c>
      <c r="D10" s="166"/>
      <c r="F10" s="64"/>
      <c r="G10" s="167" t="s">
        <v>61</v>
      </c>
      <c r="H10" s="168"/>
      <c r="M10" s="113"/>
    </row>
    <row r="11" spans="2:13" s="63" customFormat="1" ht="15.95" customHeight="1">
      <c r="B11" s="106" t="s">
        <v>56</v>
      </c>
      <c r="D11" s="169"/>
      <c r="F11" s="64"/>
      <c r="G11" s="63" t="s">
        <v>48</v>
      </c>
      <c r="H11" s="165"/>
      <c r="M11" s="114"/>
    </row>
    <row r="12" spans="2:13" s="63" customFormat="1" ht="15.95" customHeight="1">
      <c r="B12" s="106" t="s">
        <v>64</v>
      </c>
      <c r="D12" s="169"/>
      <c r="F12" s="64"/>
      <c r="G12" s="63" t="s">
        <v>104</v>
      </c>
      <c r="H12" s="165"/>
      <c r="K12" s="170"/>
      <c r="L12" s="170"/>
      <c r="M12" s="115"/>
    </row>
    <row r="13" spans="2:13" s="63" customFormat="1" ht="15.95" customHeight="1">
      <c r="B13" s="116"/>
      <c r="C13" s="65"/>
      <c r="D13" s="67"/>
      <c r="E13" s="66"/>
      <c r="F13" s="68"/>
      <c r="H13" s="165"/>
      <c r="K13" s="170"/>
      <c r="L13" s="170"/>
      <c r="M13" s="115"/>
    </row>
    <row r="14" spans="2:13" ht="15.95" customHeight="1">
      <c r="B14" s="92" t="s">
        <v>66</v>
      </c>
      <c r="C14" s="162"/>
      <c r="F14" s="48"/>
      <c r="G14" s="55" t="s">
        <v>3</v>
      </c>
      <c r="H14" s="56"/>
      <c r="I14" s="56"/>
      <c r="J14" s="57"/>
      <c r="K14" s="56"/>
      <c r="L14" s="56"/>
      <c r="M14" s="107"/>
    </row>
    <row r="15" spans="2:13" ht="15.95" customHeight="1">
      <c r="B15" s="112" t="s">
        <v>100</v>
      </c>
      <c r="D15" s="171"/>
      <c r="F15" s="48"/>
      <c r="G15" s="47" t="s">
        <v>4</v>
      </c>
      <c r="J15" s="46"/>
      <c r="M15" s="111"/>
    </row>
    <row r="16" spans="2:13" ht="15.95" customHeight="1">
      <c r="B16" s="106" t="s">
        <v>101</v>
      </c>
      <c r="D16" s="172"/>
      <c r="F16" s="48"/>
      <c r="G16" s="69" t="s">
        <v>5</v>
      </c>
      <c r="H16" s="215" t="s">
        <v>105</v>
      </c>
      <c r="I16" s="174"/>
      <c r="J16" s="174"/>
      <c r="M16" s="111"/>
    </row>
    <row r="17" spans="2:16" ht="15.95" customHeight="1">
      <c r="B17" s="106" t="s">
        <v>102</v>
      </c>
      <c r="D17" s="172"/>
      <c r="F17" s="48"/>
      <c r="G17" s="70" t="s">
        <v>67</v>
      </c>
      <c r="H17" s="216" t="s">
        <v>126</v>
      </c>
      <c r="I17" s="162" t="s">
        <v>7</v>
      </c>
      <c r="J17" s="162" t="s">
        <v>7</v>
      </c>
      <c r="M17" s="111"/>
    </row>
    <row r="18" spans="2:16" ht="15.95" customHeight="1">
      <c r="B18" s="117" t="s">
        <v>103</v>
      </c>
      <c r="D18" s="172"/>
      <c r="F18" s="48"/>
      <c r="G18" s="70" t="s">
        <v>90</v>
      </c>
      <c r="H18" s="229" t="s">
        <v>127</v>
      </c>
      <c r="I18" s="162"/>
      <c r="J18" s="162"/>
      <c r="M18" s="111"/>
    </row>
    <row r="19" spans="2:16" ht="15.95" customHeight="1">
      <c r="B19" s="93"/>
      <c r="D19" s="172"/>
      <c r="F19" s="48"/>
      <c r="G19" s="71"/>
      <c r="H19" s="72"/>
      <c r="I19" s="72"/>
      <c r="J19" s="72"/>
      <c r="K19" s="52"/>
      <c r="L19" s="52"/>
      <c r="M19" s="118"/>
    </row>
    <row r="20" spans="2:16" ht="15.95" customHeight="1">
      <c r="B20" s="119" t="s">
        <v>86</v>
      </c>
      <c r="C20" s="73"/>
      <c r="D20" s="75"/>
      <c r="E20" s="56"/>
      <c r="F20" s="62"/>
      <c r="G20" s="162" t="s">
        <v>6</v>
      </c>
      <c r="M20" s="111"/>
    </row>
    <row r="21" spans="2:16" ht="15.95" customHeight="1">
      <c r="B21" s="217">
        <v>46296</v>
      </c>
      <c r="C21" s="158"/>
      <c r="D21" s="76"/>
      <c r="E21" s="52"/>
      <c r="F21" s="60"/>
      <c r="G21" s="46" t="s">
        <v>84</v>
      </c>
      <c r="M21" s="111"/>
    </row>
    <row r="22" spans="2:16" ht="15.95" customHeight="1">
      <c r="B22" s="120" t="s">
        <v>85</v>
      </c>
      <c r="C22" s="167"/>
      <c r="D22" s="63"/>
      <c r="E22" s="162" t="s">
        <v>70</v>
      </c>
      <c r="F22" s="48"/>
      <c r="G22" s="58" t="s">
        <v>83</v>
      </c>
      <c r="M22" s="111"/>
    </row>
    <row r="23" spans="2:16" s="77" customFormat="1" ht="15.95" customHeight="1">
      <c r="B23" s="218" t="s">
        <v>128</v>
      </c>
      <c r="C23" s="78"/>
      <c r="D23" s="78"/>
      <c r="E23" s="79" t="s">
        <v>71</v>
      </c>
      <c r="F23" s="80"/>
      <c r="G23" s="81" t="s">
        <v>7</v>
      </c>
      <c r="H23" s="176"/>
      <c r="J23" s="177"/>
      <c r="M23" s="121"/>
    </row>
    <row r="24" spans="2:16" ht="15.95" customHeight="1">
      <c r="B24" s="122" t="s">
        <v>73</v>
      </c>
      <c r="C24" s="219" t="s">
        <v>129</v>
      </c>
      <c r="D24" s="82"/>
      <c r="E24" s="56"/>
      <c r="F24" s="156"/>
      <c r="G24" s="59"/>
      <c r="H24" s="66"/>
      <c r="I24" s="52"/>
      <c r="J24" s="53"/>
      <c r="K24" s="52"/>
      <c r="L24" s="52"/>
      <c r="M24" s="118"/>
    </row>
    <row r="25" spans="2:16" ht="15.95" customHeight="1">
      <c r="B25" s="123" t="s">
        <v>62</v>
      </c>
      <c r="C25" s="178"/>
      <c r="D25" s="162"/>
      <c r="E25" s="61"/>
      <c r="F25" s="61"/>
      <c r="G25" s="162"/>
      <c r="H25" s="61"/>
      <c r="I25" s="61"/>
      <c r="J25" s="179"/>
      <c r="M25" s="111"/>
    </row>
    <row r="26" spans="2:16" ht="15.95" customHeight="1">
      <c r="B26" s="123"/>
      <c r="C26" s="178"/>
      <c r="D26" s="162"/>
      <c r="E26" s="162"/>
      <c r="F26" s="162"/>
      <c r="G26" s="162"/>
      <c r="H26" s="180"/>
      <c r="I26" s="180"/>
      <c r="J26" s="179"/>
      <c r="K26" s="179"/>
      <c r="L26" s="179"/>
      <c r="M26" s="124"/>
    </row>
    <row r="27" spans="2:16" ht="15.75" customHeight="1">
      <c r="B27" s="125" t="s">
        <v>58</v>
      </c>
      <c r="C27" s="181" t="s">
        <v>5</v>
      </c>
      <c r="D27" s="181" t="s">
        <v>55</v>
      </c>
      <c r="E27" s="181" t="s">
        <v>72</v>
      </c>
      <c r="F27" s="201" t="s">
        <v>13</v>
      </c>
      <c r="I27" s="182" t="s">
        <v>47</v>
      </c>
      <c r="J27" s="182"/>
      <c r="K27" s="183" t="s">
        <v>11</v>
      </c>
      <c r="L27" s="183" t="s">
        <v>12</v>
      </c>
      <c r="M27" s="126" t="s">
        <v>87</v>
      </c>
      <c r="N27" s="46" t="s">
        <v>7</v>
      </c>
    </row>
    <row r="28" spans="2:16" ht="15.95" customHeight="1">
      <c r="B28" s="125"/>
      <c r="C28" s="184"/>
      <c r="D28" s="182"/>
      <c r="F28" s="185"/>
      <c r="L28" s="49"/>
      <c r="M28" s="127"/>
    </row>
    <row r="29" spans="2:16" ht="21.75" customHeight="1">
      <c r="B29" s="149" t="s">
        <v>130</v>
      </c>
      <c r="C29" s="186" t="s">
        <v>105</v>
      </c>
      <c r="D29" s="175" t="s">
        <v>106</v>
      </c>
      <c r="E29" s="175" t="s">
        <v>116</v>
      </c>
      <c r="F29" s="175" t="s">
        <v>131</v>
      </c>
      <c r="I29" s="170">
        <v>350</v>
      </c>
      <c r="J29" s="187" t="s">
        <v>57</v>
      </c>
      <c r="K29" s="150">
        <v>101.78</v>
      </c>
      <c r="L29" s="155">
        <f>K29*I29</f>
        <v>35623</v>
      </c>
      <c r="M29" s="214">
        <v>12383</v>
      </c>
      <c r="N29" s="148" t="str">
        <f>C29&amp;D29&amp;E29</f>
        <v>8GHY1D8TZU-MFGN1YZI-12KF.MFG.12K.002.AD</v>
      </c>
      <c r="O29" s="46" t="str">
        <f>D29&amp;E29</f>
        <v>ZU-MFGN1YZI-12KF.MFG.12K.002.AD</v>
      </c>
      <c r="P29" s="46" t="str">
        <f>C29&amp;D29</f>
        <v>8GHY1D8TZU-MFGN1YZI-12K</v>
      </c>
    </row>
    <row r="30" spans="2:16" ht="21.75" customHeight="1">
      <c r="B30" s="149" t="s">
        <v>130</v>
      </c>
      <c r="C30" s="186" t="s">
        <v>105</v>
      </c>
      <c r="D30" s="175" t="s">
        <v>106</v>
      </c>
      <c r="E30" s="175" t="s">
        <v>116</v>
      </c>
      <c r="F30" s="175" t="s">
        <v>131</v>
      </c>
      <c r="I30" s="170">
        <v>350</v>
      </c>
      <c r="J30" s="187" t="s">
        <v>57</v>
      </c>
      <c r="K30" s="150">
        <v>101.78</v>
      </c>
      <c r="L30" s="155">
        <f t="shared" ref="L30:L31" si="0">K30*I30</f>
        <v>35623</v>
      </c>
      <c r="M30" s="214">
        <v>12383</v>
      </c>
      <c r="N30" s="148" t="str">
        <f t="shared" ref="N30:N31" si="1">C30&amp;D30&amp;E30</f>
        <v>8GHY1D8TZU-MFGN1YZI-12KF.MFG.12K.002.AD</v>
      </c>
      <c r="O30" s="46" t="str">
        <f t="shared" ref="O30:O31" si="2">D30&amp;E30</f>
        <v>ZU-MFGN1YZI-12KF.MFG.12K.002.AD</v>
      </c>
      <c r="P30" s="46" t="str">
        <f t="shared" ref="P30:P31" si="3">C30&amp;D30</f>
        <v>8GHY1D8TZU-MFGN1YZI-12K</v>
      </c>
    </row>
    <row r="31" spans="2:16" ht="21.75" customHeight="1">
      <c r="B31" s="149" t="s">
        <v>130</v>
      </c>
      <c r="C31" s="186" t="s">
        <v>105</v>
      </c>
      <c r="D31" s="175" t="s">
        <v>107</v>
      </c>
      <c r="E31" s="175" t="s">
        <v>117</v>
      </c>
      <c r="F31" s="175" t="s">
        <v>132</v>
      </c>
      <c r="I31" s="170">
        <v>285</v>
      </c>
      <c r="J31" s="187" t="s">
        <v>57</v>
      </c>
      <c r="K31" s="150">
        <v>50.35</v>
      </c>
      <c r="L31" s="155">
        <f t="shared" si="0"/>
        <v>14349.75</v>
      </c>
      <c r="M31" s="214">
        <v>4562.8500000000004</v>
      </c>
      <c r="N31" s="148" t="str">
        <f t="shared" si="1"/>
        <v>8GHY1D8TZU-MFMA1ZZI-10XF.MFM.10X.007.AD</v>
      </c>
      <c r="O31" s="46" t="str">
        <f t="shared" si="2"/>
        <v>ZU-MFMA1ZZI-10XF.MFM.10X.007.AD</v>
      </c>
      <c r="P31" s="46" t="str">
        <f t="shared" si="3"/>
        <v>8GHY1D8TZU-MFMA1ZZI-10X</v>
      </c>
    </row>
    <row r="32" spans="2:16" ht="21.75" customHeight="1">
      <c r="B32" s="149" t="s">
        <v>130</v>
      </c>
      <c r="C32" s="186" t="s">
        <v>105</v>
      </c>
      <c r="D32" s="175" t="s">
        <v>108</v>
      </c>
      <c r="E32" s="175" t="s">
        <v>118</v>
      </c>
      <c r="F32" s="175" t="s">
        <v>133</v>
      </c>
      <c r="I32" s="170">
        <v>585</v>
      </c>
      <c r="J32" s="187" t="s">
        <v>57</v>
      </c>
      <c r="K32" s="150">
        <v>23.66</v>
      </c>
      <c r="L32" s="155">
        <f t="shared" ref="L32:L35" si="4">K32*I32</f>
        <v>13841.1</v>
      </c>
      <c r="M32" s="214">
        <v>5440.5</v>
      </c>
      <c r="N32" s="148" t="str">
        <f t="shared" ref="N32:N35" si="5">C32&amp;D32&amp;E32</f>
        <v>8GHY1D8TZU-MFMA1ZZI-05TF.MFM.05T.007.AD</v>
      </c>
      <c r="O32" s="46" t="str">
        <f t="shared" ref="O32:O35" si="6">D32&amp;E32</f>
        <v>ZU-MFMA1ZZI-05TF.MFM.05T.007.AD</v>
      </c>
      <c r="P32" s="46" t="str">
        <f t="shared" ref="P32:P35" si="7">C32&amp;D32</f>
        <v>8GHY1D8TZU-MFMA1ZZI-05T</v>
      </c>
    </row>
    <row r="33" spans="2:16" ht="21.75" customHeight="1">
      <c r="B33" s="149" t="s">
        <v>130</v>
      </c>
      <c r="C33" s="186" t="s">
        <v>105</v>
      </c>
      <c r="D33" s="175" t="s">
        <v>97</v>
      </c>
      <c r="E33" s="175" t="s">
        <v>98</v>
      </c>
      <c r="F33" s="175" t="s">
        <v>134</v>
      </c>
      <c r="I33" s="170">
        <v>13</v>
      </c>
      <c r="J33" s="187" t="s">
        <v>57</v>
      </c>
      <c r="K33" s="150">
        <v>63.2</v>
      </c>
      <c r="L33" s="155">
        <f t="shared" si="4"/>
        <v>821.6</v>
      </c>
      <c r="M33" s="214">
        <v>226.46000000000004</v>
      </c>
      <c r="N33" s="148" t="str">
        <f t="shared" si="5"/>
        <v>8GHY1D8TZU-MFMA1ZZI-12TF.MFM.12T.006.AD</v>
      </c>
      <c r="O33" s="46" t="str">
        <f t="shared" si="6"/>
        <v>ZU-MFMA1ZZI-12TF.MFM.12T.006.AD</v>
      </c>
      <c r="P33" s="46" t="str">
        <f t="shared" si="7"/>
        <v>8GHY1D8TZU-MFMA1ZZI-12T</v>
      </c>
    </row>
    <row r="34" spans="2:16" ht="21.75" customHeight="1">
      <c r="B34" s="149" t="s">
        <v>130</v>
      </c>
      <c r="C34" s="186" t="s">
        <v>105</v>
      </c>
      <c r="D34" s="175" t="s">
        <v>109</v>
      </c>
      <c r="E34" s="175" t="s">
        <v>119</v>
      </c>
      <c r="F34" s="175" t="s">
        <v>135</v>
      </c>
      <c r="I34" s="170">
        <v>146</v>
      </c>
      <c r="J34" s="187" t="s">
        <v>57</v>
      </c>
      <c r="K34" s="150">
        <v>38.93</v>
      </c>
      <c r="L34" s="155">
        <f t="shared" si="4"/>
        <v>5683.78</v>
      </c>
      <c r="M34" s="214">
        <v>2061.52</v>
      </c>
      <c r="N34" s="148" t="str">
        <f t="shared" si="5"/>
        <v>8GHY1D8TZU-MFMA1RZI-10TF.MFM.10T.014.AD</v>
      </c>
      <c r="O34" s="46" t="str">
        <f t="shared" si="6"/>
        <v>ZU-MFMA1RZI-10TF.MFM.10T.014.AD</v>
      </c>
      <c r="P34" s="46" t="str">
        <f t="shared" si="7"/>
        <v>8GHY1D8TZU-MFMA1RZI-10T</v>
      </c>
    </row>
    <row r="35" spans="2:16" ht="21.75" customHeight="1">
      <c r="B35" s="149" t="s">
        <v>130</v>
      </c>
      <c r="C35" s="186" t="s">
        <v>105</v>
      </c>
      <c r="D35" s="175" t="s">
        <v>110</v>
      </c>
      <c r="E35" s="175" t="s">
        <v>120</v>
      </c>
      <c r="F35" s="175" t="s">
        <v>136</v>
      </c>
      <c r="I35" s="170">
        <v>101</v>
      </c>
      <c r="J35" s="187" t="s">
        <v>57</v>
      </c>
      <c r="K35" s="150">
        <v>23.95</v>
      </c>
      <c r="L35" s="155">
        <f t="shared" si="4"/>
        <v>2418.9499999999998</v>
      </c>
      <c r="M35" s="214">
        <v>959.5</v>
      </c>
      <c r="N35" s="148" t="str">
        <f t="shared" si="5"/>
        <v>8GHY1D8TZU-MFMA1OZI-05TF.MFM.05T.008.AD</v>
      </c>
      <c r="O35" s="46" t="str">
        <f t="shared" si="6"/>
        <v>ZU-MFMA1OZI-05TF.MFM.05T.008.AD</v>
      </c>
      <c r="P35" s="46" t="str">
        <f t="shared" si="7"/>
        <v>8GHY1D8TZU-MFMA1OZI-05T</v>
      </c>
    </row>
    <row r="36" spans="2:16" ht="21.75" customHeight="1">
      <c r="B36" s="149" t="s">
        <v>130</v>
      </c>
      <c r="C36" s="186" t="s">
        <v>105</v>
      </c>
      <c r="D36" s="175" t="s">
        <v>111</v>
      </c>
      <c r="E36" s="175" t="s">
        <v>121</v>
      </c>
      <c r="F36" s="175" t="s">
        <v>137</v>
      </c>
      <c r="I36" s="170">
        <v>515</v>
      </c>
      <c r="J36" s="187" t="s">
        <v>57</v>
      </c>
      <c r="K36" s="150">
        <v>45.51</v>
      </c>
      <c r="L36" s="155">
        <f>K36*I36</f>
        <v>23437.649999999998</v>
      </c>
      <c r="M36" s="214">
        <v>7714.7</v>
      </c>
      <c r="N36" s="148" t="str">
        <f>C36&amp;D36&amp;E36</f>
        <v>8GHY1D8TZU-MFMA1ZZI-06QF.MFM.06Q.007.AD</v>
      </c>
      <c r="O36" s="46" t="str">
        <f>D36&amp;E36</f>
        <v>ZU-MFMA1ZZI-06QF.MFM.06Q.007.AD</v>
      </c>
      <c r="P36" s="46" t="str">
        <f>C36&amp;D36</f>
        <v>8GHY1D8TZU-MFMA1ZZI-06Q</v>
      </c>
    </row>
    <row r="37" spans="2:16" ht="21.75" customHeight="1">
      <c r="B37" s="149" t="s">
        <v>130</v>
      </c>
      <c r="C37" s="186" t="s">
        <v>105</v>
      </c>
      <c r="D37" s="175" t="s">
        <v>112</v>
      </c>
      <c r="E37" s="175" t="s">
        <v>122</v>
      </c>
      <c r="F37" s="175" t="s">
        <v>138</v>
      </c>
      <c r="I37" s="170">
        <v>360</v>
      </c>
      <c r="J37" s="187" t="s">
        <v>57</v>
      </c>
      <c r="K37" s="150">
        <v>55.24</v>
      </c>
      <c r="L37" s="155">
        <f t="shared" ref="L37:L42" si="8">K37*I37</f>
        <v>19886.400000000001</v>
      </c>
      <c r="M37" s="214">
        <v>5320.8</v>
      </c>
      <c r="N37" s="148" t="str">
        <f t="shared" ref="N37:N42" si="9">C37&amp;D37&amp;E37</f>
        <v>8GHY1D8TZU-MFMA1ZZI-10TF.MFM.10T.007.AD</v>
      </c>
      <c r="O37" s="46" t="str">
        <f t="shared" ref="O37:O42" si="10">D37&amp;E37</f>
        <v>ZU-MFMA1ZZI-10TF.MFM.10T.007.AD</v>
      </c>
      <c r="P37" s="46" t="str">
        <f t="shared" ref="P37:P42" si="11">C37&amp;D37</f>
        <v>8GHY1D8TZU-MFMA1ZZI-10T</v>
      </c>
    </row>
    <row r="38" spans="2:16" ht="21.75" customHeight="1">
      <c r="B38" s="149" t="s">
        <v>130</v>
      </c>
      <c r="C38" s="186" t="s">
        <v>105</v>
      </c>
      <c r="D38" s="175" t="s">
        <v>113</v>
      </c>
      <c r="E38" s="175" t="s">
        <v>123</v>
      </c>
      <c r="F38" s="175" t="s">
        <v>139</v>
      </c>
      <c r="I38" s="170">
        <v>295</v>
      </c>
      <c r="J38" s="187" t="s">
        <v>57</v>
      </c>
      <c r="K38" s="150">
        <v>62.06</v>
      </c>
      <c r="L38" s="155">
        <f t="shared" si="8"/>
        <v>18307.7</v>
      </c>
      <c r="M38" s="214">
        <v>5997.3499999999995</v>
      </c>
      <c r="N38" s="148" t="str">
        <f t="shared" si="9"/>
        <v>8GHY1D8TZU-MFMA1ZZI-10FF.MFM.10F.007.AD</v>
      </c>
      <c r="O38" s="46" t="str">
        <f t="shared" si="10"/>
        <v>ZU-MFMA1ZZI-10FF.MFM.10F.007.AD</v>
      </c>
      <c r="P38" s="46" t="str">
        <f t="shared" si="11"/>
        <v>8GHY1D8TZU-MFMA1ZZI-10F</v>
      </c>
    </row>
    <row r="39" spans="2:16" ht="21.75" customHeight="1">
      <c r="B39" s="149" t="s">
        <v>130</v>
      </c>
      <c r="C39" s="186" t="s">
        <v>105</v>
      </c>
      <c r="D39" s="175" t="s">
        <v>106</v>
      </c>
      <c r="E39" s="175" t="s">
        <v>116</v>
      </c>
      <c r="F39" s="175" t="s">
        <v>131</v>
      </c>
      <c r="I39" s="170">
        <v>44</v>
      </c>
      <c r="J39" s="187" t="s">
        <v>57</v>
      </c>
      <c r="K39" s="150">
        <v>101.78</v>
      </c>
      <c r="L39" s="155">
        <f t="shared" si="8"/>
        <v>4478.32</v>
      </c>
      <c r="M39" s="214">
        <v>1556.72</v>
      </c>
      <c r="N39" s="148" t="str">
        <f t="shared" si="9"/>
        <v>8GHY1D8TZU-MFGN1YZI-12KF.MFG.12K.002.AD</v>
      </c>
      <c r="O39" s="46" t="str">
        <f t="shared" si="10"/>
        <v>ZU-MFGN1YZI-12KF.MFG.12K.002.AD</v>
      </c>
      <c r="P39" s="46" t="str">
        <f t="shared" si="11"/>
        <v>8GHY1D8TZU-MFGN1YZI-12K</v>
      </c>
    </row>
    <row r="40" spans="2:16" ht="21.75" customHeight="1">
      <c r="B40" s="149" t="s">
        <v>130</v>
      </c>
      <c r="C40" s="186" t="s">
        <v>105</v>
      </c>
      <c r="D40" s="175" t="s">
        <v>112</v>
      </c>
      <c r="E40" s="175" t="s">
        <v>122</v>
      </c>
      <c r="F40" s="175" t="s">
        <v>138</v>
      </c>
      <c r="I40" s="170">
        <v>82</v>
      </c>
      <c r="J40" s="187" t="s">
        <v>57</v>
      </c>
      <c r="K40" s="150">
        <v>55.24</v>
      </c>
      <c r="L40" s="155">
        <f t="shared" si="8"/>
        <v>4529.68</v>
      </c>
      <c r="M40" s="214">
        <v>1211.96</v>
      </c>
      <c r="N40" s="148" t="str">
        <f t="shared" si="9"/>
        <v>8GHY1D8TZU-MFMA1ZZI-10TF.MFM.10T.007.AD</v>
      </c>
      <c r="O40" s="46" t="str">
        <f t="shared" si="10"/>
        <v>ZU-MFMA1ZZI-10TF.MFM.10T.007.AD</v>
      </c>
      <c r="P40" s="46" t="str">
        <f t="shared" si="11"/>
        <v>8GHY1D8TZU-MFMA1ZZI-10T</v>
      </c>
    </row>
    <row r="41" spans="2:16" ht="21.75" customHeight="1">
      <c r="B41" s="149" t="s">
        <v>130</v>
      </c>
      <c r="C41" s="186" t="s">
        <v>105</v>
      </c>
      <c r="D41" s="175" t="s">
        <v>114</v>
      </c>
      <c r="E41" s="175" t="s">
        <v>124</v>
      </c>
      <c r="F41" s="175" t="s">
        <v>140</v>
      </c>
      <c r="I41" s="170">
        <v>361</v>
      </c>
      <c r="J41" s="187" t="s">
        <v>57</v>
      </c>
      <c r="K41" s="150">
        <v>58.73</v>
      </c>
      <c r="L41" s="155">
        <f t="shared" si="8"/>
        <v>21201.53</v>
      </c>
      <c r="M41" s="214">
        <v>7277.76</v>
      </c>
      <c r="N41" s="148" t="str">
        <f t="shared" si="9"/>
        <v>8GHY1D8TZU-MFGN1YZI-10FF.MFG.10F.002.AD</v>
      </c>
      <c r="O41" s="46" t="str">
        <f t="shared" si="10"/>
        <v>ZU-MFGN1YZI-10FF.MFG.10F.002.AD</v>
      </c>
      <c r="P41" s="46" t="str">
        <f t="shared" si="11"/>
        <v>8GHY1D8TZU-MFGN1YZI-10F</v>
      </c>
    </row>
    <row r="42" spans="2:16" ht="21.75" customHeight="1">
      <c r="B42" s="149" t="s">
        <v>130</v>
      </c>
      <c r="C42" s="186" t="s">
        <v>105</v>
      </c>
      <c r="D42" s="175" t="s">
        <v>115</v>
      </c>
      <c r="E42" s="175" t="s">
        <v>125</v>
      </c>
      <c r="F42" s="175" t="s">
        <v>141</v>
      </c>
      <c r="I42" s="170">
        <v>87</v>
      </c>
      <c r="J42" s="187" t="s">
        <v>57</v>
      </c>
      <c r="K42" s="150">
        <v>35.93</v>
      </c>
      <c r="L42" s="155">
        <f t="shared" si="8"/>
        <v>3125.91</v>
      </c>
      <c r="M42" s="214">
        <v>1053.57</v>
      </c>
      <c r="N42" s="148" t="str">
        <f t="shared" si="9"/>
        <v>8GHY1D8TZU-MFMA1ZZI-08TF.MFM.08T.008.AD</v>
      </c>
      <c r="O42" s="46" t="str">
        <f t="shared" si="10"/>
        <v>ZU-MFMA1ZZI-08TF.MFM.08T.008.AD</v>
      </c>
      <c r="P42" s="46" t="str">
        <f t="shared" si="11"/>
        <v>8GHY1D8TZU-MFMA1ZZI-08T</v>
      </c>
    </row>
    <row r="43" spans="2:16" ht="21.75" customHeight="1">
      <c r="B43" s="232"/>
      <c r="C43" s="233"/>
      <c r="D43" s="234"/>
      <c r="E43" s="234"/>
      <c r="F43" s="234"/>
      <c r="G43" s="235"/>
      <c r="H43" s="235"/>
      <c r="I43" s="236"/>
      <c r="J43" s="237"/>
      <c r="K43" s="238"/>
      <c r="L43" s="239"/>
      <c r="M43" s="240"/>
      <c r="N43" s="148"/>
    </row>
    <row r="44" spans="2:16" ht="21.75" customHeight="1">
      <c r="B44" s="232"/>
      <c r="C44" s="233"/>
      <c r="D44" s="234"/>
      <c r="E44" s="234"/>
      <c r="F44" s="234"/>
      <c r="G44" s="235"/>
      <c r="H44" s="235"/>
      <c r="I44" s="236"/>
      <c r="J44" s="237"/>
      <c r="K44" s="238"/>
      <c r="L44" s="239"/>
      <c r="M44" s="240"/>
      <c r="N44" s="148" t="str">
        <f t="shared" ref="N44:N48" si="12">C44&amp;D44&amp;E44</f>
        <v/>
      </c>
      <c r="O44" s="46" t="str">
        <f t="shared" ref="O44:O48" si="13">D44&amp;E44</f>
        <v/>
      </c>
      <c r="P44" s="46" t="str">
        <f t="shared" ref="P44:P48" si="14">C44&amp;D44</f>
        <v/>
      </c>
    </row>
    <row r="45" spans="2:16" ht="21.75" customHeight="1">
      <c r="B45" s="149"/>
      <c r="C45" s="186"/>
      <c r="D45" s="175"/>
      <c r="E45" s="175"/>
      <c r="F45" s="175"/>
      <c r="I45" s="170"/>
      <c r="J45" s="187"/>
      <c r="K45" s="150"/>
      <c r="L45" s="155"/>
      <c r="M45" s="214"/>
      <c r="N45" s="148" t="str">
        <f t="shared" si="12"/>
        <v/>
      </c>
      <c r="O45" s="46" t="str">
        <f t="shared" si="13"/>
        <v/>
      </c>
      <c r="P45" s="46" t="str">
        <f t="shared" si="14"/>
        <v/>
      </c>
    </row>
    <row r="46" spans="2:16" ht="21.75" customHeight="1">
      <c r="B46" s="232"/>
      <c r="C46" s="233"/>
      <c r="D46" s="234"/>
      <c r="E46" s="234"/>
      <c r="F46" s="234"/>
      <c r="G46" s="235"/>
      <c r="H46" s="235"/>
      <c r="I46" s="236"/>
      <c r="J46" s="237"/>
      <c r="K46" s="238"/>
      <c r="L46" s="239"/>
      <c r="M46" s="240"/>
      <c r="N46" s="148" t="str">
        <f t="shared" si="12"/>
        <v/>
      </c>
      <c r="O46" s="46" t="str">
        <f t="shared" si="13"/>
        <v/>
      </c>
      <c r="P46" s="46" t="str">
        <f t="shared" si="14"/>
        <v/>
      </c>
    </row>
    <row r="47" spans="2:16" ht="21.75" customHeight="1">
      <c r="B47" s="149"/>
      <c r="C47" s="186"/>
      <c r="D47" s="175"/>
      <c r="E47" s="175"/>
      <c r="F47" s="175"/>
      <c r="I47" s="170"/>
      <c r="J47" s="187"/>
      <c r="K47" s="150"/>
      <c r="L47" s="155"/>
      <c r="M47" s="214"/>
      <c r="N47" s="148" t="str">
        <f t="shared" si="12"/>
        <v/>
      </c>
      <c r="O47" s="46" t="str">
        <f t="shared" si="13"/>
        <v/>
      </c>
      <c r="P47" s="46" t="str">
        <f t="shared" si="14"/>
        <v/>
      </c>
    </row>
    <row r="48" spans="2:16" ht="21.75" customHeight="1" thickBot="1">
      <c r="B48" s="149"/>
      <c r="C48" s="186"/>
      <c r="D48" s="175"/>
      <c r="E48" s="175"/>
      <c r="F48" s="175"/>
      <c r="I48" s="170"/>
      <c r="J48" s="187"/>
      <c r="K48" s="150"/>
      <c r="L48" s="155"/>
      <c r="M48" s="214"/>
      <c r="N48" s="148" t="str">
        <f t="shared" si="12"/>
        <v/>
      </c>
      <c r="O48" s="46" t="str">
        <f t="shared" si="13"/>
        <v/>
      </c>
      <c r="P48" s="46" t="str">
        <f t="shared" si="14"/>
        <v/>
      </c>
    </row>
    <row r="49" spans="2:16" ht="15.95" customHeight="1" thickTop="1" thickBot="1">
      <c r="B49" s="128"/>
      <c r="C49" s="85"/>
      <c r="D49" s="86"/>
      <c r="E49" s="87"/>
      <c r="F49" s="88"/>
      <c r="G49" s="88"/>
      <c r="H49" s="89" t="s">
        <v>14</v>
      </c>
      <c r="I49" s="90">
        <f>SUM(I29:I48)</f>
        <v>3574</v>
      </c>
      <c r="J49" s="91" t="s">
        <v>7</v>
      </c>
      <c r="K49" s="91"/>
      <c r="L49" s="91">
        <f>SUM(L29:L48)</f>
        <v>203328.37000000002</v>
      </c>
      <c r="M49" s="157">
        <f>SUM(M29:M48)</f>
        <v>68149.69</v>
      </c>
      <c r="N49" s="148" t="str">
        <f t="shared" ref="N49:N107" si="15">C49&amp;D49&amp;E49</f>
        <v/>
      </c>
      <c r="O49" s="46" t="str">
        <f t="shared" ref="O49:O107" si="16">D49&amp;E49</f>
        <v/>
      </c>
      <c r="P49" s="46" t="str">
        <f t="shared" ref="P49:P107" si="17">C49&amp;D49</f>
        <v/>
      </c>
    </row>
    <row r="50" spans="2:16" ht="15.95" customHeight="1" thickTop="1">
      <c r="B50" s="129"/>
      <c r="C50" s="188"/>
      <c r="E50" s="103"/>
      <c r="F50" s="162"/>
      <c r="G50" s="162"/>
      <c r="H50" s="189"/>
      <c r="I50" s="180"/>
      <c r="J50" s="190"/>
      <c r="K50" s="190"/>
      <c r="L50" s="190"/>
      <c r="M50" s="230"/>
      <c r="N50" s="148"/>
    </row>
    <row r="51" spans="2:16" ht="15.95" customHeight="1">
      <c r="B51" s="129"/>
      <c r="C51" s="188"/>
      <c r="E51" s="103"/>
      <c r="F51" s="162"/>
      <c r="G51" s="162"/>
      <c r="H51" s="189"/>
      <c r="I51" s="180"/>
      <c r="J51" s="190"/>
      <c r="K51" s="190"/>
      <c r="L51" s="190"/>
      <c r="M51" s="230"/>
      <c r="N51" s="148"/>
    </row>
    <row r="52" spans="2:16" ht="15.95" customHeight="1">
      <c r="B52" s="129"/>
      <c r="C52" s="188"/>
      <c r="E52" s="103"/>
      <c r="F52" s="162"/>
      <c r="G52" s="162"/>
      <c r="H52" s="189"/>
      <c r="I52" s="180"/>
      <c r="J52" s="190"/>
      <c r="K52" s="190"/>
      <c r="L52" s="190"/>
      <c r="M52" s="230"/>
      <c r="N52" s="148"/>
    </row>
    <row r="53" spans="2:16" ht="15.95" customHeight="1">
      <c r="B53" s="129"/>
      <c r="C53" s="188"/>
      <c r="E53" s="103"/>
      <c r="F53" s="162"/>
      <c r="G53" s="162"/>
      <c r="H53" s="189"/>
      <c r="I53" s="180"/>
      <c r="J53" s="190"/>
      <c r="K53" s="190"/>
      <c r="L53" s="190"/>
      <c r="M53" s="230"/>
      <c r="N53" s="148"/>
    </row>
    <row r="54" spans="2:16" ht="15.95" customHeight="1">
      <c r="B54" s="129"/>
      <c r="C54" s="188"/>
      <c r="E54" s="103"/>
      <c r="F54" s="162"/>
      <c r="G54" s="162"/>
      <c r="H54" s="189"/>
      <c r="I54" s="180"/>
      <c r="J54" s="190"/>
      <c r="K54" s="190"/>
      <c r="L54" s="190"/>
      <c r="M54" s="230"/>
      <c r="N54" s="148"/>
    </row>
    <row r="55" spans="2:16" ht="15.95" customHeight="1">
      <c r="B55" s="129"/>
      <c r="C55" s="188"/>
      <c r="E55" s="103"/>
      <c r="F55" s="162"/>
      <c r="G55" s="162"/>
      <c r="H55" s="189"/>
      <c r="I55" s="180"/>
      <c r="J55" s="190"/>
      <c r="K55" s="190"/>
      <c r="L55" s="190"/>
      <c r="M55" s="230"/>
      <c r="N55" s="148"/>
    </row>
    <row r="56" spans="2:16" ht="15.95" customHeight="1">
      <c r="B56" s="129"/>
      <c r="C56" s="188"/>
      <c r="E56" s="103"/>
      <c r="F56" s="162"/>
      <c r="G56" s="162"/>
      <c r="H56" s="189"/>
      <c r="I56" s="180"/>
      <c r="J56" s="190"/>
      <c r="K56" s="190"/>
      <c r="L56" s="190"/>
      <c r="M56" s="230"/>
      <c r="N56" s="148"/>
    </row>
    <row r="57" spans="2:16" ht="15.95" customHeight="1">
      <c r="B57" s="129"/>
      <c r="C57" s="188"/>
      <c r="E57" s="103"/>
      <c r="F57" s="162"/>
      <c r="G57" s="162"/>
      <c r="H57" s="189"/>
      <c r="I57" s="180"/>
      <c r="J57" s="190"/>
      <c r="K57" s="190"/>
      <c r="L57" s="190"/>
      <c r="M57" s="230"/>
      <c r="N57" s="148"/>
    </row>
    <row r="58" spans="2:16" ht="15.95" customHeight="1">
      <c r="B58" s="129"/>
      <c r="C58" s="188"/>
      <c r="E58" s="103"/>
      <c r="F58" s="162"/>
      <c r="G58" s="162"/>
      <c r="H58" s="189"/>
      <c r="I58" s="180"/>
      <c r="J58" s="190"/>
      <c r="K58" s="190"/>
      <c r="L58" s="190"/>
      <c r="M58" s="230"/>
      <c r="N58" s="148"/>
    </row>
    <row r="59" spans="2:16" ht="15.95" customHeight="1">
      <c r="B59" s="129"/>
      <c r="C59" s="188"/>
      <c r="E59" s="103"/>
      <c r="F59" s="162"/>
      <c r="G59" s="162"/>
      <c r="H59" s="189"/>
      <c r="I59" s="180"/>
      <c r="J59" s="190"/>
      <c r="K59" s="190"/>
      <c r="L59" s="190"/>
      <c r="M59" s="230"/>
      <c r="N59" s="148"/>
    </row>
    <row r="60" spans="2:16" ht="15.95" customHeight="1">
      <c r="B60" s="129"/>
      <c r="C60" s="188"/>
      <c r="E60" s="103"/>
      <c r="F60" s="162"/>
      <c r="G60" s="162"/>
      <c r="H60" s="189"/>
      <c r="I60" s="180"/>
      <c r="J60" s="190"/>
      <c r="K60" s="190"/>
      <c r="L60" s="190"/>
      <c r="M60" s="230"/>
      <c r="N60" s="148"/>
    </row>
    <row r="61" spans="2:16" ht="15.95" customHeight="1">
      <c r="B61" s="129"/>
      <c r="C61" s="188"/>
      <c r="E61" s="103"/>
      <c r="F61" s="162"/>
      <c r="G61" s="162"/>
      <c r="H61" s="189"/>
      <c r="I61" s="180"/>
      <c r="J61" s="190"/>
      <c r="K61" s="190"/>
      <c r="L61" s="190"/>
      <c r="M61" s="230"/>
      <c r="N61" s="148"/>
    </row>
    <row r="62" spans="2:16" ht="15.95" customHeight="1">
      <c r="B62" s="129"/>
      <c r="C62" s="188"/>
      <c r="E62" s="103"/>
      <c r="F62" s="162"/>
      <c r="G62" s="162"/>
      <c r="H62" s="189"/>
      <c r="I62" s="180"/>
      <c r="J62" s="190"/>
      <c r="K62" s="190"/>
      <c r="L62" s="190"/>
      <c r="M62" s="230"/>
      <c r="N62" s="148"/>
    </row>
    <row r="63" spans="2:16" ht="15.95" customHeight="1">
      <c r="B63" s="129"/>
      <c r="C63" s="188"/>
      <c r="E63" s="103"/>
      <c r="F63" s="162"/>
      <c r="G63" s="162"/>
      <c r="H63" s="189"/>
      <c r="I63" s="180"/>
      <c r="J63" s="190"/>
      <c r="K63" s="190"/>
      <c r="L63" s="190"/>
      <c r="M63" s="230"/>
      <c r="N63" s="148"/>
    </row>
    <row r="64" spans="2:16" ht="15.95" customHeight="1">
      <c r="B64" s="129"/>
      <c r="C64" s="188"/>
      <c r="E64" s="103"/>
      <c r="F64" s="162"/>
      <c r="G64" s="162"/>
      <c r="H64" s="189"/>
      <c r="I64" s="180"/>
      <c r="J64" s="190"/>
      <c r="K64" s="190"/>
      <c r="L64" s="190"/>
      <c r="M64" s="230"/>
      <c r="N64" s="148"/>
    </row>
    <row r="65" spans="2:14" ht="15.95" customHeight="1">
      <c r="B65" s="129"/>
      <c r="C65" s="188"/>
      <c r="E65" s="103"/>
      <c r="F65" s="162"/>
      <c r="G65" s="162"/>
      <c r="H65" s="189"/>
      <c r="I65" s="180"/>
      <c r="J65" s="190"/>
      <c r="K65" s="190"/>
      <c r="L65" s="190"/>
      <c r="M65" s="230"/>
      <c r="N65" s="148"/>
    </row>
    <row r="66" spans="2:14" ht="15.95" customHeight="1">
      <c r="B66" s="129"/>
      <c r="C66" s="188"/>
      <c r="E66" s="103"/>
      <c r="F66" s="162"/>
      <c r="G66" s="162"/>
      <c r="H66" s="189"/>
      <c r="I66" s="180"/>
      <c r="J66" s="190"/>
      <c r="K66" s="190"/>
      <c r="L66" s="190"/>
      <c r="M66" s="230"/>
      <c r="N66" s="148"/>
    </row>
    <row r="67" spans="2:14" ht="15.95" customHeight="1">
      <c r="B67" s="129"/>
      <c r="C67" s="188"/>
      <c r="E67" s="103"/>
      <c r="F67" s="162"/>
      <c r="G67" s="162"/>
      <c r="H67" s="189"/>
      <c r="I67" s="180"/>
      <c r="J67" s="190"/>
      <c r="K67" s="190"/>
      <c r="L67" s="190"/>
      <c r="M67" s="230"/>
      <c r="N67" s="148"/>
    </row>
    <row r="68" spans="2:14" ht="15.95" customHeight="1">
      <c r="B68" s="129"/>
      <c r="C68" s="188"/>
      <c r="E68" s="103"/>
      <c r="F68" s="162"/>
      <c r="G68" s="162"/>
      <c r="H68" s="189"/>
      <c r="I68" s="180"/>
      <c r="J68" s="190"/>
      <c r="K68" s="190"/>
      <c r="L68" s="190"/>
      <c r="M68" s="230"/>
      <c r="N68" s="148"/>
    </row>
    <row r="69" spans="2:14" ht="15.95" customHeight="1">
      <c r="B69" s="129"/>
      <c r="C69" s="188"/>
      <c r="E69" s="103"/>
      <c r="F69" s="162"/>
      <c r="G69" s="162"/>
      <c r="H69" s="189"/>
      <c r="I69" s="180"/>
      <c r="J69" s="190"/>
      <c r="K69" s="190"/>
      <c r="L69" s="190"/>
      <c r="M69" s="230"/>
      <c r="N69" s="148"/>
    </row>
    <row r="70" spans="2:14" ht="15.95" customHeight="1">
      <c r="B70" s="129"/>
      <c r="C70" s="188"/>
      <c r="E70" s="103"/>
      <c r="F70" s="162"/>
      <c r="G70" s="162"/>
      <c r="H70" s="189"/>
      <c r="I70" s="180"/>
      <c r="J70" s="190"/>
      <c r="K70" s="190"/>
      <c r="L70" s="190"/>
      <c r="M70" s="230"/>
      <c r="N70" s="148"/>
    </row>
    <row r="71" spans="2:14" ht="15.95" customHeight="1">
      <c r="B71" s="129"/>
      <c r="C71" s="188"/>
      <c r="E71" s="103"/>
      <c r="F71" s="162"/>
      <c r="G71" s="162"/>
      <c r="H71" s="189"/>
      <c r="I71" s="180"/>
      <c r="J71" s="190"/>
      <c r="K71" s="190"/>
      <c r="L71" s="190"/>
      <c r="M71" s="230"/>
      <c r="N71" s="148"/>
    </row>
    <row r="72" spans="2:14" ht="15.95" customHeight="1">
      <c r="B72" s="129"/>
      <c r="C72" s="188"/>
      <c r="E72" s="103"/>
      <c r="F72" s="162"/>
      <c r="G72" s="162"/>
      <c r="H72" s="189"/>
      <c r="I72" s="180"/>
      <c r="J72" s="190"/>
      <c r="K72" s="190"/>
      <c r="L72" s="190"/>
      <c r="M72" s="230"/>
      <c r="N72" s="148"/>
    </row>
    <row r="73" spans="2:14" ht="15.95" customHeight="1">
      <c r="B73" s="129"/>
      <c r="C73" s="188"/>
      <c r="E73" s="103"/>
      <c r="F73" s="162"/>
      <c r="G73" s="162"/>
      <c r="H73" s="189"/>
      <c r="I73" s="180"/>
      <c r="J73" s="190"/>
      <c r="K73" s="190"/>
      <c r="L73" s="190"/>
      <c r="M73" s="230"/>
      <c r="N73" s="148"/>
    </row>
    <row r="74" spans="2:14" ht="15.95" customHeight="1">
      <c r="B74" s="129"/>
      <c r="C74" s="188"/>
      <c r="E74" s="103"/>
      <c r="F74" s="162"/>
      <c r="G74" s="162"/>
      <c r="H74" s="189"/>
      <c r="I74" s="180"/>
      <c r="J74" s="190"/>
      <c r="K74" s="190"/>
      <c r="L74" s="190"/>
      <c r="M74" s="230"/>
      <c r="N74" s="148"/>
    </row>
    <row r="75" spans="2:14" ht="15.95" customHeight="1">
      <c r="B75" s="129"/>
      <c r="C75" s="188"/>
      <c r="E75" s="103"/>
      <c r="F75" s="162"/>
      <c r="G75" s="162"/>
      <c r="H75" s="189"/>
      <c r="I75" s="180"/>
      <c r="J75" s="190"/>
      <c r="K75" s="190"/>
      <c r="L75" s="190"/>
      <c r="M75" s="230"/>
      <c r="N75" s="148"/>
    </row>
    <row r="76" spans="2:14" ht="15.95" customHeight="1">
      <c r="B76" s="129"/>
      <c r="C76" s="188"/>
      <c r="E76" s="103"/>
      <c r="F76" s="162"/>
      <c r="G76" s="162"/>
      <c r="H76" s="189"/>
      <c r="I76" s="180"/>
      <c r="J76" s="190"/>
      <c r="K76" s="190"/>
      <c r="L76" s="190"/>
      <c r="M76" s="230"/>
      <c r="N76" s="148"/>
    </row>
    <row r="77" spans="2:14" ht="15.95" customHeight="1">
      <c r="B77" s="129"/>
      <c r="C77" s="188"/>
      <c r="E77" s="103"/>
      <c r="F77" s="162"/>
      <c r="G77" s="162"/>
      <c r="H77" s="189"/>
      <c r="I77" s="180"/>
      <c r="J77" s="190"/>
      <c r="K77" s="190"/>
      <c r="L77" s="190"/>
      <c r="M77" s="230"/>
      <c r="N77" s="148"/>
    </row>
    <row r="78" spans="2:14" ht="15.95" customHeight="1">
      <c r="B78" s="129"/>
      <c r="C78" s="188"/>
      <c r="E78" s="103"/>
      <c r="F78" s="162"/>
      <c r="G78" s="162"/>
      <c r="H78" s="189"/>
      <c r="I78" s="180"/>
      <c r="J78" s="190"/>
      <c r="K78" s="190"/>
      <c r="L78" s="190"/>
      <c r="M78" s="230"/>
      <c r="N78" s="148"/>
    </row>
    <row r="79" spans="2:14" ht="15.95" customHeight="1">
      <c r="B79" s="129"/>
      <c r="C79" s="188"/>
      <c r="E79" s="103"/>
      <c r="F79" s="162"/>
      <c r="G79" s="162"/>
      <c r="H79" s="189"/>
      <c r="I79" s="180"/>
      <c r="J79" s="190"/>
      <c r="K79" s="190"/>
      <c r="L79" s="190"/>
      <c r="M79" s="230"/>
      <c r="N79" s="148"/>
    </row>
    <row r="80" spans="2:14" ht="15.95" customHeight="1">
      <c r="B80" s="129"/>
      <c r="C80" s="188"/>
      <c r="E80" s="103"/>
      <c r="F80" s="162"/>
      <c r="G80" s="162"/>
      <c r="H80" s="189"/>
      <c r="I80" s="180"/>
      <c r="J80" s="190"/>
      <c r="K80" s="190"/>
      <c r="L80" s="190"/>
      <c r="M80" s="230"/>
      <c r="N80" s="148"/>
    </row>
    <row r="81" spans="2:14" ht="15.95" customHeight="1">
      <c r="B81" s="129"/>
      <c r="C81" s="188"/>
      <c r="E81" s="103"/>
      <c r="F81" s="162"/>
      <c r="G81" s="162"/>
      <c r="H81" s="189"/>
      <c r="I81" s="180"/>
      <c r="J81" s="190"/>
      <c r="K81" s="190"/>
      <c r="L81" s="190"/>
      <c r="M81" s="230"/>
      <c r="N81" s="148"/>
    </row>
    <row r="82" spans="2:14" ht="15.95" customHeight="1">
      <c r="B82" s="129"/>
      <c r="C82" s="188"/>
      <c r="E82" s="103"/>
      <c r="F82" s="162"/>
      <c r="G82" s="162"/>
      <c r="H82" s="189"/>
      <c r="I82" s="180"/>
      <c r="J82" s="190"/>
      <c r="K82" s="190"/>
      <c r="L82" s="190"/>
      <c r="M82" s="230"/>
      <c r="N82" s="148"/>
    </row>
    <row r="83" spans="2:14" ht="15.95" customHeight="1">
      <c r="B83" s="129"/>
      <c r="C83" s="188"/>
      <c r="E83" s="103"/>
      <c r="F83" s="162"/>
      <c r="G83" s="162"/>
      <c r="H83" s="189"/>
      <c r="I83" s="180"/>
      <c r="J83" s="190"/>
      <c r="K83" s="190"/>
      <c r="L83" s="190"/>
      <c r="M83" s="230"/>
      <c r="N83" s="148"/>
    </row>
    <row r="84" spans="2:14" ht="15.95" customHeight="1">
      <c r="B84" s="129"/>
      <c r="C84" s="188"/>
      <c r="E84" s="103"/>
      <c r="F84" s="162"/>
      <c r="G84" s="162"/>
      <c r="H84" s="189"/>
      <c r="I84" s="180"/>
      <c r="J84" s="190"/>
      <c r="K84" s="190"/>
      <c r="L84" s="190"/>
      <c r="M84" s="230"/>
      <c r="N84" s="148"/>
    </row>
    <row r="85" spans="2:14" ht="15.95" customHeight="1">
      <c r="B85" s="129"/>
      <c r="C85" s="188"/>
      <c r="E85" s="103"/>
      <c r="F85" s="162"/>
      <c r="G85" s="162"/>
      <c r="H85" s="189"/>
      <c r="I85" s="180"/>
      <c r="J85" s="190"/>
      <c r="K85" s="190"/>
      <c r="L85" s="190"/>
      <c r="M85" s="230"/>
      <c r="N85" s="148"/>
    </row>
    <row r="86" spans="2:14" ht="15.95" customHeight="1">
      <c r="B86" s="129"/>
      <c r="C86" s="188"/>
      <c r="E86" s="103"/>
      <c r="F86" s="162"/>
      <c r="G86" s="162"/>
      <c r="H86" s="189"/>
      <c r="I86" s="180"/>
      <c r="J86" s="190"/>
      <c r="K86" s="190"/>
      <c r="L86" s="190"/>
      <c r="M86" s="230"/>
      <c r="N86" s="148"/>
    </row>
    <row r="87" spans="2:14" ht="15.95" customHeight="1">
      <c r="B87" s="129"/>
      <c r="C87" s="188"/>
      <c r="E87" s="103"/>
      <c r="F87" s="162"/>
      <c r="G87" s="162"/>
      <c r="H87" s="189"/>
      <c r="I87" s="180"/>
      <c r="J87" s="190"/>
      <c r="K87" s="190"/>
      <c r="L87" s="190"/>
      <c r="M87" s="230"/>
      <c r="N87" s="148"/>
    </row>
    <row r="88" spans="2:14" ht="15.95" customHeight="1">
      <c r="B88" s="129"/>
      <c r="C88" s="188"/>
      <c r="E88" s="103"/>
      <c r="F88" s="162"/>
      <c r="G88" s="162"/>
      <c r="H88" s="189"/>
      <c r="I88" s="180"/>
      <c r="J88" s="190"/>
      <c r="K88" s="190"/>
      <c r="L88" s="190"/>
      <c r="M88" s="230"/>
      <c r="N88" s="148"/>
    </row>
    <row r="89" spans="2:14" ht="15.95" customHeight="1">
      <c r="B89" s="129"/>
      <c r="C89" s="188"/>
      <c r="E89" s="103"/>
      <c r="F89" s="162"/>
      <c r="G89" s="162"/>
      <c r="H89" s="189"/>
      <c r="I89" s="180"/>
      <c r="J89" s="190"/>
      <c r="K89" s="190"/>
      <c r="L89" s="190"/>
      <c r="M89" s="230"/>
      <c r="N89" s="148"/>
    </row>
    <row r="90" spans="2:14" ht="15.95" customHeight="1">
      <c r="B90" s="129"/>
      <c r="C90" s="188"/>
      <c r="E90" s="103"/>
      <c r="F90" s="162"/>
      <c r="G90" s="162"/>
      <c r="H90" s="189"/>
      <c r="I90" s="180"/>
      <c r="J90" s="190"/>
      <c r="K90" s="190"/>
      <c r="L90" s="190"/>
      <c r="M90" s="230"/>
      <c r="N90" s="148"/>
    </row>
    <row r="91" spans="2:14" ht="15.95" customHeight="1">
      <c r="B91" s="129"/>
      <c r="C91" s="188"/>
      <c r="E91" s="103"/>
      <c r="F91" s="162"/>
      <c r="G91" s="162"/>
      <c r="H91" s="189"/>
      <c r="I91" s="180"/>
      <c r="J91" s="190"/>
      <c r="K91" s="190"/>
      <c r="L91" s="190"/>
      <c r="M91" s="230"/>
      <c r="N91" s="148"/>
    </row>
    <row r="92" spans="2:14" ht="15.95" customHeight="1">
      <c r="B92" s="129"/>
      <c r="C92" s="188"/>
      <c r="E92" s="103"/>
      <c r="F92" s="162"/>
      <c r="G92" s="162"/>
      <c r="H92" s="189"/>
      <c r="I92" s="180"/>
      <c r="J92" s="190"/>
      <c r="K92" s="190"/>
      <c r="L92" s="190"/>
      <c r="M92" s="230"/>
      <c r="N92" s="148"/>
    </row>
    <row r="93" spans="2:14" ht="15.95" customHeight="1">
      <c r="B93" s="129"/>
      <c r="C93" s="188"/>
      <c r="E93" s="103"/>
      <c r="F93" s="162"/>
      <c r="G93" s="162"/>
      <c r="H93" s="189"/>
      <c r="I93" s="180"/>
      <c r="J93" s="190"/>
      <c r="K93" s="190"/>
      <c r="L93" s="190"/>
      <c r="M93" s="230"/>
      <c r="N93" s="148"/>
    </row>
    <row r="94" spans="2:14" ht="15.95" customHeight="1">
      <c r="B94" s="129"/>
      <c r="C94" s="188"/>
      <c r="E94" s="103"/>
      <c r="F94" s="162"/>
      <c r="G94" s="162"/>
      <c r="H94" s="189"/>
      <c r="I94" s="180"/>
      <c r="J94" s="190"/>
      <c r="K94" s="190"/>
      <c r="L94" s="190"/>
      <c r="M94" s="230"/>
      <c r="N94" s="148"/>
    </row>
    <row r="95" spans="2:14" ht="15.95" customHeight="1">
      <c r="B95" s="129"/>
      <c r="C95" s="188"/>
      <c r="E95" s="103"/>
      <c r="F95" s="162"/>
      <c r="G95" s="162"/>
      <c r="H95" s="189"/>
      <c r="I95" s="180"/>
      <c r="J95" s="190"/>
      <c r="K95" s="190"/>
      <c r="L95" s="190"/>
      <c r="M95" s="230"/>
      <c r="N95" s="148"/>
    </row>
    <row r="96" spans="2:14" ht="15.95" customHeight="1">
      <c r="B96" s="129"/>
      <c r="C96" s="188"/>
      <c r="E96" s="103"/>
      <c r="F96" s="162"/>
      <c r="G96" s="162"/>
      <c r="H96" s="189"/>
      <c r="I96" s="180"/>
      <c r="J96" s="190"/>
      <c r="K96" s="190"/>
      <c r="L96" s="190"/>
      <c r="M96" s="230"/>
      <c r="N96" s="148"/>
    </row>
    <row r="97" spans="2:16" ht="15.95" customHeight="1">
      <c r="B97" s="129"/>
      <c r="C97" s="188"/>
      <c r="E97" s="103"/>
      <c r="F97" s="162"/>
      <c r="G97" s="162"/>
      <c r="H97" s="189"/>
      <c r="I97" s="180"/>
      <c r="J97" s="190"/>
      <c r="K97" s="190"/>
      <c r="L97" s="190"/>
      <c r="M97" s="230"/>
      <c r="N97" s="148"/>
    </row>
    <row r="98" spans="2:16" ht="15.95" customHeight="1">
      <c r="B98" s="129"/>
      <c r="C98" s="188"/>
      <c r="E98" s="103"/>
      <c r="F98" s="162"/>
      <c r="G98" s="162"/>
      <c r="H98" s="189"/>
      <c r="I98" s="180"/>
      <c r="J98" s="190"/>
      <c r="K98" s="190"/>
      <c r="L98" s="190"/>
      <c r="M98" s="230"/>
      <c r="N98" s="148"/>
    </row>
    <row r="99" spans="2:16" ht="15.95" customHeight="1">
      <c r="B99" s="129"/>
      <c r="C99" s="188"/>
      <c r="E99" s="103"/>
      <c r="F99" s="162"/>
      <c r="G99" s="162"/>
      <c r="H99" s="189"/>
      <c r="I99" s="180"/>
      <c r="J99" s="190"/>
      <c r="K99" s="190"/>
      <c r="L99" s="190"/>
      <c r="M99" s="230"/>
      <c r="N99" s="148"/>
    </row>
    <row r="100" spans="2:16" ht="15.95" customHeight="1">
      <c r="B100" s="129"/>
      <c r="C100" s="188"/>
      <c r="E100" s="103"/>
      <c r="F100" s="162"/>
      <c r="G100" s="162"/>
      <c r="H100" s="189"/>
      <c r="I100" s="180"/>
      <c r="J100" s="190"/>
      <c r="K100" s="190"/>
      <c r="L100" s="190"/>
      <c r="M100" s="230"/>
      <c r="N100" s="148"/>
    </row>
    <row r="101" spans="2:16" ht="15.95" customHeight="1">
      <c r="B101" s="129"/>
      <c r="C101" s="188"/>
      <c r="E101" s="103"/>
      <c r="F101" s="162"/>
      <c r="G101" s="162"/>
      <c r="H101" s="189"/>
      <c r="I101" s="180"/>
      <c r="J101" s="190"/>
      <c r="K101" s="190"/>
      <c r="L101" s="190"/>
      <c r="M101" s="230"/>
      <c r="N101" s="148"/>
    </row>
    <row r="102" spans="2:16" ht="15.95" customHeight="1">
      <c r="B102" s="129"/>
      <c r="C102" s="188"/>
      <c r="E102" s="103"/>
      <c r="F102" s="162"/>
      <c r="G102" s="162"/>
      <c r="H102" s="189"/>
      <c r="I102" s="180"/>
      <c r="J102" s="190"/>
      <c r="K102" s="190"/>
      <c r="L102" s="190"/>
      <c r="M102" s="230"/>
      <c r="N102" s="148"/>
    </row>
    <row r="103" spans="2:16" ht="15.95" customHeight="1">
      <c r="B103" s="129"/>
      <c r="C103" s="188"/>
      <c r="E103" s="103"/>
      <c r="F103" s="162"/>
      <c r="G103" s="162"/>
      <c r="H103" s="189"/>
      <c r="I103" s="180"/>
      <c r="J103" s="190"/>
      <c r="K103" s="190"/>
      <c r="L103" s="190"/>
      <c r="M103" s="230"/>
      <c r="N103" s="148"/>
    </row>
    <row r="104" spans="2:16" ht="15.95" customHeight="1">
      <c r="B104" s="129"/>
      <c r="C104" s="188"/>
      <c r="E104" s="103"/>
      <c r="F104" s="162"/>
      <c r="G104" s="162"/>
      <c r="H104" s="189"/>
      <c r="I104" s="180"/>
      <c r="J104" s="190"/>
      <c r="K104" s="190"/>
      <c r="L104" s="190"/>
      <c r="M104" s="230"/>
      <c r="N104" s="148"/>
    </row>
    <row r="105" spans="2:16" ht="15.95" customHeight="1">
      <c r="B105" s="129"/>
      <c r="C105" s="188"/>
      <c r="E105" s="103"/>
      <c r="F105" s="162"/>
      <c r="G105" s="162"/>
      <c r="H105" s="189"/>
      <c r="I105" s="180"/>
      <c r="J105" s="190"/>
      <c r="K105" s="190"/>
      <c r="L105" s="190"/>
      <c r="M105" s="230"/>
      <c r="N105" s="148"/>
    </row>
    <row r="106" spans="2:16" ht="15.95" customHeight="1">
      <c r="B106" s="129"/>
      <c r="C106" s="188"/>
      <c r="E106" s="103"/>
      <c r="F106" s="162"/>
      <c r="G106" s="162"/>
      <c r="H106" s="189"/>
      <c r="I106" s="180"/>
      <c r="J106" s="190"/>
      <c r="K106" s="190"/>
      <c r="L106" s="190"/>
      <c r="M106" s="230"/>
      <c r="N106" s="148"/>
    </row>
    <row r="107" spans="2:16" ht="15.95" customHeight="1">
      <c r="B107" s="129"/>
      <c r="C107" s="188"/>
      <c r="E107" s="103"/>
      <c r="F107" s="162"/>
      <c r="G107" s="162"/>
      <c r="H107" s="189"/>
      <c r="I107" s="180"/>
      <c r="J107" s="190"/>
      <c r="K107" s="190"/>
      <c r="L107" s="190"/>
      <c r="M107" s="130"/>
      <c r="N107" s="148" t="str">
        <f t="shared" si="15"/>
        <v/>
      </c>
      <c r="O107" s="46" t="str">
        <f t="shared" si="16"/>
        <v/>
      </c>
      <c r="P107" s="46" t="str">
        <f t="shared" si="17"/>
        <v/>
      </c>
    </row>
    <row r="108" spans="2:16" ht="15.95" customHeight="1">
      <c r="B108" s="129"/>
      <c r="C108" s="188"/>
      <c r="E108" s="103"/>
      <c r="F108" s="162"/>
      <c r="G108" s="162"/>
      <c r="H108" s="189"/>
      <c r="I108" s="180"/>
      <c r="J108" s="190"/>
      <c r="K108" s="190"/>
      <c r="L108" s="190"/>
      <c r="M108" s="130"/>
      <c r="N108" s="148"/>
    </row>
    <row r="109" spans="2:16" ht="15.95" customHeight="1">
      <c r="B109" s="129"/>
      <c r="C109" s="188"/>
      <c r="E109" s="103"/>
      <c r="F109" s="162"/>
      <c r="G109" s="162"/>
      <c r="H109" s="189"/>
      <c r="I109" s="180"/>
      <c r="J109" s="190"/>
      <c r="K109" s="190"/>
      <c r="L109" s="190"/>
      <c r="M109" s="130"/>
      <c r="N109" s="148"/>
    </row>
    <row r="110" spans="2:16" ht="15.95" customHeight="1">
      <c r="B110" s="129"/>
      <c r="C110" s="188"/>
      <c r="E110" s="103"/>
      <c r="F110" s="162"/>
      <c r="G110" s="162"/>
      <c r="H110" s="189"/>
      <c r="I110" s="180"/>
      <c r="J110" s="190"/>
      <c r="K110" s="190"/>
      <c r="L110" s="190"/>
      <c r="M110" s="130"/>
      <c r="N110" s="148"/>
    </row>
    <row r="111" spans="2:16" ht="15.95" customHeight="1">
      <c r="B111" s="129"/>
      <c r="C111" s="188"/>
      <c r="E111" s="103"/>
      <c r="F111" s="162"/>
      <c r="G111" s="162"/>
      <c r="H111" s="189"/>
      <c r="I111" s="180"/>
      <c r="J111" s="190"/>
      <c r="K111" s="190"/>
      <c r="L111" s="190"/>
      <c r="M111" s="130"/>
      <c r="N111" s="148"/>
    </row>
    <row r="112" spans="2:16" ht="15.95" customHeight="1">
      <c r="B112" s="129"/>
      <c r="C112" s="188"/>
      <c r="E112" s="103"/>
      <c r="F112" s="162"/>
      <c r="G112" s="162"/>
      <c r="H112" s="189"/>
      <c r="I112" s="180"/>
      <c r="J112" s="190"/>
      <c r="K112" s="190"/>
      <c r="L112" s="190"/>
      <c r="M112" s="130"/>
      <c r="N112" s="148"/>
    </row>
    <row r="113" spans="2:14" ht="15.95" customHeight="1">
      <c r="B113" s="129"/>
      <c r="C113" s="188"/>
      <c r="E113" s="103"/>
      <c r="F113" s="162"/>
      <c r="G113" s="162"/>
      <c r="H113" s="189"/>
      <c r="I113" s="180"/>
      <c r="J113" s="190"/>
      <c r="K113" s="190"/>
      <c r="L113" s="190"/>
      <c r="M113" s="130"/>
      <c r="N113" s="148"/>
    </row>
    <row r="114" spans="2:14" ht="15.95" customHeight="1">
      <c r="B114" s="129"/>
      <c r="C114" s="188"/>
      <c r="E114" s="103"/>
      <c r="F114" s="162"/>
      <c r="G114" s="162"/>
      <c r="H114" s="189"/>
      <c r="I114" s="180"/>
      <c r="J114" s="190"/>
      <c r="K114" s="190"/>
      <c r="L114" s="190"/>
      <c r="M114" s="130"/>
      <c r="N114" s="148"/>
    </row>
    <row r="115" spans="2:14" ht="15.95" customHeight="1">
      <c r="B115" s="129"/>
      <c r="C115" s="188"/>
      <c r="E115" s="103"/>
      <c r="F115" s="162"/>
      <c r="G115" s="162"/>
      <c r="H115" s="189"/>
      <c r="I115" s="180"/>
      <c r="J115" s="190"/>
      <c r="K115" s="190"/>
      <c r="L115" s="190"/>
      <c r="M115" s="130"/>
      <c r="N115" s="148"/>
    </row>
    <row r="116" spans="2:14" ht="15.95" customHeight="1">
      <c r="B116" s="129"/>
      <c r="C116" s="188"/>
      <c r="E116" s="103"/>
      <c r="F116" s="162"/>
      <c r="G116" s="162"/>
      <c r="H116" s="189"/>
      <c r="I116" s="180"/>
      <c r="J116" s="190"/>
      <c r="K116" s="190"/>
      <c r="L116" s="190"/>
      <c r="M116" s="130"/>
      <c r="N116" s="148"/>
    </row>
    <row r="117" spans="2:14" ht="15.95" customHeight="1">
      <c r="B117" s="129"/>
      <c r="C117" s="188"/>
      <c r="E117" s="103"/>
      <c r="F117" s="162"/>
      <c r="G117" s="162"/>
      <c r="H117" s="189"/>
      <c r="I117" s="180"/>
      <c r="J117" s="190"/>
      <c r="K117" s="190"/>
      <c r="L117" s="190"/>
      <c r="M117" s="130"/>
      <c r="N117" s="148"/>
    </row>
    <row r="118" spans="2:14" ht="15.95" customHeight="1" thickBot="1">
      <c r="B118" s="129"/>
      <c r="C118" s="188"/>
      <c r="E118" s="103"/>
      <c r="F118" s="162"/>
      <c r="G118" s="162"/>
      <c r="H118" s="189"/>
      <c r="I118" s="180"/>
      <c r="J118" s="190"/>
      <c r="K118" s="190"/>
      <c r="L118" s="190"/>
      <c r="M118" s="130"/>
      <c r="N118" s="148"/>
    </row>
    <row r="119" spans="2:14" ht="15.95" customHeight="1">
      <c r="B119" s="129"/>
      <c r="C119" s="188"/>
      <c r="E119" s="103"/>
      <c r="F119" s="162"/>
      <c r="G119" s="162"/>
      <c r="H119" s="189"/>
      <c r="I119" s="180"/>
      <c r="J119" s="190"/>
      <c r="K119" s="220" t="s">
        <v>96</v>
      </c>
      <c r="L119" s="221"/>
      <c r="M119" s="222"/>
      <c r="N119" s="148"/>
    </row>
    <row r="120" spans="2:14" ht="15.95" customHeight="1">
      <c r="B120" s="129"/>
      <c r="C120" s="244" t="s">
        <v>88</v>
      </c>
      <c r="D120" s="244"/>
      <c r="E120" s="244"/>
      <c r="F120" s="162" t="s">
        <v>7</v>
      </c>
      <c r="G120" s="162" t="s">
        <v>7</v>
      </c>
      <c r="H120" s="49"/>
      <c r="J120" s="46"/>
      <c r="K120" s="223"/>
      <c r="L120" s="190"/>
      <c r="M120" s="130"/>
      <c r="N120" s="103"/>
    </row>
    <row r="121" spans="2:14" ht="15.95" customHeight="1">
      <c r="B121" s="129"/>
      <c r="C121" s="244"/>
      <c r="D121" s="244"/>
      <c r="E121" s="244"/>
      <c r="F121" s="162"/>
      <c r="G121" s="162"/>
      <c r="H121" s="49"/>
      <c r="J121" s="46"/>
      <c r="K121" s="223"/>
      <c r="L121" s="190"/>
      <c r="M121" s="130"/>
      <c r="N121" s="103"/>
    </row>
    <row r="122" spans="2:14" ht="15.95" customHeight="1">
      <c r="B122" s="129"/>
      <c r="C122" s="244"/>
      <c r="D122" s="244"/>
      <c r="E122" s="244"/>
      <c r="F122" s="162"/>
      <c r="G122" s="162"/>
      <c r="H122" s="49"/>
      <c r="J122" s="46"/>
      <c r="K122" s="223"/>
      <c r="L122" s="190"/>
      <c r="M122" s="130"/>
      <c r="N122" s="103"/>
    </row>
    <row r="123" spans="2:14" ht="15.95" customHeight="1">
      <c r="B123" s="129"/>
      <c r="C123" s="173"/>
      <c r="D123" s="191"/>
      <c r="E123" s="192"/>
      <c r="H123" s="49"/>
      <c r="J123" s="46"/>
      <c r="K123" s="93"/>
      <c r="M123" s="111"/>
    </row>
    <row r="124" spans="2:14" ht="15.95" customHeight="1">
      <c r="B124" s="129"/>
      <c r="C124" s="173"/>
      <c r="D124" s="191"/>
      <c r="E124" s="192"/>
      <c r="H124" s="49"/>
      <c r="J124" s="46"/>
      <c r="K124" s="93"/>
      <c r="M124" s="111"/>
    </row>
    <row r="125" spans="2:14" ht="15.95" customHeight="1">
      <c r="B125" s="129"/>
      <c r="C125" s="184"/>
      <c r="D125" s="191"/>
      <c r="E125" s="192"/>
      <c r="G125" s="184"/>
      <c r="H125" s="63"/>
      <c r="I125" s="162"/>
      <c r="K125" s="93"/>
      <c r="M125" s="111"/>
    </row>
    <row r="126" spans="2:14" ht="15.95" customHeight="1">
      <c r="B126" s="129"/>
      <c r="C126" s="184"/>
      <c r="D126" s="191"/>
      <c r="E126" s="192"/>
      <c r="G126" s="184"/>
      <c r="H126" s="63"/>
      <c r="K126" s="93"/>
      <c r="M126" s="111"/>
    </row>
    <row r="127" spans="2:14" ht="15.95" customHeight="1">
      <c r="B127" s="129"/>
      <c r="C127" s="184"/>
      <c r="D127" s="191"/>
      <c r="E127" s="192"/>
      <c r="G127" s="184"/>
      <c r="H127" s="63"/>
      <c r="K127" s="93"/>
      <c r="M127" s="111"/>
    </row>
    <row r="128" spans="2:14" ht="15.95" customHeight="1" thickBot="1">
      <c r="B128" s="131"/>
      <c r="C128" s="132"/>
      <c r="D128" s="134"/>
      <c r="E128" s="135"/>
      <c r="F128" s="136"/>
      <c r="G128" s="132"/>
      <c r="H128" s="137"/>
      <c r="I128" s="136"/>
      <c r="J128" s="138"/>
      <c r="K128" s="224"/>
      <c r="L128" s="136"/>
      <c r="M128" s="139"/>
    </row>
    <row r="129" ht="15" customHeight="1"/>
    <row r="130" ht="15" customHeight="1"/>
    <row r="131" ht="15" customHeight="1"/>
    <row r="132" ht="15" customHeight="1"/>
  </sheetData>
  <mergeCells count="2">
    <mergeCell ref="B2:M2"/>
    <mergeCell ref="C120:E122"/>
  </mergeCells>
  <phoneticPr fontId="29" type="noConversion"/>
  <conditionalFormatting sqref="D123:D128">
    <cfRule type="cellIs" dxfId="3" priority="1" operator="lessThan">
      <formula>0</formula>
    </cfRule>
    <cfRule type="cellIs" dxfId="2" priority="2" operator="lessThan">
      <formula>0</formula>
    </cfRule>
  </conditionalFormatting>
  <hyperlinks>
    <hyperlink ref="B16" r:id="rId1" xr:uid="{8E900BFE-A44A-41C9-94C3-717D66EB1305}"/>
  </hyperlinks>
  <printOptions horizontalCentered="1"/>
  <pageMargins left="0.12" right="0.12" top="0.14000000000000001" bottom="0.12" header="0.12" footer="0.12"/>
  <pageSetup paperSize="9" scale="38" orientation="portrait" horizontalDpi="360" verticalDpi="360" r:id="rId2"/>
  <headerFooter alignWithMargins="0"/>
  <customProperties>
    <customPr name="IbpWorksheetKeyString_GUID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E69B-BC12-4195-80BA-A444C574696F}">
  <sheetPr>
    <tabColor rgb="FFFFC000"/>
    <pageSetUpPr fitToPage="1"/>
  </sheetPr>
  <dimension ref="B1:XFA103"/>
  <sheetViews>
    <sheetView showGridLines="0" view="pageBreakPreview" topLeftCell="A15" zoomScale="70" zoomScaleNormal="85" zoomScaleSheetLayoutView="70" workbookViewId="0">
      <selection activeCell="O93" sqref="O93"/>
    </sheetView>
  </sheetViews>
  <sheetFormatPr defaultColWidth="10.28515625" defaultRowHeight="19.5"/>
  <cols>
    <col min="1" max="1" width="10.28515625" style="46"/>
    <col min="2" max="2" width="24.7109375" style="46" customWidth="1"/>
    <col min="3" max="3" width="15.7109375" style="46" customWidth="1"/>
    <col min="4" max="4" width="19.5703125" style="46" customWidth="1"/>
    <col min="5" max="5" width="43.28515625" style="46" customWidth="1"/>
    <col min="6" max="6" width="16.7109375" style="46" customWidth="1"/>
    <col min="7" max="7" width="19.140625" style="46" customWidth="1"/>
    <col min="8" max="8" width="7.7109375" style="46" customWidth="1"/>
    <col min="9" max="9" width="21" style="46" customWidth="1"/>
    <col min="10" max="10" width="21.42578125" style="46" customWidth="1"/>
    <col min="11" max="11" width="32.140625" style="94" customWidth="1"/>
    <col min="12" max="16384" width="10.28515625" style="46"/>
  </cols>
  <sheetData>
    <row r="1" spans="2:11" ht="20.25" thickBot="1"/>
    <row r="2" spans="2:11" ht="60.75" customHeight="1" thickBot="1">
      <c r="B2" s="241" t="s">
        <v>15</v>
      </c>
      <c r="C2" s="242"/>
      <c r="D2" s="242"/>
      <c r="E2" s="242"/>
      <c r="F2" s="242"/>
      <c r="G2" s="242"/>
      <c r="H2" s="242"/>
      <c r="I2" s="242"/>
      <c r="J2" s="242"/>
      <c r="K2" s="243"/>
    </row>
    <row r="3" spans="2:11" ht="15.95" customHeight="1" thickTop="1">
      <c r="B3" s="92" t="s">
        <v>74</v>
      </c>
      <c r="C3" s="162"/>
      <c r="E3" s="162"/>
      <c r="F3" s="162"/>
      <c r="G3" s="48"/>
      <c r="H3" s="47" t="s">
        <v>60</v>
      </c>
      <c r="J3" s="163"/>
      <c r="K3" s="104"/>
    </row>
    <row r="4" spans="2:11" ht="15.95" customHeight="1">
      <c r="B4" s="92" t="str">
        <f>' CI'!B4</f>
        <v>PT ZINUS DREAM INDONESIA</v>
      </c>
      <c r="D4" s="162"/>
      <c r="E4" s="162"/>
      <c r="F4" s="162"/>
      <c r="H4" s="50" t="str">
        <f>' CI'!G4</f>
        <v>ID2609-9297</v>
      </c>
      <c r="I4" s="51"/>
      <c r="J4" s="54">
        <f>' CI'!K4</f>
        <v>46289</v>
      </c>
      <c r="K4" s="105"/>
    </row>
    <row r="5" spans="2:11" ht="15.95" customHeight="1">
      <c r="B5" s="93" t="str">
        <f>' CI'!B5</f>
        <v>JL. RAYA SERANG KM. 12 RT. 01 RW. 05</v>
      </c>
      <c r="C5" s="164"/>
      <c r="D5" s="164"/>
      <c r="E5" s="165"/>
      <c r="F5" s="165"/>
      <c r="H5" s="55" t="s">
        <v>0</v>
      </c>
      <c r="I5" s="56"/>
      <c r="J5" s="56"/>
      <c r="K5" s="107"/>
    </row>
    <row r="6" spans="2:11" ht="15.95" customHeight="1">
      <c r="B6" s="93" t="str">
        <f>' CI'!B6</f>
        <v>KP. GEBANG DESA/KEL. SUKADAMAI, KEC. CIKUPA, KAB. TANGERANG</v>
      </c>
      <c r="C6" s="164"/>
      <c r="D6" s="164"/>
      <c r="E6" s="165"/>
      <c r="F6" s="165"/>
      <c r="H6" s="58" t="str">
        <f>' CI'!G6</f>
        <v>T/T PAYMENT</v>
      </c>
      <c r="K6" s="108"/>
    </row>
    <row r="7" spans="2:11" ht="15.95" customHeight="1">
      <c r="B7" s="93" t="str">
        <f>' CI'!B7</f>
        <v>BANTEN, INDONESIA</v>
      </c>
      <c r="C7" s="164"/>
      <c r="D7" s="164"/>
      <c r="H7" s="58"/>
      <c r="K7" s="108"/>
    </row>
    <row r="8" spans="2:11" ht="15.95" customHeight="1">
      <c r="B8" s="106"/>
      <c r="C8" s="164"/>
      <c r="D8" s="164"/>
      <c r="H8" s="59"/>
      <c r="I8" s="52"/>
      <c r="J8" s="52"/>
      <c r="K8" s="109"/>
    </row>
    <row r="9" spans="2:11" ht="15.95" customHeight="1">
      <c r="B9" s="110" t="s">
        <v>65</v>
      </c>
      <c r="C9" s="56"/>
      <c r="D9" s="56"/>
      <c r="E9" s="56"/>
      <c r="F9" s="56"/>
      <c r="G9" s="62"/>
      <c r="H9" s="162" t="s">
        <v>2</v>
      </c>
      <c r="K9" s="111"/>
    </row>
    <row r="10" spans="2:11" s="63" customFormat="1" ht="15.95" customHeight="1">
      <c r="B10" s="112" t="str">
        <f>' CI'!B10</f>
        <v>AMAZON.COM SERVICES LLC</v>
      </c>
      <c r="D10" s="166"/>
      <c r="G10" s="64"/>
      <c r="H10" s="167" t="str">
        <f>' CI'!G10</f>
        <v>ZINUS  INC,</v>
      </c>
      <c r="I10" s="168"/>
      <c r="K10" s="113"/>
    </row>
    <row r="11" spans="2:11" s="63" customFormat="1" ht="15.95" customHeight="1">
      <c r="B11" s="106" t="str">
        <f>' CI'!B11</f>
        <v>410 TERRY AVE. NORTH SEATTLE, WA 98109-5210</v>
      </c>
      <c r="D11" s="169"/>
      <c r="G11" s="64"/>
      <c r="H11" s="63" t="str">
        <f>' CI'!G11</f>
        <v>8F, 10 (AMIGO-TOWER) YATAP-RO,</v>
      </c>
      <c r="I11" s="165"/>
      <c r="K11" s="114"/>
    </row>
    <row r="12" spans="2:11" s="63" customFormat="1" ht="15.95" customHeight="1">
      <c r="B12" s="106" t="str">
        <f>' CI'!B12</f>
        <v>UNITED STATES</v>
      </c>
      <c r="D12" s="169"/>
      <c r="G12" s="64"/>
      <c r="H12" s="63" t="str">
        <f>' CI'!G12</f>
        <v>81 BEON-GIL BUNDANG-GU, SEONGNAM-SI, GYUNGGI-DO, KOREA</v>
      </c>
      <c r="I12" s="165"/>
      <c r="J12" s="170"/>
      <c r="K12" s="115"/>
    </row>
    <row r="13" spans="2:11" s="63" customFormat="1" ht="15.95" customHeight="1">
      <c r="B13" s="116"/>
      <c r="C13" s="66"/>
      <c r="D13" s="67"/>
      <c r="E13" s="66"/>
      <c r="F13" s="66"/>
      <c r="G13" s="68"/>
      <c r="I13" s="165"/>
      <c r="J13" s="170"/>
      <c r="K13" s="115"/>
    </row>
    <row r="14" spans="2:11" ht="15.95" customHeight="1">
      <c r="B14" s="92" t="s">
        <v>66</v>
      </c>
      <c r="G14" s="48"/>
      <c r="H14" s="55" t="s">
        <v>3</v>
      </c>
      <c r="I14" s="56"/>
      <c r="J14" s="56"/>
      <c r="K14" s="107"/>
    </row>
    <row r="15" spans="2:11" ht="15.95" customHeight="1">
      <c r="B15" s="112" t="str">
        <f>' CI'!B15</f>
        <v>DAMCO CUSTOMS SERVICES INC.</v>
      </c>
      <c r="D15" s="171"/>
      <c r="G15" s="48"/>
      <c r="H15" s="47" t="str">
        <f>' CI'!G15</f>
        <v>*COUNTRY OF ORIGIN : INDONESIA</v>
      </c>
      <c r="K15" s="111"/>
    </row>
    <row r="16" spans="2:11" ht="15.95" customHeight="1">
      <c r="B16" s="106" t="str">
        <f>' CI'!B16</f>
        <v>ZINUSNAMCHB@LNS.MAERSK.COM</v>
      </c>
      <c r="D16" s="172"/>
      <c r="G16" s="48"/>
      <c r="H16" s="69" t="str">
        <f>' CI'!G16</f>
        <v>PO#</v>
      </c>
      <c r="I16" s="173" t="str">
        <f>' CI'!H16</f>
        <v>8GHY1D8T</v>
      </c>
      <c r="K16" s="111"/>
    </row>
    <row r="17" spans="2:11 16381:16381" ht="15.95" customHeight="1">
      <c r="B17" s="106" t="str">
        <f>' CI'!B17</f>
        <v>9300 ARROWPOINT BOULEVARD BUILDING1</v>
      </c>
      <c r="D17" s="172"/>
      <c r="G17" s="48"/>
      <c r="H17" s="70" t="str">
        <f>' CI'!G17</f>
        <v xml:space="preserve">DO# </v>
      </c>
      <c r="I17" s="175" t="str">
        <f>' CI'!H17</f>
        <v>EBKG18575113</v>
      </c>
      <c r="K17" s="111"/>
    </row>
    <row r="18" spans="2:11 16381:16381" ht="15.95" customHeight="1">
      <c r="B18" s="117" t="str">
        <f>' CI'!B18</f>
        <v>CHARLOTTE, NC 28273</v>
      </c>
      <c r="C18" s="193"/>
      <c r="D18" s="172"/>
      <c r="G18" s="48"/>
      <c r="H18" s="70" t="str">
        <f>' CI'!G18</f>
        <v xml:space="preserve">BL# </v>
      </c>
      <c r="I18" s="46" t="str">
        <f>' CI'!H18</f>
        <v>MEDUKU810470</v>
      </c>
      <c r="K18" s="111"/>
    </row>
    <row r="19" spans="2:11 16381:16381" ht="15.95" customHeight="1">
      <c r="B19" s="93"/>
      <c r="C19" s="172"/>
      <c r="D19" s="172"/>
      <c r="G19" s="48"/>
      <c r="H19" s="71"/>
      <c r="I19" s="72"/>
      <c r="J19" s="52"/>
      <c r="K19" s="118"/>
    </row>
    <row r="20" spans="2:11 16381:16381" ht="15.95" customHeight="1">
      <c r="B20" s="119" t="s">
        <v>68</v>
      </c>
      <c r="C20" s="74"/>
      <c r="D20" s="75"/>
      <c r="E20" s="56"/>
      <c r="F20" s="56"/>
      <c r="G20" s="62"/>
      <c r="H20" s="162" t="s">
        <v>6</v>
      </c>
      <c r="K20" s="111"/>
    </row>
    <row r="21" spans="2:11 16381:16381" ht="15.95" customHeight="1">
      <c r="B21" s="159">
        <f>' CI'!B21</f>
        <v>46296</v>
      </c>
      <c r="C21" s="158"/>
      <c r="D21" s="158"/>
      <c r="E21" s="52"/>
      <c r="F21" s="52"/>
      <c r="G21" s="60"/>
      <c r="H21" s="46" t="str">
        <f>' CI'!G21</f>
        <v>FOB INDONESIA</v>
      </c>
      <c r="K21" s="111"/>
      <c r="XFA21" s="147">
        <f>SUM(B21:XEZ21)</f>
        <v>46296</v>
      </c>
    </row>
    <row r="22" spans="2:11 16381:16381" ht="15.95" customHeight="1">
      <c r="B22" s="120" t="s">
        <v>69</v>
      </c>
      <c r="C22" s="167"/>
      <c r="D22" s="63"/>
      <c r="E22" s="162" t="s">
        <v>70</v>
      </c>
      <c r="F22" s="162"/>
      <c r="G22" s="48"/>
      <c r="H22" s="58" t="s">
        <v>78</v>
      </c>
      <c r="K22" s="111"/>
    </row>
    <row r="23" spans="2:11 16381:16381" s="77" customFormat="1" ht="15.95" customHeight="1">
      <c r="B23" s="140" t="str">
        <f>' CI'!B23</f>
        <v>MSC SINGAPORE IV XF640R</v>
      </c>
      <c r="C23" s="78"/>
      <c r="D23" s="78"/>
      <c r="E23" s="79" t="s">
        <v>71</v>
      </c>
      <c r="F23" s="79"/>
      <c r="G23" s="80"/>
      <c r="H23" s="81" t="s">
        <v>7</v>
      </c>
      <c r="I23" s="176"/>
      <c r="K23" s="121"/>
    </row>
    <row r="24" spans="2:11 16381:16381" ht="15.95" customHeight="1" thickBot="1">
      <c r="B24" s="141" t="s">
        <v>89</v>
      </c>
      <c r="C24" s="83" t="str">
        <f>' CI'!C24</f>
        <v>LONG BEACH, CA, UNITED STATES</v>
      </c>
      <c r="D24" s="100"/>
      <c r="E24" s="101"/>
      <c r="F24" s="101"/>
      <c r="G24" s="102"/>
      <c r="H24" s="99"/>
      <c r="I24" s="84"/>
      <c r="J24" s="83"/>
      <c r="K24" s="142"/>
    </row>
    <row r="25" spans="2:11 16381:16381" ht="15.95" customHeight="1" thickTop="1">
      <c r="B25" s="123" t="s">
        <v>82</v>
      </c>
      <c r="C25" s="184"/>
      <c r="D25" s="185" t="s">
        <v>9</v>
      </c>
      <c r="E25" s="175"/>
      <c r="F25" s="289" t="s">
        <v>7</v>
      </c>
      <c r="G25" s="290" t="s">
        <v>79</v>
      </c>
      <c r="H25" s="290" t="s">
        <v>7</v>
      </c>
      <c r="I25" s="291" t="s">
        <v>80</v>
      </c>
      <c r="J25" s="293" t="s">
        <v>81</v>
      </c>
      <c r="K25" s="287"/>
    </row>
    <row r="26" spans="2:11 16381:16381" ht="15.95" customHeight="1">
      <c r="B26" s="93"/>
      <c r="C26" s="184"/>
      <c r="D26" s="175"/>
      <c r="E26" s="175"/>
      <c r="F26" s="289"/>
      <c r="G26" s="290"/>
      <c r="H26" s="290"/>
      <c r="I26" s="292"/>
      <c r="J26" s="294"/>
      <c r="K26" s="288"/>
    </row>
    <row r="27" spans="2:11 16381:16381" ht="15.75" customHeight="1">
      <c r="B27" s="93"/>
      <c r="C27" s="184"/>
      <c r="D27" s="175"/>
      <c r="E27" s="175"/>
      <c r="F27" s="194"/>
      <c r="G27" s="197">
        <f>J49</f>
        <v>68149.69</v>
      </c>
      <c r="H27" s="195"/>
      <c r="I27" s="198">
        <v>77536.399999999994</v>
      </c>
      <c r="J27" s="161">
        <v>368.78400000000005</v>
      </c>
      <c r="K27" s="160" t="s">
        <v>7</v>
      </c>
    </row>
    <row r="28" spans="2:11 16381:16381" ht="15.75" customHeight="1">
      <c r="B28" s="93"/>
      <c r="C28" s="184"/>
      <c r="D28" s="175"/>
      <c r="E28" s="175"/>
      <c r="F28" s="194"/>
      <c r="G28" s="199"/>
      <c r="H28" s="195"/>
      <c r="I28" s="200"/>
      <c r="J28" s="196"/>
      <c r="K28" s="153"/>
    </row>
    <row r="29" spans="2:11 16381:16381" ht="36.75" customHeight="1">
      <c r="B29" s="93"/>
      <c r="C29" s="201" t="s">
        <v>5</v>
      </c>
      <c r="D29" s="202" t="s">
        <v>13</v>
      </c>
      <c r="E29" s="175"/>
      <c r="F29" s="286" t="s">
        <v>75</v>
      </c>
      <c r="G29" s="286"/>
      <c r="H29" s="195"/>
      <c r="I29" s="203" t="s">
        <v>76</v>
      </c>
      <c r="J29" s="203" t="s">
        <v>77</v>
      </c>
      <c r="K29" s="153"/>
    </row>
    <row r="30" spans="2:11 16381:16381" ht="23.25" customHeight="1">
      <c r="B30" s="93"/>
      <c r="C30" s="186" t="str">
        <f>' CI'!C29</f>
        <v>8GHY1D8T</v>
      </c>
      <c r="D30" s="175" t="str">
        <f>' CI'!F29</f>
        <v>12In Mygel Foam Mattress King</v>
      </c>
      <c r="E30" s="204"/>
      <c r="F30" s="205">
        <f>' CI'!I29</f>
        <v>350</v>
      </c>
      <c r="G30" s="204">
        <f>' CI'!I29</f>
        <v>350</v>
      </c>
      <c r="H30" s="206"/>
      <c r="I30" s="207">
        <v>35.380000000000003</v>
      </c>
      <c r="J30" s="208">
        <f>I30*G30</f>
        <v>12383</v>
      </c>
      <c r="K30" s="143"/>
      <c r="XFA30" s="46">
        <f>SUM(B30:XEZ30)</f>
        <v>13118.38</v>
      </c>
    </row>
    <row r="31" spans="2:11 16381:16381" ht="23.25" customHeight="1">
      <c r="B31" s="93"/>
      <c r="C31" s="186" t="str">
        <f>' CI'!C30</f>
        <v>8GHY1D8T</v>
      </c>
      <c r="D31" s="175" t="str">
        <f>' CI'!F30</f>
        <v>12In Mygel Foam Mattress King</v>
      </c>
      <c r="E31" s="204"/>
      <c r="F31" s="205">
        <f>' CI'!I30</f>
        <v>350</v>
      </c>
      <c r="G31" s="204">
        <f>' CI'!I30</f>
        <v>350</v>
      </c>
      <c r="H31" s="206"/>
      <c r="I31" s="207">
        <v>35.380000000000003</v>
      </c>
      <c r="J31" s="208">
        <f t="shared" ref="J31:J36" si="0">I31*G31</f>
        <v>12383</v>
      </c>
      <c r="K31" s="143"/>
    </row>
    <row r="32" spans="2:11 16381:16381" ht="23.25" customHeight="1">
      <c r="B32" s="93"/>
      <c r="C32" s="186" t="str">
        <f>' CI'!C31</f>
        <v>8GHY1D8T</v>
      </c>
      <c r="D32" s="175" t="str">
        <f>' CI'!F31</f>
        <v>10IN GREEN TEA FOAM MATTRESS TWIN XL</v>
      </c>
      <c r="E32" s="204"/>
      <c r="F32" s="205">
        <f>' CI'!I31</f>
        <v>285</v>
      </c>
      <c r="G32" s="204">
        <f>' CI'!I31</f>
        <v>285</v>
      </c>
      <c r="H32" s="206"/>
      <c r="I32" s="207">
        <v>16.010000000000002</v>
      </c>
      <c r="J32" s="208">
        <f t="shared" si="0"/>
        <v>4562.8500000000004</v>
      </c>
      <c r="K32" s="143"/>
    </row>
    <row r="33" spans="2:11" ht="23.25" customHeight="1">
      <c r="B33" s="93"/>
      <c r="C33" s="186" t="str">
        <f>' CI'!C32</f>
        <v>8GHY1D8T</v>
      </c>
      <c r="D33" s="175" t="str">
        <f>' CI'!F32</f>
        <v>5in Green Tea Foam Mattress Twin</v>
      </c>
      <c r="E33" s="204"/>
      <c r="F33" s="205">
        <f>' CI'!I32</f>
        <v>585</v>
      </c>
      <c r="G33" s="204">
        <f>' CI'!I32</f>
        <v>585</v>
      </c>
      <c r="H33" s="206"/>
      <c r="I33" s="207">
        <v>9.3000000000000007</v>
      </c>
      <c r="J33" s="208">
        <f t="shared" si="0"/>
        <v>5440.5</v>
      </c>
      <c r="K33" s="143"/>
    </row>
    <row r="34" spans="2:11" ht="23.25" customHeight="1">
      <c r="B34" s="93"/>
      <c r="C34" s="186" t="str">
        <f>' CI'!C33</f>
        <v>8GHY1D8T</v>
      </c>
      <c r="D34" s="175" t="str">
        <f>' CI'!F33</f>
        <v>12In Green Tea Foam Mattress Twin</v>
      </c>
      <c r="E34" s="204"/>
      <c r="F34" s="205">
        <f>' CI'!I33</f>
        <v>13</v>
      </c>
      <c r="G34" s="204">
        <f>' CI'!I33</f>
        <v>13</v>
      </c>
      <c r="H34" s="206"/>
      <c r="I34" s="207">
        <v>17.420000000000002</v>
      </c>
      <c r="J34" s="208">
        <f t="shared" si="0"/>
        <v>226.46000000000004</v>
      </c>
      <c r="K34" s="143"/>
    </row>
    <row r="35" spans="2:11" ht="23.25" customHeight="1">
      <c r="B35" s="93"/>
      <c r="C35" s="186" t="str">
        <f>' CI'!C34</f>
        <v>8GHY1D8T</v>
      </c>
      <c r="D35" s="175" t="str">
        <f>' CI'!F34</f>
        <v>10In Green Tea Essential Twin Mattress</v>
      </c>
      <c r="E35" s="204"/>
      <c r="F35" s="205">
        <f>' CI'!I34</f>
        <v>146</v>
      </c>
      <c r="G35" s="204">
        <f>' CI'!I34</f>
        <v>146</v>
      </c>
      <c r="H35" s="206"/>
      <c r="I35" s="207">
        <v>14.12</v>
      </c>
      <c r="J35" s="208">
        <f t="shared" si="0"/>
        <v>2061.52</v>
      </c>
      <c r="K35" s="143"/>
    </row>
    <row r="36" spans="2:11" ht="23.25" customHeight="1">
      <c r="B36" s="93"/>
      <c r="C36" s="186" t="str">
        <f>' CI'!C35</f>
        <v>8GHY1D8T</v>
      </c>
      <c r="D36" s="175" t="str">
        <f>' CI'!F35</f>
        <v>5In Cooling Essential Twin Mattress</v>
      </c>
      <c r="E36" s="204"/>
      <c r="F36" s="205">
        <f>' CI'!I35</f>
        <v>101</v>
      </c>
      <c r="G36" s="204">
        <f>' CI'!I35</f>
        <v>101</v>
      </c>
      <c r="H36" s="206"/>
      <c r="I36" s="207">
        <v>9.5</v>
      </c>
      <c r="J36" s="208">
        <f t="shared" si="0"/>
        <v>959.5</v>
      </c>
      <c r="K36" s="143"/>
    </row>
    <row r="37" spans="2:11" ht="23.25" customHeight="1">
      <c r="B37" s="93"/>
      <c r="C37" s="186" t="str">
        <f>' CI'!C36</f>
        <v>8GHY1D8T</v>
      </c>
      <c r="D37" s="175" t="str">
        <f>' CI'!F36</f>
        <v>6In Green Tea Foam Mattress Queen</v>
      </c>
      <c r="E37" s="204"/>
      <c r="F37" s="205">
        <f>' CI'!I36</f>
        <v>515</v>
      </c>
      <c r="G37" s="204">
        <f>' CI'!I36</f>
        <v>515</v>
      </c>
      <c r="H37" s="206"/>
      <c r="I37" s="207">
        <v>14.98</v>
      </c>
      <c r="J37" s="208">
        <f t="shared" ref="J37:J43" si="1">I37*G37</f>
        <v>7714.7</v>
      </c>
      <c r="K37" s="143"/>
    </row>
    <row r="38" spans="2:11" ht="23.25" customHeight="1">
      <c r="B38" s="93"/>
      <c r="C38" s="186" t="str">
        <f>' CI'!C37</f>
        <v>8GHY1D8T</v>
      </c>
      <c r="D38" s="175" t="str">
        <f>' CI'!F37</f>
        <v>10In Green Tea Foam Mattress Twin</v>
      </c>
      <c r="E38" s="204"/>
      <c r="F38" s="205">
        <f>' CI'!I37</f>
        <v>360</v>
      </c>
      <c r="G38" s="204">
        <f>' CI'!I37</f>
        <v>360</v>
      </c>
      <c r="H38" s="206"/>
      <c r="I38" s="207">
        <v>14.78</v>
      </c>
      <c r="J38" s="208">
        <f t="shared" si="1"/>
        <v>5320.8</v>
      </c>
      <c r="K38" s="143"/>
    </row>
    <row r="39" spans="2:11" ht="23.25" customHeight="1">
      <c r="B39" s="93"/>
      <c r="C39" s="186" t="str">
        <f>' CI'!C38</f>
        <v>8GHY1D8T</v>
      </c>
      <c r="D39" s="175" t="str">
        <f>' CI'!F38</f>
        <v>10In Green Tea Foam Mattress Full</v>
      </c>
      <c r="E39" s="204"/>
      <c r="F39" s="205">
        <f>' CI'!I38</f>
        <v>295</v>
      </c>
      <c r="G39" s="204">
        <f>' CI'!I38</f>
        <v>295</v>
      </c>
      <c r="H39" s="206"/>
      <c r="I39" s="207">
        <v>20.329999999999998</v>
      </c>
      <c r="J39" s="208">
        <f t="shared" si="1"/>
        <v>5997.3499999999995</v>
      </c>
      <c r="K39" s="143"/>
    </row>
    <row r="40" spans="2:11" ht="23.25" customHeight="1">
      <c r="B40" s="93"/>
      <c r="C40" s="186" t="str">
        <f>' CI'!C39</f>
        <v>8GHY1D8T</v>
      </c>
      <c r="D40" s="175" t="str">
        <f>' CI'!F39</f>
        <v>12In Mygel Foam Mattress King</v>
      </c>
      <c r="E40" s="204"/>
      <c r="F40" s="205">
        <f>' CI'!I39</f>
        <v>44</v>
      </c>
      <c r="G40" s="204">
        <f>' CI'!I39</f>
        <v>44</v>
      </c>
      <c r="H40" s="206"/>
      <c r="I40" s="207">
        <v>35.380000000000003</v>
      </c>
      <c r="J40" s="208">
        <f t="shared" si="1"/>
        <v>1556.72</v>
      </c>
      <c r="K40" s="143"/>
    </row>
    <row r="41" spans="2:11" ht="23.25" customHeight="1">
      <c r="B41" s="93"/>
      <c r="C41" s="186" t="str">
        <f>' CI'!C40</f>
        <v>8GHY1D8T</v>
      </c>
      <c r="D41" s="175" t="str">
        <f>' CI'!F40</f>
        <v>10In Green Tea Foam Mattress Twin</v>
      </c>
      <c r="E41" s="204"/>
      <c r="F41" s="205">
        <f>' CI'!I40</f>
        <v>82</v>
      </c>
      <c r="G41" s="204">
        <f>' CI'!I40</f>
        <v>82</v>
      </c>
      <c r="H41" s="206"/>
      <c r="I41" s="207">
        <v>14.78</v>
      </c>
      <c r="J41" s="208">
        <f t="shared" si="1"/>
        <v>1211.96</v>
      </c>
      <c r="K41" s="143"/>
    </row>
    <row r="42" spans="2:11" ht="23.25" customHeight="1">
      <c r="B42" s="93"/>
      <c r="C42" s="186" t="str">
        <f>' CI'!C41</f>
        <v>8GHY1D8T</v>
      </c>
      <c r="D42" s="175" t="str">
        <f>' CI'!F41</f>
        <v>10In Mygel Foam Mattress Full</v>
      </c>
      <c r="E42" s="204"/>
      <c r="F42" s="205">
        <f>' CI'!I41</f>
        <v>361</v>
      </c>
      <c r="G42" s="204">
        <f>' CI'!I41</f>
        <v>361</v>
      </c>
      <c r="H42" s="206"/>
      <c r="I42" s="207">
        <v>20.16</v>
      </c>
      <c r="J42" s="208">
        <f t="shared" si="1"/>
        <v>7277.76</v>
      </c>
      <c r="K42" s="143"/>
    </row>
    <row r="43" spans="2:11" ht="23.25" customHeight="1">
      <c r="B43" s="93"/>
      <c r="C43" s="186" t="str">
        <f>' CI'!C42</f>
        <v>8GHY1D8T</v>
      </c>
      <c r="D43" s="175" t="str">
        <f>' CI'!F42</f>
        <v>8In Green Tea Foam Mattress Twin</v>
      </c>
      <c r="E43" s="204"/>
      <c r="F43" s="205">
        <f>' CI'!I42</f>
        <v>87</v>
      </c>
      <c r="G43" s="204">
        <f>' CI'!I42</f>
        <v>87</v>
      </c>
      <c r="H43" s="206"/>
      <c r="I43" s="207">
        <v>12.11</v>
      </c>
      <c r="J43" s="208">
        <f t="shared" si="1"/>
        <v>1053.57</v>
      </c>
      <c r="K43" s="143"/>
    </row>
    <row r="44" spans="2:11" ht="23.25" customHeight="1">
      <c r="B44" s="93"/>
      <c r="C44" s="186"/>
      <c r="D44" s="175"/>
      <c r="E44" s="204"/>
      <c r="F44" s="205"/>
      <c r="G44" s="204"/>
      <c r="H44" s="206"/>
      <c r="I44" s="207"/>
      <c r="J44" s="208"/>
      <c r="K44" s="143"/>
    </row>
    <row r="45" spans="2:11" ht="23.25" customHeight="1">
      <c r="B45" s="93"/>
      <c r="C45" s="186"/>
      <c r="D45" s="175"/>
      <c r="E45" s="204"/>
      <c r="F45" s="205"/>
      <c r="G45" s="204"/>
      <c r="H45" s="206"/>
      <c r="I45" s="207"/>
      <c r="J45" s="208"/>
      <c r="K45" s="143"/>
    </row>
    <row r="46" spans="2:11" ht="20.25" customHeight="1">
      <c r="B46" s="93"/>
      <c r="C46" s="186"/>
      <c r="D46" s="175"/>
      <c r="E46" s="204"/>
      <c r="F46" s="205"/>
      <c r="G46" s="204"/>
      <c r="H46" s="206"/>
      <c r="I46" s="207"/>
      <c r="J46" s="208"/>
      <c r="K46" s="143"/>
    </row>
    <row r="47" spans="2:11" ht="20.25" customHeight="1">
      <c r="B47" s="93"/>
      <c r="C47" s="186"/>
      <c r="D47" s="175"/>
      <c r="E47" s="204"/>
      <c r="F47" s="205"/>
      <c r="G47" s="204"/>
      <c r="H47" s="206"/>
      <c r="I47" s="207"/>
      <c r="J47" s="208"/>
      <c r="K47" s="143"/>
    </row>
    <row r="48" spans="2:11" ht="20.25" customHeight="1" thickBot="1">
      <c r="B48" s="93"/>
      <c r="C48" s="186"/>
      <c r="D48" s="175"/>
      <c r="E48" s="204"/>
      <c r="F48" s="205"/>
      <c r="G48" s="204"/>
      <c r="H48" s="206"/>
      <c r="I48" s="207"/>
      <c r="J48" s="208"/>
      <c r="K48" s="143"/>
    </row>
    <row r="49" spans="2:11 16381:16381" ht="15.75" customHeight="1" thickTop="1" thickBot="1">
      <c r="B49" s="144"/>
      <c r="C49" s="85"/>
      <c r="D49" s="88"/>
      <c r="E49" s="95" t="s">
        <v>14</v>
      </c>
      <c r="F49" s="96">
        <f>SUM(F30:F48)</f>
        <v>3574</v>
      </c>
      <c r="G49" s="97">
        <f>SUM(G30:G48)</f>
        <v>3574</v>
      </c>
      <c r="H49" s="90" t="s">
        <v>7</v>
      </c>
      <c r="I49" s="98"/>
      <c r="J49" s="154">
        <f>SUM(J30:J48)</f>
        <v>68149.69</v>
      </c>
      <c r="K49" s="145"/>
      <c r="XFA49" s="46">
        <f>SUM(B49:XEZ49)</f>
        <v>75297.69</v>
      </c>
    </row>
    <row r="50" spans="2:11 16381:16381" ht="15.75" customHeight="1" thickTop="1">
      <c r="B50" s="151"/>
      <c r="C50" s="188"/>
      <c r="D50" s="162"/>
      <c r="E50" s="209"/>
      <c r="F50" s="210"/>
      <c r="G50" s="211"/>
      <c r="H50" s="180"/>
      <c r="I50" s="161"/>
      <c r="J50" s="231"/>
      <c r="K50" s="152"/>
    </row>
    <row r="51" spans="2:11 16381:16381" ht="15.75" customHeight="1">
      <c r="B51" s="151"/>
      <c r="C51" s="188"/>
      <c r="D51" s="162"/>
      <c r="E51" s="209"/>
      <c r="F51" s="210"/>
      <c r="G51" s="211"/>
      <c r="H51" s="180"/>
      <c r="I51" s="161"/>
      <c r="J51" s="231"/>
      <c r="K51" s="152"/>
    </row>
    <row r="52" spans="2:11 16381:16381" ht="15.75" customHeight="1">
      <c r="B52" s="151"/>
      <c r="C52" s="188"/>
      <c r="D52" s="162"/>
      <c r="E52" s="209"/>
      <c r="F52" s="210"/>
      <c r="G52" s="211"/>
      <c r="H52" s="180"/>
      <c r="I52" s="161"/>
      <c r="J52" s="231"/>
      <c r="K52" s="152"/>
    </row>
    <row r="53" spans="2:11 16381:16381" ht="15.75" customHeight="1">
      <c r="B53" s="151"/>
      <c r="C53" s="188"/>
      <c r="D53" s="162"/>
      <c r="E53" s="209"/>
      <c r="F53" s="210"/>
      <c r="G53" s="211"/>
      <c r="H53" s="180"/>
      <c r="I53" s="161"/>
      <c r="J53" s="231"/>
      <c r="K53" s="152"/>
    </row>
    <row r="54" spans="2:11 16381:16381" ht="15.75" customHeight="1">
      <c r="B54" s="151"/>
      <c r="C54" s="188"/>
      <c r="D54" s="162"/>
      <c r="E54" s="209"/>
      <c r="F54" s="210"/>
      <c r="G54" s="211"/>
      <c r="H54" s="180"/>
      <c r="I54" s="161"/>
      <c r="J54" s="231"/>
      <c r="K54" s="152"/>
    </row>
    <row r="55" spans="2:11 16381:16381" ht="15.75" customHeight="1">
      <c r="B55" s="151"/>
      <c r="C55" s="188"/>
      <c r="D55" s="162"/>
      <c r="E55" s="209"/>
      <c r="F55" s="210"/>
      <c r="G55" s="211"/>
      <c r="H55" s="180"/>
      <c r="I55" s="161"/>
      <c r="J55" s="231"/>
      <c r="K55" s="152"/>
    </row>
    <row r="56" spans="2:11 16381:16381" ht="15.75" customHeight="1">
      <c r="B56" s="151"/>
      <c r="C56" s="188"/>
      <c r="D56" s="162"/>
      <c r="E56" s="209"/>
      <c r="F56" s="210"/>
      <c r="G56" s="211"/>
      <c r="H56" s="180"/>
      <c r="I56" s="161"/>
      <c r="J56" s="231"/>
      <c r="K56" s="152"/>
    </row>
    <row r="57" spans="2:11 16381:16381" ht="15.75" customHeight="1">
      <c r="B57" s="151"/>
      <c r="C57" s="188"/>
      <c r="D57" s="162"/>
      <c r="E57" s="209"/>
      <c r="F57" s="210"/>
      <c r="G57" s="211"/>
      <c r="H57" s="180"/>
      <c r="I57" s="161"/>
      <c r="J57" s="231"/>
      <c r="K57" s="152"/>
    </row>
    <row r="58" spans="2:11 16381:16381" ht="15.75" customHeight="1">
      <c r="B58" s="151"/>
      <c r="C58" s="188"/>
      <c r="D58" s="162"/>
      <c r="E58" s="209"/>
      <c r="F58" s="210"/>
      <c r="G58" s="211"/>
      <c r="H58" s="180"/>
      <c r="I58" s="161"/>
      <c r="J58" s="231"/>
      <c r="K58" s="152"/>
    </row>
    <row r="59" spans="2:11 16381:16381" ht="15.75" customHeight="1">
      <c r="B59" s="151"/>
      <c r="C59" s="188"/>
      <c r="D59" s="162"/>
      <c r="E59" s="209"/>
      <c r="F59" s="210"/>
      <c r="G59" s="211"/>
      <c r="H59" s="180"/>
      <c r="I59" s="161"/>
      <c r="J59" s="231"/>
      <c r="K59" s="152"/>
    </row>
    <row r="60" spans="2:11 16381:16381" ht="15.75" customHeight="1">
      <c r="B60" s="151"/>
      <c r="C60" s="188"/>
      <c r="D60" s="162"/>
      <c r="E60" s="209"/>
      <c r="F60" s="210"/>
      <c r="G60" s="211"/>
      <c r="H60" s="180"/>
      <c r="I60" s="161"/>
      <c r="J60" s="231"/>
      <c r="K60" s="152"/>
    </row>
    <row r="61" spans="2:11 16381:16381" ht="15.75" customHeight="1">
      <c r="B61" s="151"/>
      <c r="C61" s="188"/>
      <c r="D61" s="162"/>
      <c r="E61" s="209"/>
      <c r="F61" s="210"/>
      <c r="G61" s="211"/>
      <c r="H61" s="180"/>
      <c r="I61" s="161"/>
      <c r="J61" s="231"/>
      <c r="K61" s="152"/>
    </row>
    <row r="62" spans="2:11 16381:16381" ht="15.75" customHeight="1">
      <c r="B62" s="151"/>
      <c r="C62" s="188"/>
      <c r="D62" s="162"/>
      <c r="E62" s="209"/>
      <c r="F62" s="210"/>
      <c r="G62" s="211"/>
      <c r="H62" s="180"/>
      <c r="I62" s="161"/>
      <c r="J62" s="231"/>
      <c r="K62" s="152"/>
    </row>
    <row r="63" spans="2:11 16381:16381" ht="15.75" customHeight="1">
      <c r="B63" s="151"/>
      <c r="C63" s="188"/>
      <c r="D63" s="162"/>
      <c r="E63" s="209"/>
      <c r="F63" s="210"/>
      <c r="G63" s="211"/>
      <c r="H63" s="180"/>
      <c r="I63" s="161"/>
      <c r="J63" s="231"/>
      <c r="K63" s="152"/>
    </row>
    <row r="64" spans="2:11 16381:16381" ht="15.75" customHeight="1">
      <c r="B64" s="151"/>
      <c r="C64" s="188"/>
      <c r="D64" s="162"/>
      <c r="E64" s="209"/>
      <c r="F64" s="210"/>
      <c r="G64" s="211"/>
      <c r="H64" s="180"/>
      <c r="I64" s="161"/>
      <c r="J64" s="231"/>
      <c r="K64" s="152"/>
    </row>
    <row r="65" spans="2:11" ht="15.75" customHeight="1">
      <c r="B65" s="151"/>
      <c r="C65" s="188"/>
      <c r="D65" s="162"/>
      <c r="E65" s="209"/>
      <c r="F65" s="210"/>
      <c r="G65" s="211"/>
      <c r="H65" s="180"/>
      <c r="I65" s="161"/>
      <c r="J65" s="231"/>
      <c r="K65" s="152"/>
    </row>
    <row r="66" spans="2:11" ht="15.75" customHeight="1">
      <c r="B66" s="151"/>
      <c r="C66" s="188"/>
      <c r="D66" s="162"/>
      <c r="E66" s="209"/>
      <c r="F66" s="210"/>
      <c r="G66" s="211"/>
      <c r="H66" s="180"/>
      <c r="I66" s="161"/>
      <c r="J66" s="231"/>
      <c r="K66" s="152"/>
    </row>
    <row r="67" spans="2:11" ht="15.75" customHeight="1">
      <c r="B67" s="151"/>
      <c r="C67" s="188"/>
      <c r="D67" s="162"/>
      <c r="E67" s="209"/>
      <c r="F67" s="210"/>
      <c r="G67" s="211"/>
      <c r="H67" s="180"/>
      <c r="I67" s="161"/>
      <c r="J67" s="231"/>
      <c r="K67" s="152"/>
    </row>
    <row r="68" spans="2:11" ht="15.75" customHeight="1">
      <c r="B68" s="151"/>
      <c r="C68" s="188"/>
      <c r="D68" s="162"/>
      <c r="E68" s="209"/>
      <c r="F68" s="210"/>
      <c r="G68" s="211"/>
      <c r="H68" s="180"/>
      <c r="I68" s="161"/>
      <c r="J68" s="231"/>
      <c r="K68" s="152"/>
    </row>
    <row r="69" spans="2:11" ht="15.75" customHeight="1">
      <c r="B69" s="151"/>
      <c r="C69" s="188"/>
      <c r="D69" s="162"/>
      <c r="E69" s="209"/>
      <c r="F69" s="210"/>
      <c r="G69" s="211"/>
      <c r="H69" s="180"/>
      <c r="I69" s="161"/>
      <c r="J69" s="231"/>
      <c r="K69" s="152"/>
    </row>
    <row r="70" spans="2:11" ht="15.75" customHeight="1">
      <c r="B70" s="151"/>
      <c r="C70" s="188"/>
      <c r="D70" s="162"/>
      <c r="E70" s="209"/>
      <c r="F70" s="210"/>
      <c r="G70" s="211"/>
      <c r="H70" s="180"/>
      <c r="I70" s="161"/>
      <c r="J70" s="231"/>
      <c r="K70" s="152"/>
    </row>
    <row r="71" spans="2:11" ht="15.75" customHeight="1">
      <c r="B71" s="151"/>
      <c r="C71" s="188"/>
      <c r="D71" s="162"/>
      <c r="E71" s="209"/>
      <c r="F71" s="210"/>
      <c r="G71" s="211"/>
      <c r="H71" s="180"/>
      <c r="I71" s="161"/>
      <c r="J71" s="231"/>
      <c r="K71" s="152"/>
    </row>
    <row r="72" spans="2:11" ht="15.75" customHeight="1">
      <c r="B72" s="151"/>
      <c r="C72" s="188"/>
      <c r="D72" s="162"/>
      <c r="E72" s="209"/>
      <c r="F72" s="210"/>
      <c r="G72" s="211"/>
      <c r="H72" s="180"/>
      <c r="I72" s="161"/>
      <c r="J72" s="231"/>
      <c r="K72" s="152"/>
    </row>
    <row r="73" spans="2:11" ht="15.75" customHeight="1">
      <c r="B73" s="151"/>
      <c r="C73" s="188"/>
      <c r="D73" s="162"/>
      <c r="E73" s="209"/>
      <c r="F73" s="210"/>
      <c r="G73" s="211"/>
      <c r="H73" s="180"/>
      <c r="I73" s="161"/>
      <c r="J73" s="231"/>
      <c r="K73" s="152"/>
    </row>
    <row r="74" spans="2:11" ht="15.75" customHeight="1">
      <c r="B74" s="151"/>
      <c r="C74" s="188"/>
      <c r="D74" s="162"/>
      <c r="E74" s="209"/>
      <c r="F74" s="210"/>
      <c r="G74" s="211"/>
      <c r="H74" s="180"/>
      <c r="I74" s="161"/>
      <c r="J74" s="231"/>
      <c r="K74" s="152"/>
    </row>
    <row r="75" spans="2:11" ht="15.75" customHeight="1">
      <c r="B75" s="151"/>
      <c r="C75" s="188"/>
      <c r="D75" s="162"/>
      <c r="E75" s="209"/>
      <c r="F75" s="210"/>
      <c r="G75" s="211"/>
      <c r="H75" s="180"/>
      <c r="I75" s="161"/>
      <c r="J75" s="231"/>
      <c r="K75" s="152"/>
    </row>
    <row r="76" spans="2:11" ht="15.75" customHeight="1">
      <c r="B76" s="151"/>
      <c r="C76" s="188"/>
      <c r="D76" s="162"/>
      <c r="E76" s="209"/>
      <c r="F76" s="210"/>
      <c r="G76" s="211"/>
      <c r="H76" s="180"/>
      <c r="I76" s="161"/>
      <c r="J76" s="231"/>
      <c r="K76" s="152"/>
    </row>
    <row r="77" spans="2:11" ht="15.75" customHeight="1">
      <c r="B77" s="151"/>
      <c r="C77" s="188"/>
      <c r="D77" s="162"/>
      <c r="E77" s="209"/>
      <c r="F77" s="210"/>
      <c r="G77" s="211"/>
      <c r="H77" s="180"/>
      <c r="I77" s="161"/>
      <c r="J77" s="231"/>
      <c r="K77" s="152"/>
    </row>
    <row r="78" spans="2:11" ht="15.75" customHeight="1">
      <c r="B78" s="151"/>
      <c r="C78" s="188"/>
      <c r="D78" s="162"/>
      <c r="E78" s="209"/>
      <c r="F78" s="210"/>
      <c r="G78" s="211"/>
      <c r="H78" s="180"/>
      <c r="I78" s="161"/>
      <c r="J78" s="231"/>
      <c r="K78" s="152"/>
    </row>
    <row r="79" spans="2:11" ht="15.75" customHeight="1">
      <c r="B79" s="151"/>
      <c r="C79" s="188"/>
      <c r="D79" s="162"/>
      <c r="E79" s="209"/>
      <c r="F79" s="210"/>
      <c r="G79" s="211"/>
      <c r="H79" s="180"/>
      <c r="I79" s="161"/>
      <c r="J79" s="231"/>
      <c r="K79" s="152"/>
    </row>
    <row r="80" spans="2:11" ht="15.75" customHeight="1">
      <c r="B80" s="151"/>
      <c r="C80" s="188"/>
      <c r="D80" s="162"/>
      <c r="E80" s="209"/>
      <c r="F80" s="210"/>
      <c r="G80" s="211"/>
      <c r="H80" s="180"/>
      <c r="I80" s="161"/>
      <c r="J80" s="231"/>
      <c r="K80" s="152"/>
    </row>
    <row r="81" spans="2:11" ht="15.75" customHeight="1">
      <c r="B81" s="151"/>
      <c r="C81" s="188"/>
      <c r="D81" s="162"/>
      <c r="E81" s="209"/>
      <c r="F81" s="210"/>
      <c r="G81" s="211"/>
      <c r="H81" s="180"/>
      <c r="I81" s="161" t="s">
        <v>7</v>
      </c>
      <c r="J81" s="212"/>
      <c r="K81" s="152"/>
    </row>
    <row r="82" spans="2:11" ht="15.75" customHeight="1">
      <c r="B82" s="151"/>
      <c r="C82" s="188"/>
      <c r="D82" s="162"/>
      <c r="E82" s="209"/>
      <c r="F82" s="210"/>
      <c r="G82" s="211"/>
      <c r="H82" s="180"/>
      <c r="I82" s="161"/>
      <c r="J82" s="212"/>
      <c r="K82" s="152"/>
    </row>
    <row r="83" spans="2:11" ht="15.75" customHeight="1">
      <c r="B83" s="151"/>
      <c r="C83" s="188"/>
      <c r="D83" s="162"/>
      <c r="E83" s="209"/>
      <c r="F83" s="210"/>
      <c r="G83" s="211"/>
      <c r="H83" s="180"/>
      <c r="I83" s="161"/>
      <c r="J83" s="212"/>
      <c r="K83" s="152"/>
    </row>
    <row r="84" spans="2:11" ht="15.75" customHeight="1">
      <c r="B84" s="151"/>
      <c r="C84" s="188"/>
      <c r="D84" s="162"/>
      <c r="E84" s="209"/>
      <c r="F84" s="210"/>
      <c r="G84" s="211"/>
      <c r="H84" s="180"/>
      <c r="I84" s="161"/>
      <c r="J84" s="212"/>
      <c r="K84" s="152"/>
    </row>
    <row r="85" spans="2:11" ht="15.75" customHeight="1">
      <c r="B85" s="151"/>
      <c r="C85" s="188"/>
      <c r="D85" s="162"/>
      <c r="E85" s="209"/>
      <c r="F85" s="210"/>
      <c r="G85" s="211"/>
      <c r="H85" s="180"/>
      <c r="I85" s="161"/>
      <c r="J85" s="212"/>
      <c r="K85" s="152"/>
    </row>
    <row r="86" spans="2:11" ht="15.75" customHeight="1">
      <c r="B86" s="151"/>
      <c r="C86" s="188"/>
      <c r="D86" s="162"/>
      <c r="E86" s="209"/>
      <c r="F86" s="210"/>
      <c r="G86" s="211"/>
      <c r="H86" s="180"/>
      <c r="I86" s="161"/>
      <c r="J86" s="212"/>
      <c r="K86" s="152"/>
    </row>
    <row r="87" spans="2:11" ht="15.75" customHeight="1">
      <c r="B87" s="151"/>
      <c r="C87" s="188"/>
      <c r="D87" s="162"/>
      <c r="E87" s="209"/>
      <c r="F87" s="210"/>
      <c r="G87" s="211"/>
      <c r="H87" s="180"/>
      <c r="I87" s="161"/>
      <c r="J87" s="212"/>
      <c r="K87" s="152"/>
    </row>
    <row r="88" spans="2:11" ht="15.95" customHeight="1">
      <c r="B88" s="129"/>
      <c r="C88" s="173"/>
      <c r="D88" s="191"/>
      <c r="E88" s="192"/>
      <c r="F88" s="192"/>
      <c r="H88" s="184"/>
      <c r="I88" s="63"/>
      <c r="J88" s="213"/>
      <c r="K88" s="146"/>
    </row>
    <row r="89" spans="2:11" ht="15.95" customHeight="1">
      <c r="B89" s="129"/>
      <c r="C89" s="173"/>
      <c r="D89" s="191"/>
      <c r="E89" s="192"/>
      <c r="F89" s="192"/>
      <c r="H89" s="184"/>
      <c r="I89" s="63"/>
      <c r="J89" s="213"/>
      <c r="K89" s="146"/>
    </row>
    <row r="90" spans="2:11" ht="15.95" customHeight="1">
      <c r="B90" s="129"/>
      <c r="C90" s="173"/>
      <c r="D90" s="191"/>
      <c r="E90" s="192"/>
      <c r="F90" s="192"/>
      <c r="H90" s="184"/>
      <c r="I90" s="63"/>
      <c r="J90" s="213"/>
      <c r="K90" s="146"/>
    </row>
    <row r="91" spans="2:11" ht="15.95" customHeight="1" thickBot="1">
      <c r="B91" s="129"/>
      <c r="C91" s="173"/>
      <c r="D91" s="191"/>
      <c r="E91" s="192"/>
      <c r="F91" s="192"/>
      <c r="H91" s="184"/>
      <c r="I91" s="63"/>
      <c r="J91" s="213"/>
      <c r="K91" s="146"/>
    </row>
    <row r="92" spans="2:11" ht="15.95" customHeight="1">
      <c r="B92" s="129"/>
      <c r="C92" s="173"/>
      <c r="D92" s="191"/>
      <c r="E92" s="192"/>
      <c r="F92" s="192"/>
      <c r="H92" s="184"/>
      <c r="I92" s="228" t="s">
        <v>96</v>
      </c>
      <c r="J92" s="225"/>
      <c r="K92" s="226"/>
    </row>
    <row r="93" spans="2:11" ht="15.95" customHeight="1">
      <c r="B93" s="129"/>
      <c r="C93" s="173"/>
      <c r="D93" s="191"/>
      <c r="E93" s="192"/>
      <c r="F93" s="192"/>
      <c r="H93" s="184"/>
      <c r="I93" s="227"/>
      <c r="J93" s="213"/>
      <c r="K93" s="146"/>
    </row>
    <row r="94" spans="2:11" ht="15.95" customHeight="1">
      <c r="B94" s="129"/>
      <c r="C94" s="244" t="s">
        <v>88</v>
      </c>
      <c r="D94" s="244"/>
      <c r="E94" s="244"/>
      <c r="F94" s="162" t="s">
        <v>7</v>
      </c>
      <c r="G94" s="162" t="s">
        <v>7</v>
      </c>
      <c r="H94" s="49"/>
      <c r="I94" s="93"/>
      <c r="K94" s="111"/>
    </row>
    <row r="95" spans="2:11" ht="15.95" customHeight="1">
      <c r="B95" s="129"/>
      <c r="C95" s="244"/>
      <c r="D95" s="244"/>
      <c r="E95" s="244"/>
      <c r="F95" s="162"/>
      <c r="G95" s="162"/>
      <c r="H95" s="49"/>
      <c r="I95" s="93"/>
      <c r="K95" s="111"/>
    </row>
    <row r="96" spans="2:11" ht="15.95" customHeight="1">
      <c r="B96" s="129"/>
      <c r="C96" s="244"/>
      <c r="D96" s="244"/>
      <c r="E96" s="244"/>
      <c r="F96" s="162"/>
      <c r="G96" s="162"/>
      <c r="H96" s="49"/>
      <c r="I96" s="93"/>
      <c r="K96" s="111"/>
    </row>
    <row r="97" spans="2:11" ht="15.95" customHeight="1">
      <c r="B97" s="129"/>
      <c r="C97" s="173"/>
      <c r="D97" s="191"/>
      <c r="E97" s="192"/>
      <c r="H97" s="49"/>
      <c r="I97" s="93"/>
      <c r="K97" s="111"/>
    </row>
    <row r="98" spans="2:11" ht="15.95" customHeight="1">
      <c r="B98" s="129"/>
      <c r="C98" s="173"/>
      <c r="D98" s="191"/>
      <c r="E98" s="192"/>
      <c r="H98" s="49"/>
      <c r="I98" s="93"/>
      <c r="K98" s="111"/>
    </row>
    <row r="99" spans="2:11" ht="15.95" customHeight="1" thickBot="1">
      <c r="B99" s="131"/>
      <c r="C99" s="133"/>
      <c r="D99" s="134"/>
      <c r="E99" s="135"/>
      <c r="F99" s="136"/>
      <c r="G99" s="136"/>
      <c r="H99" s="138"/>
      <c r="I99" s="224"/>
      <c r="J99" s="136"/>
      <c r="K99" s="139"/>
    </row>
    <row r="100" spans="2:11" ht="15" customHeight="1"/>
    <row r="101" spans="2:11" ht="15" customHeight="1"/>
    <row r="102" spans="2:11" ht="15" customHeight="1"/>
    <row r="103" spans="2:11" ht="15" customHeight="1"/>
  </sheetData>
  <mergeCells count="9">
    <mergeCell ref="F29:G29"/>
    <mergeCell ref="C94:E96"/>
    <mergeCell ref="B2:K2"/>
    <mergeCell ref="K25:K26"/>
    <mergeCell ref="F25:F26"/>
    <mergeCell ref="G25:G26"/>
    <mergeCell ref="H25:H26"/>
    <mergeCell ref="I25:I26"/>
    <mergeCell ref="J25:J26"/>
  </mergeCells>
  <conditionalFormatting sqref="E26:E29 D88:D93 D97:D99">
    <cfRule type="cellIs" dxfId="1" priority="3" operator="lessThan">
      <formula>0</formula>
    </cfRule>
    <cfRule type="cellIs" dxfId="0" priority="4" operator="lessThan">
      <formula>0</formula>
    </cfRule>
  </conditionalFormatting>
  <printOptions horizontalCentered="1"/>
  <pageMargins left="0.25" right="0.25" top="0.75" bottom="0.75" header="0.3" footer="0.3"/>
  <pageSetup paperSize="9" scale="43" fitToWidth="0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</vt:lpstr>
      <vt:lpstr> CI</vt:lpstr>
      <vt:lpstr> PL</vt:lpstr>
      <vt:lpstr>' CI'!Print_Area</vt:lpstr>
      <vt:lpstr>' PL'!Print_Area</vt:lpstr>
      <vt:lpstr>CM!Print_Area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Paksia Lilla Ludviana Abdul(ZINUS GOC)</cp:lastModifiedBy>
  <cp:lastPrinted>2026-09-24T07:07:35Z</cp:lastPrinted>
  <dcterms:created xsi:type="dcterms:W3CDTF">2019-03-23T06:53:17Z</dcterms:created>
  <dcterms:modified xsi:type="dcterms:W3CDTF">2026-09-24T07:52:50Z</dcterms:modified>
</cp:coreProperties>
</file>