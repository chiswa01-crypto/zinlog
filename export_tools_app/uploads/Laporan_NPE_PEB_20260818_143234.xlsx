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  <numFmt numFmtId="179" formatCode="yyyy-mm-dd"/>
    <numFmt numFmtId="180" formatCode="dd-mm-yyyy"/>
  </numFmts>
  <fonts count="31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Calibri"/>
      <sz val="11"/>
    </font>
    <font>
      <name val="Calibri"/>
      <sz val="12"/>
    </font>
    <font>
      <name val="Calibri"/>
      <b val="1"/>
      <sz val="12"/>
    </font>
    <font>
      <name val="Times New Roman"/>
      <b val="1"/>
      <sz val="12"/>
    </font>
    <font>
      <name val="Times New Roman"/>
      <color rgb="00FFFFFF"/>
      <sz val="12"/>
    </font>
    <font>
      <name val="Times New Roman"/>
      <sz val="11"/>
    </font>
    <font>
      <name val="Times New Roman"/>
      <b val="1"/>
      <sz val="14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A6A6A6"/>
        <bgColor rgb="FFA6A6A6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double">
        <color rgb="00000000"/>
      </left>
      <top style="double">
        <color rgb="00000000"/>
      </top>
    </border>
    <border>
      <top style="double">
        <color rgb="00000000"/>
      </top>
    </border>
    <border>
      <right style="double">
        <color rgb="00000000"/>
      </right>
      <top style="double">
        <color rgb="00000000"/>
      </top>
    </border>
    <border>
      <left style="double">
        <color rgb="00000000"/>
      </left>
    </border>
    <border>
      <right style="double">
        <color rgb="00000000"/>
      </right>
    </border>
    <border>
      <left/>
      <right style="double">
        <color rgb="00000000"/>
      </right>
      <top/>
      <bottom/>
      <diagonal/>
    </border>
    <border>
      <left style="double">
        <color rgb="00000000"/>
      </left>
      <bottom style="double">
        <color rgb="00000000"/>
      </bottom>
    </border>
    <border>
      <bottom style="double">
        <color rgb="00000000"/>
      </bottom>
    </border>
    <border>
      <right style="double">
        <color rgb="00000000"/>
      </right>
      <bottom style="double">
        <color rgb="00000000"/>
      </bottom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285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0" fontId="24" fillId="0" borderId="30" applyAlignment="1" pivotButton="0" quotePrefix="0" xfId="0">
      <alignment horizontal="center" vertical="center"/>
    </xf>
    <xf numFmtId="180" fontId="24" fillId="0" borderId="30" applyAlignment="1" pivotButton="0" quotePrefix="0" xfId="0">
      <alignment horizontal="center" vertical="center"/>
    </xf>
    <xf numFmtId="3" fontId="24" fillId="0" borderId="30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4" fontId="24" fillId="0" borderId="30" applyAlignment="1" pivotButton="0" quotePrefix="0" xfId="0">
      <alignment horizontal="center" vertical="center"/>
    </xf>
    <xf numFmtId="166" fontId="24" fillId="0" borderId="30" applyAlignment="1" pivotButton="0" quotePrefix="0" xfId="0">
      <alignment horizontal="center" vertical="center"/>
    </xf>
    <xf numFmtId="172" fontId="24" fillId="0" borderId="30" applyAlignment="1" pivotButton="0" quotePrefix="0" xfId="0">
      <alignment horizontal="center" vertical="center"/>
    </xf>
    <xf numFmtId="168" fontId="24" fillId="0" borderId="30" applyAlignment="1" pivotButton="0" quotePrefix="0" xfId="0">
      <alignment horizontal="center" vertical="center"/>
    </xf>
    <xf numFmtId="0" fontId="26" fillId="6" borderId="30" applyAlignment="1" pivotButton="0" quotePrefix="0" xfId="0">
      <alignment horizontal="center" vertical="center"/>
    </xf>
    <xf numFmtId="3" fontId="26" fillId="6" borderId="30" applyAlignment="1" pivotButton="0" quotePrefix="0" xfId="0">
      <alignment horizontal="center" vertical="center"/>
    </xf>
    <xf numFmtId="4" fontId="26" fillId="6" borderId="30" applyAlignment="1" pivotButton="0" quotePrefix="0" xfId="0">
      <alignment horizontal="center" vertical="center"/>
    </xf>
    <xf numFmtId="172" fontId="26" fillId="6" borderId="30" applyAlignment="1" pivotButton="0" quotePrefix="0" xfId="0">
      <alignment horizontal="center" vertical="center"/>
    </xf>
    <xf numFmtId="168" fontId="26" fillId="6" borderId="30" applyAlignment="1" pivotButton="0" quotePrefix="0" xfId="0">
      <alignment horizontal="center" vertical="center"/>
    </xf>
    <xf numFmtId="1" fontId="27" fillId="0" borderId="31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3" fontId="27" fillId="0" borderId="31" applyAlignment="1" pivotButton="0" quotePrefix="0" xfId="0">
      <alignment horizontal="center" vertical="center"/>
    </xf>
    <xf numFmtId="4" fontId="27" fillId="0" borderId="31" applyAlignment="1" pivotButton="0" quotePrefix="0" xfId="0">
      <alignment horizontal="center" vertical="center"/>
    </xf>
    <xf numFmtId="172" fontId="27" fillId="0" borderId="31" applyAlignment="1" pivotButton="0" quotePrefix="0" xfId="0">
      <alignment horizontal="center" vertical="center"/>
    </xf>
    <xf numFmtId="168" fontId="27" fillId="0" borderId="31" applyAlignment="1" pivotButton="0" quotePrefix="0" xfId="0">
      <alignment horizontal="center" vertical="center"/>
    </xf>
    <xf numFmtId="41" fontId="9" fillId="0" borderId="0" applyAlignment="1" pivotButton="0" quotePrefix="0" xfId="4">
      <alignment vertical="center" wrapText="1"/>
    </xf>
    <xf numFmtId="0" fontId="28" fillId="7" borderId="0" applyAlignment="1" pivotButton="0" quotePrefix="0" xfId="0">
      <alignment horizontal="center" vertical="center"/>
    </xf>
    <xf numFmtId="3" fontId="27" fillId="7" borderId="0" applyAlignment="1" pivotButton="0" quotePrefix="0" xfId="0">
      <alignment horizontal="center" vertical="center"/>
    </xf>
    <xf numFmtId="0" fontId="28" fillId="8" borderId="0" applyAlignment="1" pivotButton="0" quotePrefix="0" xfId="0">
      <alignment horizontal="center" vertical="center"/>
    </xf>
    <xf numFmtId="0" fontId="27" fillId="8" borderId="0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29" fillId="0" borderId="0" applyAlignment="1" pivotButton="0" quotePrefix="0" xfId="0">
      <alignment horizontal="left" vertical="center"/>
    </xf>
    <xf numFmtId="0" fontId="30" fillId="0" borderId="35" pivotButton="0" quotePrefix="0" xfId="0"/>
    <xf numFmtId="173" fontId="30" fillId="0" borderId="36" applyAlignment="1" pivotButton="0" quotePrefix="0" xfId="0">
      <alignment horizontal="left" vertical="center"/>
    </xf>
    <xf numFmtId="0" fontId="0" fillId="0" borderId="37" pivotButton="0" quotePrefix="0" xfId="0"/>
    <xf numFmtId="174" fontId="30" fillId="0" borderId="36" applyAlignment="1" pivotButton="0" quotePrefix="0" xfId="0">
      <alignment horizontal="left" vertical="center"/>
    </xf>
    <xf numFmtId="175" fontId="30" fillId="0" borderId="36" applyAlignment="1" pivotButton="0" quotePrefix="0" xfId="0">
      <alignment horizontal="left" vertical="center"/>
    </xf>
    <xf numFmtId="176" fontId="30" fillId="0" borderId="36" applyAlignment="1" pivotButton="0" quotePrefix="0" xfId="0">
      <alignment horizontal="left" vertical="center"/>
    </xf>
    <xf numFmtId="0" fontId="0" fillId="0" borderId="35" pivotButton="0" quotePrefix="0" xfId="0"/>
    <xf numFmtId="177" fontId="30" fillId="0" borderId="36" applyAlignment="1" pivotButton="0" quotePrefix="0" xfId="0">
      <alignment horizontal="left" vertical="center"/>
    </xf>
    <xf numFmtId="178" fontId="30" fillId="0" borderId="36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tabSelected="1" zoomScale="50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G26" sqref="G26"/>
    </sheetView>
  </sheetViews>
  <sheetFormatPr baseColWidth="8" defaultColWidth="9.109375" defaultRowHeight="15.6"/>
  <cols>
    <col width="6.55" customWidth="1" style="17" min="1" max="1"/>
    <col width="34.11" customWidth="1" style="6" min="2" max="2"/>
    <col width="27.33" customWidth="1" style="3" min="3" max="4"/>
    <col width="16" customWidth="1" style="202" min="4" max="4"/>
    <col width="16.11" customWidth="1" style="4" min="5" max="5"/>
    <col width="27.66" customWidth="1" style="5" min="6" max="6"/>
    <col width="13.11" customWidth="1" style="5" min="7" max="7"/>
    <col width="13.55" customWidth="1" style="6" min="8" max="8"/>
    <col width="19.11" customWidth="1" style="6" min="9" max="9"/>
    <col width="5.66" customWidth="1" style="6" min="10" max="10"/>
    <col width="92.11" customWidth="1" style="203" min="11" max="11"/>
    <col width="63.44" customWidth="1" style="203" min="12" max="12"/>
    <col width="16.55" customWidth="1" style="203" min="13" max="13"/>
    <col width="21.55" customWidth="1" style="204" min="14" max="14"/>
    <col width="16.33" customWidth="1" style="205" min="15" max="16"/>
    <col width="16.33" customWidth="1" style="202" min="16" max="16"/>
    <col width="13.89" customWidth="1" style="206" min="17" max="17"/>
    <col width="20.33" customWidth="1" style="207" min="18" max="18"/>
    <col width="15.55" customWidth="1" style="208" min="19" max="19"/>
    <col width="28.44" customWidth="1" style="208" min="20" max="20"/>
    <col width="22.33" customWidth="1" style="209" min="21" max="21"/>
    <col width="18.66" customWidth="1" style="209" min="22" max="22"/>
    <col width="33.55" customWidth="1" style="209" min="23" max="23"/>
    <col width="64" customWidth="1" style="209" min="24" max="24"/>
    <col width="26.66" customWidth="1" style="209" min="25" max="25"/>
    <col width="22.55" customWidth="1" style="209" min="26" max="26"/>
    <col width="9.109375" customWidth="1" style="210" min="27" max="289"/>
    <col width="24.88671875" bestFit="1" customWidth="1" style="210" min="290" max="290"/>
    <col width="9.109375" customWidth="1" style="210" min="291" max="16384"/>
  </cols>
  <sheetData>
    <row r="1" hidden="1" ht="18" customHeight="1" s="202">
      <c r="A1" s="1" t="inlineStr">
        <is>
          <t>KEMENTERIAN KEUANGAN REPUBLIK INDONESIA</t>
        </is>
      </c>
      <c r="B1" s="2" t="n"/>
    </row>
    <row r="2" hidden="1" ht="18" customHeight="1" s="202">
      <c r="A2" s="1" t="inlineStr">
        <is>
          <t>DIREKTORAT JENDERAL BEA DAN CUKAI</t>
        </is>
      </c>
      <c r="B2" s="2" t="n"/>
    </row>
    <row r="3" hidden="1" ht="18" customHeight="1" s="202">
      <c r="A3" s="15" t="inlineStr">
        <is>
          <t>KANTOR WILAYAH DJBC BANTEN</t>
        </is>
      </c>
      <c r="B3" s="16" t="n"/>
    </row>
    <row r="4" hidden="1" ht="18" customHeight="1" s="202">
      <c r="A4" s="15" t="inlineStr">
        <is>
          <t>KANTOR PENGAWASAN DAN PELAYANAN BEA DAN CUKAI TIPE MADYA PABEAN A TANGERANG</t>
        </is>
      </c>
      <c r="B4" s="16" t="n"/>
    </row>
    <row r="5" ht="14.25" customHeight="1" s="202"/>
    <row r="6" ht="24.75" customHeight="1" s="202">
      <c r="A6" s="211" t="inlineStr">
        <is>
          <t>LAPORAN BULANAN  EKSPOR (BC 3.0)</t>
        </is>
      </c>
    </row>
    <row r="7" ht="24.75" customHeight="1" s="202">
      <c r="A7" s="211" t="inlineStr">
        <is>
          <t>PT. ZINUS DREAM INDONESIA</t>
        </is>
      </c>
    </row>
    <row r="8" ht="24.75" customHeight="1" s="202">
      <c r="A8" s="166" t="inlineStr">
        <is>
          <t>BULAN : AUGUST 2026</t>
        </is>
      </c>
    </row>
    <row r="9" ht="14.25" customHeight="1" s="202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12" t="n"/>
      <c r="L9" s="212" t="n"/>
      <c r="M9" s="212" t="n"/>
      <c r="N9" s="213" t="n"/>
      <c r="O9" s="214" t="n"/>
      <c r="P9" s="214" t="n"/>
      <c r="Q9" s="215" t="n"/>
      <c r="R9" s="216" t="n"/>
      <c r="S9" s="217" t="n"/>
      <c r="T9" s="217" t="n"/>
      <c r="U9" s="212" t="n"/>
      <c r="V9" s="212" t="n"/>
      <c r="W9" s="212" t="n"/>
      <c r="X9" s="212" t="n"/>
    </row>
    <row r="10" ht="20.1" customFormat="1" customHeight="1" s="218" thickBot="1">
      <c r="A10" s="219" t="inlineStr">
        <is>
          <t>NO</t>
        </is>
      </c>
      <c r="B10" s="220" t="inlineStr">
        <is>
          <t>NO AJU</t>
        </is>
      </c>
      <c r="C10" s="221" t="inlineStr">
        <is>
          <t>NOMOR</t>
        </is>
      </c>
      <c r="D10" s="222" t="n"/>
      <c r="E10" s="223" t="inlineStr">
        <is>
          <t>TANGGAL</t>
        </is>
      </c>
      <c r="F10" s="223" t="inlineStr">
        <is>
          <t>INVOICE</t>
        </is>
      </c>
      <c r="G10" s="224" t="inlineStr">
        <is>
          <t>TANGGAL INVOICE</t>
        </is>
      </c>
      <c r="H10" s="225" t="inlineStr">
        <is>
          <t>JUMLAH BARANG</t>
        </is>
      </c>
      <c r="I10" s="169" t="inlineStr">
        <is>
          <t>KONTAINER/SIZE</t>
        </is>
      </c>
      <c r="J10" s="226" t="n"/>
      <c r="K10" s="221" t="inlineStr">
        <is>
          <t>URAIAN JENIS BARANG</t>
        </is>
      </c>
      <c r="L10" s="223" t="inlineStr">
        <is>
          <t>SKU</t>
        </is>
      </c>
      <c r="M10" s="221" t="inlineStr">
        <is>
          <t>Nomor PO</t>
        </is>
      </c>
      <c r="N10" s="227" t="inlineStr">
        <is>
          <t>F-CODE</t>
        </is>
      </c>
      <c r="O10" s="228" t="inlineStr">
        <is>
          <t>BRUTO</t>
        </is>
      </c>
      <c r="P10" s="228" t="inlineStr">
        <is>
          <t>NETTO</t>
        </is>
      </c>
      <c r="Q10" s="229" t="inlineStr">
        <is>
          <t>UNIT PRICE</t>
        </is>
      </c>
      <c r="R10" s="230" t="inlineStr">
        <is>
          <t>FOB</t>
        </is>
      </c>
      <c r="S10" s="231" t="inlineStr">
        <is>
          <t>KURS</t>
        </is>
      </c>
      <c r="T10" s="231" t="inlineStr">
        <is>
          <t>IDR</t>
        </is>
      </c>
      <c r="U10" s="232" t="inlineStr">
        <is>
          <t>KANTOR PABEAN</t>
        </is>
      </c>
      <c r="V10" s="232" t="inlineStr">
        <is>
          <t>PELABUHAN</t>
        </is>
      </c>
      <c r="W10" s="232" t="inlineStr">
        <is>
          <t>NEGARA</t>
        </is>
      </c>
      <c r="X10" s="233" t="inlineStr">
        <is>
          <t>PENERIMA BARANG</t>
        </is>
      </c>
      <c r="Y10" s="233" t="inlineStr">
        <is>
          <t>NOMOR B/L / AWB</t>
        </is>
      </c>
      <c r="Z10" s="233" t="inlineStr">
        <is>
          <t>TANGGAL B/L</t>
        </is>
      </c>
    </row>
    <row r="11" ht="20.1" customFormat="1" customHeight="1" s="218" thickBot="1">
      <c r="A11" s="234" t="n"/>
      <c r="B11" s="234" t="n"/>
      <c r="C11" s="221" t="inlineStr">
        <is>
          <t xml:space="preserve">PEB </t>
        </is>
      </c>
      <c r="D11" s="35" t="inlineStr">
        <is>
          <t>NPE</t>
        </is>
      </c>
      <c r="E11" s="234" t="n"/>
      <c r="F11" s="234" t="n"/>
      <c r="G11" s="235" t="n"/>
      <c r="H11" s="236" t="n"/>
      <c r="I11" s="237" t="n"/>
      <c r="J11" s="238" t="n"/>
      <c r="K11" s="234" t="n"/>
      <c r="L11" s="234" t="n"/>
      <c r="M11" s="234" t="n"/>
      <c r="N11" s="234" t="n"/>
      <c r="O11" s="239" t="inlineStr">
        <is>
          <t>(KG)</t>
        </is>
      </c>
      <c r="P11" s="240" t="inlineStr">
        <is>
          <t>(KG)</t>
        </is>
      </c>
      <c r="Q11" s="234" t="n"/>
      <c r="R11" s="241" t="inlineStr">
        <is>
          <t>(USD)</t>
        </is>
      </c>
      <c r="S11" s="242" t="n"/>
      <c r="T11" s="242" t="n"/>
      <c r="U11" s="243" t="inlineStr">
        <is>
          <t>MUAT / EKSPOR</t>
        </is>
      </c>
      <c r="V11" s="243" t="inlineStr">
        <is>
          <t>MUAT</t>
        </is>
      </c>
      <c r="W11" s="243" t="inlineStr">
        <is>
          <t>TUJUAN</t>
        </is>
      </c>
      <c r="X11" s="234" t="n"/>
      <c r="Y11" s="234" t="n"/>
      <c r="Z11" s="234" t="n"/>
    </row>
    <row r="12" ht="16.5" customFormat="1" customHeight="1" s="244">
      <c r="A12" s="245" t="n">
        <v>1</v>
      </c>
      <c r="B12" s="245" t="inlineStr">
        <is>
          <t>000030ZIK48020260813000618</t>
        </is>
      </c>
      <c r="C12" s="245" t="n">
        <v>513093</v>
      </c>
      <c r="D12" s="245" t="n">
        <v>513041</v>
      </c>
      <c r="E12" s="246" t="n">
        <v>46248</v>
      </c>
      <c r="F12" s="245" t="inlineStr">
        <is>
          <t>ID2608-8122</t>
        </is>
      </c>
      <c r="G12" s="246" t="n">
        <v>46247</v>
      </c>
      <c r="H12" s="247" t="n">
        <v>693</v>
      </c>
      <c r="I12" s="245" t="inlineStr">
        <is>
          <t>ONEU1994640</t>
        </is>
      </c>
      <c r="J12" s="245" t="inlineStr">
        <is>
          <t>40FT</t>
        </is>
      </c>
      <c r="K12" s="245" t="inlineStr">
        <is>
          <t>8IN GREEN TEA MF MATTRESS TW</t>
        </is>
      </c>
      <c r="L12" s="245" t="inlineStr">
        <is>
          <t>SCF-STR-800T</t>
        </is>
      </c>
      <c r="M12" s="248" t="inlineStr">
        <is>
          <t>0993631052</t>
        </is>
      </c>
      <c r="N12" s="245" t="inlineStr">
        <is>
          <t>F.MFM.08T.000.WS</t>
        </is>
      </c>
      <c r="O12" s="249" t="n">
        <v>10526.67</v>
      </c>
      <c r="P12" s="249" t="n">
        <v>9140.67</v>
      </c>
      <c r="Q12" s="250">
        <f>R12/H12</f>
        <v/>
      </c>
      <c r="R12" s="251" t="n">
        <v>42619.5</v>
      </c>
      <c r="S12" s="249" t="n">
        <v>17960</v>
      </c>
      <c r="T12" s="252">
        <f>S12*R12</f>
        <v/>
      </c>
      <c r="U12" s="245" t="inlineStr">
        <is>
          <t>040300/KPPBC</t>
        </is>
      </c>
      <c r="V12" s="245" t="inlineStr">
        <is>
          <t>TG. PRIOK</t>
        </is>
      </c>
      <c r="W12" s="245" t="inlineStr">
        <is>
          <t>LOS ANGELES, US</t>
        </is>
      </c>
      <c r="X12" s="245" t="inlineStr">
        <is>
          <t>WALMART, INC.</t>
        </is>
      </c>
      <c r="Y12" s="245" t="inlineStr">
        <is>
          <t>ONEYJKTG69556502</t>
        </is>
      </c>
      <c r="Z12" s="246" t="n">
        <v>46248</v>
      </c>
    </row>
    <row r="13" ht="16.5" customFormat="1" customHeight="1" s="244">
      <c r="A13" s="245" t="n"/>
      <c r="B13" s="245" t="n"/>
      <c r="C13" s="245" t="n"/>
      <c r="D13" s="245" t="n"/>
      <c r="E13" s="245" t="n"/>
      <c r="F13" s="245" t="n"/>
      <c r="G13" s="245" t="n"/>
      <c r="H13" s="245" t="n"/>
      <c r="I13" s="245" t="n"/>
      <c r="J13" s="245" t="n"/>
      <c r="K13" s="245" t="n"/>
      <c r="L13" s="245" t="n"/>
      <c r="M13" s="245" t="n"/>
      <c r="N13" s="245" t="n"/>
      <c r="O13" s="245" t="n"/>
      <c r="P13" s="245" t="n"/>
      <c r="Q13" s="245" t="n"/>
      <c r="R13" s="245" t="n"/>
      <c r="S13" s="245" t="n"/>
      <c r="T13" s="245" t="n"/>
      <c r="U13" s="245" t="n"/>
      <c r="V13" s="245" t="n"/>
      <c r="W13" s="245" t="inlineStr">
        <is>
          <t>ETD : 19-08-2026</t>
        </is>
      </c>
      <c r="X13" s="245" t="n"/>
      <c r="Y13" s="245" t="n"/>
      <c r="Z13" s="245" t="n"/>
    </row>
    <row r="14" ht="17.1" customFormat="1" customHeight="1" s="244">
      <c r="A14" s="253" t="n"/>
      <c r="B14" s="253" t="n"/>
      <c r="C14" s="253" t="n"/>
      <c r="D14" s="253" t="n"/>
      <c r="E14" s="253" t="n"/>
      <c r="F14" s="253" t="n"/>
      <c r="G14" s="253" t="n"/>
      <c r="H14" s="254">
        <f>SUM(H12:H13)</f>
        <v/>
      </c>
      <c r="I14" s="253">
        <f>COUNTA(I12:I13)</f>
        <v/>
      </c>
      <c r="J14" s="253" t="n"/>
      <c r="K14" s="253" t="n"/>
      <c r="L14" s="253" t="n"/>
      <c r="M14" s="253" t="n"/>
      <c r="N14" s="253" t="n"/>
      <c r="O14" s="255">
        <f>SUM(O12:O13)</f>
        <v/>
      </c>
      <c r="P14" s="255">
        <f>SUM(P12:P13)</f>
        <v/>
      </c>
      <c r="Q14" s="253" t="n"/>
      <c r="R14" s="256">
        <f>SUM(R12:R13)</f>
        <v/>
      </c>
      <c r="S14" s="253" t="n"/>
      <c r="T14" s="257">
        <f>SUM(T12:T13)</f>
        <v/>
      </c>
      <c r="U14" s="253" t="n"/>
      <c r="V14" s="253" t="n"/>
      <c r="W14" s="253" t="n"/>
      <c r="X14" s="253" t="n"/>
      <c r="Y14" s="253" t="n"/>
      <c r="Z14" s="253" t="n"/>
    </row>
    <row r="15" ht="8.1" customFormat="1" customHeight="1" s="244"/>
    <row r="16" ht="20.1" customFormat="1" customHeight="1" s="244">
      <c r="A16" s="258">
        <f>COUNT(A12:A15)</f>
        <v/>
      </c>
      <c r="B16" s="259" t="n"/>
      <c r="C16" s="259" t="n"/>
      <c r="D16" s="259" t="n"/>
      <c r="E16" s="259" t="n"/>
      <c r="F16" s="259" t="n"/>
      <c r="G16" s="259" t="n"/>
      <c r="H16" s="260">
        <f>H14</f>
        <v/>
      </c>
      <c r="I16" s="260">
        <f>I14</f>
        <v/>
      </c>
      <c r="J16" s="259" t="n"/>
      <c r="K16" s="259" t="n"/>
      <c r="L16" s="259" t="n"/>
      <c r="M16" s="259" t="n"/>
      <c r="N16" s="259" t="n"/>
      <c r="O16" s="261">
        <f>O14</f>
        <v/>
      </c>
      <c r="P16" s="261">
        <f>P14</f>
        <v/>
      </c>
      <c r="Q16" s="259" t="n"/>
      <c r="R16" s="262">
        <f>R14</f>
        <v/>
      </c>
      <c r="S16" s="259" t="n"/>
      <c r="T16" s="263">
        <f>T14</f>
        <v/>
      </c>
      <c r="U16" s="259" t="n"/>
      <c r="V16" s="259" t="n"/>
      <c r="W16" s="259" t="n"/>
      <c r="X16" s="259" t="n"/>
      <c r="Y16" s="259" t="n"/>
      <c r="Z16" s="259" t="n"/>
    </row>
    <row r="17" ht="17.1" customFormat="1" customHeight="1" s="264"/>
    <row r="18" ht="17.1" customHeight="1" s="202" thickBot="1">
      <c r="B18" s="265" t="inlineStr">
        <is>
          <t>Total Qty Export :</t>
        </is>
      </c>
      <c r="C18" s="266">
        <f>H16-C19</f>
        <v/>
      </c>
    </row>
    <row r="19" ht="17.1" customFormat="1" customHeight="1" s="218" thickBot="1">
      <c r="B19" s="267" t="inlineStr">
        <is>
          <t>Total Qty Export Sample :</t>
        </is>
      </c>
      <c r="C19" s="268" t="inlineStr"/>
    </row>
    <row r="20" ht="17.1" customHeight="1" s="202"/>
    <row r="21" ht="17.1" customHeight="1" s="202">
      <c r="A21" s="269" t="n"/>
      <c r="B21" s="270" t="n"/>
      <c r="C21" s="270" t="n"/>
      <c r="D21" s="271" t="n"/>
      <c r="U21" s="272" t="inlineStr">
        <is>
          <t>Tangerang, 18 August 2026</t>
        </is>
      </c>
    </row>
    <row r="22" ht="17.1" customHeight="1" s="202">
      <c r="A22" s="273" t="inlineStr">
        <is>
          <t>Total Document</t>
        </is>
      </c>
      <c r="C22" s="274">
        <f>A16</f>
        <v/>
      </c>
      <c r="D22" s="275" t="n"/>
      <c r="U22" s="272" t="inlineStr">
        <is>
          <t>Kasubsi Hanggar Pabean dan Cukai</t>
        </is>
      </c>
    </row>
    <row r="23" ht="17.1" customHeight="1" s="202" thickBot="1">
      <c r="A23" s="273" t="inlineStr">
        <is>
          <t>Gross Weight</t>
        </is>
      </c>
      <c r="C23" s="276">
        <f>O16</f>
        <v/>
      </c>
      <c r="D23" s="275" t="n"/>
    </row>
    <row r="24" ht="17.1" customHeight="1" s="202" thickTop="1">
      <c r="A24" s="273" t="inlineStr">
        <is>
          <t>Nett Weight</t>
        </is>
      </c>
      <c r="C24" s="276">
        <f>P16</f>
        <v/>
      </c>
      <c r="D24" s="275" t="n"/>
    </row>
    <row r="25" ht="17.1" customHeight="1" s="202">
      <c r="A25" s="273" t="inlineStr">
        <is>
          <t>Amount</t>
        </is>
      </c>
      <c r="C25" s="277">
        <f>R16</f>
        <v/>
      </c>
      <c r="D25" s="275" t="n"/>
    </row>
    <row r="26" ht="17.1" customHeight="1" s="202">
      <c r="A26" s="273" t="inlineStr">
        <is>
          <t>Jumlah Container</t>
        </is>
      </c>
      <c r="C26" s="278">
        <f>I16-C27</f>
        <v/>
      </c>
      <c r="D26" s="275" t="n"/>
    </row>
    <row r="27" ht="17.1" customHeight="1" s="202">
      <c r="A27" s="279" t="n"/>
      <c r="C27" s="280" t="inlineStr"/>
      <c r="D27" s="275" t="n"/>
    </row>
    <row r="28" ht="17.1" customHeight="1" s="202">
      <c r="A28" s="279" t="n"/>
      <c r="C28" s="281">
        <f>C26*2+C27</f>
        <v/>
      </c>
      <c r="D28" s="275" t="n"/>
    </row>
    <row r="29" ht="16.2" customHeight="1" s="202">
      <c r="A29" s="282" t="n"/>
      <c r="B29" s="283" t="n"/>
      <c r="C29" s="283" t="n"/>
      <c r="D29" s="284" t="n"/>
    </row>
    <row r="30" ht="17.1" customHeight="1" s="202"/>
    <row r="31" ht="17.1" customHeight="1" s="202"/>
    <row r="32" ht="16.2" customHeight="1" s="202" thickBot="1"/>
    <row r="33" ht="16.2" customFormat="1" customHeight="1" s="17" thickTop="1"/>
  </sheetData>
  <autoFilter ref="A10:Z11">
    <filterColumn colId="2" hiddenButton="0" showButton="0"/>
    <filterColumn colId="8" hiddenButton="0" showButton="0"/>
  </autoFilter>
  <mergeCells count="26">
    <mergeCell ref="C24:D24"/>
    <mergeCell ref="C26:D26"/>
    <mergeCell ref="E10:E11"/>
    <mergeCell ref="G10:G11"/>
    <mergeCell ref="M10:M11"/>
    <mergeCell ref="Y10:Y11"/>
    <mergeCell ref="Q10:Q11"/>
    <mergeCell ref="C10:D10"/>
    <mergeCell ref="C25:D25"/>
    <mergeCell ref="I10:J11"/>
    <mergeCell ref="A6:Z6"/>
    <mergeCell ref="C22:D22"/>
    <mergeCell ref="B10:B11"/>
    <mergeCell ref="A7:Z7"/>
    <mergeCell ref="L10:L11"/>
    <mergeCell ref="X10:X11"/>
    <mergeCell ref="N10:N11"/>
    <mergeCell ref="Z10:Z11"/>
    <mergeCell ref="C27:D27"/>
    <mergeCell ref="A10:A11"/>
    <mergeCell ref="C23:D23"/>
    <mergeCell ref="K10:K11"/>
    <mergeCell ref="A8:Z8"/>
    <mergeCell ref="C28:D2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2026-08-18T07:32:34Z</dcterms:modified>
  <cp:lastModifiedBy>Chiswa Dian Hermansyah(ZINUS ZDI)</cp:lastModifiedBy>
</cp:coreProperties>
</file>