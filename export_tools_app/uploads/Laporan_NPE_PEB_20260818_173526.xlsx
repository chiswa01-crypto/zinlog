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000030ZIK48020260807000597</t>
        </is>
      </c>
      <c r="C12" s="245" t="n">
        <v>498987</v>
      </c>
      <c r="D12" s="245" t="n">
        <v>498939</v>
      </c>
      <c r="E12" s="246" t="n">
        <v>46244</v>
      </c>
      <c r="F12" s="245" t="inlineStr">
        <is>
          <t>ID2608-8077</t>
        </is>
      </c>
      <c r="G12" s="246" t="n">
        <v>46241</v>
      </c>
      <c r="H12" s="247" t="n">
        <v>900</v>
      </c>
      <c r="I12" s="245" t="inlineStr">
        <is>
          <t>SEKU4321234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0993630479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CHARLESTON, US</t>
        </is>
      </c>
      <c r="X12" s="245" t="inlineStr">
        <is>
          <t>WALMART, INC.</t>
        </is>
      </c>
      <c r="Y12" s="245" t="inlineStr">
        <is>
          <t>CMDUDJA1516054A</t>
        </is>
      </c>
      <c r="Z12" s="246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TLLU8305907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15-08-2026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000030ZIK48020260807000598</t>
        </is>
      </c>
      <c r="C15" s="245" t="n">
        <v>498919</v>
      </c>
      <c r="D15" s="245" t="n">
        <v>498871</v>
      </c>
      <c r="E15" s="246" t="n">
        <v>46244</v>
      </c>
      <c r="F15" s="245" t="inlineStr">
        <is>
          <t>ID2608-8078</t>
        </is>
      </c>
      <c r="G15" s="246" t="n">
        <v>46241</v>
      </c>
      <c r="H15" s="247" t="n">
        <v>693</v>
      </c>
      <c r="I15" s="245" t="inlineStr">
        <is>
          <t>FSCU8648880</t>
        </is>
      </c>
      <c r="J15" s="245" t="inlineStr">
        <is>
          <t>40FT</t>
        </is>
      </c>
      <c r="K15" s="245" t="inlineStr">
        <is>
          <t>8IN GREEN TEA MF MATTRESS TW</t>
        </is>
      </c>
      <c r="L15" s="245" t="inlineStr">
        <is>
          <t>SCF-STR-800T</t>
        </is>
      </c>
      <c r="M15" s="248" t="inlineStr">
        <is>
          <t>0993631104</t>
        </is>
      </c>
      <c r="N15" s="245" t="inlineStr">
        <is>
          <t>F.MFM.08T.000.WS</t>
        </is>
      </c>
      <c r="O15" s="249" t="n">
        <v>10526.67</v>
      </c>
      <c r="P15" s="249" t="n">
        <v>9140.67</v>
      </c>
      <c r="Q15" s="250">
        <f>R15/H15</f>
        <v/>
      </c>
      <c r="R15" s="251" t="n">
        <v>42619.5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CHARLESTON, US</t>
        </is>
      </c>
      <c r="X15" s="245" t="inlineStr">
        <is>
          <t>WALMART, INC.</t>
        </is>
      </c>
      <c r="Y15" s="245" t="inlineStr">
        <is>
          <t>CMDUDJA1516054B</t>
        </is>
      </c>
      <c r="Z15" s="246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n"/>
      <c r="J16" s="245" t="n"/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15-08-2026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16.5" customHeight="1" s="202" thickBot="1">
      <c r="A18" s="245" t="n">
        <v>3</v>
      </c>
      <c r="B18" s="245" t="inlineStr">
        <is>
          <t>000030ZIK48020260807000599</t>
        </is>
      </c>
      <c r="C18" s="245" t="n">
        <v>498945</v>
      </c>
      <c r="D18" s="245" t="n">
        <v>498897</v>
      </c>
      <c r="E18" s="246" t="n">
        <v>46244</v>
      </c>
      <c r="F18" s="245" t="inlineStr">
        <is>
          <t>ID2608-8079</t>
        </is>
      </c>
      <c r="G18" s="246" t="n">
        <v>46241</v>
      </c>
      <c r="H18" s="247" t="n">
        <v>520</v>
      </c>
      <c r="I18" s="245" t="inlineStr">
        <is>
          <t>TCKU6042513</t>
        </is>
      </c>
      <c r="J18" s="245" t="inlineStr">
        <is>
          <t>40FT</t>
        </is>
      </c>
      <c r="K18" s="245" t="inlineStr">
        <is>
          <t>8IN GREEN TEA MF MATTRESS FL</t>
        </is>
      </c>
      <c r="L18" s="245" t="inlineStr">
        <is>
          <t>SCF-STR-800F</t>
        </is>
      </c>
      <c r="M18" s="248" t="inlineStr">
        <is>
          <t>0993630748</t>
        </is>
      </c>
      <c r="N18" s="245" t="inlineStr">
        <is>
          <t>F.MFM.08F.000.WS</t>
        </is>
      </c>
      <c r="O18" s="249" t="n">
        <v>10618.4</v>
      </c>
      <c r="P18" s="249" t="n">
        <v>9370.4</v>
      </c>
      <c r="Q18" s="250">
        <f>R18/H18</f>
        <v/>
      </c>
      <c r="R18" s="251" t="n">
        <v>41480.4</v>
      </c>
      <c r="S18" s="249" t="n">
        <v>18062</v>
      </c>
      <c r="T18" s="252">
        <f>S18*R18</f>
        <v/>
      </c>
      <c r="U18" s="245" t="inlineStr">
        <is>
          <t>040300/KPPBC</t>
        </is>
      </c>
      <c r="V18" s="245" t="inlineStr">
        <is>
          <t>TG. PRIOK</t>
        </is>
      </c>
      <c r="W18" s="245" t="inlineStr">
        <is>
          <t>CHARLESTON, US</t>
        </is>
      </c>
      <c r="X18" s="245" t="inlineStr">
        <is>
          <t>WALMART, INC.</t>
        </is>
      </c>
      <c r="Y18" s="245" t="inlineStr">
        <is>
          <t>CMDUDJA1516054C</t>
        </is>
      </c>
      <c r="Z18" s="246" t="n">
        <v>46244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inlineStr">
        <is>
          <t>ETD : 15-08-2026</t>
        </is>
      </c>
      <c r="X19" s="245" t="n"/>
      <c r="Y19" s="245" t="n"/>
      <c r="Z19" s="245" t="n"/>
    </row>
    <row r="20" ht="17.1" customHeight="1" s="202">
      <c r="A20" s="253" t="n"/>
      <c r="B20" s="253" t="n"/>
      <c r="C20" s="253" t="n"/>
      <c r="D20" s="253" t="n"/>
      <c r="E20" s="253" t="n"/>
      <c r="F20" s="253" t="n"/>
      <c r="G20" s="253" t="n"/>
      <c r="H20" s="254">
        <f>SUM(H18:H19)</f>
        <v/>
      </c>
      <c r="I20" s="253">
        <f>COUNTA(I18:I19)</f>
        <v/>
      </c>
      <c r="J20" s="253" t="n"/>
      <c r="K20" s="253" t="n"/>
      <c r="L20" s="253" t="n"/>
      <c r="M20" s="253" t="n"/>
      <c r="N20" s="253" t="n"/>
      <c r="O20" s="255">
        <f>SUM(O18:O19)</f>
        <v/>
      </c>
      <c r="P20" s="255">
        <f>SUM(P18:P19)</f>
        <v/>
      </c>
      <c r="Q20" s="253" t="n"/>
      <c r="R20" s="256">
        <f>SUM(R18:R19)</f>
        <v/>
      </c>
      <c r="S20" s="253" t="n"/>
      <c r="T20" s="257">
        <f>SUM(T18:T19)</f>
        <v/>
      </c>
      <c r="U20" s="253" t="n"/>
      <c r="V20" s="253" t="n"/>
      <c r="W20" s="253" t="n"/>
      <c r="X20" s="253" t="n"/>
      <c r="Y20" s="253" t="n"/>
      <c r="Z20" s="253" t="n"/>
    </row>
    <row r="21" ht="8.1" customHeight="1" s="202"/>
    <row r="22" ht="20.1" customHeight="1" s="202">
      <c r="A22" s="259">
        <f>COUNT(A12:A21)</f>
        <v/>
      </c>
      <c r="B22" s="260" t="n"/>
      <c r="C22" s="260" t="n"/>
      <c r="D22" s="260" t="n"/>
      <c r="E22" s="260" t="n"/>
      <c r="F22" s="260" t="n"/>
      <c r="G22" s="260" t="n"/>
      <c r="H22" s="261">
        <f>SUM(H14,H17,H20)</f>
        <v/>
      </c>
      <c r="I22" s="261">
        <f>SUM(I14,I17,I20)</f>
        <v/>
      </c>
      <c r="J22" s="260" t="n"/>
      <c r="K22" s="260" t="n"/>
      <c r="L22" s="260" t="n"/>
      <c r="M22" s="260" t="n"/>
      <c r="N22" s="260" t="n"/>
      <c r="O22" s="262">
        <f>SUM(O14,O17,O20)</f>
        <v/>
      </c>
      <c r="P22" s="262">
        <f>SUM(P14,P17,P20)</f>
        <v/>
      </c>
      <c r="Q22" s="260" t="n"/>
      <c r="R22" s="263">
        <f>SUM(R14,R17,R20)</f>
        <v/>
      </c>
      <c r="S22" s="260" t="n"/>
      <c r="T22" s="264">
        <f>SUM(T14,T17,T20)</f>
        <v/>
      </c>
      <c r="U22" s="260" t="n"/>
      <c r="V22" s="260" t="n"/>
      <c r="W22" s="260" t="n"/>
      <c r="X22" s="260" t="n"/>
      <c r="Y22" s="260" t="n"/>
      <c r="Z22" s="260" t="n"/>
    </row>
    <row r="23" ht="17.1" customHeight="1" s="202" thickBot="1"/>
    <row r="24" ht="17.1" customHeight="1" s="202" thickTop="1">
      <c r="B24" s="265" t="inlineStr">
        <is>
          <t>Total Qty Export :</t>
        </is>
      </c>
      <c r="C24" s="266">
        <f>H22-C25</f>
        <v/>
      </c>
    </row>
    <row r="25" ht="17.1" customHeight="1" s="202">
      <c r="B25" s="267" t="inlineStr">
        <is>
          <t>Total Qty Export Sample :</t>
        </is>
      </c>
      <c r="C25" s="268" t="inlineStr"/>
    </row>
    <row r="26" ht="17.1" customHeight="1" s="202"/>
    <row r="27" ht="17.1" customHeight="1" s="202">
      <c r="A27" s="269" t="n"/>
      <c r="B27" s="270" t="n"/>
      <c r="C27" s="270" t="n"/>
      <c r="D27" s="271" t="n"/>
      <c r="U27" s="272" t="inlineStr">
        <is>
          <t>Tangerang, 18 August 2026</t>
        </is>
      </c>
    </row>
    <row r="28" ht="17.1" customHeight="1" s="202">
      <c r="A28" s="273" t="inlineStr">
        <is>
          <t>Total Document</t>
        </is>
      </c>
      <c r="C28" s="274">
        <f>A22</f>
        <v/>
      </c>
      <c r="D28" s="275" t="n"/>
      <c r="U28" s="272" t="inlineStr">
        <is>
          <t>Kasubsi Hanggar Pabean dan Cukai</t>
        </is>
      </c>
    </row>
    <row r="29" ht="17.1" customHeight="1" s="202">
      <c r="A29" s="273" t="inlineStr">
        <is>
          <t>Gross Weight</t>
        </is>
      </c>
      <c r="C29" s="276">
        <f>O22</f>
        <v/>
      </c>
      <c r="D29" s="275" t="n"/>
    </row>
    <row r="30" ht="17.1" customHeight="1" s="202">
      <c r="A30" s="273" t="inlineStr">
        <is>
          <t>Nett Weight</t>
        </is>
      </c>
      <c r="C30" s="276">
        <f>P22</f>
        <v/>
      </c>
      <c r="D30" s="275" t="n"/>
    </row>
    <row r="31" ht="17.1" customHeight="1" s="202">
      <c r="A31" s="273" t="inlineStr">
        <is>
          <t>Amount</t>
        </is>
      </c>
      <c r="C31" s="277">
        <f>R22</f>
        <v/>
      </c>
      <c r="D31" s="275" t="n"/>
    </row>
    <row r="32" ht="17.1" customHeight="1" s="202" thickBot="1">
      <c r="A32" s="273" t="inlineStr">
        <is>
          <t>Jumlah Container</t>
        </is>
      </c>
      <c r="C32" s="278">
        <f>I22-C33</f>
        <v/>
      </c>
      <c r="D32" s="275" t="n"/>
    </row>
    <row r="33" ht="17.1" customFormat="1" customHeight="1" s="17" thickTop="1">
      <c r="A33" s="279" t="n"/>
      <c r="C33" s="280" t="inlineStr"/>
      <c r="D33" s="275" t="n"/>
    </row>
    <row r="34" ht="17.1" customHeight="1" s="202">
      <c r="A34" s="279" t="n"/>
      <c r="C34" s="281">
        <f>C32*2+C33</f>
        <v/>
      </c>
      <c r="D34" s="275" t="n"/>
    </row>
    <row r="35" ht="16.2" customHeight="1" s="202">
      <c r="A35" s="282" t="n"/>
      <c r="B35" s="283" t="n"/>
      <c r="C35" s="283" t="n"/>
      <c r="D35" s="28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0:D30"/>
    <mergeCell ref="C33:D33"/>
    <mergeCell ref="E10:E11"/>
    <mergeCell ref="G10:G11"/>
    <mergeCell ref="M10:M11"/>
    <mergeCell ref="Y10:Y11"/>
    <mergeCell ref="Q10:Q11"/>
    <mergeCell ref="C29:D29"/>
    <mergeCell ref="C10:D10"/>
    <mergeCell ref="I10:J11"/>
    <mergeCell ref="A6:Z6"/>
    <mergeCell ref="B10:B11"/>
    <mergeCell ref="C31:D31"/>
    <mergeCell ref="A7:Z7"/>
    <mergeCell ref="L10:L11"/>
    <mergeCell ref="X10:X11"/>
    <mergeCell ref="N10:N11"/>
    <mergeCell ref="Z10:Z11"/>
    <mergeCell ref="A10:A11"/>
    <mergeCell ref="K10:K11"/>
    <mergeCell ref="C32:D32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2026-08-18T10:35:27Z</dcterms:modified>
  <cp:lastModifiedBy>Chiswa Dian Hermansyah(ZINUS ZDI)</cp:lastModifiedBy>
</cp:coreProperties>
</file>