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49" fontId="9" fillId="2" borderId="15" applyAlignment="1" pivotButton="0" quotePrefix="1" xfId="4">
      <alignment horizontal="center" vertical="center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1" xfId="4">
      <alignment horizontal="center" vertical="center"/>
    </xf>
    <xf numFmtId="0" fontId="9" fillId="2" borderId="15" applyAlignment="1" pivotButton="0" quotePrefix="1" xfId="4">
      <alignment horizontal="center" vertical="center"/>
    </xf>
    <xf numFmtId="0" fontId="9" fillId="2" borderId="16" applyAlignment="1" pivotButton="0" quotePrefix="1" xfId="4">
      <alignment horizontal="center"/>
    </xf>
    <xf numFmtId="0" fontId="9" fillId="2" borderId="15" applyAlignment="1" pivotButton="0" quotePrefix="0" xfId="4">
      <alignment horizontal="center" vertical="center"/>
    </xf>
    <xf numFmtId="14" fontId="13" fillId="2" borderId="15" applyAlignment="1" pivotButton="0" quotePrefix="0" xfId="4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9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9">
      <alignment horizontal="center" vertical="center"/>
    </xf>
    <xf numFmtId="0" fontId="9" fillId="2" borderId="15" applyAlignment="1" pivotButton="0" quotePrefix="0" xfId="9">
      <alignment horizontal="center" vertical="center" wrapText="1"/>
    </xf>
    <xf numFmtId="0" fontId="9" fillId="2" borderId="15" applyAlignment="1" pivotButton="0" quotePrefix="0" xfId="9">
      <alignment horizont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41" fontId="3" fillId="0" borderId="0" applyAlignment="1" pivotButton="0" quotePrefix="1" xfId="4">
      <alignment horizontal="center" vertical="center"/>
    </xf>
    <xf numFmtId="167" fontId="3" fillId="0" borderId="0" applyAlignment="1" pivotButton="0" quotePrefix="0" xfId="3">
      <alignment horizontal="left" vertical="center"/>
    </xf>
    <xf numFmtId="168" fontId="3" fillId="0" borderId="0" applyAlignment="1" pivotButton="0" quotePrefix="0" xfId="3">
      <alignment horizontal="left" vertical="center"/>
    </xf>
    <xf numFmtId="49" fontId="24" fillId="6" borderId="20" applyAlignment="1" pivotButton="0" quotePrefix="1" xfId="4">
      <alignment horizontal="left" vertical="center"/>
    </xf>
    <xf numFmtId="164" fontId="25" fillId="6" borderId="20" applyAlignment="1" pivotButton="0" quotePrefix="1" xfId="4">
      <alignment horizontal="right" vertical="center"/>
    </xf>
    <xf numFmtId="41" fontId="4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9" fontId="24" fillId="0" borderId="0" applyAlignment="1" pivotButton="0" quotePrefix="1" xfId="4">
      <alignment horizontal="left" vertical="center"/>
    </xf>
    <xf numFmtId="177" fontId="25" fillId="0" borderId="23" applyAlignment="1" pivotButton="0" quotePrefix="0" xfId="4">
      <alignment horizontal="righ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0" fontId="24" fillId="0" borderId="0" applyAlignment="1" pivotButton="0" quotePrefix="0" xfId="4">
      <alignment horizontal="left" vertical="center"/>
    </xf>
    <xf numFmtId="1" fontId="25" fillId="0" borderId="22" applyAlignment="1" pivotButton="0" quotePrefix="0" xfId="4">
      <alignment vertical="center"/>
    </xf>
    <xf numFmtId="173" fontId="25" fillId="0" borderId="23" applyAlignment="1" pivotButton="0" quotePrefix="0" xfId="4">
      <alignment horizontal="left" vertical="center"/>
    </xf>
    <xf numFmtId="4" fontId="24" fillId="0" borderId="0" applyAlignment="1" pivotButton="0" quotePrefix="0" xfId="4">
      <alignment horizontal="left" vertical="center"/>
    </xf>
    <xf numFmtId="174" fontId="25" fillId="0" borderId="23" applyAlignment="1" pivotButton="0" quotePrefix="0" xfId="4">
      <alignment horizontal="left" vertical="center"/>
    </xf>
    <xf numFmtId="175" fontId="25" fillId="0" borderId="23" applyAlignment="1" pivotButton="0" quotePrefix="0" xfId="4">
      <alignment horizontal="left" vertical="center"/>
    </xf>
    <xf numFmtId="1" fontId="25" fillId="0" borderId="22" applyAlignment="1" pivotButton="0" quotePrefix="0" xfId="4">
      <alignment horizontal="center" vertical="center"/>
    </xf>
    <xf numFmtId="176" fontId="25" fillId="0" borderId="23" applyAlignment="1" pivotButton="0" quotePrefix="0" xfId="4">
      <alignment horizontal="left" vertical="center"/>
    </xf>
    <xf numFmtId="1" fontId="25" fillId="0" borderId="24" applyAlignment="1" pivotButton="0" quotePrefix="0" xfId="4">
      <alignment horizontal="center" vertical="center"/>
    </xf>
    <xf numFmtId="164" fontId="25" fillId="0" borderId="25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000030ZIK48020260805000569</t>
        </is>
      </c>
      <c r="C12" s="81" t="n">
        <v>490284</v>
      </c>
      <c r="D12" s="81" t="n">
        <v>490223</v>
      </c>
      <c r="E12" s="258" t="n">
        <v>46240</v>
      </c>
      <c r="F12" s="82" t="inlineStr">
        <is>
          <t>ID2608-8037</t>
        </is>
      </c>
      <c r="G12" s="258" t="n">
        <v>46239</v>
      </c>
      <c r="H12" s="83" t="n">
        <v>900</v>
      </c>
      <c r="I12" s="42" t="inlineStr">
        <is>
          <t>ONEU0943340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QN</t>
        </is>
      </c>
      <c r="M12" s="85" t="inlineStr"/>
      <c r="N12" s="44" t="inlineStr">
        <is>
          <t>F.MFM.08Q.000.WS</t>
        </is>
      </c>
      <c r="O12" s="86" t="n">
        <v>21510</v>
      </c>
      <c r="P12" s="86" t="n">
        <v>19188</v>
      </c>
      <c r="Q12" s="259">
        <f>IFERROR(R12/H12, 0)</f>
        <v/>
      </c>
      <c r="R12" s="260" t="n">
        <v>84573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MOBILE, US</t>
        </is>
      </c>
      <c r="X12" s="51" t="inlineStr">
        <is>
          <t>WALMART, INC.</t>
        </is>
      </c>
      <c r="Y12" s="52" t="inlineStr">
        <is>
          <t>ONEYJKTG63665700</t>
        </is>
      </c>
      <c r="Z12" s="258" t="n">
        <v>46240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ONEU5894613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12-08-2026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 t="n">
        <v>2</v>
      </c>
      <c r="B15" s="80" t="inlineStr">
        <is>
          <t>000030ZIK48020260805000570</t>
        </is>
      </c>
      <c r="C15" s="81" t="n">
        <v>490466</v>
      </c>
      <c r="D15" s="81" t="n">
        <v>490405</v>
      </c>
      <c r="E15" s="258" t="n">
        <v>46240</v>
      </c>
      <c r="F15" s="82" t="inlineStr">
        <is>
          <t>ID2608-8038</t>
        </is>
      </c>
      <c r="G15" s="258" t="n">
        <v>46239</v>
      </c>
      <c r="H15" s="83" t="n">
        <v>520</v>
      </c>
      <c r="I15" s="42" t="inlineStr">
        <is>
          <t>ONEU6596470</t>
        </is>
      </c>
      <c r="J15" s="42" t="inlineStr">
        <is>
          <t>40FT</t>
        </is>
      </c>
      <c r="K15" s="44" t="inlineStr">
        <is>
          <t>8IN GREEN TEA MF MATTRESS FL</t>
        </is>
      </c>
      <c r="L15" s="84" t="inlineStr">
        <is>
          <t>FL</t>
        </is>
      </c>
      <c r="M15" s="85" t="inlineStr"/>
      <c r="N15" s="44" t="inlineStr">
        <is>
          <t>F.MFM.08F.000.WS</t>
        </is>
      </c>
      <c r="O15" s="86" t="n">
        <v>10618.4</v>
      </c>
      <c r="P15" s="86" t="n">
        <v>9370.4</v>
      </c>
      <c r="Q15" s="259">
        <f>IFERROR(R15/H15, 0)</f>
        <v/>
      </c>
      <c r="R15" s="260" t="n">
        <v>41480.4</v>
      </c>
      <c r="S15" s="261" t="n">
        <v>18056</v>
      </c>
      <c r="T15" s="261">
        <f>IFERROR(S15*R15, 0)</f>
        <v/>
      </c>
      <c r="U15" s="48" t="inlineStr">
        <is>
          <t>040300/KPPBC</t>
        </is>
      </c>
      <c r="V15" s="49" t="inlineStr">
        <is>
          <t>TG. PRIOK</t>
        </is>
      </c>
      <c r="W15" s="50" t="inlineStr">
        <is>
          <t>MOBILE, US</t>
        </is>
      </c>
      <c r="X15" s="51" t="inlineStr">
        <is>
          <t>WALMART, INC.</t>
        </is>
      </c>
      <c r="Y15" s="52" t="inlineStr">
        <is>
          <t>ONEYJKTG63665701</t>
        </is>
      </c>
      <c r="Z15" s="258" t="n">
        <v>46240</v>
      </c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/>
      <c r="I16" s="42" t="n"/>
      <c r="J16" s="42" t="n"/>
      <c r="K16" s="44" t="n"/>
      <c r="L16" s="84" t="n"/>
      <c r="M16" s="85" t="n"/>
      <c r="N16" s="44" t="n"/>
      <c r="O16" s="86" t="n"/>
      <c r="P16" s="86" t="n"/>
      <c r="Q16" s="259" t="n"/>
      <c r="R16" s="260" t="n"/>
      <c r="S16" s="261" t="n"/>
      <c r="T16" s="261" t="n"/>
      <c r="U16" s="48" t="n"/>
      <c r="V16" s="49" t="n"/>
      <c r="W16" s="50" t="inlineStr">
        <is>
          <t>ETD : 12-08-2026</t>
        </is>
      </c>
      <c r="X16" s="51" t="n"/>
      <c r="Y16" s="52" t="n"/>
      <c r="Z16" s="258" t="n"/>
    </row>
    <row r="17" ht="17.1" customFormat="1" customHeight="1" s="273">
      <c r="A17" s="64" t="n"/>
      <c r="B17" s="65" t="n"/>
      <c r="C17" s="66" t="n"/>
      <c r="D17" s="66" t="n"/>
      <c r="E17" s="67" t="n"/>
      <c r="F17" s="67" t="n"/>
      <c r="G17" s="67" t="n"/>
      <c r="H17" s="68">
        <f>SUM(H15:H16)</f>
        <v/>
      </c>
      <c r="I17" s="69">
        <f>COUNTA(I15:I16)</f>
        <v/>
      </c>
      <c r="J17" s="68" t="n"/>
      <c r="K17" s="68" t="n"/>
      <c r="L17" s="70" t="n"/>
      <c r="M17" s="68" t="n"/>
      <c r="N17" s="68" t="n"/>
      <c r="O17" s="267">
        <f>SUM(O15:O16)</f>
        <v/>
      </c>
      <c r="P17" s="267">
        <f>SUM(P15:P16)</f>
        <v/>
      </c>
      <c r="Q17" s="268" t="n"/>
      <c r="R17" s="269">
        <f>SUM(R15:R16)</f>
        <v/>
      </c>
      <c r="S17" s="270" t="n"/>
      <c r="T17" s="270">
        <f>SUM(T15:T16)</f>
        <v/>
      </c>
      <c r="U17" s="68" t="n"/>
      <c r="V17" s="75" t="n"/>
      <c r="W17" s="76" t="n"/>
      <c r="X17" s="77" t="n"/>
      <c r="Y17" s="77" t="n"/>
      <c r="Z17" s="77" t="n"/>
    </row>
    <row r="18" ht="16.5" customFormat="1" customHeight="1" s="257">
      <c r="A18" s="79" t="n">
        <v>3</v>
      </c>
      <c r="B18" s="80" t="inlineStr">
        <is>
          <t>000030ZIK48020260805000571</t>
        </is>
      </c>
      <c r="C18" s="81" t="n">
        <v>490062</v>
      </c>
      <c r="D18" s="81" t="n">
        <v>490002</v>
      </c>
      <c r="E18" s="258" t="n">
        <v>46240</v>
      </c>
      <c r="F18" s="82" t="inlineStr">
        <is>
          <t>ID2608-8042</t>
        </is>
      </c>
      <c r="G18" s="258" t="n">
        <v>46239</v>
      </c>
      <c r="H18" s="83" t="n">
        <v>42</v>
      </c>
      <c r="I18" s="42" t="inlineStr">
        <is>
          <t>NYKU5109082</t>
        </is>
      </c>
      <c r="J18" s="42" t="inlineStr">
        <is>
          <t>40FT</t>
        </is>
      </c>
      <c r="K18" s="44" t="inlineStr">
        <is>
          <t>10IN MEDIUM MFM FL</t>
        </is>
      </c>
      <c r="L18" s="84" t="inlineStr">
        <is>
          <t>FL</t>
        </is>
      </c>
      <c r="M18" s="85" t="inlineStr"/>
      <c r="N18" s="44" t="inlineStr">
        <is>
          <t>F.MFM.10F.005.BU</t>
        </is>
      </c>
      <c r="O18" s="86" t="n">
        <v>12421.9</v>
      </c>
      <c r="P18" s="86" t="n">
        <v>11283.9</v>
      </c>
      <c r="Q18" s="259">
        <f>IFERROR(R18/H18, 0)</f>
        <v/>
      </c>
      <c r="R18" s="260" t="n">
        <v>2535.96</v>
      </c>
      <c r="S18" s="261" t="n">
        <v>18056</v>
      </c>
      <c r="T18" s="261">
        <f>IFERROR(S18*R18, 0)</f>
        <v/>
      </c>
      <c r="U18" s="48" t="inlineStr">
        <is>
          <t>040300/KPPBC</t>
        </is>
      </c>
      <c r="V18" s="49" t="inlineStr">
        <is>
          <t>TG. PRIOK</t>
        </is>
      </c>
      <c r="W18" s="50" t="inlineStr">
        <is>
          <t>TACOMA, US</t>
        </is>
      </c>
      <c r="X18" s="51" t="inlineStr">
        <is>
          <t>MELLOW INC</t>
        </is>
      </c>
      <c r="Y18" s="52" t="inlineStr">
        <is>
          <t>ONEYJKTG57219500</t>
        </is>
      </c>
      <c r="Z18" s="258" t="n">
        <v>46240</v>
      </c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142</v>
      </c>
      <c r="I19" s="42" t="inlineStr"/>
      <c r="J19" s="42" t="inlineStr"/>
      <c r="K19" s="44" t="inlineStr">
        <is>
          <t>10IN MEDIUM MFM QN</t>
        </is>
      </c>
      <c r="L19" s="84" t="inlineStr">
        <is>
          <t>QN</t>
        </is>
      </c>
      <c r="M19" s="85" t="inlineStr"/>
      <c r="N19" s="44" t="inlineStr">
        <is>
          <t>F.MFM.10Q.005.BU</t>
        </is>
      </c>
      <c r="O19" s="86" t="n"/>
      <c r="P19" s="86" t="n"/>
      <c r="Q19" s="259">
        <f>IFERROR(R19/H19, 0)</f>
        <v/>
      </c>
      <c r="R19" s="260" t="n">
        <v>10161.52</v>
      </c>
      <c r="S19" s="261" t="n">
        <v>18056</v>
      </c>
      <c r="T19" s="261">
        <f>IFERROR(S19*R19, 0)</f>
        <v/>
      </c>
      <c r="U19" s="48" t="n"/>
      <c r="V19" s="49" t="n"/>
      <c r="W19" s="50" t="inlineStr">
        <is>
          <t>ETD : 12-08-2026</t>
        </is>
      </c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102</v>
      </c>
      <c r="I20" s="42" t="inlineStr"/>
      <c r="J20" s="42" t="inlineStr"/>
      <c r="K20" s="44" t="inlineStr">
        <is>
          <t>10IN MEDIUM MFM TW</t>
        </is>
      </c>
      <c r="L20" s="84" t="inlineStr">
        <is>
          <t>TW</t>
        </is>
      </c>
      <c r="M20" s="85" t="inlineStr"/>
      <c r="N20" s="44" t="inlineStr">
        <is>
          <t>F.MFM.10T.005.BU</t>
        </is>
      </c>
      <c r="O20" s="86" t="n"/>
      <c r="P20" s="86" t="n"/>
      <c r="Q20" s="259">
        <f>IFERROR(R20/H20, 0)</f>
        <v/>
      </c>
      <c r="R20" s="260" t="n">
        <v>4694.04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17</v>
      </c>
      <c r="I21" s="42" t="inlineStr"/>
      <c r="J21" s="42" t="inlineStr"/>
      <c r="K21" s="44" t="inlineStr">
        <is>
          <t>12IN MEDIUM MFM EK</t>
        </is>
      </c>
      <c r="L21" s="84" t="inlineStr">
        <is>
          <t>EK</t>
        </is>
      </c>
      <c r="M21" s="85" t="inlineStr"/>
      <c r="N21" s="44" t="inlineStr">
        <is>
          <t>F.MFM.12K.005.BU</t>
        </is>
      </c>
      <c r="O21" s="86" t="n"/>
      <c r="P21" s="86" t="n"/>
      <c r="Q21" s="259">
        <f>IFERROR(R21/H21, 0)</f>
        <v/>
      </c>
      <c r="R21" s="260" t="n">
        <v>1680.62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6.5" customFormat="1" customHeight="1" s="257">
      <c r="A22" s="79" t="n"/>
      <c r="B22" s="80" t="n"/>
      <c r="C22" s="81" t="n"/>
      <c r="D22" s="81" t="n"/>
      <c r="E22" s="258" t="n"/>
      <c r="F22" s="82" t="n"/>
      <c r="G22" s="258" t="n"/>
      <c r="H22" s="83" t="n">
        <v>31</v>
      </c>
      <c r="I22" s="42" t="inlineStr"/>
      <c r="J22" s="42" t="inlineStr"/>
      <c r="K22" s="44" t="inlineStr">
        <is>
          <t>6IN MEDIUM MFM TW</t>
        </is>
      </c>
      <c r="L22" s="84" t="inlineStr">
        <is>
          <t>TW</t>
        </is>
      </c>
      <c r="M22" s="85" t="inlineStr"/>
      <c r="N22" s="44" t="inlineStr">
        <is>
          <t>F.MFM.06T.002.BU</t>
        </is>
      </c>
      <c r="O22" s="86" t="n"/>
      <c r="P22" s="86" t="n"/>
      <c r="Q22" s="259">
        <f>IFERROR(R22/H22, 0)</f>
        <v/>
      </c>
      <c r="R22" s="260" t="n">
        <v>995.1</v>
      </c>
      <c r="S22" s="261" t="n">
        <v>18056</v>
      </c>
      <c r="T22" s="261">
        <f>IFERROR(S22*R22, 0)</f>
        <v/>
      </c>
      <c r="U22" s="48" t="n"/>
      <c r="V22" s="49" t="n"/>
      <c r="W22" s="50" t="n"/>
      <c r="X22" s="51" t="n"/>
      <c r="Y22" s="52" t="n"/>
      <c r="Z22" s="258" t="n"/>
    </row>
    <row r="23" ht="16.5" customFormat="1" customHeight="1" s="273">
      <c r="A23" s="79" t="n"/>
      <c r="B23" s="80" t="n"/>
      <c r="C23" s="274" t="n"/>
      <c r="D23" s="274" t="n"/>
      <c r="E23" s="275" t="n"/>
      <c r="F23" s="276" t="n"/>
      <c r="G23" s="275" t="n"/>
      <c r="H23" s="42" t="n">
        <v>21</v>
      </c>
      <c r="I23" s="42" t="inlineStr"/>
      <c r="J23" s="42" t="inlineStr"/>
      <c r="K23" s="44" t="inlineStr">
        <is>
          <t>10IN PLUSH MFM FL</t>
        </is>
      </c>
      <c r="L23" s="277" t="inlineStr">
        <is>
          <t>FL</t>
        </is>
      </c>
      <c r="M23" s="42" t="inlineStr"/>
      <c r="N23" s="44" t="inlineStr">
        <is>
          <t>F.MFM.10F.006.BU</t>
        </is>
      </c>
      <c r="O23" s="86" t="n"/>
      <c r="P23" s="86" t="n"/>
      <c r="Q23" s="259">
        <f>IFERROR(R23/H23, 0)</f>
        <v/>
      </c>
      <c r="R23" s="260" t="n">
        <v>1316.7</v>
      </c>
      <c r="S23" s="261" t="n">
        <v>18056</v>
      </c>
      <c r="T23" s="261">
        <f>IFERROR(S23*R23, 0)</f>
        <v/>
      </c>
      <c r="U23" s="48" t="n"/>
      <c r="V23" s="49" t="n"/>
      <c r="W23" s="50" t="n"/>
      <c r="X23" s="51" t="n"/>
      <c r="Y23" s="278" t="n"/>
      <c r="Z23" s="279" t="n"/>
    </row>
    <row r="24" ht="16.5" customFormat="1" customHeight="1" s="273">
      <c r="A24" s="79" t="n"/>
      <c r="B24" s="80" t="n"/>
      <c r="C24" s="81" t="n"/>
      <c r="D24" s="81" t="n"/>
      <c r="E24" s="258" t="n"/>
      <c r="F24" s="82" t="n"/>
      <c r="G24" s="258" t="n"/>
      <c r="H24" s="83" t="n">
        <v>50</v>
      </c>
      <c r="I24" s="42" t="inlineStr"/>
      <c r="J24" s="42" t="inlineStr"/>
      <c r="K24" s="44" t="inlineStr">
        <is>
          <t>10IN PLUSH MFM QN</t>
        </is>
      </c>
      <c r="L24" s="84" t="inlineStr">
        <is>
          <t>QN</t>
        </is>
      </c>
      <c r="M24" s="42" t="inlineStr"/>
      <c r="N24" s="44" t="inlineStr">
        <is>
          <t>F.MFM.10Q.006.BU</t>
        </is>
      </c>
      <c r="O24" s="86" t="n"/>
      <c r="P24" s="86" t="n"/>
      <c r="Q24" s="259">
        <f>IFERROR(R24/H24, 0)</f>
        <v/>
      </c>
      <c r="R24" s="260" t="n">
        <v>3705</v>
      </c>
      <c r="S24" s="261" t="n">
        <v>18056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50</v>
      </c>
      <c r="I25" s="51" t="inlineStr"/>
      <c r="J25" s="51" t="inlineStr"/>
      <c r="K25" s="284" t="inlineStr">
        <is>
          <t>12IN PLUSH MFM FL</t>
        </is>
      </c>
      <c r="L25" s="285" t="inlineStr">
        <is>
          <t>FL</t>
        </is>
      </c>
      <c r="M25" s="51" t="inlineStr"/>
      <c r="N25" s="284" t="inlineStr">
        <is>
          <t>F.MFM.12F.006.BU</t>
        </is>
      </c>
      <c r="O25" s="286" t="n"/>
      <c r="P25" s="286" t="n"/>
      <c r="Q25" s="287">
        <f>IFERROR(R25/H25, 0)</f>
        <v/>
      </c>
      <c r="R25" s="288" t="n">
        <v>3681.5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79" t="n"/>
      <c r="F26" s="296" t="n"/>
      <c r="G26" s="279" t="n"/>
      <c r="H26" s="297" t="n">
        <v>50</v>
      </c>
      <c r="I26" s="297" t="inlineStr"/>
      <c r="J26" s="51" t="inlineStr"/>
      <c r="K26" s="284" t="inlineStr">
        <is>
          <t>8IN PLUSH MFM QN</t>
        </is>
      </c>
      <c r="L26" s="285" t="inlineStr">
        <is>
          <t>QN</t>
        </is>
      </c>
      <c r="M26" s="51" t="inlineStr"/>
      <c r="N26" s="284" t="inlineStr">
        <is>
          <t>F.MFM.08Q.006.BU</t>
        </is>
      </c>
      <c r="O26" s="298" t="n"/>
      <c r="P26" s="298" t="n"/>
      <c r="Q26" s="299">
        <f>IFERROR(R26/H26, 0)</f>
        <v/>
      </c>
      <c r="R26" s="300" t="n">
        <v>2811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54</v>
      </c>
      <c r="I27" s="305" t="inlineStr"/>
      <c r="J27" s="305" t="inlineStr"/>
      <c r="K27" s="284" t="inlineStr">
        <is>
          <t>8IN PLUSH MFM TW</t>
        </is>
      </c>
      <c r="L27" s="285" t="inlineStr">
        <is>
          <t>TW</t>
        </is>
      </c>
      <c r="M27" s="51" t="inlineStr"/>
      <c r="N27" s="284" t="inlineStr">
        <is>
          <t>F.MFM.08T.006.BU</t>
        </is>
      </c>
      <c r="O27" s="306" t="n"/>
      <c r="P27" s="306" t="n"/>
      <c r="Q27" s="299">
        <f>IFERROR(R27/H27, 0)</f>
        <v/>
      </c>
      <c r="R27" s="307" t="n">
        <v>1952.64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7.1" customHeight="1" s="223">
      <c r="A28" s="64" t="n"/>
      <c r="B28" s="65" t="n"/>
      <c r="C28" s="309" t="n"/>
      <c r="D28" s="310" t="n"/>
      <c r="E28" s="311" t="n"/>
      <c r="F28" s="311" t="n"/>
      <c r="G28" s="311" t="n"/>
      <c r="H28" s="312">
        <f>SUM(H18:H27)</f>
        <v/>
      </c>
      <c r="I28" s="313">
        <f>COUNTA(I18:I27)</f>
        <v/>
      </c>
      <c r="J28" s="312" t="n"/>
      <c r="K28" s="314" t="n"/>
      <c r="L28" s="315" t="n"/>
      <c r="M28" s="314" t="n"/>
      <c r="N28" s="314" t="n"/>
      <c r="O28" s="316">
        <f>SUM(O18:O27)</f>
        <v/>
      </c>
      <c r="P28" s="316">
        <f>SUM(P18:P27)</f>
        <v/>
      </c>
      <c r="Q28" s="317" t="n"/>
      <c r="R28" s="318">
        <f>SUM(R18:R27)</f>
        <v/>
      </c>
      <c r="S28" s="319" t="n"/>
      <c r="T28" s="319">
        <f>SUM(T18:T27)</f>
        <v/>
      </c>
      <c r="U28" s="320" t="n"/>
      <c r="V28" s="321" t="n"/>
      <c r="W28" s="322" t="n"/>
      <c r="X28" s="321" t="n"/>
      <c r="Y28" s="321" t="n"/>
      <c r="Z28" s="321" t="n"/>
    </row>
    <row r="29" ht="16.5" customHeight="1" s="223">
      <c r="A29" s="79">
        <f>COUNT(A12:A28)</f>
        <v/>
      </c>
      <c r="B29" s="80" t="n"/>
      <c r="C29" s="281" t="n"/>
      <c r="D29" s="304" t="n"/>
      <c r="E29" s="282" t="n"/>
      <c r="F29" s="283" t="n"/>
      <c r="G29" s="282" t="n"/>
      <c r="H29" s="305">
        <f>SUM(H14,H17,H28)</f>
        <v/>
      </c>
      <c r="I29" s="305">
        <f>SUM(I14,I17,I28)</f>
        <v/>
      </c>
      <c r="J29" s="305" t="n"/>
      <c r="K29" s="323" t="n"/>
      <c r="L29" s="324" t="n"/>
      <c r="M29" s="325" t="n"/>
      <c r="N29" s="323" t="n"/>
      <c r="O29" s="306">
        <f>SUM(O14,O17,O28)</f>
        <v/>
      </c>
      <c r="P29" s="306">
        <f>SUM(P14,P17,P28)</f>
        <v/>
      </c>
      <c r="Q29" s="326" t="n"/>
      <c r="R29" s="307">
        <f>SUM(R14,R17,R28)</f>
        <v/>
      </c>
      <c r="S29" s="308" t="n"/>
      <c r="T29" s="261">
        <f>SUM(T14,T17,T28)</f>
        <v/>
      </c>
      <c r="U29" s="327" t="n"/>
      <c r="V29" s="293" t="n"/>
      <c r="W29" s="303" t="n"/>
      <c r="X29" s="292" t="n"/>
      <c r="Y29" s="293" t="n"/>
      <c r="Z29" s="294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28" t="n"/>
      <c r="I30" s="328" t="n"/>
      <c r="J30" s="328" t="n"/>
      <c r="K30" s="221" t="n"/>
      <c r="L30" s="221" t="n"/>
      <c r="M30" s="221" t="n"/>
      <c r="R30" s="329" t="n"/>
      <c r="S30" s="330" t="n"/>
      <c r="U30" s="138" t="n"/>
    </row>
    <row r="31" ht="20" customHeight="1" s="223" thickTop="1">
      <c r="A31" s="139" t="n"/>
      <c r="B31" s="331" t="inlineStr">
        <is>
          <t>Total Qty Export :</t>
        </is>
      </c>
      <c r="C31" s="332">
        <f>H29-C32</f>
        <v/>
      </c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33" t="n"/>
      <c r="P31" s="334" t="n"/>
      <c r="Q31" s="335" t="n"/>
      <c r="R31" s="329" t="n"/>
      <c r="S31" s="330" t="n"/>
      <c r="T31" s="330" t="n"/>
      <c r="U31" s="148" t="n"/>
    </row>
    <row r="32" ht="20" customHeight="1" s="223">
      <c r="A32" s="149" t="n"/>
      <c r="B32" s="336" t="inlineStr">
        <is>
          <t>Total Qty Export Sample :</t>
        </is>
      </c>
      <c r="C32" s="337" t="n">
        <v>0</v>
      </c>
      <c r="G32" s="144" t="n"/>
      <c r="H32" s="151" t="n"/>
      <c r="I32" s="151" t="n"/>
      <c r="K32" s="221" t="n"/>
      <c r="L32" s="221" t="n"/>
      <c r="M32" s="221" t="n"/>
      <c r="N32" s="333" t="n"/>
      <c r="P32" s="334" t="n"/>
      <c r="Q32" s="335" t="n"/>
      <c r="R32" s="329" t="n"/>
      <c r="S32" s="330" t="n"/>
      <c r="T32" s="330" t="n"/>
      <c r="U32" s="148" t="n"/>
    </row>
    <row r="33" ht="17.1" customHeight="1" s="223">
      <c r="A33" s="149" t="n"/>
      <c r="B33" s="152" t="n"/>
      <c r="C33" s="338" t="n"/>
      <c r="H33" s="153" t="n"/>
      <c r="I33" s="154" t="n"/>
      <c r="K33" s="221" t="n"/>
      <c r="L33" s="221" t="n"/>
      <c r="M33" s="221" t="n"/>
      <c r="N33" s="333" t="n"/>
      <c r="P33" s="339" t="n"/>
      <c r="Q33" s="340" t="n"/>
      <c r="R33" s="341" t="n"/>
      <c r="S33" s="342" t="n"/>
      <c r="T33" s="342" t="n"/>
      <c r="U33" s="4" t="n"/>
    </row>
    <row r="34" ht="20" customHeight="1" s="223">
      <c r="A34" s="149" t="n"/>
      <c r="B34" s="152" t="n"/>
      <c r="C34" s="338" t="n"/>
      <c r="K34" s="221" t="n"/>
      <c r="L34" s="221" t="n"/>
      <c r="M34" s="221" t="n"/>
      <c r="N34" s="333" t="n"/>
      <c r="P34" s="339" t="n"/>
      <c r="Q34" s="340" t="n"/>
      <c r="R34" s="341" t="n"/>
      <c r="S34" s="342" t="n"/>
      <c r="T34" s="342" t="n"/>
      <c r="U34" s="343" t="inlineStr">
        <is>
          <t>Tangerang, 09 August 2026</t>
        </is>
      </c>
    </row>
    <row r="35" ht="20" customHeight="1" s="223">
      <c r="A35" s="344" t="inlineStr">
        <is>
          <t>Total Document</t>
        </is>
      </c>
      <c r="B35" s="152" t="n"/>
      <c r="C35" s="345">
        <f>A29</f>
        <v/>
      </c>
      <c r="K35" s="221" t="n"/>
      <c r="L35" s="221" t="n"/>
      <c r="M35" s="221" t="n"/>
      <c r="N35" s="333" t="n"/>
      <c r="P35" s="339" t="n"/>
      <c r="Q35" s="340" t="n"/>
      <c r="R35" s="341" t="n"/>
      <c r="S35" s="342" t="n"/>
      <c r="T35" s="342" t="n"/>
      <c r="U35" s="346" t="inlineStr">
        <is>
          <t>Kasubsi Hanggar Pabean dan Cukai</t>
        </is>
      </c>
    </row>
    <row r="36" ht="20" customHeight="1" s="223">
      <c r="A36" s="344" t="inlineStr">
        <is>
          <t>Gross Weight</t>
        </is>
      </c>
      <c r="B36" s="152" t="n"/>
      <c r="C36" s="347">
        <f>O29</f>
        <v/>
      </c>
      <c r="K36" s="221" t="n"/>
      <c r="L36" s="221" t="n"/>
      <c r="M36" s="221" t="n"/>
      <c r="N36" s="333" t="n"/>
      <c r="P36" s="339" t="n"/>
      <c r="Q36" s="340" t="n"/>
      <c r="R36" s="341" t="n"/>
      <c r="S36" s="342" t="n"/>
      <c r="T36" s="342" t="n"/>
      <c r="U36" s="148" t="n"/>
    </row>
    <row r="37" ht="20" customHeight="1" s="223">
      <c r="A37" s="344" t="inlineStr">
        <is>
          <t>Nett Weight</t>
        </is>
      </c>
      <c r="B37" s="152" t="n"/>
      <c r="C37" s="348">
        <f>P29</f>
        <v/>
      </c>
      <c r="K37" s="221" t="n"/>
      <c r="L37" s="221" t="n"/>
      <c r="M37" s="221" t="n"/>
      <c r="N37" s="333" t="n"/>
      <c r="P37" s="339" t="n"/>
      <c r="Q37" s="340" t="n"/>
      <c r="R37" s="341" t="n"/>
      <c r="S37" s="342" t="n"/>
      <c r="T37" s="342" t="n"/>
      <c r="U37" s="148" t="n"/>
    </row>
    <row r="38" ht="20" customHeight="1" s="223">
      <c r="A38" s="349" t="inlineStr">
        <is>
          <t>Amount</t>
        </is>
      </c>
      <c r="B38" s="152" t="n"/>
      <c r="C38" s="350">
        <f>R29</f>
        <v/>
      </c>
      <c r="K38" s="221" t="n"/>
      <c r="L38" s="221" t="n"/>
      <c r="M38" s="221" t="n"/>
      <c r="N38" s="333" t="n"/>
    </row>
    <row r="39" ht="20" customHeight="1" s="223" thickBot="1">
      <c r="A39" s="351" t="inlineStr">
        <is>
          <t>Jumlah Container</t>
        </is>
      </c>
      <c r="B39" s="162" t="n"/>
      <c r="C39" s="352">
        <f>I29</f>
        <v/>
      </c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54" t="n"/>
      <c r="L333" s="354" t="n"/>
      <c r="M333" s="354" t="n"/>
      <c r="N333" s="355" t="n"/>
      <c r="O333" s="356" t="n"/>
      <c r="P333" s="356" t="n"/>
      <c r="Q333" s="357" t="n"/>
      <c r="R333" s="358" t="n"/>
      <c r="S333" s="359" t="n"/>
      <c r="T333" s="359" t="n"/>
      <c r="U333" s="360" t="n"/>
      <c r="V333" s="360" t="n"/>
      <c r="W333" s="360" t="n"/>
      <c r="X333" s="360" t="n"/>
      <c r="Y333" s="360" t="n"/>
      <c r="Z333" s="36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2026-08-09T16:21:48Z</dcterms:modified>
  <cp:lastModifiedBy>Chiswa Dian Hermansyah(ZINUS ZDI)</cp:lastModifiedBy>
</cp:coreProperties>
</file>