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9" fillId="0" borderId="0" applyAlignment="1" pivotButton="0" quotePrefix="0" xfId="3">
      <alignment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000030ZIK48020260721000494</t>
        </is>
      </c>
      <c r="C12" s="46" t="inlineStr">
        <is>
          <t>450507</t>
        </is>
      </c>
      <c r="D12" s="46" t="inlineStr">
        <is>
          <t>450455</t>
        </is>
      </c>
      <c r="E12" s="204" t="n">
        <v>46225</v>
      </c>
      <c r="F12" s="48" t="inlineStr">
        <is>
          <t>ID2607-7861</t>
        </is>
      </c>
      <c r="G12" s="204" t="n">
        <v>46223</v>
      </c>
      <c r="H12" s="49" t="n">
        <v>850</v>
      </c>
      <c r="I12" s="49" t="inlineStr">
        <is>
          <t>TXGU5839599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66X4TVOF</t>
        </is>
      </c>
      <c r="N12" s="50" t="inlineStr">
        <is>
          <t>F.MFM.06F.002.BD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040300/KPPBC</t>
        </is>
      </c>
      <c r="V12" s="57" t="inlineStr">
        <is>
          <t>TG. PRIOK</t>
        </is>
      </c>
      <c r="W12" s="58" t="inlineStr">
        <is>
          <t>SAVANNAH</t>
        </is>
      </c>
      <c r="X12" s="49" t="inlineStr">
        <is>
          <t>AMAZON.COM SERVICES LLC</t>
        </is>
      </c>
      <c r="Y12" s="57" t="inlineStr">
        <is>
          <t>EGLV080600441902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44" t="n">
        <v>2</v>
      </c>
      <c r="B14" s="45" t="inlineStr">
        <is>
          <t>000030ZIK48020260721000497</t>
        </is>
      </c>
      <c r="C14" s="46" t="inlineStr">
        <is>
          <t>455172</t>
        </is>
      </c>
      <c r="D14" s="46" t="inlineStr">
        <is>
          <t>455111</t>
        </is>
      </c>
      <c r="E14" s="204" t="n">
        <v>46226</v>
      </c>
      <c r="F14" s="48" t="inlineStr">
        <is>
          <t>ID2607-7868</t>
        </is>
      </c>
      <c r="G14" s="204" t="n">
        <v>46224</v>
      </c>
      <c r="H14" s="49" t="n">
        <v>352</v>
      </c>
      <c r="I14" s="49" t="inlineStr">
        <is>
          <t>EGHU9312682</t>
        </is>
      </c>
      <c r="J14" s="49" t="inlineStr">
        <is>
          <t>40FT</t>
        </is>
      </c>
      <c r="K14" s="50" t="inlineStr">
        <is>
          <t>14IN GREEN TEA FOAM MATTRESS Q</t>
        </is>
      </c>
      <c r="L14" s="51" t="inlineStr">
        <is>
          <t>ZU-MFMA1ZZI-14Q</t>
        </is>
      </c>
      <c r="M14" s="49" t="inlineStr">
        <is>
          <t>6VRK1DRL</t>
        </is>
      </c>
      <c r="N14" s="50" t="inlineStr">
        <is>
          <t>F.MFM.14Q.000.AD</t>
        </is>
      </c>
      <c r="O14" s="52" t="n">
        <v>24598.94</v>
      </c>
      <c r="P14" s="52" t="n">
        <v>22252.54</v>
      </c>
      <c r="Q14" s="205">
        <f>IFERROR(R14/H14, 0)</f>
        <v/>
      </c>
      <c r="R14" s="206" t="n">
        <v>36097.6</v>
      </c>
      <c r="S14" s="207" t="n">
        <v>18056</v>
      </c>
      <c r="T14" s="207">
        <f>IFERROR(S14*R14, 0)</f>
        <v/>
      </c>
      <c r="U14" s="56" t="inlineStr">
        <is>
          <t>040300/KPPBC</t>
        </is>
      </c>
      <c r="V14" s="57" t="inlineStr">
        <is>
          <t>TG. PRIOK</t>
        </is>
      </c>
      <c r="W14" s="58" t="inlineStr">
        <is>
          <t>SAVANNAH</t>
        </is>
      </c>
      <c r="X14" s="49" t="inlineStr">
        <is>
          <t>AMAZON.COM SERVICES LLC</t>
        </is>
      </c>
      <c r="Y14" s="57" t="inlineStr">
        <is>
          <t>EGLV080600427535</t>
        </is>
      </c>
      <c r="Z14" s="204" t="n">
        <v>46226</v>
      </c>
    </row>
    <row r="15" ht="19.95" customFormat="1" customHeight="1" s="203">
      <c r="A15" s="44" t="n"/>
      <c r="B15" s="45" t="n"/>
      <c r="C15" s="46" t="n"/>
      <c r="D15" s="46" t="n"/>
      <c r="E15" s="204" t="n"/>
      <c r="F15" s="48" t="n"/>
      <c r="G15" s="204" t="n"/>
      <c r="H15" s="49" t="n">
        <v>170</v>
      </c>
      <c r="I15" s="49" t="inlineStr">
        <is>
          <t>EGHU9682178</t>
        </is>
      </c>
      <c r="J15" s="49" t="inlineStr">
        <is>
          <t>40FT</t>
        </is>
      </c>
      <c r="K15" s="50" t="inlineStr">
        <is>
          <t>14IN GREEN TEA FOAM MATTRESS K</t>
        </is>
      </c>
      <c r="L15" s="51" t="inlineStr">
        <is>
          <t>ZU-MFMA1ZZI-14K</t>
        </is>
      </c>
      <c r="M15" s="49" t="inlineStr">
        <is>
          <t>8NSJBBRD</t>
        </is>
      </c>
      <c r="N15" s="50" t="inlineStr">
        <is>
          <t>F.MFM.14K.000.AD</t>
        </is>
      </c>
      <c r="O15" s="52" t="n"/>
      <c r="P15" s="52" t="n"/>
      <c r="Q15" s="205">
        <f>IFERROR(R15/H15, 0)</f>
        <v/>
      </c>
      <c r="R15" s="206" t="n">
        <v>21984.4</v>
      </c>
      <c r="S15" s="207" t="n">
        <v>18056</v>
      </c>
      <c r="T15" s="207">
        <f>IFERROR(S15*R15, 0)</f>
        <v/>
      </c>
      <c r="U15" s="56" t="n"/>
      <c r="V15" s="57" t="n"/>
      <c r="W15" s="58" t="inlineStr">
        <is>
          <t>ETD : 27-07-2026</t>
        </is>
      </c>
      <c r="X15" s="49" t="n"/>
      <c r="Y15" s="57" t="n"/>
      <c r="Z15" s="204" t="n"/>
    </row>
    <row r="16" ht="19.95" customFormat="1" customHeight="1" s="203">
      <c r="A16" s="71" t="n"/>
      <c r="B16" s="72" t="n"/>
      <c r="C16" s="73" t="n"/>
      <c r="D16" s="73" t="n"/>
      <c r="E16" s="74" t="n"/>
      <c r="F16" s="74" t="n"/>
      <c r="G16" s="74" t="n"/>
      <c r="H16" s="75">
        <f>SUM(H14:H15)</f>
        <v/>
      </c>
      <c r="I16" s="76">
        <f>COUNTA(I14:I15)</f>
        <v/>
      </c>
      <c r="J16" s="75" t="n"/>
      <c r="K16" s="75" t="n"/>
      <c r="L16" s="77" t="n"/>
      <c r="M16" s="75" t="n"/>
      <c r="N16" s="75" t="n"/>
      <c r="O16" s="208">
        <f>SUM(O14:O15)</f>
        <v/>
      </c>
      <c r="P16" s="208">
        <f>SUM(P14:P15)</f>
        <v/>
      </c>
      <c r="Q16" s="209" t="n"/>
      <c r="R16" s="210">
        <f>SUM(R14:R15)</f>
        <v/>
      </c>
      <c r="S16" s="211" t="n"/>
      <c r="T16" s="211">
        <f>SUM(T14:T15)</f>
        <v/>
      </c>
      <c r="U16" s="75" t="n"/>
      <c r="V16" s="82" t="n"/>
      <c r="W16" s="83" t="n"/>
      <c r="X16" s="82" t="n"/>
      <c r="Y16" s="82" t="n"/>
      <c r="Z16" s="82" t="n"/>
    </row>
    <row r="17" ht="19.95" customFormat="1" customHeight="1" s="212">
      <c r="A17" s="84">
        <f>COUNT(A12:A16)</f>
        <v/>
      </c>
      <c r="B17" s="85" t="n"/>
      <c r="C17" s="213" t="n"/>
      <c r="D17" s="214" t="n"/>
      <c r="E17" s="214" t="n"/>
      <c r="F17" s="214" t="n"/>
      <c r="G17" s="214" t="n"/>
      <c r="H17" s="88">
        <f>H13+H16</f>
        <v/>
      </c>
      <c r="I17" s="88">
        <f>I13+I16</f>
        <v/>
      </c>
      <c r="J17" s="89" t="n"/>
      <c r="K17" s="215" t="n"/>
      <c r="L17" s="216" t="n"/>
      <c r="M17" s="217" t="n"/>
      <c r="N17" s="218" t="n"/>
      <c r="O17" s="94">
        <f>O13+O16</f>
        <v/>
      </c>
      <c r="P17" s="94">
        <f>P13+P16</f>
        <v/>
      </c>
      <c r="Q17" s="219" t="n"/>
      <c r="R17" s="220">
        <f>R13+R16</f>
        <v/>
      </c>
      <c r="S17" s="221" t="n"/>
      <c r="T17" s="222">
        <f>T13+T16</f>
        <v/>
      </c>
      <c r="U17" s="99" t="n"/>
      <c r="V17" s="99" t="n"/>
      <c r="W17" s="99" t="n"/>
      <c r="X17" s="99" t="n"/>
      <c r="Y17" s="100" t="n"/>
      <c r="Z17" s="100" t="n"/>
    </row>
    <row r="18" ht="19.95" customFormat="1" customHeight="1" s="203"/>
    <row r="19" ht="19.95" customFormat="1" customHeight="1" s="203">
      <c r="B19" t="inlineStr">
        <is>
          <t>Total Qty Export :</t>
        </is>
      </c>
      <c r="C19">
        <f>H17</f>
        <v/>
      </c>
    </row>
    <row r="20" ht="19.95" customFormat="1" customHeight="1" s="203">
      <c r="B20" t="inlineStr">
        <is>
          <t>Total Qty Export Sample :</t>
        </is>
      </c>
    </row>
    <row r="21" ht="19.95" customFormat="1" customHeight="1" s="203"/>
    <row r="22" ht="19.95" customFormat="1" customHeight="1" s="203">
      <c r="U22" t="inlineStr">
        <is>
          <t>Tangerang, 25 July 2026</t>
        </is>
      </c>
    </row>
    <row r="23" ht="19.95" customFormat="1" customHeight="1" s="212">
      <c r="A23" t="inlineStr">
        <is>
          <t>Total Document</t>
        </is>
      </c>
      <c r="C23">
        <f>A17</f>
        <v/>
      </c>
    </row>
    <row r="24" ht="19.95" customFormat="1" customHeight="1" s="212">
      <c r="A24" t="inlineStr">
        <is>
          <t>Gross Weight</t>
        </is>
      </c>
      <c r="C24">
        <f>O17</f>
        <v/>
      </c>
    </row>
    <row r="25" ht="19.95" customHeight="1" s="181" thickBot="1">
      <c r="A25" t="inlineStr">
        <is>
          <t>Nett Weight</t>
        </is>
      </c>
      <c r="C25">
        <f>P17</f>
        <v/>
      </c>
    </row>
    <row r="26" ht="19.95" customFormat="1" customHeight="1" s="189" thickBot="1">
      <c r="A26" t="inlineStr">
        <is>
          <t>Amount</t>
        </is>
      </c>
      <c r="C26">
        <f>R17</f>
        <v/>
      </c>
    </row>
    <row r="27" ht="19.95" customHeight="1" s="181">
      <c r="A27" t="inlineStr">
        <is>
          <t>Jumlah Container</t>
        </is>
      </c>
      <c r="C27">
        <f>I17</f>
        <v/>
      </c>
    </row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2026-07-25T16:27:56Z</dcterms:modified>
  <cp:lastModifiedBy>Chiswa Dian Hermansyah(ZINUS ZDI)</cp:lastModifiedBy>
</cp:coreProperties>
</file>