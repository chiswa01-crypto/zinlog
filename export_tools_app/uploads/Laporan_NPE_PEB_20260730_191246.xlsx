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 $&quot;\ #,##0.00"/>
    <numFmt numFmtId="174" formatCode="&quot;:&quot;\ General&quot;X40FT&quot;"/>
    <numFmt numFmtId="175" formatCode="&quot;:&quot;\ General&quot;X20FT&quot;"/>
    <numFmt numFmtId="176" formatCode="&quot;=&quot;\ #,##0\ &quot;TEUS&quot;"/>
    <numFmt numFmtId="177" formatCode="&quot;:&quot;\ General\ &quot;Document&quot;"/>
    <numFmt numFmtId="178" formatCode="&quot;:&quot;\ #,##0.00\ &quot;KGS&quot;"/>
  </numFmts>
  <fonts count="26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92D050"/>
        <bgColor rgb="0092D050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4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3" fillId="4" borderId="0" applyAlignment="1" pivotButton="0" quotePrefix="0" xfId="4">
      <alignment vertical="center"/>
    </xf>
    <xf numFmtId="0" fontId="24" fillId="6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right" vertical="center"/>
    </xf>
    <xf numFmtId="0" fontId="25" fillId="0" borderId="0" pivotButton="0" quotePrefix="0" xfId="0"/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43"/>
  <sheetViews>
    <sheetView tabSelected="1" zoomScale="46" zoomScaleNormal="55" workbookViewId="0">
      <pane xSplit="2" ySplit="11" topLeftCell="C16" activePane="bottomRight" state="frozen"/>
      <selection pane="topRight" activeCell="C6" sqref="C6"/>
      <selection pane="bottomLeft" activeCell="A12" sqref="A12"/>
      <selection pane="bottomRight" activeCell="A26" sqref="A26:XFD48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205" t="inlineStr">
        <is>
          <t>BULAN : JULY 2026</t>
        </is>
      </c>
    </row>
    <row r="9" ht="14.25" customHeight="1" s="223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208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35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79" t="n">
        <v>1</v>
      </c>
      <c r="B12" s="80" t="inlineStr">
        <is>
          <t>000030ZIK48020260722000504</t>
        </is>
      </c>
      <c r="C12" s="81" t="n">
        <v>455806</v>
      </c>
      <c r="D12" s="81" t="n">
        <v>455745</v>
      </c>
      <c r="E12" s="258" t="n">
        <v>46226</v>
      </c>
      <c r="F12" s="82" t="inlineStr">
        <is>
          <t>ID2607-7886</t>
        </is>
      </c>
      <c r="G12" s="258" t="n">
        <v>46225</v>
      </c>
      <c r="H12" s="83" t="n">
        <v>966</v>
      </c>
      <c r="I12" s="42" t="inlineStr">
        <is>
          <t>EGHU9205621</t>
        </is>
      </c>
      <c r="J12" s="42" t="inlineStr">
        <is>
          <t>40FT</t>
        </is>
      </c>
      <c r="K12" s="44" t="inlineStr">
        <is>
          <t>8IN OPP HD TW</t>
        </is>
      </c>
      <c r="L12" s="84" t="inlineStr">
        <is>
          <t>ZU-MFMA1OZI-08T</t>
        </is>
      </c>
      <c r="M12" s="85" t="inlineStr">
        <is>
          <t>3NDHMI4R</t>
        </is>
      </c>
      <c r="N12" s="44" t="inlineStr">
        <is>
          <t>F.MFM.08T.013.AD</t>
        </is>
      </c>
      <c r="O12" s="86" t="n">
        <v>79248.28999999999</v>
      </c>
      <c r="P12" s="86" t="n">
        <v>68661.08</v>
      </c>
      <c r="Q12" s="259">
        <f>IFERROR(R12/H12, 0)</f>
        <v/>
      </c>
      <c r="R12" s="260" t="n">
        <v>28922.04</v>
      </c>
      <c r="S12" s="261" t="n">
        <v>18056</v>
      </c>
      <c r="T12" s="261">
        <f>IFERROR(S12*R12, 0)</f>
        <v/>
      </c>
      <c r="U12" s="48" t="inlineStr">
        <is>
          <t>040300/KPPBC</t>
        </is>
      </c>
      <c r="V12" s="49" t="inlineStr">
        <is>
          <t>TG. PRIOK</t>
        </is>
      </c>
      <c r="W12" s="50" t="inlineStr">
        <is>
          <t>SAVANNAH</t>
        </is>
      </c>
      <c r="X12" s="51" t="inlineStr">
        <is>
          <t>AMAZON.COM SERVICES LLC</t>
        </is>
      </c>
      <c r="Y12" s="52" t="inlineStr">
        <is>
          <t>EGLV080600441792</t>
        </is>
      </c>
      <c r="Z12" s="258" t="n">
        <v>46226</v>
      </c>
    </row>
    <row r="13" ht="16.5" customFormat="1" customHeight="1" s="257">
      <c r="A13" s="79" t="n"/>
      <c r="B13" s="80" t="n"/>
      <c r="C13" s="81" t="n"/>
      <c r="D13" s="81" t="n"/>
      <c r="E13" s="258" t="n"/>
      <c r="F13" s="82" t="n"/>
      <c r="G13" s="258" t="n"/>
      <c r="H13" s="83" t="n">
        <v>1145</v>
      </c>
      <c r="I13" s="42" t="inlineStr">
        <is>
          <t>EGHU9121367</t>
        </is>
      </c>
      <c r="J13" s="42" t="inlineStr">
        <is>
          <t>40FT</t>
        </is>
      </c>
      <c r="K13" s="44" t="inlineStr">
        <is>
          <t>5IN GREEN TEA MF MATTRESS TW</t>
        </is>
      </c>
      <c r="L13" s="84" t="inlineStr">
        <is>
          <t>ZU-MFMA1ZZI-05T</t>
        </is>
      </c>
      <c r="M13" s="85" t="inlineStr">
        <is>
          <t>4I3CD5IH</t>
        </is>
      </c>
      <c r="N13" s="44" t="inlineStr">
        <is>
          <t>F.MFM.05T.007.AD</t>
        </is>
      </c>
      <c r="O13" s="86" t="n"/>
      <c r="P13" s="86" t="n"/>
      <c r="Q13" s="259">
        <f>IFERROR(R13/H13, 0)</f>
        <v/>
      </c>
      <c r="R13" s="260" t="n">
        <v>27090.7</v>
      </c>
      <c r="S13" s="261" t="n">
        <v>18056</v>
      </c>
      <c r="T13" s="261">
        <f>IFERROR(S13*R13, 0)</f>
        <v/>
      </c>
      <c r="U13" s="48" t="n"/>
      <c r="V13" s="49" t="n"/>
      <c r="W13" s="50" t="inlineStr">
        <is>
          <t>ETD : 27-07-2026</t>
        </is>
      </c>
      <c r="X13" s="51" t="n"/>
      <c r="Y13" s="52" t="n"/>
      <c r="Z13" s="258" t="n"/>
    </row>
    <row r="14" ht="16.5" customFormat="1" customHeight="1" s="257">
      <c r="A14" s="79" t="n"/>
      <c r="B14" s="80" t="n"/>
      <c r="C14" s="81" t="n"/>
      <c r="D14" s="81" t="n"/>
      <c r="E14" s="258" t="n"/>
      <c r="F14" s="82" t="n"/>
      <c r="G14" s="258" t="n"/>
      <c r="H14" s="83" t="n">
        <v>1144</v>
      </c>
      <c r="I14" s="42" t="inlineStr">
        <is>
          <t>EGHU9713330</t>
        </is>
      </c>
      <c r="J14" s="42" t="inlineStr">
        <is>
          <t>40FT</t>
        </is>
      </c>
      <c r="K14" s="44" t="inlineStr">
        <is>
          <t>5IN GREEN TEA MF MATTRESS TW</t>
        </is>
      </c>
      <c r="L14" s="84" t="inlineStr">
        <is>
          <t>ZU-MFMA1ZZI-05T</t>
        </is>
      </c>
      <c r="M14" s="85" t="inlineStr">
        <is>
          <t>88Y96MHS</t>
        </is>
      </c>
      <c r="N14" s="44" t="inlineStr">
        <is>
          <t>F.MFM.05T.007.AD</t>
        </is>
      </c>
      <c r="O14" s="86" t="n"/>
      <c r="P14" s="86" t="n"/>
      <c r="Q14" s="259">
        <f>IFERROR(R14/H14, 0)</f>
        <v/>
      </c>
      <c r="R14" s="260" t="n">
        <v>27067.04</v>
      </c>
      <c r="S14" s="261" t="n">
        <v>18056</v>
      </c>
      <c r="T14" s="261">
        <f>IFERROR(S14*R14, 0)</f>
        <v/>
      </c>
      <c r="U14" s="48" t="n"/>
      <c r="V14" s="49" t="n"/>
      <c r="W14" s="50" t="n"/>
      <c r="X14" s="51" t="n"/>
      <c r="Y14" s="52" t="n"/>
      <c r="Z14" s="258" t="n"/>
    </row>
    <row r="15" ht="16.5" customFormat="1" customHeight="1" s="257">
      <c r="A15" s="79" t="n"/>
      <c r="B15" s="80" t="n"/>
      <c r="C15" s="81" t="n"/>
      <c r="D15" s="81" t="n"/>
      <c r="E15" s="258" t="n"/>
      <c r="F15" s="82" t="n"/>
      <c r="G15" s="258" t="n"/>
      <c r="H15" s="83" t="n">
        <v>502</v>
      </c>
      <c r="I15" s="42" t="inlineStr">
        <is>
          <t>EMCU8701869</t>
        </is>
      </c>
      <c r="J15" s="42" t="inlineStr">
        <is>
          <t>40FT</t>
        </is>
      </c>
      <c r="K15" s="44" t="inlineStr">
        <is>
          <t>12IN GREEN TEA MF MATTRESS QN</t>
        </is>
      </c>
      <c r="L15" s="84" t="inlineStr">
        <is>
          <t>ZU-MFMA1ZZI-12Q</t>
        </is>
      </c>
      <c r="M15" s="85" t="inlineStr">
        <is>
          <t>8B4RWISK</t>
        </is>
      </c>
      <c r="N15" s="44" t="inlineStr">
        <is>
          <t>F.MFM.12Q.006.AD</t>
        </is>
      </c>
      <c r="O15" s="86" t="n"/>
      <c r="P15" s="86" t="n"/>
      <c r="Q15" s="259">
        <f>IFERROR(R15/H15, 0)</f>
        <v/>
      </c>
      <c r="R15" s="260" t="n">
        <v>42062.58</v>
      </c>
      <c r="S15" s="261" t="n">
        <v>18056</v>
      </c>
      <c r="T15" s="261">
        <f>IFERROR(S15*R15, 0)</f>
        <v/>
      </c>
      <c r="U15" s="48" t="n"/>
      <c r="V15" s="49" t="n"/>
      <c r="W15" s="50" t="n"/>
      <c r="X15" s="51" t="n"/>
      <c r="Y15" s="52" t="n"/>
      <c r="Z15" s="258" t="n"/>
    </row>
    <row r="16" ht="16.5" customFormat="1" customHeight="1" s="257">
      <c r="A16" s="79" t="n"/>
      <c r="B16" s="80" t="n"/>
      <c r="C16" s="81" t="n"/>
      <c r="D16" s="81" t="n"/>
      <c r="E16" s="258" t="n"/>
      <c r="F16" s="82" t="n"/>
      <c r="G16" s="258" t="n"/>
      <c r="H16" s="83" t="n">
        <v>3</v>
      </c>
      <c r="I16" s="42" t="inlineStr">
        <is>
          <t>EMCU1598276</t>
        </is>
      </c>
      <c r="J16" s="42" t="inlineStr">
        <is>
          <t>40FT</t>
        </is>
      </c>
      <c r="K16" s="44" t="inlineStr">
        <is>
          <t>8IN OPP HD FL</t>
        </is>
      </c>
      <c r="L16" s="84" t="inlineStr">
        <is>
          <t>ZU-MFMA1OZI-08F</t>
        </is>
      </c>
      <c r="M16" s="85" t="inlineStr">
        <is>
          <t>8GO2PUDD</t>
        </is>
      </c>
      <c r="N16" s="44" t="inlineStr">
        <is>
          <t>F.MFM.08F.013.AD</t>
        </is>
      </c>
      <c r="O16" s="86" t="n"/>
      <c r="P16" s="86" t="n"/>
      <c r="Q16" s="259">
        <f>IFERROR(R16/H16, 0)</f>
        <v/>
      </c>
      <c r="R16" s="260" t="n">
        <v>116.79</v>
      </c>
      <c r="S16" s="261" t="n">
        <v>18056</v>
      </c>
      <c r="T16" s="261">
        <f>IFERROR(S16*R16, 0)</f>
        <v/>
      </c>
      <c r="U16" s="48" t="n"/>
      <c r="V16" s="49" t="n"/>
      <c r="W16" s="50" t="n"/>
      <c r="X16" s="51" t="n"/>
      <c r="Y16" s="52" t="n"/>
      <c r="Z16" s="258" t="n"/>
    </row>
    <row r="17" ht="16.5" customFormat="1" customHeight="1" s="262">
      <c r="A17" s="79" t="n"/>
      <c r="B17" s="80" t="n"/>
      <c r="C17" s="263" t="n"/>
      <c r="D17" s="263" t="n"/>
      <c r="E17" s="264" t="n"/>
      <c r="F17" s="265" t="n"/>
      <c r="G17" s="264" t="n"/>
      <c r="H17" s="42" t="n">
        <v>400</v>
      </c>
      <c r="I17" s="42" t="inlineStr">
        <is>
          <t>EGSU1735716</t>
        </is>
      </c>
      <c r="J17" s="42" t="inlineStr">
        <is>
          <t>40FT</t>
        </is>
      </c>
      <c r="K17" s="44" t="inlineStr">
        <is>
          <t>8IN GREEN TEA MF MATTRESS TW</t>
        </is>
      </c>
      <c r="L17" s="266" t="inlineStr">
        <is>
          <t>ZU-MFMA1ZZI-08T</t>
        </is>
      </c>
      <c r="M17" s="42" t="inlineStr">
        <is>
          <t>8GO2PUDD</t>
        </is>
      </c>
      <c r="N17" s="44" t="inlineStr">
        <is>
          <t>F.MFM.08T.008.AD</t>
        </is>
      </c>
      <c r="O17" s="86" t="n"/>
      <c r="P17" s="86" t="n"/>
      <c r="Q17" s="259">
        <f>IFERROR(R17/H17, 0)</f>
        <v/>
      </c>
      <c r="R17" s="260" t="n">
        <v>14372</v>
      </c>
      <c r="S17" s="261" t="n">
        <v>18056</v>
      </c>
      <c r="T17" s="261">
        <f>IFERROR(S17*R17, 0)</f>
        <v/>
      </c>
      <c r="U17" s="48" t="n"/>
      <c r="V17" s="49" t="n"/>
      <c r="W17" s="50" t="n"/>
      <c r="X17" s="51" t="n"/>
      <c r="Y17" s="267" t="n"/>
      <c r="Z17" s="268" t="n"/>
    </row>
    <row r="18" ht="16.5" customFormat="1" customHeight="1" s="257">
      <c r="A18" s="79" t="n"/>
      <c r="B18" s="80" t="n"/>
      <c r="C18" s="81" t="n"/>
      <c r="D18" s="81" t="n"/>
      <c r="E18" s="258" t="n"/>
      <c r="F18" s="82" t="n"/>
      <c r="G18" s="258" t="n"/>
      <c r="H18" s="83" t="n">
        <v>206</v>
      </c>
      <c r="I18" s="42" t="inlineStr">
        <is>
          <t>EGHU9733906</t>
        </is>
      </c>
      <c r="J18" s="42" t="inlineStr">
        <is>
          <t>40FT</t>
        </is>
      </c>
      <c r="K18" s="44" t="inlineStr">
        <is>
          <t>12IN GREEN TEA MF MATTRESS QN</t>
        </is>
      </c>
      <c r="L18" s="84" t="inlineStr">
        <is>
          <t>ZU-MFMA1ZZI-12Q</t>
        </is>
      </c>
      <c r="M18" s="85" t="inlineStr">
        <is>
          <t>8GO2PUDD</t>
        </is>
      </c>
      <c r="N18" s="44" t="inlineStr">
        <is>
          <t>F.MFM.12Q.006.AD</t>
        </is>
      </c>
      <c r="O18" s="86" t="n"/>
      <c r="P18" s="86" t="n"/>
      <c r="Q18" s="259">
        <f>IFERROR(R18/H18, 0)</f>
        <v/>
      </c>
      <c r="R18" s="260" t="n">
        <v>17260.74</v>
      </c>
      <c r="S18" s="261" t="n">
        <v>18056</v>
      </c>
      <c r="T18" s="261">
        <f>IFERROR(S18*R18, 0)</f>
        <v/>
      </c>
      <c r="U18" s="48" t="n"/>
      <c r="V18" s="49" t="n"/>
      <c r="W18" s="50" t="n"/>
      <c r="X18" s="51" t="n"/>
      <c r="Y18" s="52" t="n"/>
      <c r="Z18" s="258" t="n"/>
    </row>
    <row r="19" ht="16.5" customFormat="1" customHeight="1" s="257">
      <c r="A19" s="79" t="n"/>
      <c r="B19" s="80" t="n"/>
      <c r="C19" s="81" t="n"/>
      <c r="D19" s="81" t="n"/>
      <c r="E19" s="258" t="n"/>
      <c r="F19" s="82" t="n"/>
      <c r="G19" s="258" t="n"/>
      <c r="H19" s="83" t="n">
        <v>605</v>
      </c>
      <c r="I19" s="42" t="inlineStr"/>
      <c r="J19" s="42" t="inlineStr"/>
      <c r="K19" s="44" t="inlineStr">
        <is>
          <t>8IN OPP HD TW</t>
        </is>
      </c>
      <c r="L19" s="84" t="inlineStr">
        <is>
          <t>ZU-MFMA1OZI-08T</t>
        </is>
      </c>
      <c r="M19" s="85" t="inlineStr">
        <is>
          <t>8VH5JQ8T</t>
        </is>
      </c>
      <c r="N19" s="44" t="inlineStr">
        <is>
          <t>F.MFM.08T.013.AD</t>
        </is>
      </c>
      <c r="O19" s="86" t="n"/>
      <c r="P19" s="86" t="n"/>
      <c r="Q19" s="259">
        <f>IFERROR(R19/H19, 0)</f>
        <v/>
      </c>
      <c r="R19" s="260" t="n">
        <v>18113.7</v>
      </c>
      <c r="S19" s="261" t="n">
        <v>18056</v>
      </c>
      <c r="T19" s="261">
        <f>IFERROR(S19*R19, 0)</f>
        <v/>
      </c>
      <c r="U19" s="48" t="n"/>
      <c r="V19" s="49" t="n"/>
      <c r="W19" s="50" t="n"/>
      <c r="X19" s="51" t="n"/>
      <c r="Y19" s="52" t="n"/>
      <c r="Z19" s="258" t="n"/>
    </row>
    <row r="20" ht="16.5" customFormat="1" customHeight="1" s="257">
      <c r="A20" s="79" t="n"/>
      <c r="B20" s="80" t="n"/>
      <c r="C20" s="81" t="n"/>
      <c r="D20" s="81" t="n"/>
      <c r="E20" s="258" t="n"/>
      <c r="F20" s="82" t="n"/>
      <c r="G20" s="258" t="n"/>
      <c r="H20" s="83" t="n">
        <v>427</v>
      </c>
      <c r="I20" s="42" t="inlineStr"/>
      <c r="J20" s="42" t="inlineStr"/>
      <c r="K20" s="44" t="inlineStr">
        <is>
          <t>5IN GREEN TEA MF MATTRESS TW</t>
        </is>
      </c>
      <c r="L20" s="84" t="inlineStr">
        <is>
          <t>ZU-MFMA1ZZI-05T</t>
        </is>
      </c>
      <c r="M20" s="85" t="inlineStr">
        <is>
          <t>8VH5JQ8T</t>
        </is>
      </c>
      <c r="N20" s="44" t="inlineStr">
        <is>
          <t>F.MFM.05T.007.AD</t>
        </is>
      </c>
      <c r="O20" s="86" t="n"/>
      <c r="P20" s="86" t="n"/>
      <c r="Q20" s="259">
        <f>IFERROR(R20/H20, 0)</f>
        <v/>
      </c>
      <c r="R20" s="260" t="n">
        <v>10102.82</v>
      </c>
      <c r="S20" s="261" t="n">
        <v>18056</v>
      </c>
      <c r="T20" s="261">
        <f>IFERROR(S20*R20, 0)</f>
        <v/>
      </c>
      <c r="U20" s="48" t="n"/>
      <c r="V20" s="49" t="n"/>
      <c r="W20" s="50" t="n"/>
      <c r="X20" s="51" t="n"/>
      <c r="Y20" s="52" t="n"/>
      <c r="Z20" s="258" t="n"/>
    </row>
    <row r="21" ht="16.5" customFormat="1" customHeight="1" s="257">
      <c r="A21" s="79" t="n"/>
      <c r="B21" s="80" t="n"/>
      <c r="C21" s="81" t="n"/>
      <c r="D21" s="81" t="n"/>
      <c r="E21" s="258" t="n"/>
      <c r="F21" s="82" t="n"/>
      <c r="G21" s="258" t="n"/>
      <c r="H21" s="83" t="n">
        <v>1</v>
      </c>
      <c r="I21" s="42" t="inlineStr"/>
      <c r="J21" s="42" t="inlineStr"/>
      <c r="K21" s="44" t="inlineStr">
        <is>
          <t>12IN GREEN TEA MF MATTRESS QN</t>
        </is>
      </c>
      <c r="L21" s="84" t="inlineStr">
        <is>
          <t>ZU-MFMA1ZZI-12Q</t>
        </is>
      </c>
      <c r="M21" s="85" t="inlineStr">
        <is>
          <t>8VH5JQ8T</t>
        </is>
      </c>
      <c r="N21" s="44" t="inlineStr">
        <is>
          <t>F.MFM.12Q.006.AD</t>
        </is>
      </c>
      <c r="O21" s="86" t="n"/>
      <c r="P21" s="86" t="n"/>
      <c r="Q21" s="259">
        <f>IFERROR(R21/H21, 0)</f>
        <v/>
      </c>
      <c r="R21" s="260" t="n">
        <v>83.79000000000001</v>
      </c>
      <c r="S21" s="261" t="n">
        <v>18056</v>
      </c>
      <c r="T21" s="261">
        <f>IFERROR(S21*R21, 0)</f>
        <v/>
      </c>
      <c r="U21" s="48" t="n"/>
      <c r="V21" s="49" t="n"/>
      <c r="W21" s="50" t="n"/>
      <c r="X21" s="51" t="n"/>
      <c r="Y21" s="52" t="n"/>
      <c r="Z21" s="258" t="n"/>
    </row>
    <row r="22" ht="17.1" customFormat="1" customHeight="1" s="257">
      <c r="A22" s="64" t="n"/>
      <c r="B22" s="65" t="n"/>
      <c r="C22" s="269" t="n"/>
      <c r="D22" s="269" t="n"/>
      <c r="E22" s="270" t="n"/>
      <c r="F22" s="270" t="n"/>
      <c r="G22" s="270" t="n"/>
      <c r="H22" s="271">
        <f>SUM(H12:H21)</f>
        <v/>
      </c>
      <c r="I22" s="69">
        <f>COUNTA(I12:I21)</f>
        <v/>
      </c>
      <c r="J22" s="68" t="n"/>
      <c r="K22" s="68" t="n"/>
      <c r="L22" s="272" t="n"/>
      <c r="M22" s="273" t="n"/>
      <c r="N22" s="68" t="n"/>
      <c r="O22" s="274">
        <f>SUM(O12:O21)</f>
        <v/>
      </c>
      <c r="P22" s="274">
        <f>SUM(P12:P21)</f>
        <v/>
      </c>
      <c r="Q22" s="275" t="n"/>
      <c r="R22" s="276">
        <f>SUM(R12:R21)</f>
        <v/>
      </c>
      <c r="S22" s="277" t="n"/>
      <c r="T22" s="277">
        <f>SUM(T12:T21)</f>
        <v/>
      </c>
      <c r="U22" s="68" t="n"/>
      <c r="V22" s="75" t="n"/>
      <c r="W22" s="76" t="n"/>
      <c r="X22" s="77" t="n"/>
      <c r="Y22" s="278" t="n"/>
      <c r="Z22" s="279" t="n"/>
    </row>
    <row r="23" ht="16.5" customFormat="1" customHeight="1" s="262">
      <c r="A23" s="79" t="n">
        <v>2</v>
      </c>
      <c r="B23" s="80" t="inlineStr">
        <is>
          <t>000030ZIK48020260722000505</t>
        </is>
      </c>
      <c r="C23" s="263" t="n">
        <v>457069</v>
      </c>
      <c r="D23" s="263" t="n">
        <v>457014</v>
      </c>
      <c r="E23" s="264" t="n">
        <v>46226</v>
      </c>
      <c r="F23" s="265" t="inlineStr">
        <is>
          <t>ID2607-7887</t>
        </is>
      </c>
      <c r="G23" s="264" t="n">
        <v>46225</v>
      </c>
      <c r="H23" s="42" t="n">
        <v>1</v>
      </c>
      <c r="I23" s="42" t="inlineStr">
        <is>
          <t>EMCU0087902</t>
        </is>
      </c>
      <c r="J23" s="42" t="inlineStr">
        <is>
          <t>40FT</t>
        </is>
      </c>
      <c r="K23" s="44" t="inlineStr">
        <is>
          <t>8IN MYGEL FOAM MATTRESS TW</t>
        </is>
      </c>
      <c r="L23" s="266" t="inlineStr">
        <is>
          <t>ZU-MFGN1YZI-08T</t>
        </is>
      </c>
      <c r="M23" s="42" t="inlineStr">
        <is>
          <t>1CPXSUHR</t>
        </is>
      </c>
      <c r="N23" s="44" t="inlineStr">
        <is>
          <t>F.MFG.08T.003.AD</t>
        </is>
      </c>
      <c r="O23" s="86" t="n">
        <v>70550.23</v>
      </c>
      <c r="P23" s="86" t="n">
        <v>61053.73</v>
      </c>
      <c r="Q23" s="259">
        <f>IFERROR(R23/H23, 0)</f>
        <v/>
      </c>
      <c r="R23" s="260" t="n">
        <v>35.93</v>
      </c>
      <c r="S23" s="261" t="n">
        <v>18056</v>
      </c>
      <c r="T23" s="261">
        <f>IFERROR(S23*R23, 0)</f>
        <v/>
      </c>
      <c r="U23" s="48" t="inlineStr">
        <is>
          <t>040300/KPPBC</t>
        </is>
      </c>
      <c r="V23" s="49" t="inlineStr">
        <is>
          <t>TG. PRIOK</t>
        </is>
      </c>
      <c r="W23" s="50" t="inlineStr">
        <is>
          <t>SAVANNAH</t>
        </is>
      </c>
      <c r="X23" s="51" t="inlineStr">
        <is>
          <t>AMAZON.COM SERVICES LLC</t>
        </is>
      </c>
      <c r="Y23" s="267" t="inlineStr">
        <is>
          <t>EGLV080600449962</t>
        </is>
      </c>
      <c r="Z23" s="268" t="n">
        <v>46226</v>
      </c>
    </row>
    <row r="24" ht="16.5" customFormat="1" customHeight="1" s="262">
      <c r="A24" s="79" t="n"/>
      <c r="B24" s="80" t="n"/>
      <c r="C24" s="81" t="n"/>
      <c r="D24" s="81" t="n"/>
      <c r="E24" s="258" t="n"/>
      <c r="F24" s="82" t="n"/>
      <c r="G24" s="258" t="n"/>
      <c r="H24" s="83" t="n">
        <v>6</v>
      </c>
      <c r="I24" s="42" t="inlineStr">
        <is>
          <t>GAOU6330736</t>
        </is>
      </c>
      <c r="J24" s="42" t="inlineStr">
        <is>
          <t>40FT</t>
        </is>
      </c>
      <c r="K24" s="44" t="inlineStr">
        <is>
          <t>8IN GREEN TEA MF MATTRESS SQ</t>
        </is>
      </c>
      <c r="L24" s="84" t="inlineStr">
        <is>
          <t>ZU-MFMA1FZI-08S</t>
        </is>
      </c>
      <c r="M24" s="42" t="inlineStr">
        <is>
          <t>1CPXSUHR</t>
        </is>
      </c>
      <c r="N24" s="44" t="inlineStr">
        <is>
          <t>F.MFM.08S.012.AD</t>
        </is>
      </c>
      <c r="O24" s="86" t="n"/>
      <c r="P24" s="86" t="n"/>
      <c r="Q24" s="259">
        <f>IFERROR(R24/H24, 0)</f>
        <v/>
      </c>
      <c r="R24" s="260" t="n">
        <v>372.9</v>
      </c>
      <c r="S24" s="261" t="n">
        <v>18056</v>
      </c>
      <c r="T24" s="261">
        <f>IFERROR(S24*R24, 0)</f>
        <v/>
      </c>
      <c r="U24" s="48" t="n"/>
      <c r="V24" s="49" t="n"/>
      <c r="W24" s="50" t="inlineStr">
        <is>
          <t>ETD : 27-07-2026</t>
        </is>
      </c>
      <c r="X24" s="51" t="n"/>
      <c r="Y24" s="52" t="n"/>
      <c r="Z24" s="258" t="n"/>
    </row>
    <row r="25" ht="16.5" customHeight="1" s="223" thickBot="1">
      <c r="A25" s="79" t="n"/>
      <c r="B25" s="80" t="n"/>
      <c r="C25" s="280" t="n"/>
      <c r="D25" s="281" t="n"/>
      <c r="E25" s="282" t="n"/>
      <c r="F25" s="283" t="n"/>
      <c r="G25" s="282" t="n"/>
      <c r="H25" s="51" t="n">
        <v>1</v>
      </c>
      <c r="I25" s="51" t="inlineStr">
        <is>
          <t>EISU8561414</t>
        </is>
      </c>
      <c r="J25" s="51" t="inlineStr">
        <is>
          <t>40FT</t>
        </is>
      </c>
      <c r="K25" s="284" t="inlineStr">
        <is>
          <t>10IN OPP HD FL</t>
        </is>
      </c>
      <c r="L25" s="285" t="inlineStr">
        <is>
          <t>ZU-MFMA1OZI-10F</t>
        </is>
      </c>
      <c r="M25" s="51" t="inlineStr">
        <is>
          <t>1CPXSUHR</t>
        </is>
      </c>
      <c r="N25" s="284" t="inlineStr">
        <is>
          <t>F.MFM.10F.013.AD</t>
        </is>
      </c>
      <c r="O25" s="286" t="n"/>
      <c r="P25" s="286" t="n"/>
      <c r="Q25" s="287">
        <f>IFERROR(R25/H25, 0)</f>
        <v/>
      </c>
      <c r="R25" s="288" t="n">
        <v>47.91</v>
      </c>
      <c r="S25" s="289" t="n">
        <v>18056</v>
      </c>
      <c r="T25" s="289">
        <f>IFERROR(S25*R25, 0)</f>
        <v/>
      </c>
      <c r="U25" s="290" t="n"/>
      <c r="V25" s="52" t="n"/>
      <c r="W25" s="291" t="n"/>
      <c r="X25" s="292" t="n"/>
      <c r="Y25" s="293" t="n"/>
      <c r="Z25" s="294" t="n"/>
    </row>
    <row r="26" ht="16.5" customFormat="1" customHeight="1" s="231" thickBot="1">
      <c r="A26" s="79" t="n"/>
      <c r="B26" s="80" t="n"/>
      <c r="C26" s="295" t="n"/>
      <c r="D26" s="295" t="n"/>
      <c r="E26" s="268" t="n"/>
      <c r="F26" s="296" t="n"/>
      <c r="G26" s="268" t="n"/>
      <c r="H26" s="297" t="n">
        <v>2</v>
      </c>
      <c r="I26" s="297" t="inlineStr">
        <is>
          <t>EITU1674433</t>
        </is>
      </c>
      <c r="J26" s="51" t="inlineStr">
        <is>
          <t>40FT</t>
        </is>
      </c>
      <c r="K26" s="284" t="inlineStr">
        <is>
          <t>10IN AIRFLOW GEL FOAM MATT QN</t>
        </is>
      </c>
      <c r="L26" s="285" t="inlineStr">
        <is>
          <t>ZU-MFMA1RZI-10Q</t>
        </is>
      </c>
      <c r="M26" s="51" t="inlineStr">
        <is>
          <t>1CPXSUHR</t>
        </is>
      </c>
      <c r="N26" s="284" t="inlineStr">
        <is>
          <t>F.MFM.10Q.014.AD</t>
        </is>
      </c>
      <c r="O26" s="298" t="n"/>
      <c r="P26" s="298" t="n"/>
      <c r="Q26" s="299">
        <f>IFERROR(R26/H26, 0)</f>
        <v/>
      </c>
      <c r="R26" s="300" t="n">
        <v>107.8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79" t="n"/>
      <c r="B27" s="80" t="n"/>
      <c r="C27" s="281" t="n"/>
      <c r="D27" s="304" t="n"/>
      <c r="E27" s="282" t="n"/>
      <c r="F27" s="283" t="n"/>
      <c r="G27" s="282" t="n"/>
      <c r="H27" s="305" t="n">
        <v>311</v>
      </c>
      <c r="I27" s="305" t="inlineStr">
        <is>
          <t>TCKU6083451</t>
        </is>
      </c>
      <c r="J27" s="305" t="inlineStr">
        <is>
          <t>40FT</t>
        </is>
      </c>
      <c r="K27" s="284" t="inlineStr">
        <is>
          <t>6IN GREEN TEA MF MATTRESS FL</t>
        </is>
      </c>
      <c r="L27" s="285" t="inlineStr">
        <is>
          <t>ZU-MFMA1ZZI-06F</t>
        </is>
      </c>
      <c r="M27" s="51" t="inlineStr">
        <is>
          <t>1CPXSUHR</t>
        </is>
      </c>
      <c r="N27" s="284" t="inlineStr">
        <is>
          <t>F.MFM.06F.007.AD</t>
        </is>
      </c>
      <c r="O27" s="306" t="n"/>
      <c r="P27" s="306" t="n"/>
      <c r="Q27" s="299">
        <f>IFERROR(R27/H27, 0)</f>
        <v/>
      </c>
      <c r="R27" s="307" t="n">
        <v>11920.63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79" t="n"/>
      <c r="B28" s="80" t="n"/>
      <c r="C28" s="281" t="n"/>
      <c r="D28" s="304" t="n"/>
      <c r="E28" s="282" t="n"/>
      <c r="F28" s="283" t="n"/>
      <c r="G28" s="282" t="n"/>
      <c r="H28" s="305" t="n">
        <v>355</v>
      </c>
      <c r="I28" s="305" t="inlineStr">
        <is>
          <t>EITU1661164</t>
        </is>
      </c>
      <c r="J28" s="305" t="inlineStr">
        <is>
          <t>40FT</t>
        </is>
      </c>
      <c r="K28" s="284" t="inlineStr">
        <is>
          <t>8IN GREEN TEA MF MATTRESS FL</t>
        </is>
      </c>
      <c r="L28" s="285" t="inlineStr">
        <is>
          <t>ZU-MFMA1ZZI-08F</t>
        </is>
      </c>
      <c r="M28" s="51" t="inlineStr">
        <is>
          <t>1CPXSUHR</t>
        </is>
      </c>
      <c r="N28" s="284" t="inlineStr">
        <is>
          <t>F.MFM.08F.008.AD</t>
        </is>
      </c>
      <c r="O28" s="306" t="n"/>
      <c r="P28" s="306" t="n"/>
      <c r="Q28" s="299">
        <f>IFERROR(R28/H28, 0)</f>
        <v/>
      </c>
      <c r="R28" s="307" t="n">
        <v>19876.45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79" t="n"/>
      <c r="B29" s="80" t="n"/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GREEN TEA MF MATTRESS EK</t>
        </is>
      </c>
      <c r="L29" s="310" t="inlineStr">
        <is>
          <t>ZU-MFMA1ZZI-12K</t>
        </is>
      </c>
      <c r="M29" s="311" t="inlineStr">
        <is>
          <t>1CPXSUHR</t>
        </is>
      </c>
      <c r="N29" s="309" t="inlineStr">
        <is>
          <t>F.MFM.12K.006.AD</t>
        </is>
      </c>
      <c r="O29" s="306" t="n"/>
      <c r="P29" s="306" t="n"/>
      <c r="Q29" s="312">
        <f>IFERROR(R29/H29, 0)</f>
        <v/>
      </c>
      <c r="R29" s="307" t="n">
        <v>101.97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79" t="n"/>
      <c r="B30" s="80" t="n"/>
      <c r="C30" s="281" t="n"/>
      <c r="D30" s="281" t="n"/>
      <c r="E30" s="282" t="n"/>
      <c r="F30" s="283" t="n"/>
      <c r="G30" s="282" t="n"/>
      <c r="H30" s="305" t="n">
        <v>5</v>
      </c>
      <c r="I30" s="305" t="inlineStr"/>
      <c r="J30" s="305" t="inlineStr"/>
      <c r="K30" s="284" t="inlineStr">
        <is>
          <t>8IN GREEN TEA MF MATTRESS SQ</t>
        </is>
      </c>
      <c r="L30" s="285" t="inlineStr">
        <is>
          <t>ZU-MFMA1FZI-08S</t>
        </is>
      </c>
      <c r="M30" s="51" t="inlineStr">
        <is>
          <t>23OYBVEV</t>
        </is>
      </c>
      <c r="N30" s="309" t="inlineStr">
        <is>
          <t>F.MFM.08S.012.AD</t>
        </is>
      </c>
      <c r="O30" s="306" t="n"/>
      <c r="P30" s="306" t="n"/>
      <c r="Q30" s="312">
        <f>IFERROR(R30/H30, 0)</f>
        <v/>
      </c>
      <c r="R30" s="260" t="n">
        <v>310.75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79" t="n"/>
      <c r="B31" s="80" t="n"/>
      <c r="C31" s="281" t="n"/>
      <c r="D31" s="281" t="n"/>
      <c r="E31" s="282" t="n"/>
      <c r="F31" s="283" t="n"/>
      <c r="G31" s="282" t="n"/>
      <c r="H31" s="51" t="n">
        <v>197</v>
      </c>
      <c r="I31" s="51" t="inlineStr"/>
      <c r="J31" s="311" t="inlineStr"/>
      <c r="K31" s="284" t="inlineStr">
        <is>
          <t>8IN OPP HD FL</t>
        </is>
      </c>
      <c r="L31" s="285" t="inlineStr">
        <is>
          <t>ZU-MFMA1OZI-08F</t>
        </is>
      </c>
      <c r="M31" s="51" t="inlineStr">
        <is>
          <t>23OYBVEV</t>
        </is>
      </c>
      <c r="N31" s="284" t="inlineStr">
        <is>
          <t>F.MFM.08F.013.AD</t>
        </is>
      </c>
      <c r="O31" s="306" t="n"/>
      <c r="P31" s="86" t="n"/>
      <c r="Q31" s="318">
        <f>IFERROR(R31/H31, 0)</f>
        <v/>
      </c>
      <c r="R31" s="260" t="n">
        <v>7669.21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80" t="n"/>
      <c r="C32" s="295" t="n"/>
      <c r="D32" s="304" t="n"/>
      <c r="E32" s="317" t="n"/>
      <c r="F32" s="320" t="n"/>
      <c r="G32" s="282" t="n"/>
      <c r="H32" s="51" t="n">
        <v>18</v>
      </c>
      <c r="I32" s="51" t="inlineStr"/>
      <c r="J32" s="311" t="inlineStr"/>
      <c r="K32" s="284" t="inlineStr">
        <is>
          <t>8IN OPP HD QN</t>
        </is>
      </c>
      <c r="L32" s="285" t="inlineStr">
        <is>
          <t>ZU-MFMA1OZI-08Q</t>
        </is>
      </c>
      <c r="M32" s="51" t="inlineStr">
        <is>
          <t>23OYBVEV</t>
        </is>
      </c>
      <c r="N32" s="284" t="inlineStr">
        <is>
          <t>F.MFM.08Q.013.AD</t>
        </is>
      </c>
      <c r="O32" s="306" t="n"/>
      <c r="P32" s="86" t="n"/>
      <c r="Q32" s="318">
        <f>IFERROR(R32/H32, 0)</f>
        <v/>
      </c>
      <c r="R32" s="260" t="n">
        <v>1010.52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1" t="n"/>
      <c r="C33" s="295" t="n"/>
      <c r="D33" s="304" t="n"/>
      <c r="E33" s="317" t="n"/>
      <c r="F33" s="320" t="n"/>
      <c r="G33" s="317" t="n"/>
      <c r="H33" s="51" t="n">
        <v>1</v>
      </c>
      <c r="I33" s="51" t="inlineStr"/>
      <c r="J33" s="311" t="inlineStr"/>
      <c r="K33" s="284" t="inlineStr">
        <is>
          <t>12IN OPP HD QN</t>
        </is>
      </c>
      <c r="L33" s="285" t="inlineStr">
        <is>
          <t>ZU-MFMA1OZI-12Q</t>
        </is>
      </c>
      <c r="M33" s="51" t="inlineStr">
        <is>
          <t>23OYBVEV</t>
        </is>
      </c>
      <c r="N33" s="284" t="inlineStr">
        <is>
          <t>F.MFM.12Q.010.AD</t>
        </is>
      </c>
      <c r="O33" s="306" t="n"/>
      <c r="P33" s="86" t="n"/>
      <c r="Q33" s="318">
        <f>IFERROR(R33/H33, 0)</f>
        <v/>
      </c>
      <c r="R33" s="260" t="n">
        <v>67.56999999999999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1" t="n"/>
      <c r="C34" s="295" t="n"/>
      <c r="D34" s="304" t="n"/>
      <c r="E34" s="317" t="n"/>
      <c r="F34" s="320" t="n"/>
      <c r="G34" s="317" t="n"/>
      <c r="H34" s="311" t="n">
        <v>2</v>
      </c>
      <c r="I34" s="311" t="inlineStr"/>
      <c r="J34" s="311" t="inlineStr"/>
      <c r="K34" s="284" t="inlineStr">
        <is>
          <t>10IN AIRFLOW GEL FOAM MATT EK</t>
        </is>
      </c>
      <c r="L34" s="285" t="inlineStr">
        <is>
          <t>ZU-MFMA1RZI-10K</t>
        </is>
      </c>
      <c r="M34" s="51" t="inlineStr">
        <is>
          <t>23OYBVEV</t>
        </is>
      </c>
      <c r="N34" s="284" t="inlineStr">
        <is>
          <t>F.MFM.10K.014.AD</t>
        </is>
      </c>
      <c r="O34" s="306" t="n"/>
      <c r="P34" s="86" t="n"/>
      <c r="Q34" s="318">
        <f>IFERROR(R34/H34, 0)</f>
        <v/>
      </c>
      <c r="R34" s="260" t="n">
        <v>131.76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1" t="n"/>
      <c r="C35" s="295" t="n"/>
      <c r="D35" s="304" t="n"/>
      <c r="E35" s="317" t="n"/>
      <c r="F35" s="320" t="n"/>
      <c r="G35" s="317" t="n"/>
      <c r="H35" s="311" t="n">
        <v>302</v>
      </c>
      <c r="I35" s="311" t="inlineStr"/>
      <c r="J35" s="311" t="inlineStr"/>
      <c r="K35" s="284" t="inlineStr">
        <is>
          <t>6IN MYGEL FOAM MATTRESS FL</t>
        </is>
      </c>
      <c r="L35" s="285" t="inlineStr">
        <is>
          <t>ZU-MFGN1YZI-06F</t>
        </is>
      </c>
      <c r="M35" s="51" t="inlineStr">
        <is>
          <t>299957YO</t>
        </is>
      </c>
      <c r="N35" s="284" t="inlineStr">
        <is>
          <t>F.MFG.06F.002.AD</t>
        </is>
      </c>
      <c r="O35" s="306" t="n"/>
      <c r="P35" s="86" t="n"/>
      <c r="Q35" s="318">
        <f>IFERROR(R35/H35, 0)</f>
        <v/>
      </c>
      <c r="R35" s="260" t="n">
        <v>11756.86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1" t="n"/>
      <c r="C36" s="295" t="n"/>
      <c r="D36" s="304" t="n"/>
      <c r="E36" s="317" t="n"/>
      <c r="F36" s="320" t="n"/>
      <c r="G36" s="317" t="n"/>
      <c r="H36" s="311" t="n">
        <v>450</v>
      </c>
      <c r="I36" s="311" t="inlineStr"/>
      <c r="J36" s="311" t="inlineStr"/>
      <c r="K36" s="284" t="inlineStr">
        <is>
          <t>8IN OPP HD FL</t>
        </is>
      </c>
      <c r="L36" s="285" t="inlineStr">
        <is>
          <t>ZU-MFMA1OZI-08F</t>
        </is>
      </c>
      <c r="M36" s="51" t="inlineStr">
        <is>
          <t>299957YO</t>
        </is>
      </c>
      <c r="N36" s="284" t="inlineStr">
        <is>
          <t>F.MFM.08F.013.AD</t>
        </is>
      </c>
      <c r="O36" s="306" t="n"/>
      <c r="P36" s="86" t="n"/>
      <c r="Q36" s="318">
        <f>IFERROR(R36/H36, 0)</f>
        <v/>
      </c>
      <c r="R36" s="260" t="n">
        <v>17518.5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1" t="n"/>
      <c r="C37" s="295" t="n"/>
      <c r="D37" s="304" t="n"/>
      <c r="E37" s="317" t="n"/>
      <c r="F37" s="320" t="n"/>
      <c r="G37" s="317" t="n"/>
      <c r="H37" s="311" t="n">
        <v>1</v>
      </c>
      <c r="I37" s="311" t="inlineStr"/>
      <c r="J37" s="311" t="inlineStr"/>
      <c r="K37" s="284" t="inlineStr">
        <is>
          <t>8IN GREEN TEA MF MATTRESS SQ</t>
        </is>
      </c>
      <c r="L37" s="285" t="inlineStr">
        <is>
          <t>ZU-MFMA1ZZI-08S</t>
        </is>
      </c>
      <c r="M37" s="51" t="inlineStr">
        <is>
          <t>299957YO</t>
        </is>
      </c>
      <c r="N37" s="284" t="inlineStr">
        <is>
          <t>F.MFM.08S.011.AD</t>
        </is>
      </c>
      <c r="O37" s="306" t="n"/>
      <c r="P37" s="86" t="n"/>
      <c r="Q37" s="318">
        <f>IFERROR(R37/H37, 0)</f>
        <v/>
      </c>
      <c r="R37" s="260" t="n">
        <v>59.1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1" t="n"/>
      <c r="C38" s="295" t="n"/>
      <c r="D38" s="304" t="n"/>
      <c r="E38" s="317" t="n"/>
      <c r="F38" s="320" t="n"/>
      <c r="G38" s="317" t="n"/>
      <c r="H38" s="311" t="n">
        <v>6</v>
      </c>
      <c r="I38" s="311" t="inlineStr"/>
      <c r="J38" s="311" t="inlineStr"/>
      <c r="K38" s="284" t="inlineStr">
        <is>
          <t>10IN GREEN TEA MF MATTRESS EK</t>
        </is>
      </c>
      <c r="L38" s="285" t="inlineStr">
        <is>
          <t>ZU-MFMA1ZZI-10K</t>
        </is>
      </c>
      <c r="M38" s="51" t="inlineStr">
        <is>
          <t>299957YO</t>
        </is>
      </c>
      <c r="N38" s="284" t="inlineStr">
        <is>
          <t>F.MFM.10K.007.AD</t>
        </is>
      </c>
      <c r="O38" s="306" t="n"/>
      <c r="P38" s="306" t="n"/>
      <c r="Q38" s="312">
        <f>IFERROR(R38/H38, 0)</f>
        <v/>
      </c>
      <c r="R38" s="307" t="n">
        <v>582.66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1" t="n"/>
      <c r="C39" s="295" t="n"/>
      <c r="D39" s="295" t="n"/>
      <c r="E39" s="317" t="n"/>
      <c r="F39" s="320" t="n"/>
      <c r="G39" s="317" t="n"/>
      <c r="H39" s="311" t="n">
        <v>149</v>
      </c>
      <c r="I39" s="311" t="inlineStr"/>
      <c r="J39" s="311" t="inlineStr"/>
      <c r="K39" s="309" t="inlineStr">
        <is>
          <t>8IN MYGEL FOAM MATTRESS TW</t>
        </is>
      </c>
      <c r="L39" s="310" t="inlineStr">
        <is>
          <t>ZU-MFGN1YZI-08T</t>
        </is>
      </c>
      <c r="M39" s="311" t="inlineStr">
        <is>
          <t>2OD43VAH</t>
        </is>
      </c>
      <c r="N39" s="309" t="inlineStr">
        <is>
          <t>F.MFG.08T.003.AD</t>
        </is>
      </c>
      <c r="O39" s="306" t="n"/>
      <c r="P39" s="306" t="n"/>
      <c r="Q39" s="312">
        <f>IFERROR(R39/H39, 0)</f>
        <v/>
      </c>
      <c r="R39" s="307" t="n">
        <v>5353.57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2" t="n"/>
      <c r="B40" s="321" t="n"/>
      <c r="C40" s="295" t="n"/>
      <c r="D40" s="295" t="n"/>
      <c r="E40" s="268" t="n"/>
      <c r="F40" s="296" t="n"/>
      <c r="G40" s="268" t="n"/>
      <c r="H40" s="51" t="n">
        <v>2</v>
      </c>
      <c r="I40" s="51" t="inlineStr"/>
      <c r="J40" s="51" t="inlineStr"/>
      <c r="K40" s="284" t="inlineStr">
        <is>
          <t>10IN OPP HD FL</t>
        </is>
      </c>
      <c r="L40" s="285" t="inlineStr">
        <is>
          <t>ZU-MFMA1OZI-10F</t>
        </is>
      </c>
      <c r="M40" s="51" t="inlineStr">
        <is>
          <t>2OD43VAH</t>
        </is>
      </c>
      <c r="N40" s="284" t="inlineStr">
        <is>
          <t>F.MFM.10F.013.AD</t>
        </is>
      </c>
      <c r="O40" s="86" t="n"/>
      <c r="P40" s="86" t="n"/>
      <c r="Q40" s="318">
        <f>IFERROR(R40/H40, 0)</f>
        <v/>
      </c>
      <c r="R40" s="260" t="n">
        <v>95.81999999999999</v>
      </c>
      <c r="S40" s="261" t="n">
        <v>18056</v>
      </c>
      <c r="T40" s="261">
        <f>IFERROR(S40*R40, 0)</f>
        <v/>
      </c>
      <c r="U40" s="314" t="n"/>
      <c r="V40" s="267" t="n"/>
      <c r="W40" s="323" t="n"/>
      <c r="X40" s="51" t="n"/>
      <c r="Y40" s="267" t="n"/>
      <c r="Z40" s="268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2" t="n"/>
      <c r="B41" s="324" t="n"/>
      <c r="C41" s="304" t="n"/>
      <c r="D41" s="304" t="n"/>
      <c r="E41" s="317" t="n"/>
      <c r="F41" s="320" t="n"/>
      <c r="G41" s="317" t="n"/>
      <c r="H41" s="311" t="n">
        <v>400</v>
      </c>
      <c r="I41" s="311" t="inlineStr"/>
      <c r="J41" s="311" t="inlineStr"/>
      <c r="K41" s="309" t="inlineStr">
        <is>
          <t>12IN OPP HD QN</t>
        </is>
      </c>
      <c r="L41" s="310" t="inlineStr">
        <is>
          <t>ZU-MFMA1OZI-12Q</t>
        </is>
      </c>
      <c r="M41" s="311" t="inlineStr">
        <is>
          <t>2OD43VAH</t>
        </is>
      </c>
      <c r="N41" s="309" t="inlineStr">
        <is>
          <t>F.MFM.12Q.010.AD</t>
        </is>
      </c>
      <c r="O41" s="306" t="n"/>
      <c r="P41" s="306" t="n"/>
      <c r="Q41" s="312">
        <f>IFERROR(R41/H41, 0)</f>
        <v/>
      </c>
      <c r="R41" s="307" t="n">
        <v>27028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2" t="n"/>
      <c r="B42" s="324" t="n"/>
      <c r="C42" s="304" t="n"/>
      <c r="D42" s="304" t="n"/>
      <c r="E42" s="317" t="n"/>
      <c r="F42" s="320" t="n"/>
      <c r="G42" s="317" t="n"/>
      <c r="H42" s="311" t="n">
        <v>1</v>
      </c>
      <c r="I42" s="311" t="inlineStr"/>
      <c r="J42" s="311" t="inlineStr"/>
      <c r="K42" s="309" t="inlineStr">
        <is>
          <t>10IN AIRFLOW GEL FOAM MATT QN</t>
        </is>
      </c>
      <c r="L42" s="310" t="inlineStr">
        <is>
          <t>ZU-MFMA1RZI-10Q</t>
        </is>
      </c>
      <c r="M42" s="311" t="inlineStr">
        <is>
          <t>2OD43VAH</t>
        </is>
      </c>
      <c r="N42" s="309" t="inlineStr">
        <is>
          <t>F.MFM.10Q.014.AD</t>
        </is>
      </c>
      <c r="O42" s="306" t="n"/>
      <c r="P42" s="306" t="n"/>
      <c r="Q42" s="312">
        <f>IFERROR(R42/H42, 0)</f>
        <v/>
      </c>
      <c r="R42" s="307" t="n">
        <v>53.9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2" t="n"/>
      <c r="B43" s="324" t="n"/>
      <c r="C43" s="304" t="n"/>
      <c r="D43" s="304" t="n"/>
      <c r="E43" s="317" t="n"/>
      <c r="F43" s="320" t="n"/>
      <c r="G43" s="317" t="n"/>
      <c r="H43" s="311" t="n">
        <v>1</v>
      </c>
      <c r="I43" s="311" t="inlineStr"/>
      <c r="J43" s="311" t="inlineStr"/>
      <c r="K43" s="309" t="inlineStr">
        <is>
          <t>12IN AIRFLOW GEL FOAM MATT QN</t>
        </is>
      </c>
      <c r="L43" s="310" t="inlineStr">
        <is>
          <t>ZU-MFMA1RZI-12Q</t>
        </is>
      </c>
      <c r="M43" s="311" t="inlineStr">
        <is>
          <t>2OD43VAH</t>
        </is>
      </c>
      <c r="N43" s="309" t="inlineStr">
        <is>
          <t>F.MFM.12Q.011.AD</t>
        </is>
      </c>
      <c r="O43" s="306" t="n"/>
      <c r="P43" s="306" t="n"/>
      <c r="Q43" s="312">
        <f>IFERROR(R43/H43, 0)</f>
        <v/>
      </c>
      <c r="R43" s="307" t="n">
        <v>67.56999999999999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2" t="n"/>
      <c r="B44" s="324" t="n"/>
      <c r="C44" s="304" t="n"/>
      <c r="D44" s="304" t="n"/>
      <c r="E44" s="317" t="n"/>
      <c r="F44" s="320" t="n"/>
      <c r="G44" s="317" t="n"/>
      <c r="H44" s="311" t="n">
        <v>1</v>
      </c>
      <c r="I44" s="311" t="inlineStr"/>
      <c r="J44" s="311" t="inlineStr"/>
      <c r="K44" s="309" t="inlineStr">
        <is>
          <t>8IN GREEN TEA MF MATTRESS SQ</t>
        </is>
      </c>
      <c r="L44" s="310" t="inlineStr">
        <is>
          <t>ZU-MFMA1ZZI-08S</t>
        </is>
      </c>
      <c r="M44" s="311" t="inlineStr">
        <is>
          <t>2OD43VAH</t>
        </is>
      </c>
      <c r="N44" s="309" t="inlineStr">
        <is>
          <t>F.MFM.08S.011.AD</t>
        </is>
      </c>
      <c r="O44" s="306" t="n"/>
      <c r="P44" s="306" t="n"/>
      <c r="Q44" s="312">
        <f>IFERROR(R44/H44, 0)</f>
        <v/>
      </c>
      <c r="R44" s="307" t="n">
        <v>59.1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2" t="n"/>
      <c r="B45" s="324" t="n"/>
      <c r="C45" s="304" t="n"/>
      <c r="D45" s="304" t="n"/>
      <c r="E45" s="317" t="n"/>
      <c r="F45" s="320" t="n"/>
      <c r="G45" s="317" t="n"/>
      <c r="H45" s="311" t="n">
        <v>368</v>
      </c>
      <c r="I45" s="311" t="inlineStr"/>
      <c r="J45" s="311" t="inlineStr"/>
      <c r="K45" s="309" t="inlineStr">
        <is>
          <t>8IN OPP HD FL</t>
        </is>
      </c>
      <c r="L45" s="310" t="inlineStr">
        <is>
          <t>ZU-MFMA1OZI-08F</t>
        </is>
      </c>
      <c r="M45" s="311" t="inlineStr">
        <is>
          <t>2XLW4FKE</t>
        </is>
      </c>
      <c r="N45" s="309" t="inlineStr">
        <is>
          <t>F.MFM.08F.013.AD</t>
        </is>
      </c>
      <c r="O45" s="306" t="n"/>
      <c r="P45" s="306" t="n"/>
      <c r="Q45" s="312">
        <f>IFERROR(R45/H45, 0)</f>
        <v/>
      </c>
      <c r="R45" s="307" t="n">
        <v>14326.24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6.5" customHeight="1" s="223">
      <c r="A46" s="322" t="n"/>
      <c r="B46" s="324" t="n"/>
      <c r="C46" s="304" t="n"/>
      <c r="D46" s="304" t="n"/>
      <c r="E46" s="317" t="n"/>
      <c r="F46" s="320" t="n"/>
      <c r="G46" s="317" t="n"/>
      <c r="H46" s="311" t="n">
        <v>198</v>
      </c>
      <c r="I46" s="311" t="inlineStr"/>
      <c r="J46" s="311" t="inlineStr"/>
      <c r="K46" s="309" t="inlineStr">
        <is>
          <t>12IN OPP HD QN</t>
        </is>
      </c>
      <c r="L46" s="310" t="inlineStr">
        <is>
          <t>ZU-MFMA1OZI-12Q</t>
        </is>
      </c>
      <c r="M46" s="311" t="inlineStr">
        <is>
          <t>2XLW4FKE</t>
        </is>
      </c>
      <c r="N46" s="309" t="inlineStr">
        <is>
          <t>F.MFM.12Q.010.AD</t>
        </is>
      </c>
      <c r="O46" s="306" t="n"/>
      <c r="P46" s="306" t="n"/>
      <c r="Q46" s="312">
        <f>IFERROR(R46/H46, 0)</f>
        <v/>
      </c>
      <c r="R46" s="307" t="n">
        <v>13378.86</v>
      </c>
      <c r="S46" s="308" t="n">
        <v>18056</v>
      </c>
      <c r="T46" s="308">
        <f>IFERROR(S46*R46, 0)</f>
        <v/>
      </c>
      <c r="U46" s="313" t="n"/>
      <c r="V46" s="315" t="n"/>
      <c r="W46" s="316" t="n"/>
      <c r="X46" s="311" t="n"/>
      <c r="Y46" s="315" t="n"/>
      <c r="Z46" s="317" t="n"/>
    </row>
    <row r="47" ht="16.5" customHeight="1" s="223">
      <c r="A47" s="322" t="n"/>
      <c r="B47" s="324" t="n"/>
      <c r="C47" s="304" t="n"/>
      <c r="D47" s="304" t="n"/>
      <c r="E47" s="317" t="n"/>
      <c r="F47" s="320" t="n"/>
      <c r="G47" s="317" t="n"/>
      <c r="H47" s="311" t="n">
        <v>56</v>
      </c>
      <c r="I47" s="311" t="inlineStr"/>
      <c r="J47" s="311" t="inlineStr"/>
      <c r="K47" s="309" t="inlineStr">
        <is>
          <t>12IN GREEN TEA MF MATTRESS TX</t>
        </is>
      </c>
      <c r="L47" s="310" t="inlineStr">
        <is>
          <t>ZU-MFMA1ZZI-12X</t>
        </is>
      </c>
      <c r="M47" s="311" t="inlineStr">
        <is>
          <t>2XLW4FKE</t>
        </is>
      </c>
      <c r="N47" s="309" t="inlineStr">
        <is>
          <t>F.MFM.12X.006.AD</t>
        </is>
      </c>
      <c r="O47" s="306" t="n"/>
      <c r="P47" s="306" t="n"/>
      <c r="Q47" s="312">
        <f>IFERROR(R47/H47, 0)</f>
        <v/>
      </c>
      <c r="R47" s="307" t="n">
        <v>3264.8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2" t="n"/>
      <c r="B48" s="324" t="n"/>
      <c r="C48" s="304" t="n"/>
      <c r="D48" s="304" t="n"/>
      <c r="E48" s="317" t="n"/>
      <c r="F48" s="320" t="n"/>
      <c r="G48" s="317" t="n"/>
      <c r="H48" s="311" t="n">
        <v>1</v>
      </c>
      <c r="I48" s="311" t="inlineStr"/>
      <c r="J48" s="311" t="inlineStr"/>
      <c r="K48" s="309" t="inlineStr">
        <is>
          <t>5IN OPP HD TW</t>
        </is>
      </c>
      <c r="L48" s="310" t="inlineStr">
        <is>
          <t>ZU-MFMA1OZI-05T</t>
        </is>
      </c>
      <c r="M48" s="311" t="inlineStr">
        <is>
          <t>4JWS37TM</t>
        </is>
      </c>
      <c r="N48" s="309" t="inlineStr">
        <is>
          <t>F.MFM.05T.008.AD</t>
        </is>
      </c>
      <c r="O48" s="306" t="n"/>
      <c r="P48" s="306" t="n"/>
      <c r="Q48" s="312">
        <f>IFERROR(R48/H48, 0)</f>
        <v/>
      </c>
      <c r="R48" s="307" t="n">
        <v>23.95</v>
      </c>
      <c r="S48" s="308" t="n">
        <v>18056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6.5" customHeight="1" s="223">
      <c r="A49" s="322" t="n"/>
      <c r="B49" s="324" t="n"/>
      <c r="C49" s="304" t="n"/>
      <c r="D49" s="304" t="n"/>
      <c r="E49" s="317" t="n"/>
      <c r="F49" s="320" t="n"/>
      <c r="G49" s="317" t="n"/>
      <c r="H49" s="311" t="n">
        <v>1138</v>
      </c>
      <c r="I49" s="311" t="inlineStr"/>
      <c r="J49" s="311" t="inlineStr"/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4JWS37TM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26925.08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7.1" customHeight="1" s="223">
      <c r="A50" s="325" t="n"/>
      <c r="B50" s="326" t="n"/>
      <c r="C50" s="327" t="n"/>
      <c r="D50" s="327" t="n"/>
      <c r="E50" s="328" t="n"/>
      <c r="F50" s="328" t="n"/>
      <c r="G50" s="328" t="n"/>
      <c r="H50" s="329">
        <f>SUM(H23:H49)</f>
        <v/>
      </c>
      <c r="I50" s="330">
        <f>COUNTA(I23:I49)</f>
        <v/>
      </c>
      <c r="J50" s="329" t="n"/>
      <c r="K50" s="329" t="n"/>
      <c r="L50" s="331" t="n"/>
      <c r="M50" s="329" t="n"/>
      <c r="N50" s="329" t="n"/>
      <c r="O50" s="332">
        <f>SUM(O23:O49)</f>
        <v/>
      </c>
      <c r="P50" s="332">
        <f>SUM(P23:P49)</f>
        <v/>
      </c>
      <c r="Q50" s="333" t="n"/>
      <c r="R50" s="334">
        <f>SUM(R23:R49)</f>
        <v/>
      </c>
      <c r="S50" s="335" t="n"/>
      <c r="T50" s="335">
        <f>SUM(T23:T49)</f>
        <v/>
      </c>
      <c r="U50" s="329" t="n"/>
      <c r="V50" s="336" t="n"/>
      <c r="W50" s="337" t="n"/>
      <c r="X50" s="336" t="n"/>
      <c r="Y50" s="336" t="n"/>
      <c r="Z50" s="336" t="n"/>
    </row>
    <row r="51" ht="16.5" customHeight="1" s="223">
      <c r="A51" s="322" t="n">
        <v>3</v>
      </c>
      <c r="B51" s="324" t="inlineStr">
        <is>
          <t>000030ZIK48020260722000506</t>
        </is>
      </c>
      <c r="C51" s="304" t="n">
        <v>454283</v>
      </c>
      <c r="D51" s="304" t="n">
        <v>454227</v>
      </c>
      <c r="E51" s="317" t="n">
        <v>46226</v>
      </c>
      <c r="F51" s="320" t="inlineStr">
        <is>
          <t>ID2607-7885</t>
        </is>
      </c>
      <c r="G51" s="317" t="n">
        <v>46225</v>
      </c>
      <c r="H51" s="311" t="n">
        <v>182</v>
      </c>
      <c r="I51" s="311" t="inlineStr">
        <is>
          <t>MSMU5513960</t>
        </is>
      </c>
      <c r="J51" s="311" t="inlineStr">
        <is>
          <t>40FT</t>
        </is>
      </c>
      <c r="K51" s="309" t="inlineStr">
        <is>
          <t>10IN GREEN TEA MF MATTRESS TX</t>
        </is>
      </c>
      <c r="L51" s="310" t="inlineStr">
        <is>
          <t>OLC-FMS-1000TXL-IN</t>
        </is>
      </c>
      <c r="M51" s="311" t="inlineStr">
        <is>
          <t>5FFUUH8B</t>
        </is>
      </c>
      <c r="N51" s="309" t="inlineStr">
        <is>
          <t>F.MFM.10X.003.BD</t>
        </is>
      </c>
      <c r="O51" s="306" t="n">
        <v>55657.92</v>
      </c>
      <c r="P51" s="306" t="n">
        <v>41484.87</v>
      </c>
      <c r="Q51" s="312">
        <f>IFERROR(R51/H51, 0)</f>
        <v/>
      </c>
      <c r="R51" s="307" t="n">
        <v>10437.7</v>
      </c>
      <c r="S51" s="308" t="n">
        <v>18056</v>
      </c>
      <c r="T51" s="308">
        <f>IFERROR(S51*R51, 0)</f>
        <v/>
      </c>
      <c r="U51" s="313" t="inlineStr">
        <is>
          <t>040300/KPPBC</t>
        </is>
      </c>
      <c r="V51" s="315" t="inlineStr">
        <is>
          <t>TG. PRIOK</t>
        </is>
      </c>
      <c r="W51" s="316" t="inlineStr">
        <is>
          <t>LONG BEACH</t>
        </is>
      </c>
      <c r="X51" s="311" t="inlineStr">
        <is>
          <t>AMAZON.COM SERVICES LLC</t>
        </is>
      </c>
      <c r="Y51" s="315" t="inlineStr">
        <is>
          <t>MEDURQ965481</t>
        </is>
      </c>
      <c r="Z51" s="317" t="n">
        <v>46226</v>
      </c>
    </row>
    <row r="52" ht="16.5" customHeight="1" s="223">
      <c r="A52" s="322" t="n"/>
      <c r="B52" s="324" t="n"/>
      <c r="C52" s="304" t="n"/>
      <c r="D52" s="304" t="n"/>
      <c r="E52" s="317" t="n"/>
      <c r="F52" s="320" t="n"/>
      <c r="G52" s="317" t="n"/>
      <c r="H52" s="311" t="n">
        <v>101</v>
      </c>
      <c r="I52" s="311" t="inlineStr">
        <is>
          <t>TLLU5166027</t>
        </is>
      </c>
      <c r="J52" s="311" t="inlineStr">
        <is>
          <t>40FT</t>
        </is>
      </c>
      <c r="K52" s="309" t="inlineStr">
        <is>
          <t>12IN GEL FOAM MATTRESS TW</t>
        </is>
      </c>
      <c r="L52" s="310" t="inlineStr">
        <is>
          <t>GFM-12T</t>
        </is>
      </c>
      <c r="M52" s="311" t="inlineStr">
        <is>
          <t>77K91MJU</t>
        </is>
      </c>
      <c r="N52" s="309" t="inlineStr">
        <is>
          <t>F.MFG.12T.000.BD</t>
        </is>
      </c>
      <c r="O52" s="306" t="n"/>
      <c r="P52" s="306" t="n"/>
      <c r="Q52" s="312">
        <f>IFERROR(R52/H52, 0)</f>
        <v/>
      </c>
      <c r="R52" s="307" t="n">
        <v>5225.74</v>
      </c>
      <c r="S52" s="308" t="n">
        <v>18056</v>
      </c>
      <c r="T52" s="308">
        <f>IFERROR(S52*R52, 0)</f>
        <v/>
      </c>
      <c r="U52" s="313" t="n"/>
      <c r="V52" s="315" t="n"/>
      <c r="W52" s="316" t="inlineStr">
        <is>
          <t>ETD : 27-07-2026</t>
        </is>
      </c>
      <c r="X52" s="311" t="n"/>
      <c r="Y52" s="315" t="n"/>
      <c r="Z52" s="317" t="n"/>
    </row>
    <row r="53" ht="16.5" customHeight="1" s="223">
      <c r="A53" s="322" t="n"/>
      <c r="B53" s="324" t="n"/>
      <c r="C53" s="304" t="n"/>
      <c r="D53" s="304" t="n"/>
      <c r="E53" s="317" t="n"/>
      <c r="F53" s="320" t="n"/>
      <c r="G53" s="317" t="n"/>
      <c r="H53" s="311" t="n">
        <v>174</v>
      </c>
      <c r="I53" s="311" t="inlineStr">
        <is>
          <t>MSMU4309479</t>
        </is>
      </c>
      <c r="J53" s="311" t="inlineStr">
        <is>
          <t>40FT</t>
        </is>
      </c>
      <c r="K53" s="309" t="inlineStr">
        <is>
          <t>10IN GREEN TEA MF MATTRESS TX</t>
        </is>
      </c>
      <c r="L53" s="310" t="inlineStr">
        <is>
          <t>OLC-FMS-1000TXL-IN</t>
        </is>
      </c>
      <c r="M53" s="311" t="inlineStr">
        <is>
          <t>77K91MJU</t>
        </is>
      </c>
      <c r="N53" s="309" t="inlineStr">
        <is>
          <t>F.MFM.10X.003.BD</t>
        </is>
      </c>
      <c r="O53" s="306" t="n"/>
      <c r="P53" s="306" t="n"/>
      <c r="Q53" s="312">
        <f>IFERROR(R53/H53, 0)</f>
        <v/>
      </c>
      <c r="R53" s="307" t="n">
        <v>9978.9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2" t="n"/>
      <c r="B54" s="324" t="n"/>
      <c r="C54" s="304" t="n"/>
      <c r="D54" s="304" t="n"/>
      <c r="E54" s="317" t="n"/>
      <c r="F54" s="320" t="n"/>
      <c r="G54" s="317" t="n"/>
      <c r="H54" s="311" t="n">
        <v>64</v>
      </c>
      <c r="I54" s="311" t="inlineStr">
        <is>
          <t>TGHU4968395</t>
        </is>
      </c>
      <c r="J54" s="311" t="inlineStr">
        <is>
          <t>40FT</t>
        </is>
      </c>
      <c r="K54" s="309" t="inlineStr">
        <is>
          <t>12IN GEL FOAM MATTRESS TW</t>
        </is>
      </c>
      <c r="L54" s="310" t="inlineStr">
        <is>
          <t>GFM-12T</t>
        </is>
      </c>
      <c r="M54" s="311" t="inlineStr">
        <is>
          <t>7D4ITY4N</t>
        </is>
      </c>
      <c r="N54" s="309" t="inlineStr">
        <is>
          <t>F.MFG.12T.000.BD</t>
        </is>
      </c>
      <c r="O54" s="306" t="n"/>
      <c r="P54" s="306" t="n"/>
      <c r="Q54" s="312">
        <f>IFERROR(R54/H54, 0)</f>
        <v/>
      </c>
      <c r="R54" s="307" t="n">
        <v>3311.36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2" t="n"/>
      <c r="B55" s="324" t="n"/>
      <c r="C55" s="304" t="n"/>
      <c r="D55" s="304" t="n"/>
      <c r="E55" s="317" t="n"/>
      <c r="F55" s="320" t="n"/>
      <c r="G55" s="317" t="n"/>
      <c r="H55" s="311" t="n">
        <v>99</v>
      </c>
      <c r="I55" s="311" t="inlineStr">
        <is>
          <t>MSBU4617117</t>
        </is>
      </c>
      <c r="J55" s="311" t="inlineStr">
        <is>
          <t>40FT</t>
        </is>
      </c>
      <c r="K55" s="309" t="inlineStr">
        <is>
          <t>10IN GREEN TEA MF MATTRESS TX</t>
        </is>
      </c>
      <c r="L55" s="310" t="inlineStr">
        <is>
          <t>OLC-FMS-1000TXL-IN</t>
        </is>
      </c>
      <c r="M55" s="311" t="inlineStr">
        <is>
          <t>7D4ITY4N</t>
        </is>
      </c>
      <c r="N55" s="309" t="inlineStr">
        <is>
          <t>F.MFM.10X.003.BD</t>
        </is>
      </c>
      <c r="O55" s="306" t="n"/>
      <c r="P55" s="306" t="n"/>
      <c r="Q55" s="312">
        <f>IFERROR(R55/H55, 0)</f>
        <v/>
      </c>
      <c r="R55" s="307" t="n">
        <v>5677.65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2" t="n"/>
      <c r="B56" s="324" t="n"/>
      <c r="C56" s="304" t="n"/>
      <c r="D56" s="304" t="n"/>
      <c r="E56" s="317" t="n"/>
      <c r="F56" s="320" t="n"/>
      <c r="G56" s="317" t="n"/>
      <c r="H56" s="311" t="n">
        <v>1</v>
      </c>
      <c r="I56" s="311" t="inlineStr"/>
      <c r="J56" s="311" t="inlineStr"/>
      <c r="K56" s="309" t="inlineStr">
        <is>
          <t>10IN GREEN TEA MF MATTRESS TX</t>
        </is>
      </c>
      <c r="L56" s="310" t="inlineStr">
        <is>
          <t>OLC-FMS-1000TXL-IN</t>
        </is>
      </c>
      <c r="M56" s="311" t="inlineStr">
        <is>
          <t>7MO3ZAUN</t>
        </is>
      </c>
      <c r="N56" s="309" t="inlineStr">
        <is>
          <t>F.MFM.10X.003.BD</t>
        </is>
      </c>
      <c r="O56" s="306" t="n"/>
      <c r="P56" s="306" t="n"/>
      <c r="Q56" s="312">
        <f>IFERROR(R56/H56, 0)</f>
        <v/>
      </c>
      <c r="R56" s="307" t="n">
        <v>57.35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2" t="n"/>
      <c r="B57" s="324" t="n"/>
      <c r="C57" s="304" t="n"/>
      <c r="D57" s="304" t="n"/>
      <c r="E57" s="317" t="n"/>
      <c r="F57" s="320" t="n"/>
      <c r="G57" s="317" t="n"/>
      <c r="H57" s="311" t="n">
        <v>152</v>
      </c>
      <c r="I57" s="311" t="inlineStr"/>
      <c r="J57" s="311" t="inlineStr"/>
      <c r="K57" s="309" t="inlineStr">
        <is>
          <t>12IN GEL FOAM MATTRESS TW</t>
        </is>
      </c>
      <c r="L57" s="310" t="inlineStr">
        <is>
          <t>GFM-12T</t>
        </is>
      </c>
      <c r="M57" s="311" t="inlineStr">
        <is>
          <t>8Y39N9EN</t>
        </is>
      </c>
      <c r="N57" s="309" t="inlineStr">
        <is>
          <t>F.MFG.12T.000.BD</t>
        </is>
      </c>
      <c r="O57" s="306" t="n"/>
      <c r="P57" s="306" t="n"/>
      <c r="Q57" s="312">
        <f>IFERROR(R57/H57, 0)</f>
        <v/>
      </c>
      <c r="R57" s="307" t="n">
        <v>7864.48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2" t="n"/>
      <c r="B58" s="324" t="n"/>
      <c r="C58" s="304" t="n"/>
      <c r="D58" s="304" t="n"/>
      <c r="E58" s="317" t="n"/>
      <c r="F58" s="320" t="n"/>
      <c r="G58" s="317" t="n"/>
      <c r="H58" s="311" t="n">
        <v>390</v>
      </c>
      <c r="I58" s="311" t="inlineStr"/>
      <c r="J58" s="311" t="inlineStr"/>
      <c r="K58" s="309" t="inlineStr">
        <is>
          <t>3IN CV LAVENDER MF TOPPER FL</t>
        </is>
      </c>
      <c r="L58" s="310" t="inlineStr">
        <is>
          <t>ECMF-03FL-IN</t>
        </is>
      </c>
      <c r="M58" s="311" t="inlineStr">
        <is>
          <t>5FFUUH8B</t>
        </is>
      </c>
      <c r="N58" s="309" t="inlineStr">
        <is>
          <t>F.TMT.03F.010.BD</t>
        </is>
      </c>
      <c r="O58" s="306" t="n"/>
      <c r="P58" s="306" t="n"/>
      <c r="Q58" s="312">
        <f>IFERROR(R58/H58, 0)</f>
        <v/>
      </c>
      <c r="R58" s="307" t="n">
        <v>5697.9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2" t="n"/>
      <c r="B59" s="324" t="n"/>
      <c r="C59" s="304" t="n"/>
      <c r="D59" s="304" t="n"/>
      <c r="E59" s="317" t="n"/>
      <c r="F59" s="320" t="n"/>
      <c r="G59" s="317" t="n"/>
      <c r="H59" s="311" t="n">
        <v>874</v>
      </c>
      <c r="I59" s="311" t="inlineStr"/>
      <c r="J59" s="311" t="inlineStr"/>
      <c r="K59" s="309" t="inlineStr">
        <is>
          <t>3IN CV LAVENDER MF TOPPER TW</t>
        </is>
      </c>
      <c r="L59" s="310" t="inlineStr">
        <is>
          <t>ECMF-03TL-IN</t>
        </is>
      </c>
      <c r="M59" s="311" t="inlineStr">
        <is>
          <t>5FFUUH8B</t>
        </is>
      </c>
      <c r="N59" s="309" t="inlineStr">
        <is>
          <t>F.TMT.03T.010.BD</t>
        </is>
      </c>
      <c r="O59" s="306" t="n"/>
      <c r="P59" s="306" t="n"/>
      <c r="Q59" s="312">
        <f>IFERROR(R59/H59, 0)</f>
        <v/>
      </c>
      <c r="R59" s="307" t="n">
        <v>9657.700000000001</v>
      </c>
      <c r="S59" s="308" t="n">
        <v>18056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2" t="n"/>
      <c r="B60" s="324" t="n"/>
      <c r="C60" s="304" t="n"/>
      <c r="D60" s="304" t="n"/>
      <c r="E60" s="317" t="n"/>
      <c r="F60" s="320" t="n"/>
      <c r="G60" s="317" t="n"/>
      <c r="H60" s="311" t="n">
        <v>455</v>
      </c>
      <c r="I60" s="311" t="inlineStr"/>
      <c r="J60" s="311" t="inlineStr"/>
      <c r="K60" s="309" t="inlineStr">
        <is>
          <t>3IN CV LAVENDER MF TOPPER FL</t>
        </is>
      </c>
      <c r="L60" s="310" t="inlineStr">
        <is>
          <t>ECMF-03FL-IN</t>
        </is>
      </c>
      <c r="M60" s="311" t="inlineStr">
        <is>
          <t>77K91MJU</t>
        </is>
      </c>
      <c r="N60" s="309" t="inlineStr">
        <is>
          <t>F.TMT.03F.010.BD</t>
        </is>
      </c>
      <c r="O60" s="306" t="n"/>
      <c r="P60" s="306" t="n"/>
      <c r="Q60" s="312">
        <f>IFERROR(R60/H60, 0)</f>
        <v/>
      </c>
      <c r="R60" s="307" t="n">
        <v>6647.55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2" t="n"/>
      <c r="B61" s="324" t="n"/>
      <c r="C61" s="304" t="n"/>
      <c r="D61" s="304" t="n"/>
      <c r="E61" s="317" t="n"/>
      <c r="F61" s="320" t="n"/>
      <c r="G61" s="317" t="n"/>
      <c r="H61" s="311" t="n">
        <v>196</v>
      </c>
      <c r="I61" s="311" t="inlineStr"/>
      <c r="J61" s="311" t="inlineStr"/>
      <c r="K61" s="309" t="inlineStr">
        <is>
          <t>3IN CV LAVENDER MF TOPPER QN</t>
        </is>
      </c>
      <c r="L61" s="310" t="inlineStr">
        <is>
          <t>ECMF-03QL-IN</t>
        </is>
      </c>
      <c r="M61" s="311" t="inlineStr">
        <is>
          <t>77K91MJU</t>
        </is>
      </c>
      <c r="N61" s="309" t="inlineStr">
        <is>
          <t>F.TMT.03Q.010.BD</t>
        </is>
      </c>
      <c r="O61" s="306" t="n"/>
      <c r="P61" s="306" t="n"/>
      <c r="Q61" s="312">
        <f>IFERROR(R61/H61, 0)</f>
        <v/>
      </c>
      <c r="R61" s="307" t="n">
        <v>3661.28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2" t="n"/>
      <c r="B62" s="324" t="n"/>
      <c r="C62" s="304" t="n"/>
      <c r="D62" s="304" t="n"/>
      <c r="E62" s="317" t="n"/>
      <c r="F62" s="320" t="n"/>
      <c r="G62" s="317" t="n"/>
      <c r="H62" s="311" t="n">
        <v>500</v>
      </c>
      <c r="I62" s="311" t="inlineStr"/>
      <c r="J62" s="311" t="inlineStr"/>
      <c r="K62" s="309" t="inlineStr">
        <is>
          <t>3IN CV LAVENDER MF TOPPER TW</t>
        </is>
      </c>
      <c r="L62" s="310" t="inlineStr">
        <is>
          <t>ECMF-03TL-IN</t>
        </is>
      </c>
      <c r="M62" s="311" t="inlineStr">
        <is>
          <t>77K91MJU</t>
        </is>
      </c>
      <c r="N62" s="309" t="inlineStr">
        <is>
          <t>F.TMT.03T.010.BD</t>
        </is>
      </c>
      <c r="O62" s="306" t="n"/>
      <c r="P62" s="306" t="n"/>
      <c r="Q62" s="312">
        <f>IFERROR(R62/H62, 0)</f>
        <v/>
      </c>
      <c r="R62" s="307" t="n">
        <v>5525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2" t="n"/>
      <c r="B63" s="324" t="n"/>
      <c r="C63" s="304" t="n"/>
      <c r="D63" s="304" t="n"/>
      <c r="E63" s="317" t="n"/>
      <c r="F63" s="320" t="n"/>
      <c r="G63" s="317" t="n"/>
      <c r="H63" s="311" t="n">
        <v>8</v>
      </c>
      <c r="I63" s="311" t="inlineStr"/>
      <c r="J63" s="311" t="inlineStr"/>
      <c r="K63" s="309" t="inlineStr">
        <is>
          <t>3IN CV LAVENDER MF TOPPER TX</t>
        </is>
      </c>
      <c r="L63" s="310" t="inlineStr">
        <is>
          <t>ECMF-03TXLL-IN</t>
        </is>
      </c>
      <c r="M63" s="311" t="inlineStr">
        <is>
          <t>77K91MJU</t>
        </is>
      </c>
      <c r="N63" s="309" t="inlineStr">
        <is>
          <t>F.TMT.03X.010.BD</t>
        </is>
      </c>
      <c r="O63" s="306" t="n"/>
      <c r="P63" s="306" t="n"/>
      <c r="Q63" s="312">
        <f>IFERROR(R63/H63, 0)</f>
        <v/>
      </c>
      <c r="R63" s="307" t="n">
        <v>96.16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2" t="n"/>
      <c r="B64" s="324" t="n"/>
      <c r="C64" s="304" t="n"/>
      <c r="D64" s="304" t="n"/>
      <c r="E64" s="317" t="n"/>
      <c r="F64" s="320" t="n"/>
      <c r="G64" s="317" t="n"/>
      <c r="H64" s="311" t="n">
        <v>31</v>
      </c>
      <c r="I64" s="311" t="inlineStr"/>
      <c r="J64" s="311" t="inlineStr"/>
      <c r="K64" s="309" t="inlineStr">
        <is>
          <t>4IN CV LAVENDER MF TOPPER TW</t>
        </is>
      </c>
      <c r="L64" s="310" t="inlineStr">
        <is>
          <t>ECMF-LV4T-IN</t>
        </is>
      </c>
      <c r="M64" s="311" t="inlineStr">
        <is>
          <t>77K91MJU</t>
        </is>
      </c>
      <c r="N64" s="309" t="inlineStr">
        <is>
          <t>F.TMT.04T.012.BD</t>
        </is>
      </c>
      <c r="O64" s="306" t="n"/>
      <c r="P64" s="306" t="n"/>
      <c r="Q64" s="312">
        <f>IFERROR(R64/H64, 0)</f>
        <v/>
      </c>
      <c r="R64" s="307" t="n">
        <v>438.34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2" t="n"/>
      <c r="B65" s="324" t="n"/>
      <c r="C65" s="304" t="n"/>
      <c r="D65" s="304" t="n"/>
      <c r="E65" s="317" t="n"/>
      <c r="F65" s="320" t="n"/>
      <c r="G65" s="317" t="n"/>
      <c r="H65" s="311" t="n">
        <v>284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7D4ITY4N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4149.24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2" t="n"/>
      <c r="B66" s="324" t="n"/>
      <c r="C66" s="304" t="n"/>
      <c r="D66" s="304" t="n"/>
      <c r="E66" s="317" t="n"/>
      <c r="F66" s="320" t="n"/>
      <c r="G66" s="317" t="n"/>
      <c r="H66" s="311" t="n">
        <v>337</v>
      </c>
      <c r="I66" s="311" t="inlineStr"/>
      <c r="J66" s="311" t="inlineStr"/>
      <c r="K66" s="309" t="inlineStr">
        <is>
          <t>3IN CV LAVENDER MF TOPPER QN</t>
        </is>
      </c>
      <c r="L66" s="310" t="inlineStr">
        <is>
          <t>ECMF-03QL-IN</t>
        </is>
      </c>
      <c r="M66" s="311" t="inlineStr">
        <is>
          <t>7D4ITY4N</t>
        </is>
      </c>
      <c r="N66" s="309" t="inlineStr">
        <is>
          <t>F.TMT.03Q.010.BD</t>
        </is>
      </c>
      <c r="O66" s="306" t="n"/>
      <c r="P66" s="306" t="n"/>
      <c r="Q66" s="312">
        <f>IFERROR(R66/H66, 0)</f>
        <v/>
      </c>
      <c r="R66" s="307" t="n">
        <v>6295.16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2" t="n"/>
      <c r="B67" s="324" t="n"/>
      <c r="C67" s="304" t="n"/>
      <c r="D67" s="304" t="n"/>
      <c r="E67" s="317" t="n"/>
      <c r="F67" s="320" t="n"/>
      <c r="G67" s="317" t="n"/>
      <c r="H67" s="311" t="n">
        <v>715</v>
      </c>
      <c r="I67" s="311" t="inlineStr"/>
      <c r="J67" s="311" t="inlineStr"/>
      <c r="K67" s="309" t="inlineStr">
        <is>
          <t>3IN CV LAVENDER MF TOPPER TW</t>
        </is>
      </c>
      <c r="L67" s="310" t="inlineStr">
        <is>
          <t>ECMF-03TL-IN</t>
        </is>
      </c>
      <c r="M67" s="311" t="inlineStr">
        <is>
          <t>7D4ITY4N</t>
        </is>
      </c>
      <c r="N67" s="309" t="inlineStr">
        <is>
          <t>F.TMT.03T.010.BD</t>
        </is>
      </c>
      <c r="O67" s="306" t="n"/>
      <c r="P67" s="306" t="n"/>
      <c r="Q67" s="312">
        <f>IFERROR(R67/H67, 0)</f>
        <v/>
      </c>
      <c r="R67" s="307" t="n">
        <v>7900.75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2" t="n"/>
      <c r="B68" s="324" t="n"/>
      <c r="C68" s="304" t="n"/>
      <c r="D68" s="304" t="n"/>
      <c r="E68" s="317" t="n"/>
      <c r="F68" s="320" t="n"/>
      <c r="G68" s="317" t="n"/>
      <c r="H68" s="311" t="n">
        <v>37</v>
      </c>
      <c r="I68" s="311" t="inlineStr"/>
      <c r="J68" s="311" t="inlineStr"/>
      <c r="K68" s="309" t="inlineStr">
        <is>
          <t>3IN CV LAVENDER MF TOPPER TX</t>
        </is>
      </c>
      <c r="L68" s="310" t="inlineStr">
        <is>
          <t>ECMF-03TXLL-IN</t>
        </is>
      </c>
      <c r="M68" s="311" t="inlineStr">
        <is>
          <t>7D4ITY4N</t>
        </is>
      </c>
      <c r="N68" s="309" t="inlineStr">
        <is>
          <t>F.TMT.03X.010.BD</t>
        </is>
      </c>
      <c r="O68" s="306" t="n"/>
      <c r="P68" s="306" t="n"/>
      <c r="Q68" s="312">
        <f>IFERROR(R68/H68, 0)</f>
        <v/>
      </c>
      <c r="R68" s="307" t="n">
        <v>444.74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2" t="n"/>
      <c r="B69" s="324" t="n"/>
      <c r="C69" s="304" t="n"/>
      <c r="D69" s="304" t="n"/>
      <c r="E69" s="317" t="n"/>
      <c r="F69" s="320" t="n"/>
      <c r="G69" s="317" t="n"/>
      <c r="H69" s="311" t="n">
        <v>3</v>
      </c>
      <c r="I69" s="311" t="inlineStr"/>
      <c r="J69" s="311" t="inlineStr"/>
      <c r="K69" s="309" t="inlineStr">
        <is>
          <t>2IN CV LAVENDER MF TOPPER QN</t>
        </is>
      </c>
      <c r="L69" s="310" t="inlineStr">
        <is>
          <t>ECMF-LV2Q-IN</t>
        </is>
      </c>
      <c r="M69" s="311" t="inlineStr">
        <is>
          <t>7D4ITY4N</t>
        </is>
      </c>
      <c r="N69" s="309" t="inlineStr">
        <is>
          <t>F.TMT.02Q.008.BD</t>
        </is>
      </c>
      <c r="O69" s="306" t="n"/>
      <c r="P69" s="306" t="n"/>
      <c r="Q69" s="312">
        <f>IFERROR(R69/H69, 0)</f>
        <v/>
      </c>
      <c r="R69" s="307" t="n">
        <v>36.39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2" t="n"/>
      <c r="B70" s="324" t="n"/>
      <c r="C70" s="304" t="n"/>
      <c r="D70" s="304" t="n"/>
      <c r="E70" s="317" t="n"/>
      <c r="F70" s="320" t="n"/>
      <c r="G70" s="317" t="n"/>
      <c r="H70" s="311" t="n">
        <v>86</v>
      </c>
      <c r="I70" s="311" t="inlineStr"/>
      <c r="J70" s="311" t="inlineStr"/>
      <c r="K70" s="309" t="inlineStr">
        <is>
          <t>4IN CV LAVENDER MF TOPPER TW</t>
        </is>
      </c>
      <c r="L70" s="310" t="inlineStr">
        <is>
          <t>ECMF-LV4T-IN</t>
        </is>
      </c>
      <c r="M70" s="311" t="inlineStr">
        <is>
          <t>7D4ITY4N</t>
        </is>
      </c>
      <c r="N70" s="309" t="inlineStr">
        <is>
          <t>F.TMT.04T.012.BD</t>
        </is>
      </c>
      <c r="O70" s="306" t="n"/>
      <c r="P70" s="306" t="n"/>
      <c r="Q70" s="312">
        <f>IFERROR(R70/H70, 0)</f>
        <v/>
      </c>
      <c r="R70" s="307" t="n">
        <v>1216.04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2" t="n"/>
      <c r="B71" s="324" t="n"/>
      <c r="C71" s="304" t="n"/>
      <c r="D71" s="304" t="n"/>
      <c r="E71" s="317" t="n"/>
      <c r="F71" s="320" t="n"/>
      <c r="G71" s="317" t="n"/>
      <c r="H71" s="311" t="n">
        <v>455</v>
      </c>
      <c r="I71" s="311" t="inlineStr"/>
      <c r="J71" s="311" t="inlineStr"/>
      <c r="K71" s="309" t="inlineStr">
        <is>
          <t>3IN CV LAVENDER MF TOPPER QN</t>
        </is>
      </c>
      <c r="L71" s="310" t="inlineStr">
        <is>
          <t>ECMF-03QL-IN</t>
        </is>
      </c>
      <c r="M71" s="311" t="inlineStr">
        <is>
          <t>7MO3ZAUN</t>
        </is>
      </c>
      <c r="N71" s="309" t="inlineStr">
        <is>
          <t>F.TMT.03Q.010.BD</t>
        </is>
      </c>
      <c r="O71" s="306" t="n"/>
      <c r="P71" s="306" t="n"/>
      <c r="Q71" s="312">
        <f>IFERROR(R71/H71, 0)</f>
        <v/>
      </c>
      <c r="R71" s="307" t="n">
        <v>8499.4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2" t="n"/>
      <c r="B72" s="324" t="n"/>
      <c r="C72" s="304" t="n"/>
      <c r="D72" s="304" t="n"/>
      <c r="E72" s="317" t="n"/>
      <c r="F72" s="320" t="n"/>
      <c r="G72" s="317" t="n"/>
      <c r="H72" s="311" t="n">
        <v>1490</v>
      </c>
      <c r="I72" s="311" t="inlineStr"/>
      <c r="J72" s="311" t="inlineStr"/>
      <c r="K72" s="309" t="inlineStr">
        <is>
          <t>3IN CV LAVENDER MF TOPPER TW</t>
        </is>
      </c>
      <c r="L72" s="310" t="inlineStr">
        <is>
          <t>ECMF-03TL-IN</t>
        </is>
      </c>
      <c r="M72" s="311" t="inlineStr">
        <is>
          <t>7MO3ZAUN</t>
        </is>
      </c>
      <c r="N72" s="309" t="inlineStr">
        <is>
          <t>F.TMT.03T.010.BD</t>
        </is>
      </c>
      <c r="O72" s="306" t="n"/>
      <c r="P72" s="306" t="n"/>
      <c r="Q72" s="312">
        <f>IFERROR(R72/H72, 0)</f>
        <v/>
      </c>
      <c r="R72" s="307" t="n">
        <v>16464.5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2" t="n"/>
      <c r="B73" s="324" t="n"/>
      <c r="C73" s="304" t="n"/>
      <c r="D73" s="304" t="n"/>
      <c r="E73" s="317" t="n"/>
      <c r="F73" s="320" t="n"/>
      <c r="G73" s="317" t="n"/>
      <c r="H73" s="311" t="n">
        <v>35</v>
      </c>
      <c r="I73" s="311" t="inlineStr"/>
      <c r="J73" s="311" t="inlineStr"/>
      <c r="K73" s="309" t="inlineStr">
        <is>
          <t>3IN CV LAVENDER MF TOPPER TX</t>
        </is>
      </c>
      <c r="L73" s="310" t="inlineStr">
        <is>
          <t>ECMF-03TXLL-IN</t>
        </is>
      </c>
      <c r="M73" s="311" t="inlineStr">
        <is>
          <t>7MO3ZAUN</t>
        </is>
      </c>
      <c r="N73" s="309" t="inlineStr">
        <is>
          <t>F.TMT.03X.010.BD</t>
        </is>
      </c>
      <c r="O73" s="306" t="n"/>
      <c r="P73" s="306" t="n"/>
      <c r="Q73" s="312">
        <f>IFERROR(R73/H73, 0)</f>
        <v/>
      </c>
      <c r="R73" s="307" t="n">
        <v>420.7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2" t="n"/>
      <c r="B74" s="324" t="n"/>
      <c r="C74" s="304" t="n"/>
      <c r="D74" s="304" t="n"/>
      <c r="E74" s="317" t="n"/>
      <c r="F74" s="320" t="n"/>
      <c r="G74" s="317" t="n"/>
      <c r="H74" s="311" t="n">
        <v>119</v>
      </c>
      <c r="I74" s="311" t="inlineStr"/>
      <c r="J74" s="311" t="inlineStr"/>
      <c r="K74" s="309" t="inlineStr">
        <is>
          <t>4IN CV LAVENDER MF TOPPER TW</t>
        </is>
      </c>
      <c r="L74" s="310" t="inlineStr">
        <is>
          <t>ECMF-LV4T-IN</t>
        </is>
      </c>
      <c r="M74" s="311" t="inlineStr">
        <is>
          <t>7MO3ZAUN</t>
        </is>
      </c>
      <c r="N74" s="309" t="inlineStr">
        <is>
          <t>F.TMT.04T.012.BD</t>
        </is>
      </c>
      <c r="O74" s="306" t="n"/>
      <c r="P74" s="306" t="n"/>
      <c r="Q74" s="312">
        <f>IFERROR(R74/H74, 0)</f>
        <v/>
      </c>
      <c r="R74" s="307" t="n">
        <v>1682.66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2" t="n"/>
      <c r="B75" s="324" t="n"/>
      <c r="C75" s="304" t="n"/>
      <c r="D75" s="304" t="n"/>
      <c r="E75" s="317" t="n"/>
      <c r="F75" s="320" t="n"/>
      <c r="G75" s="317" t="n"/>
      <c r="H75" s="311" t="n">
        <v>470</v>
      </c>
      <c r="I75" s="311" t="inlineStr"/>
      <c r="J75" s="311" t="inlineStr"/>
      <c r="K75" s="309" t="inlineStr">
        <is>
          <t>3IN CV LAVENDER MF TOPPER QN</t>
        </is>
      </c>
      <c r="L75" s="310" t="inlineStr">
        <is>
          <t>ECMF-03QL-IN</t>
        </is>
      </c>
      <c r="M75" s="311" t="inlineStr">
        <is>
          <t>8Y39N9EN</t>
        </is>
      </c>
      <c r="N75" s="309" t="inlineStr">
        <is>
          <t>F.TMT.03Q.010.BD</t>
        </is>
      </c>
      <c r="O75" s="306" t="n"/>
      <c r="P75" s="306" t="n"/>
      <c r="Q75" s="312">
        <f>IFERROR(R75/H75, 0)</f>
        <v/>
      </c>
      <c r="R75" s="307" t="n">
        <v>8779.6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2" t="n"/>
      <c r="B76" s="324" t="n"/>
      <c r="C76" s="304" t="n"/>
      <c r="D76" s="304" t="n"/>
      <c r="E76" s="317" t="n"/>
      <c r="F76" s="320" t="n"/>
      <c r="G76" s="317" t="n"/>
      <c r="H76" s="311" t="n">
        <v>323</v>
      </c>
      <c r="I76" s="311" t="inlineStr"/>
      <c r="J76" s="311" t="inlineStr"/>
      <c r="K76" s="309" t="inlineStr">
        <is>
          <t>3IN CV LAVENDER MF TOPPER TX</t>
        </is>
      </c>
      <c r="L76" s="310" t="inlineStr">
        <is>
          <t>ECMF-03TXLL-IN</t>
        </is>
      </c>
      <c r="M76" s="311" t="inlineStr">
        <is>
          <t>8Y39N9EN</t>
        </is>
      </c>
      <c r="N76" s="309" t="inlineStr">
        <is>
          <t>F.TMT.03X.010.BD</t>
        </is>
      </c>
      <c r="O76" s="306" t="n"/>
      <c r="P76" s="306" t="n"/>
      <c r="Q76" s="312">
        <f>IFERROR(R76/H76, 0)</f>
        <v/>
      </c>
      <c r="R76" s="307" t="n">
        <v>3882.46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2" t="n"/>
      <c r="B77" s="324" t="n"/>
      <c r="C77" s="304" t="n"/>
      <c r="D77" s="304" t="n"/>
      <c r="E77" s="317" t="n"/>
      <c r="F77" s="320" t="n"/>
      <c r="G77" s="317" t="n"/>
      <c r="H77" s="311" t="n">
        <v>19</v>
      </c>
      <c r="I77" s="311" t="inlineStr"/>
      <c r="J77" s="311" t="inlineStr"/>
      <c r="K77" s="309" t="inlineStr">
        <is>
          <t>2IN CV LAVENDER MF TOPPER QN</t>
        </is>
      </c>
      <c r="L77" s="310" t="inlineStr">
        <is>
          <t>ECMF-LV2Q-IN</t>
        </is>
      </c>
      <c r="M77" s="311" t="inlineStr">
        <is>
          <t>8Y39N9EN</t>
        </is>
      </c>
      <c r="N77" s="309" t="inlineStr">
        <is>
          <t>F.TMT.02Q.008.BD</t>
        </is>
      </c>
      <c r="O77" s="306" t="n"/>
      <c r="P77" s="306" t="n"/>
      <c r="Q77" s="312">
        <f>IFERROR(R77/H77, 0)</f>
        <v/>
      </c>
      <c r="R77" s="307" t="n">
        <v>230.47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2" t="n"/>
      <c r="B78" s="324" t="n"/>
      <c r="C78" s="304" t="n"/>
      <c r="D78" s="304" t="n"/>
      <c r="E78" s="317" t="n"/>
      <c r="F78" s="320" t="n"/>
      <c r="G78" s="317" t="n"/>
      <c r="H78" s="311" t="n">
        <v>127</v>
      </c>
      <c r="I78" s="311" t="inlineStr"/>
      <c r="J78" s="311" t="inlineStr"/>
      <c r="K78" s="309" t="inlineStr">
        <is>
          <t>4IN CV LAVENDER MF TOPPER TW</t>
        </is>
      </c>
      <c r="L78" s="310" t="inlineStr">
        <is>
          <t>ECMF-LV4T-IN</t>
        </is>
      </c>
      <c r="M78" s="311" t="inlineStr">
        <is>
          <t>8Y39N9EN</t>
        </is>
      </c>
      <c r="N78" s="309" t="inlineStr">
        <is>
          <t>F.TMT.04T.012.BD</t>
        </is>
      </c>
      <c r="O78" s="306" t="n"/>
      <c r="P78" s="306" t="n"/>
      <c r="Q78" s="312">
        <f>IFERROR(R78/H78, 0)</f>
        <v/>
      </c>
      <c r="R78" s="307" t="n">
        <v>1795.78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7.1" customHeight="1" s="223">
      <c r="A79" s="325" t="n"/>
      <c r="B79" s="326" t="n"/>
      <c r="C79" s="327" t="n"/>
      <c r="D79" s="327" t="n"/>
      <c r="E79" s="328" t="n"/>
      <c r="F79" s="328" t="n"/>
      <c r="G79" s="328" t="n"/>
      <c r="H79" s="329">
        <f>SUM(H51:H78)</f>
        <v/>
      </c>
      <c r="I79" s="330">
        <f>COUNTA(I51:I78)</f>
        <v/>
      </c>
      <c r="J79" s="329" t="n"/>
      <c r="K79" s="329" t="n"/>
      <c r="L79" s="331" t="n"/>
      <c r="M79" s="329" t="n"/>
      <c r="N79" s="329" t="n"/>
      <c r="O79" s="332">
        <f>SUM(O51:O78)</f>
        <v/>
      </c>
      <c r="P79" s="332">
        <f>SUM(P51:P78)</f>
        <v/>
      </c>
      <c r="Q79" s="333" t="n"/>
      <c r="R79" s="334">
        <f>SUM(R51:R78)</f>
        <v/>
      </c>
      <c r="S79" s="335" t="n"/>
      <c r="T79" s="335">
        <f>SUM(T51:T78)</f>
        <v/>
      </c>
      <c r="U79" s="329" t="n"/>
      <c r="V79" s="336" t="n"/>
      <c r="W79" s="337" t="n"/>
      <c r="X79" s="336" t="n"/>
      <c r="Y79" s="336" t="n"/>
      <c r="Z79" s="336" t="n"/>
    </row>
    <row r="80" ht="16.5" customHeight="1" s="223">
      <c r="A80" s="322" t="n">
        <v>4</v>
      </c>
      <c r="B80" s="324" t="inlineStr">
        <is>
          <t>000030ZIK48020260722000507</t>
        </is>
      </c>
      <c r="C80" s="304" t="n">
        <v>457157</v>
      </c>
      <c r="D80" s="304" t="n">
        <v>457102</v>
      </c>
      <c r="E80" s="317" t="n">
        <v>46226</v>
      </c>
      <c r="F80" s="320" t="inlineStr">
        <is>
          <t>ID2607-7865</t>
        </is>
      </c>
      <c r="G80" s="317" t="n">
        <v>46223</v>
      </c>
      <c r="H80" s="311" t="n">
        <v>520</v>
      </c>
      <c r="I80" s="311" t="inlineStr">
        <is>
          <t>CMAU3883460</t>
        </is>
      </c>
      <c r="J80" s="311" t="inlineStr">
        <is>
          <t>40FT</t>
        </is>
      </c>
      <c r="K80" s="309" t="inlineStr">
        <is>
          <t>8IN GREEN TEA MF MATTRESS FL</t>
        </is>
      </c>
      <c r="L80" s="310" t="inlineStr">
        <is>
          <t>SCF-STR-800F</t>
        </is>
      </c>
      <c r="M80" s="311" t="inlineStr">
        <is>
          <t>0993630656</t>
        </is>
      </c>
      <c r="N80" s="309" t="inlineStr">
        <is>
          <t>F.MFM.08F.000.WS</t>
        </is>
      </c>
      <c r="O80" s="306" t="n">
        <v>10618.4</v>
      </c>
      <c r="P80" s="306" t="n">
        <v>9370.4</v>
      </c>
      <c r="Q80" s="312">
        <f>IFERROR(R80/H80, 0)</f>
        <v/>
      </c>
      <c r="R80" s="307" t="n">
        <v>41480.4</v>
      </c>
      <c r="S80" s="308" t="n">
        <v>18056</v>
      </c>
      <c r="T80" s="308">
        <f>IFERROR(S80*R80, 0)</f>
        <v/>
      </c>
      <c r="U80" s="313" t="inlineStr">
        <is>
          <t>040300/KPPBC</t>
        </is>
      </c>
      <c r="V80" s="315" t="inlineStr">
        <is>
          <t>TG. PRIOK</t>
        </is>
      </c>
      <c r="W80" s="316" t="inlineStr">
        <is>
          <t>MOBILE</t>
        </is>
      </c>
      <c r="X80" s="311" t="inlineStr">
        <is>
          <t>WALMART, INC.</t>
        </is>
      </c>
      <c r="Y80" s="315" t="inlineStr">
        <is>
          <t>CMDUDJA1504766</t>
        </is>
      </c>
      <c r="Z80" s="317" t="n">
        <v>46226</v>
      </c>
    </row>
    <row r="81" ht="16.5" customHeight="1" s="223">
      <c r="A81" s="322" t="n"/>
      <c r="B81" s="324" t="n"/>
      <c r="C81" s="304" t="n"/>
      <c r="D81" s="304" t="n"/>
      <c r="E81" s="317" t="n"/>
      <c r="F81" s="320" t="n"/>
      <c r="G81" s="317" t="n"/>
      <c r="H81" s="311" t="n"/>
      <c r="I81" s="311" t="n"/>
      <c r="J81" s="311" t="n"/>
      <c r="K81" s="309" t="n"/>
      <c r="L81" s="310" t="n"/>
      <c r="M81" s="311" t="n"/>
      <c r="N81" s="309" t="n"/>
      <c r="O81" s="306" t="n"/>
      <c r="P81" s="306" t="n"/>
      <c r="Q81" s="312" t="n"/>
      <c r="R81" s="307" t="n"/>
      <c r="S81" s="308" t="n"/>
      <c r="T81" s="308" t="n"/>
      <c r="U81" s="313" t="n"/>
      <c r="V81" s="315" t="n"/>
      <c r="W81" s="316" t="inlineStr">
        <is>
          <t>ETD : 27-07-2026</t>
        </is>
      </c>
      <c r="X81" s="311" t="n"/>
      <c r="Y81" s="315" t="n"/>
      <c r="Z81" s="317" t="n"/>
    </row>
    <row r="82" ht="17.1" customHeight="1" s="223">
      <c r="A82" s="325" t="n"/>
      <c r="B82" s="326" t="n"/>
      <c r="C82" s="327" t="n"/>
      <c r="D82" s="327" t="n"/>
      <c r="E82" s="328" t="n"/>
      <c r="F82" s="328" t="n"/>
      <c r="G82" s="328" t="n"/>
      <c r="H82" s="329">
        <f>SUM(H80:H81)</f>
        <v/>
      </c>
      <c r="I82" s="330">
        <f>COUNTA(I80:I81)</f>
        <v/>
      </c>
      <c r="J82" s="329" t="n"/>
      <c r="K82" s="329" t="n"/>
      <c r="L82" s="331" t="n"/>
      <c r="M82" s="329" t="n"/>
      <c r="N82" s="329" t="n"/>
      <c r="O82" s="332">
        <f>SUM(O80:O81)</f>
        <v/>
      </c>
      <c r="P82" s="332">
        <f>SUM(P80:P81)</f>
        <v/>
      </c>
      <c r="Q82" s="333" t="n"/>
      <c r="R82" s="334">
        <f>SUM(R80:R81)</f>
        <v/>
      </c>
      <c r="S82" s="335" t="n"/>
      <c r="T82" s="335">
        <f>SUM(T80:T81)</f>
        <v/>
      </c>
      <c r="U82" s="329" t="n"/>
      <c r="V82" s="336" t="n"/>
      <c r="W82" s="337" t="n"/>
      <c r="X82" s="336" t="n"/>
      <c r="Y82" s="336" t="n"/>
      <c r="Z82" s="336" t="n"/>
    </row>
    <row r="83" ht="16.5" customHeight="1" s="223">
      <c r="A83" s="322" t="n">
        <v>5</v>
      </c>
      <c r="B83" s="324" t="inlineStr">
        <is>
          <t>000030ZIK48020260723000508</t>
        </is>
      </c>
      <c r="C83" s="304" t="n">
        <v>458709</v>
      </c>
      <c r="D83" s="304" t="n">
        <v>458650</v>
      </c>
      <c r="E83" s="317" t="n">
        <v>46227</v>
      </c>
      <c r="F83" s="320" t="inlineStr">
        <is>
          <t>ID2607-7881</t>
        </is>
      </c>
      <c r="G83" s="317" t="n">
        <v>46224</v>
      </c>
      <c r="H83" s="311" t="n">
        <v>900</v>
      </c>
      <c r="I83" s="311" t="inlineStr">
        <is>
          <t>TLLU4381447</t>
        </is>
      </c>
      <c r="J83" s="311" t="inlineStr">
        <is>
          <t>40FT</t>
        </is>
      </c>
      <c r="K83" s="309" t="inlineStr">
        <is>
          <t>8IN GREEN TEA MF MATTRESS QN</t>
        </is>
      </c>
      <c r="L83" s="310" t="inlineStr">
        <is>
          <t>SCF-STR-800Q</t>
        </is>
      </c>
      <c r="M83" s="311" t="inlineStr">
        <is>
          <t>0993631021</t>
        </is>
      </c>
      <c r="N83" s="309" t="inlineStr">
        <is>
          <t>F.MFM.08Q.000.WS</t>
        </is>
      </c>
      <c r="O83" s="306" t="n">
        <v>21510</v>
      </c>
      <c r="P83" s="306" t="n">
        <v>19188</v>
      </c>
      <c r="Q83" s="312">
        <f>IFERROR(R83/H83, 0)</f>
        <v/>
      </c>
      <c r="R83" s="307" t="n">
        <v>84573</v>
      </c>
      <c r="S83" s="308" t="n">
        <v>18056</v>
      </c>
      <c r="T83" s="308">
        <f>IFERROR(S83*R83, 0)</f>
        <v/>
      </c>
      <c r="U83" s="313" t="inlineStr">
        <is>
          <t>040300/KPPBC</t>
        </is>
      </c>
      <c r="V83" s="315" t="inlineStr">
        <is>
          <t>TG. PRIOK</t>
        </is>
      </c>
      <c r="W83" s="316" t="inlineStr">
        <is>
          <t>MOBILE</t>
        </is>
      </c>
      <c r="X83" s="311" t="inlineStr">
        <is>
          <t>WALMART, INC.</t>
        </is>
      </c>
      <c r="Y83" s="315" t="inlineStr">
        <is>
          <t>CMDUDJA1509935</t>
        </is>
      </c>
      <c r="Z83" s="317" t="n">
        <v>46227</v>
      </c>
    </row>
    <row r="84" ht="16.5" customHeight="1" s="223">
      <c r="A84" s="322" t="n"/>
      <c r="B84" s="324" t="n"/>
      <c r="C84" s="304" t="n"/>
      <c r="D84" s="304" t="n"/>
      <c r="E84" s="317" t="n"/>
      <c r="F84" s="320" t="n"/>
      <c r="G84" s="317" t="n"/>
      <c r="H84" s="311" t="n"/>
      <c r="I84" s="311" t="n"/>
      <c r="J84" s="311" t="n"/>
      <c r="K84" s="309" t="n"/>
      <c r="L84" s="310" t="n"/>
      <c r="M84" s="311" t="n"/>
      <c r="N84" s="309" t="n"/>
      <c r="O84" s="306" t="n"/>
      <c r="P84" s="306" t="n"/>
      <c r="Q84" s="312" t="n"/>
      <c r="R84" s="307" t="n"/>
      <c r="S84" s="308" t="n"/>
      <c r="T84" s="308" t="n"/>
      <c r="U84" s="313" t="n"/>
      <c r="V84" s="315" t="n"/>
      <c r="W84" s="316" t="inlineStr">
        <is>
          <t>ETD : 27-07-2026</t>
        </is>
      </c>
      <c r="X84" s="311" t="n"/>
      <c r="Y84" s="315" t="n"/>
      <c r="Z84" s="317" t="n"/>
    </row>
    <row r="85" ht="17.1" customHeight="1" s="223">
      <c r="A85" s="325" t="n"/>
      <c r="B85" s="326" t="n"/>
      <c r="C85" s="327" t="n"/>
      <c r="D85" s="327" t="n"/>
      <c r="E85" s="328" t="n"/>
      <c r="F85" s="328" t="n"/>
      <c r="G85" s="328" t="n"/>
      <c r="H85" s="329">
        <f>SUM(H83:H84)</f>
        <v/>
      </c>
      <c r="I85" s="330">
        <f>COUNTA(I83:I84)</f>
        <v/>
      </c>
      <c r="J85" s="329" t="n"/>
      <c r="K85" s="329" t="n"/>
      <c r="L85" s="331" t="n"/>
      <c r="M85" s="329" t="n"/>
      <c r="N85" s="329" t="n"/>
      <c r="O85" s="332">
        <f>SUM(O83:O84)</f>
        <v/>
      </c>
      <c r="P85" s="332">
        <f>SUM(P83:P84)</f>
        <v/>
      </c>
      <c r="Q85" s="333" t="n"/>
      <c r="R85" s="334">
        <f>SUM(R83:R84)</f>
        <v/>
      </c>
      <c r="S85" s="335" t="n"/>
      <c r="T85" s="335">
        <f>SUM(T83:T84)</f>
        <v/>
      </c>
      <c r="U85" s="329" t="n"/>
      <c r="V85" s="336" t="n"/>
      <c r="W85" s="337" t="n"/>
      <c r="X85" s="336" t="n"/>
      <c r="Y85" s="336" t="n"/>
      <c r="Z85" s="336" t="n"/>
    </row>
    <row r="86" ht="16.5" customHeight="1" s="223">
      <c r="A86" s="322" t="n">
        <v>6</v>
      </c>
      <c r="B86" s="324" t="inlineStr">
        <is>
          <t>000030ZIK48020260724000509</t>
        </is>
      </c>
      <c r="C86" s="304" t="n">
        <v>372816</v>
      </c>
      <c r="D86" s="304" t="n">
        <v>372575</v>
      </c>
      <c r="E86" s="317" t="n">
        <v>46227</v>
      </c>
      <c r="F86" s="320" t="inlineStr">
        <is>
          <t>SPL/026/ZDI/VII/2026</t>
        </is>
      </c>
      <c r="G86" s="317" t="n">
        <v>46227</v>
      </c>
      <c r="H86" s="311" t="n">
        <v>1</v>
      </c>
      <c r="I86" s="311" t="inlineStr"/>
      <c r="J86" s="311" t="inlineStr"/>
      <c r="K86" s="309" t="inlineStr">
        <is>
          <t>TOPPER</t>
        </is>
      </c>
      <c r="L86" s="310" t="inlineStr">
        <is>
          <t>ECMF-LV3T</t>
        </is>
      </c>
      <c r="M86" s="311" t="inlineStr"/>
      <c r="N86" s="309" t="inlineStr">
        <is>
          <t>F.TGT.SAMP</t>
        </is>
      </c>
      <c r="O86" s="306" t="n">
        <v>9.039999999999999</v>
      </c>
      <c r="P86" s="306" t="n">
        <v>7.44</v>
      </c>
      <c r="Q86" s="312">
        <f>IFERROR(R86/H86, 0)</f>
        <v/>
      </c>
      <c r="R86" s="307" t="n">
        <v>20</v>
      </c>
      <c r="S86" s="308" t="n">
        <v>18056</v>
      </c>
      <c r="T86" s="308">
        <f>IFERROR(S86*R86, 0)</f>
        <v/>
      </c>
      <c r="U86" s="313" t="inlineStr">
        <is>
          <t>050100/KPPBC</t>
        </is>
      </c>
      <c r="V86" s="315" t="inlineStr">
        <is>
          <t>S. HATTA</t>
        </is>
      </c>
      <c r="W86" s="316" t="inlineStr">
        <is>
          <t>LESTER B. PEARSON INTERNATIONAL/TORONTO</t>
        </is>
      </c>
      <c r="X86" s="311" t="inlineStr">
        <is>
          <t>ZINUS CANADA INC.</t>
        </is>
      </c>
      <c r="Y86" s="315" t="inlineStr">
        <is>
          <t>874825815644</t>
        </is>
      </c>
      <c r="Z86" s="317" t="n">
        <v>46227</v>
      </c>
    </row>
    <row r="87" ht="16.5" customHeight="1" s="223">
      <c r="A87" s="322" t="n"/>
      <c r="B87" s="324" t="n"/>
      <c r="C87" s="304" t="n"/>
      <c r="D87" s="304" t="n"/>
      <c r="E87" s="317" t="n"/>
      <c r="F87" s="320" t="n"/>
      <c r="G87" s="317" t="n"/>
      <c r="H87" s="311" t="n">
        <v>1</v>
      </c>
      <c r="I87" s="311" t="inlineStr"/>
      <c r="J87" s="311" t="inlineStr"/>
      <c r="K87" s="309" t="inlineStr">
        <is>
          <t>TOPPER</t>
        </is>
      </c>
      <c r="L87" s="310" t="inlineStr">
        <is>
          <t>GMT-3T</t>
        </is>
      </c>
      <c r="M87" s="311" t="inlineStr"/>
      <c r="N87" s="309" t="inlineStr">
        <is>
          <t>F.TGT.SAMP</t>
        </is>
      </c>
      <c r="O87" s="306" t="n"/>
      <c r="P87" s="306" t="n"/>
      <c r="Q87" s="312">
        <f>IFERROR(R87/H87, 0)</f>
        <v/>
      </c>
      <c r="R87" s="307" t="n">
        <v>20</v>
      </c>
      <c r="S87" s="308" t="n">
        <v>18056</v>
      </c>
      <c r="T87" s="308">
        <f>IFERROR(S87*R87, 0)</f>
        <v/>
      </c>
      <c r="U87" s="313" t="n"/>
      <c r="V87" s="315" t="n"/>
      <c r="W87" s="316" t="inlineStr">
        <is>
          <t>ETD : 27-07-2026</t>
        </is>
      </c>
      <c r="X87" s="311" t="n"/>
      <c r="Y87" s="315" t="n"/>
      <c r="Z87" s="317" t="n"/>
    </row>
    <row r="88" ht="17.1" customHeight="1" s="223">
      <c r="A88" s="325" t="n"/>
      <c r="B88" s="326" t="n"/>
      <c r="C88" s="327" t="n"/>
      <c r="D88" s="327" t="n"/>
      <c r="E88" s="328" t="n"/>
      <c r="F88" s="328" t="n"/>
      <c r="G88" s="328" t="n"/>
      <c r="H88" s="329">
        <f>SUM(H86:H87)</f>
        <v/>
      </c>
      <c r="I88" s="330">
        <f>COUNTA(I86:I87)</f>
        <v/>
      </c>
      <c r="J88" s="329" t="n"/>
      <c r="K88" s="329" t="n"/>
      <c r="L88" s="331" t="n"/>
      <c r="M88" s="329" t="n"/>
      <c r="N88" s="329" t="n"/>
      <c r="O88" s="332">
        <f>SUM(O86:O87)</f>
        <v/>
      </c>
      <c r="P88" s="332">
        <f>SUM(P86:P87)</f>
        <v/>
      </c>
      <c r="Q88" s="333" t="n"/>
      <c r="R88" s="334">
        <f>SUM(R86:R87)</f>
        <v/>
      </c>
      <c r="S88" s="335" t="n"/>
      <c r="T88" s="335">
        <f>SUM(T86:T87)</f>
        <v/>
      </c>
      <c r="U88" s="329" t="n"/>
      <c r="V88" s="336" t="n"/>
      <c r="W88" s="337" t="n"/>
      <c r="X88" s="336" t="n"/>
      <c r="Y88" s="336" t="n"/>
      <c r="Z88" s="336" t="n"/>
    </row>
    <row r="89" ht="16.5" customHeight="1" s="223">
      <c r="A89" s="322" t="n">
        <v>7</v>
      </c>
      <c r="B89" s="324" t="inlineStr">
        <is>
          <t>000030ZIK48020260724000510</t>
        </is>
      </c>
      <c r="C89" s="304" t="n">
        <v>461504</v>
      </c>
      <c r="D89" s="304" t="n">
        <v>461467</v>
      </c>
      <c r="E89" s="317" t="n">
        <v>46228</v>
      </c>
      <c r="F89" s="320" t="inlineStr">
        <is>
          <t>ID2607-7889</t>
        </is>
      </c>
      <c r="G89" s="317" t="n">
        <v>46226</v>
      </c>
      <c r="H89" s="311" t="n">
        <v>128</v>
      </c>
      <c r="I89" s="311" t="inlineStr">
        <is>
          <t>MIEU0007328</t>
        </is>
      </c>
      <c r="J89" s="311" t="inlineStr">
        <is>
          <t>40FT</t>
        </is>
      </c>
      <c r="K89" s="309" t="inlineStr">
        <is>
          <t>3.5IN TRIFOLD GREENTEA MATT.TW</t>
        </is>
      </c>
      <c r="L89" s="310" t="inlineStr">
        <is>
          <t>CA-MFMTRI-35T</t>
        </is>
      </c>
      <c r="M89" s="311" t="inlineStr">
        <is>
          <t>1004596929</t>
        </is>
      </c>
      <c r="N89" s="309" t="inlineStr">
        <is>
          <t>F.MFM.03T.002.WN</t>
        </is>
      </c>
      <c r="O89" s="306" t="n">
        <v>73910</v>
      </c>
      <c r="P89" s="306" t="n">
        <v>61096.51</v>
      </c>
      <c r="Q89" s="312">
        <f>IFERROR(R89/H89, 0)</f>
        <v/>
      </c>
      <c r="R89" s="307" t="n">
        <v>2663.68</v>
      </c>
      <c r="S89" s="308" t="n">
        <v>18056</v>
      </c>
      <c r="T89" s="308">
        <f>IFERROR(S89*R89, 0)</f>
        <v/>
      </c>
      <c r="U89" s="313" t="inlineStr">
        <is>
          <t>040300/KPPBC</t>
        </is>
      </c>
      <c r="V89" s="315" t="inlineStr">
        <is>
          <t>TG. PRIOK</t>
        </is>
      </c>
      <c r="W89" s="316" t="inlineStr">
        <is>
          <t>VANCOUVER</t>
        </is>
      </c>
      <c r="X89" s="311" t="inlineStr">
        <is>
          <t>WAL-MART CANADA CORP</t>
        </is>
      </c>
      <c r="Y89" s="315" t="inlineStr">
        <is>
          <t>MAEU272837411</t>
        </is>
      </c>
      <c r="Z89" s="317" t="n">
        <v>46228</v>
      </c>
    </row>
    <row r="90" ht="16.5" customHeight="1" s="223">
      <c r="A90" s="322" t="n"/>
      <c r="B90" s="324" t="n"/>
      <c r="C90" s="304" t="n"/>
      <c r="D90" s="304" t="n"/>
      <c r="E90" s="317" t="n"/>
      <c r="F90" s="320" t="n"/>
      <c r="G90" s="317" t="n"/>
      <c r="H90" s="311" t="n">
        <v>543</v>
      </c>
      <c r="I90" s="311" t="inlineStr">
        <is>
          <t>MRKU2900920</t>
        </is>
      </c>
      <c r="J90" s="311" t="inlineStr">
        <is>
          <t>40FT</t>
        </is>
      </c>
      <c r="K90" s="309" t="inlineStr">
        <is>
          <t>6IN GREEN TEA MF MATTRESS FL</t>
        </is>
      </c>
      <c r="L90" s="310" t="inlineStr">
        <is>
          <t>WCA-FMS-6F</t>
        </is>
      </c>
      <c r="M90" s="311" t="inlineStr">
        <is>
          <t>1004596929</t>
        </is>
      </c>
      <c r="N90" s="309" t="inlineStr">
        <is>
          <t>F.MFM.06F.000.WN</t>
        </is>
      </c>
      <c r="O90" s="306" t="n"/>
      <c r="P90" s="306" t="n"/>
      <c r="Q90" s="312">
        <f>IFERROR(R90/H90, 0)</f>
        <v/>
      </c>
      <c r="R90" s="307" t="n">
        <v>20894.64</v>
      </c>
      <c r="S90" s="308" t="n">
        <v>18056</v>
      </c>
      <c r="T90" s="308">
        <f>IFERROR(S90*R90, 0)</f>
        <v/>
      </c>
      <c r="U90" s="313" t="n"/>
      <c r="V90" s="315" t="n"/>
      <c r="W90" s="316" t="inlineStr">
        <is>
          <t>ETD : 27-07-2026</t>
        </is>
      </c>
      <c r="X90" s="311" t="n"/>
      <c r="Y90" s="315" t="n"/>
      <c r="Z90" s="317" t="n"/>
    </row>
    <row r="91" ht="16.5" customHeight="1" s="223">
      <c r="A91" s="322" t="n"/>
      <c r="B91" s="324" t="n"/>
      <c r="C91" s="304" t="n"/>
      <c r="D91" s="304" t="n"/>
      <c r="E91" s="317" t="n"/>
      <c r="F91" s="320" t="n"/>
      <c r="G91" s="317" t="n"/>
      <c r="H91" s="311" t="n">
        <v>825</v>
      </c>
      <c r="I91" s="311" t="inlineStr">
        <is>
          <t>MRSU3614441</t>
        </is>
      </c>
      <c r="J91" s="311" t="inlineStr">
        <is>
          <t>40FT</t>
        </is>
      </c>
      <c r="K91" s="309" t="inlineStr">
        <is>
          <t>6IN GREEN TEA MF MATTRESS QN</t>
        </is>
      </c>
      <c r="L91" s="310" t="inlineStr">
        <is>
          <t>WCA-FMS-6Q</t>
        </is>
      </c>
      <c r="M91" s="311" t="inlineStr">
        <is>
          <t>1004596929</t>
        </is>
      </c>
      <c r="N91" s="309" t="inlineStr">
        <is>
          <t>F.MFM.06Q.000.WN</t>
        </is>
      </c>
      <c r="O91" s="306" t="n"/>
      <c r="P91" s="306" t="n"/>
      <c r="Q91" s="312">
        <f>IFERROR(R91/H91, 0)</f>
        <v/>
      </c>
      <c r="R91" s="307" t="n">
        <v>37092</v>
      </c>
      <c r="S91" s="308" t="n">
        <v>18056</v>
      </c>
      <c r="T91" s="308">
        <f>IFERROR(S91*R91, 0)</f>
        <v/>
      </c>
      <c r="U91" s="313" t="n"/>
      <c r="V91" s="315" t="n"/>
      <c r="W91" s="316" t="n"/>
      <c r="X91" s="311" t="n"/>
      <c r="Y91" s="315" t="n"/>
      <c r="Z91" s="317" t="n"/>
    </row>
    <row r="92" ht="16.5" customHeight="1" s="223">
      <c r="A92" s="322" t="n"/>
      <c r="B92" s="324" t="n"/>
      <c r="C92" s="304" t="n"/>
      <c r="D92" s="304" t="n"/>
      <c r="E92" s="317" t="n"/>
      <c r="F92" s="320" t="n"/>
      <c r="G92" s="317" t="n"/>
      <c r="H92" s="311" t="n">
        <v>669</v>
      </c>
      <c r="I92" s="311" t="inlineStr">
        <is>
          <t>MRKU3682612</t>
        </is>
      </c>
      <c r="J92" s="311" t="inlineStr">
        <is>
          <t>40FT</t>
        </is>
      </c>
      <c r="K92" s="309" t="inlineStr">
        <is>
          <t>6IN GREEN TEA MF MATTRESS TW</t>
        </is>
      </c>
      <c r="L92" s="310" t="inlineStr">
        <is>
          <t>WCA-FMS-6T</t>
        </is>
      </c>
      <c r="M92" s="311" t="inlineStr">
        <is>
          <t>1004596929</t>
        </is>
      </c>
      <c r="N92" s="309" t="inlineStr">
        <is>
          <t>F.MFM.06T.000.WN</t>
        </is>
      </c>
      <c r="O92" s="306" t="n"/>
      <c r="P92" s="306" t="n"/>
      <c r="Q92" s="312">
        <f>IFERROR(R92/H92, 0)</f>
        <v/>
      </c>
      <c r="R92" s="307" t="n">
        <v>19615.08</v>
      </c>
      <c r="S92" s="308" t="n">
        <v>18056</v>
      </c>
      <c r="T92" s="308">
        <f>IFERROR(S92*R92, 0)</f>
        <v/>
      </c>
      <c r="U92" s="313" t="n"/>
      <c r="V92" s="315" t="n"/>
      <c r="W92" s="316" t="n"/>
      <c r="X92" s="311" t="n"/>
      <c r="Y92" s="315" t="n"/>
      <c r="Z92" s="317" t="n"/>
    </row>
    <row r="93" ht="16.5" customHeight="1" s="223">
      <c r="A93" s="322" t="n"/>
      <c r="B93" s="324" t="n"/>
      <c r="C93" s="304" t="n"/>
      <c r="D93" s="304" t="n"/>
      <c r="E93" s="317" t="n"/>
      <c r="F93" s="320" t="n"/>
      <c r="G93" s="317" t="n"/>
      <c r="H93" s="311" t="n">
        <v>1014</v>
      </c>
      <c r="I93" s="311" t="inlineStr">
        <is>
          <t>MRKU4171047</t>
        </is>
      </c>
      <c r="J93" s="311" t="inlineStr">
        <is>
          <t>40FT</t>
        </is>
      </c>
      <c r="K93" s="309" t="inlineStr">
        <is>
          <t>6IN SP TT MSS TW</t>
        </is>
      </c>
      <c r="L93" s="310" t="inlineStr">
        <is>
          <t>WMC-BLBN-6T</t>
        </is>
      </c>
      <c r="M93" s="311" t="inlineStr">
        <is>
          <t>1004596929</t>
        </is>
      </c>
      <c r="N93" s="309" t="inlineStr">
        <is>
          <t>F.MSS.06T.002.WN</t>
        </is>
      </c>
      <c r="O93" s="306" t="n"/>
      <c r="P93" s="306" t="n"/>
      <c r="Q93" s="312">
        <f>IFERROR(R93/H93, 0)</f>
        <v/>
      </c>
      <c r="R93" s="307" t="n">
        <v>27195.48</v>
      </c>
      <c r="S93" s="308" t="n">
        <v>18056</v>
      </c>
      <c r="T93" s="308">
        <f>IFERROR(S93*R93, 0)</f>
        <v/>
      </c>
      <c r="U93" s="313" t="n"/>
      <c r="V93" s="315" t="n"/>
      <c r="W93" s="316" t="n"/>
      <c r="X93" s="311" t="n"/>
      <c r="Y93" s="315" t="n"/>
      <c r="Z93" s="317" t="n"/>
    </row>
    <row r="94" ht="16.5" customHeight="1" s="223">
      <c r="A94" s="322" t="n"/>
      <c r="B94" s="324" t="n"/>
      <c r="C94" s="304" t="n"/>
      <c r="D94" s="304" t="n"/>
      <c r="E94" s="317" t="n"/>
      <c r="F94" s="320" t="n"/>
      <c r="G94" s="317" t="n"/>
      <c r="H94" s="311" t="n">
        <v>137</v>
      </c>
      <c r="I94" s="311" t="inlineStr"/>
      <c r="J94" s="311" t="inlineStr"/>
      <c r="K94" s="309" t="inlineStr">
        <is>
          <t>8IN TIGHT TOP POCKET FL</t>
        </is>
      </c>
      <c r="L94" s="310" t="inlineStr">
        <is>
          <t>WMC-SMT-8F</t>
        </is>
      </c>
      <c r="M94" s="311" t="inlineStr">
        <is>
          <t>1004596929</t>
        </is>
      </c>
      <c r="N94" s="309" t="inlineStr">
        <is>
          <t>F.MSS.08F.002.WN</t>
        </is>
      </c>
      <c r="O94" s="306" t="n"/>
      <c r="P94" s="306" t="n"/>
      <c r="Q94" s="312">
        <f>IFERROR(R94/H94, 0)</f>
        <v/>
      </c>
      <c r="R94" s="307" t="n">
        <v>6506.13</v>
      </c>
      <c r="S94" s="308" t="n">
        <v>18056</v>
      </c>
      <c r="T94" s="308">
        <f>IFERROR(S94*R94, 0)</f>
        <v/>
      </c>
      <c r="U94" s="313" t="n"/>
      <c r="V94" s="315" t="n"/>
      <c r="W94" s="316" t="n"/>
      <c r="X94" s="311" t="n"/>
      <c r="Y94" s="315" t="n"/>
      <c r="Z94" s="317" t="n"/>
    </row>
    <row r="95" ht="16.5" customHeight="1" s="223">
      <c r="A95" s="322" t="n"/>
      <c r="B95" s="324" t="n"/>
      <c r="C95" s="304" t="n"/>
      <c r="D95" s="304" t="n"/>
      <c r="E95" s="317" t="n"/>
      <c r="F95" s="320" t="n"/>
      <c r="G95" s="317" t="n"/>
      <c r="H95" s="311" t="n">
        <v>572</v>
      </c>
      <c r="I95" s="311" t="inlineStr"/>
      <c r="J95" s="311" t="inlineStr"/>
      <c r="K95" s="309" t="inlineStr">
        <is>
          <t>8IN TIGHT TOP POCKET QN</t>
        </is>
      </c>
      <c r="L95" s="310" t="inlineStr">
        <is>
          <t>WMC-SMT-8Q</t>
        </is>
      </c>
      <c r="M95" s="311" t="inlineStr">
        <is>
          <t>1004596929</t>
        </is>
      </c>
      <c r="N95" s="309" t="inlineStr">
        <is>
          <t>F.MSS.08Q.002.WN</t>
        </is>
      </c>
      <c r="O95" s="306" t="n"/>
      <c r="P95" s="306" t="n"/>
      <c r="Q95" s="312">
        <f>IFERROR(R95/H95, 0)</f>
        <v/>
      </c>
      <c r="R95" s="307" t="n">
        <v>30413.24</v>
      </c>
      <c r="S95" s="308" t="n">
        <v>18056</v>
      </c>
      <c r="T95" s="308">
        <f>IFERROR(S95*R95, 0)</f>
        <v/>
      </c>
      <c r="U95" s="313" t="n"/>
      <c r="V95" s="315" t="n"/>
      <c r="W95" s="316" t="n"/>
      <c r="X95" s="311" t="n"/>
      <c r="Y95" s="315" t="n"/>
      <c r="Z95" s="317" t="n"/>
    </row>
    <row r="96" ht="16.5" customHeight="1" s="223">
      <c r="A96" s="322" t="n"/>
      <c r="B96" s="324" t="n"/>
      <c r="C96" s="304" t="n"/>
      <c r="D96" s="304" t="n"/>
      <c r="E96" s="317" t="n"/>
      <c r="F96" s="320" t="n"/>
      <c r="G96" s="317" t="n"/>
      <c r="H96" s="311" t="n">
        <v>50</v>
      </c>
      <c r="I96" s="311" t="inlineStr"/>
      <c r="J96" s="311" t="inlineStr"/>
      <c r="K96" s="309" t="inlineStr">
        <is>
          <t>8IN TIGHT TOP POCKET TW</t>
        </is>
      </c>
      <c r="L96" s="310" t="inlineStr">
        <is>
          <t>WMC-SMT-8T</t>
        </is>
      </c>
      <c r="M96" s="311" t="inlineStr">
        <is>
          <t>1004596929</t>
        </is>
      </c>
      <c r="N96" s="309" t="inlineStr">
        <is>
          <t>F.MSS.08T.002.WN</t>
        </is>
      </c>
      <c r="O96" s="306" t="n"/>
      <c r="P96" s="306" t="n"/>
      <c r="Q96" s="312">
        <f>IFERROR(R96/H96, 0)</f>
        <v/>
      </c>
      <c r="R96" s="307" t="n">
        <v>1789</v>
      </c>
      <c r="S96" s="308" t="n">
        <v>18056</v>
      </c>
      <c r="T96" s="308">
        <f>IFERROR(S96*R96, 0)</f>
        <v/>
      </c>
      <c r="U96" s="313" t="n"/>
      <c r="V96" s="315" t="n"/>
      <c r="W96" s="316" t="n"/>
      <c r="X96" s="311" t="n"/>
      <c r="Y96" s="315" t="n"/>
      <c r="Z96" s="317" t="n"/>
    </row>
    <row r="97" ht="17.1" customHeight="1" s="223">
      <c r="A97" s="325" t="n"/>
      <c r="B97" s="326" t="n"/>
      <c r="C97" s="327" t="n"/>
      <c r="D97" s="327" t="n"/>
      <c r="E97" s="328" t="n"/>
      <c r="F97" s="328" t="n"/>
      <c r="G97" s="328" t="n"/>
      <c r="H97" s="329">
        <f>SUM(H89:H96)</f>
        <v/>
      </c>
      <c r="I97" s="330">
        <f>COUNTA(I89:I96)</f>
        <v/>
      </c>
      <c r="J97" s="329" t="n"/>
      <c r="K97" s="329" t="n"/>
      <c r="L97" s="331" t="n"/>
      <c r="M97" s="329" t="n"/>
      <c r="N97" s="329" t="n"/>
      <c r="O97" s="332">
        <f>SUM(O89:O96)</f>
        <v/>
      </c>
      <c r="P97" s="332">
        <f>SUM(P89:P96)</f>
        <v/>
      </c>
      <c r="Q97" s="333" t="n"/>
      <c r="R97" s="334">
        <f>SUM(R89:R96)</f>
        <v/>
      </c>
      <c r="S97" s="335" t="n"/>
      <c r="T97" s="335">
        <f>SUM(T89:T96)</f>
        <v/>
      </c>
      <c r="U97" s="329" t="n"/>
      <c r="V97" s="336" t="n"/>
      <c r="W97" s="337" t="n"/>
      <c r="X97" s="336" t="n"/>
      <c r="Y97" s="336" t="n"/>
      <c r="Z97" s="336" t="n"/>
    </row>
    <row r="98" ht="16.5" customHeight="1" s="223">
      <c r="A98" s="322" t="n">
        <v>8</v>
      </c>
      <c r="B98" s="324" t="inlineStr">
        <is>
          <t>000030ZIK48020260724000511</t>
        </is>
      </c>
      <c r="C98" s="304" t="n">
        <v>464010</v>
      </c>
      <c r="D98" s="304" t="n">
        <v>463971</v>
      </c>
      <c r="E98" s="317" t="n">
        <v>46230</v>
      </c>
      <c r="F98" s="320" t="inlineStr">
        <is>
          <t>ID2607-7896</t>
        </is>
      </c>
      <c r="G98" s="317" t="n">
        <v>46227</v>
      </c>
      <c r="H98" s="311" t="n">
        <v>520</v>
      </c>
      <c r="I98" s="311" t="inlineStr">
        <is>
          <t>UACU5885314</t>
        </is>
      </c>
      <c r="J98" s="311" t="inlineStr">
        <is>
          <t>40FT</t>
        </is>
      </c>
      <c r="K98" s="309" t="inlineStr">
        <is>
          <t>8IN GREEN TEA MF MATTRESS FL</t>
        </is>
      </c>
      <c r="L98" s="310" t="inlineStr">
        <is>
          <t>SCF-STR-800F</t>
        </is>
      </c>
      <c r="M98" s="311" t="inlineStr">
        <is>
          <t>0993630642</t>
        </is>
      </c>
      <c r="N98" s="309" t="inlineStr">
        <is>
          <t>F.MFM.08F.000.WS</t>
        </is>
      </c>
      <c r="O98" s="306" t="n">
        <v>10618.4</v>
      </c>
      <c r="P98" s="306" t="n">
        <v>9370.4</v>
      </c>
      <c r="Q98" s="312">
        <f>IFERROR(R98/H98, 0)</f>
        <v/>
      </c>
      <c r="R98" s="307" t="n">
        <v>41480.4</v>
      </c>
      <c r="S98" s="308" t="n">
        <v>18056</v>
      </c>
      <c r="T98" s="308">
        <f>IFERROR(S98*R98, 0)</f>
        <v/>
      </c>
      <c r="U98" s="313" t="inlineStr">
        <is>
          <t>040300/KPPBC</t>
        </is>
      </c>
      <c r="V98" s="315" t="inlineStr">
        <is>
          <t>TG. PRIOK</t>
        </is>
      </c>
      <c r="W98" s="316" t="inlineStr">
        <is>
          <t>LOS ANGELES</t>
        </is>
      </c>
      <c r="X98" s="311" t="inlineStr">
        <is>
          <t>WALMART, INC.</t>
        </is>
      </c>
      <c r="Y98" s="315" t="inlineStr">
        <is>
          <t>HLCUJK1260736608</t>
        </is>
      </c>
      <c r="Z98" s="317" t="n">
        <v>46230</v>
      </c>
    </row>
    <row r="99" ht="16.5" customHeight="1" s="223">
      <c r="A99" s="322" t="n"/>
      <c r="B99" s="324" t="n"/>
      <c r="C99" s="304" t="n"/>
      <c r="D99" s="304" t="n"/>
      <c r="E99" s="317" t="n"/>
      <c r="F99" s="320" t="n"/>
      <c r="G99" s="317" t="n"/>
      <c r="H99" s="311" t="n"/>
      <c r="I99" s="311" t="n"/>
      <c r="J99" s="311" t="n"/>
      <c r="K99" s="309" t="n"/>
      <c r="L99" s="310" t="n"/>
      <c r="M99" s="311" t="n"/>
      <c r="N99" s="309" t="n"/>
      <c r="O99" s="306" t="n"/>
      <c r="P99" s="306" t="n"/>
      <c r="Q99" s="312" t="n"/>
      <c r="R99" s="307" t="n"/>
      <c r="S99" s="308" t="n"/>
      <c r="T99" s="308" t="n"/>
      <c r="U99" s="313" t="n"/>
      <c r="V99" s="315" t="n"/>
      <c r="W99" s="316" t="inlineStr">
        <is>
          <t>ETD : 27-07-2026</t>
        </is>
      </c>
      <c r="X99" s="311" t="n"/>
      <c r="Y99" s="315" t="n"/>
      <c r="Z99" s="317" t="n"/>
    </row>
    <row r="100" ht="17.1" customHeight="1" s="223">
      <c r="A100" s="325" t="n"/>
      <c r="B100" s="326" t="n"/>
      <c r="C100" s="327" t="n"/>
      <c r="D100" s="327" t="n"/>
      <c r="E100" s="328" t="n"/>
      <c r="F100" s="328" t="n"/>
      <c r="G100" s="328" t="n"/>
      <c r="H100" s="329">
        <f>SUM(H98:H99)</f>
        <v/>
      </c>
      <c r="I100" s="330">
        <f>COUNTA(I98:I99)</f>
        <v/>
      </c>
      <c r="J100" s="329" t="n"/>
      <c r="K100" s="329" t="n"/>
      <c r="L100" s="331" t="n"/>
      <c r="M100" s="329" t="n"/>
      <c r="N100" s="329" t="n"/>
      <c r="O100" s="332">
        <f>SUM(O98:O99)</f>
        <v/>
      </c>
      <c r="P100" s="332">
        <f>SUM(P98:P99)</f>
        <v/>
      </c>
      <c r="Q100" s="333" t="n"/>
      <c r="R100" s="334">
        <f>SUM(R98:R99)</f>
        <v/>
      </c>
      <c r="S100" s="335" t="n"/>
      <c r="T100" s="335">
        <f>SUM(T98:T99)</f>
        <v/>
      </c>
      <c r="U100" s="329" t="n"/>
      <c r="V100" s="336" t="n"/>
      <c r="W100" s="337" t="n"/>
      <c r="X100" s="336" t="n"/>
      <c r="Y100" s="336" t="n"/>
      <c r="Z100" s="336" t="n"/>
    </row>
    <row r="101" ht="16.5" customHeight="1" s="223">
      <c r="A101" s="322" t="n">
        <v>9</v>
      </c>
      <c r="B101" s="324" t="inlineStr">
        <is>
          <t>000030ZIK48020260724000512</t>
        </is>
      </c>
      <c r="C101" s="304" t="n">
        <v>463457</v>
      </c>
      <c r="D101" s="304" t="n">
        <v>463419</v>
      </c>
      <c r="E101" s="317" t="n">
        <v>46230</v>
      </c>
      <c r="F101" s="320" t="inlineStr">
        <is>
          <t>ID2607-7897</t>
        </is>
      </c>
      <c r="G101" s="317" t="n">
        <v>46227</v>
      </c>
      <c r="H101" s="311" t="n">
        <v>693</v>
      </c>
      <c r="I101" s="311" t="inlineStr">
        <is>
          <t>MSKU1826348</t>
        </is>
      </c>
      <c r="J101" s="311" t="inlineStr">
        <is>
          <t>40FT</t>
        </is>
      </c>
      <c r="K101" s="309" t="inlineStr">
        <is>
          <t>8IN GREEN TEA MF MATTRESS TW</t>
        </is>
      </c>
      <c r="L101" s="310" t="inlineStr">
        <is>
          <t>SCF-STR-800T</t>
        </is>
      </c>
      <c r="M101" s="311" t="inlineStr">
        <is>
          <t>0993631216</t>
        </is>
      </c>
      <c r="N101" s="309" t="inlineStr">
        <is>
          <t>F.MFM.08T.000.WS</t>
        </is>
      </c>
      <c r="O101" s="306" t="n">
        <v>10526.67</v>
      </c>
      <c r="P101" s="306" t="n">
        <v>9140.67</v>
      </c>
      <c r="Q101" s="312">
        <f>IFERROR(R101/H101, 0)</f>
        <v/>
      </c>
      <c r="R101" s="307" t="n">
        <v>42619.5</v>
      </c>
      <c r="S101" s="308" t="n">
        <v>18056</v>
      </c>
      <c r="T101" s="308">
        <f>IFERROR(S101*R101, 0)</f>
        <v/>
      </c>
      <c r="U101" s="313" t="inlineStr">
        <is>
          <t>040300/KPPBC</t>
        </is>
      </c>
      <c r="V101" s="315" t="inlineStr">
        <is>
          <t>TG. PRIOK</t>
        </is>
      </c>
      <c r="W101" s="316" t="inlineStr">
        <is>
          <t>MOBILE</t>
        </is>
      </c>
      <c r="X101" s="311" t="inlineStr">
        <is>
          <t>WALMART, INC.</t>
        </is>
      </c>
      <c r="Y101" s="315" t="inlineStr">
        <is>
          <t>MAEU274374101</t>
        </is>
      </c>
      <c r="Z101" s="317" t="n">
        <v>46230</v>
      </c>
    </row>
    <row r="102" ht="16.5" customHeight="1" s="223">
      <c r="A102" s="322" t="n"/>
      <c r="B102" s="324" t="n"/>
      <c r="C102" s="304" t="n"/>
      <c r="D102" s="304" t="n"/>
      <c r="E102" s="317" t="n"/>
      <c r="F102" s="320" t="n"/>
      <c r="G102" s="317" t="n"/>
      <c r="H102" s="311" t="n"/>
      <c r="I102" s="311" t="n"/>
      <c r="J102" s="311" t="n"/>
      <c r="K102" s="309" t="n"/>
      <c r="L102" s="310" t="n"/>
      <c r="M102" s="311" t="n"/>
      <c r="N102" s="309" t="n"/>
      <c r="O102" s="306" t="n"/>
      <c r="P102" s="306" t="n"/>
      <c r="Q102" s="312" t="n"/>
      <c r="R102" s="307" t="n"/>
      <c r="S102" s="308" t="n"/>
      <c r="T102" s="308" t="n"/>
      <c r="U102" s="313" t="n"/>
      <c r="V102" s="315" t="n"/>
      <c r="W102" s="316" t="inlineStr">
        <is>
          <t>ETD : 27-07-2026</t>
        </is>
      </c>
      <c r="X102" s="311" t="n"/>
      <c r="Y102" s="315" t="n"/>
      <c r="Z102" s="317" t="n"/>
    </row>
    <row r="103" ht="17.1" customHeight="1" s="223">
      <c r="A103" s="325" t="n"/>
      <c r="B103" s="326" t="n"/>
      <c r="C103" s="327" t="n"/>
      <c r="D103" s="327" t="n"/>
      <c r="E103" s="328" t="n"/>
      <c r="F103" s="328" t="n"/>
      <c r="G103" s="328" t="n"/>
      <c r="H103" s="329">
        <f>SUM(H101:H102)</f>
        <v/>
      </c>
      <c r="I103" s="330">
        <f>COUNTA(I101:I102)</f>
        <v/>
      </c>
      <c r="J103" s="329" t="n"/>
      <c r="K103" s="329" t="n"/>
      <c r="L103" s="331" t="n"/>
      <c r="M103" s="329" t="n"/>
      <c r="N103" s="329" t="n"/>
      <c r="O103" s="332">
        <f>SUM(O101:O102)</f>
        <v/>
      </c>
      <c r="P103" s="332">
        <f>SUM(P101:P102)</f>
        <v/>
      </c>
      <c r="Q103" s="333" t="n"/>
      <c r="R103" s="334">
        <f>SUM(R101:R102)</f>
        <v/>
      </c>
      <c r="S103" s="335" t="n"/>
      <c r="T103" s="335">
        <f>SUM(T101:T102)</f>
        <v/>
      </c>
      <c r="U103" s="329" t="n"/>
      <c r="V103" s="336" t="n"/>
      <c r="W103" s="337" t="n"/>
      <c r="X103" s="336" t="n"/>
      <c r="Y103" s="336" t="n"/>
      <c r="Z103" s="336" t="n"/>
    </row>
    <row r="104" ht="16.5" customHeight="1" s="223">
      <c r="A104" s="322" t="n">
        <v>10</v>
      </c>
      <c r="B104" s="324" t="inlineStr">
        <is>
          <t>000030ZIK48020260724000513</t>
        </is>
      </c>
      <c r="C104" s="304" t="n">
        <v>463513</v>
      </c>
      <c r="D104" s="304" t="n">
        <v>463475</v>
      </c>
      <c r="E104" s="317" t="n">
        <v>46230</v>
      </c>
      <c r="F104" s="320" t="inlineStr">
        <is>
          <t>ID2607-7898</t>
        </is>
      </c>
      <c r="G104" s="317" t="n">
        <v>46227</v>
      </c>
      <c r="H104" s="311" t="n">
        <v>450</v>
      </c>
      <c r="I104" s="311" t="inlineStr">
        <is>
          <t>MRKU2066736</t>
        </is>
      </c>
      <c r="J104" s="311" t="inlineStr">
        <is>
          <t>40FT</t>
        </is>
      </c>
      <c r="K104" s="309" t="inlineStr">
        <is>
          <t>8IN GREEN TEA MF MATTRESS QN</t>
        </is>
      </c>
      <c r="L104" s="310" t="inlineStr">
        <is>
          <t>SCF-STR-800Q</t>
        </is>
      </c>
      <c r="M104" s="311" t="inlineStr">
        <is>
          <t>0993630972</t>
        </is>
      </c>
      <c r="N104" s="309" t="inlineStr">
        <is>
          <t>F.MFM.08Q.000.WS</t>
        </is>
      </c>
      <c r="O104" s="306" t="n">
        <v>10755</v>
      </c>
      <c r="P104" s="306" t="n">
        <v>9594</v>
      </c>
      <c r="Q104" s="312">
        <f>IFERROR(R104/H104, 0)</f>
        <v/>
      </c>
      <c r="R104" s="307" t="n">
        <v>42286.5</v>
      </c>
      <c r="S104" s="308" t="n">
        <v>18056</v>
      </c>
      <c r="T104" s="308">
        <f>IFERROR(S104*R104, 0)</f>
        <v/>
      </c>
      <c r="U104" s="313" t="inlineStr">
        <is>
          <t>040300/KPPBC</t>
        </is>
      </c>
      <c r="V104" s="315" t="inlineStr">
        <is>
          <t>TG. PRIOK</t>
        </is>
      </c>
      <c r="W104" s="316" t="inlineStr">
        <is>
          <t>MOBILE</t>
        </is>
      </c>
      <c r="X104" s="311" t="inlineStr">
        <is>
          <t>WALMART, INC.</t>
        </is>
      </c>
      <c r="Y104" s="315" t="inlineStr">
        <is>
          <t>MAEU274374433</t>
        </is>
      </c>
      <c r="Z104" s="317" t="n">
        <v>46230</v>
      </c>
    </row>
    <row r="105" ht="16.5" customHeight="1" s="223">
      <c r="A105" s="322" t="n"/>
      <c r="B105" s="324" t="n"/>
      <c r="C105" s="304" t="n"/>
      <c r="D105" s="304" t="n"/>
      <c r="E105" s="317" t="n"/>
      <c r="F105" s="320" t="n"/>
      <c r="G105" s="317" t="n"/>
      <c r="H105" s="311" t="n"/>
      <c r="I105" s="311" t="n"/>
      <c r="J105" s="311" t="n"/>
      <c r="K105" s="309" t="n"/>
      <c r="L105" s="310" t="n"/>
      <c r="M105" s="311" t="n"/>
      <c r="N105" s="309" t="n"/>
      <c r="O105" s="306" t="n"/>
      <c r="P105" s="306" t="n"/>
      <c r="Q105" s="312" t="n"/>
      <c r="R105" s="307" t="n"/>
      <c r="S105" s="308" t="n"/>
      <c r="T105" s="308" t="n"/>
      <c r="U105" s="313" t="n"/>
      <c r="V105" s="315" t="n"/>
      <c r="W105" s="316" t="inlineStr">
        <is>
          <t>ETD : 27-07-2026</t>
        </is>
      </c>
      <c r="X105" s="311" t="n"/>
      <c r="Y105" s="315" t="n"/>
      <c r="Z105" s="317" t="n"/>
    </row>
    <row r="106" ht="17.1" customHeight="1" s="223">
      <c r="A106" s="325" t="n"/>
      <c r="B106" s="326" t="n"/>
      <c r="C106" s="327" t="n"/>
      <c r="D106" s="327" t="n"/>
      <c r="E106" s="328" t="n"/>
      <c r="F106" s="328" t="n"/>
      <c r="G106" s="328" t="n"/>
      <c r="H106" s="329">
        <f>SUM(H104:H105)</f>
        <v/>
      </c>
      <c r="I106" s="330">
        <f>COUNTA(I104:I105)</f>
        <v/>
      </c>
      <c r="J106" s="329" t="n"/>
      <c r="K106" s="329" t="n"/>
      <c r="L106" s="331" t="n"/>
      <c r="M106" s="329" t="n"/>
      <c r="N106" s="329" t="n"/>
      <c r="O106" s="332">
        <f>SUM(O104:O105)</f>
        <v/>
      </c>
      <c r="P106" s="332">
        <f>SUM(P104:P105)</f>
        <v/>
      </c>
      <c r="Q106" s="333" t="n"/>
      <c r="R106" s="334">
        <f>SUM(R104:R105)</f>
        <v/>
      </c>
      <c r="S106" s="335" t="n"/>
      <c r="T106" s="335">
        <f>SUM(T104:T105)</f>
        <v/>
      </c>
      <c r="U106" s="329" t="n"/>
      <c r="V106" s="336" t="n"/>
      <c r="W106" s="337" t="n"/>
      <c r="X106" s="336" t="n"/>
      <c r="Y106" s="336" t="n"/>
      <c r="Z106" s="336" t="n"/>
    </row>
    <row r="107" ht="16.5" customHeight="1" s="223">
      <c r="A107" s="322" t="n">
        <v>11</v>
      </c>
      <c r="B107" s="324" t="inlineStr">
        <is>
          <t>000030ZIK48020260724000514</t>
        </is>
      </c>
      <c r="C107" s="304" t="n">
        <v>463403</v>
      </c>
      <c r="D107" s="304" t="n">
        <v>463366</v>
      </c>
      <c r="E107" s="317" t="n">
        <v>46230</v>
      </c>
      <c r="F107" s="320" t="inlineStr">
        <is>
          <t>ID2607-7899</t>
        </is>
      </c>
      <c r="G107" s="317" t="n">
        <v>46227</v>
      </c>
      <c r="H107" s="311" t="n">
        <v>520</v>
      </c>
      <c r="I107" s="311" t="inlineStr">
        <is>
          <t>TCLU8148918</t>
        </is>
      </c>
      <c r="J107" s="311" t="inlineStr">
        <is>
          <t>40FT</t>
        </is>
      </c>
      <c r="K107" s="309" t="inlineStr">
        <is>
          <t>8IN GREEN TEA MF MATTRESS FL</t>
        </is>
      </c>
      <c r="L107" s="310" t="inlineStr">
        <is>
          <t>SCF-STR-800F</t>
        </is>
      </c>
      <c r="M107" s="311" t="inlineStr">
        <is>
          <t>0993630613</t>
        </is>
      </c>
      <c r="N107" s="309" t="inlineStr">
        <is>
          <t>F.MFM.08F.000.WS</t>
        </is>
      </c>
      <c r="O107" s="306" t="n">
        <v>10618.4</v>
      </c>
      <c r="P107" s="306" t="n">
        <v>9370.4</v>
      </c>
      <c r="Q107" s="312">
        <f>IFERROR(R107/H107, 0)</f>
        <v/>
      </c>
      <c r="R107" s="307" t="n">
        <v>41480.4</v>
      </c>
      <c r="S107" s="308" t="n">
        <v>18056</v>
      </c>
      <c r="T107" s="308">
        <f>IFERROR(S107*R107, 0)</f>
        <v/>
      </c>
      <c r="U107" s="313" t="inlineStr">
        <is>
          <t>040300/KPPBC</t>
        </is>
      </c>
      <c r="V107" s="315" t="inlineStr">
        <is>
          <t>TG. PRIOK</t>
        </is>
      </c>
      <c r="W107" s="316" t="inlineStr">
        <is>
          <t>MOBILE</t>
        </is>
      </c>
      <c r="X107" s="311" t="inlineStr">
        <is>
          <t>WALMART, INC.</t>
        </is>
      </c>
      <c r="Y107" s="315" t="inlineStr">
        <is>
          <t>MAEU274377017</t>
        </is>
      </c>
      <c r="Z107" s="317" t="n">
        <v>46230</v>
      </c>
    </row>
    <row r="108" ht="16.5" customHeight="1" s="223">
      <c r="A108" s="322" t="n"/>
      <c r="B108" s="324" t="n"/>
      <c r="C108" s="304" t="n"/>
      <c r="D108" s="304" t="n"/>
      <c r="E108" s="317" t="n"/>
      <c r="F108" s="320" t="n"/>
      <c r="G108" s="317" t="n"/>
      <c r="H108" s="311" t="n"/>
      <c r="I108" s="311" t="n"/>
      <c r="J108" s="311" t="n"/>
      <c r="K108" s="309" t="n"/>
      <c r="L108" s="310" t="n"/>
      <c r="M108" s="311" t="n"/>
      <c r="N108" s="309" t="n"/>
      <c r="O108" s="306" t="n"/>
      <c r="P108" s="306" t="n"/>
      <c r="Q108" s="312" t="n"/>
      <c r="R108" s="307" t="n"/>
      <c r="S108" s="308" t="n"/>
      <c r="T108" s="308" t="n"/>
      <c r="U108" s="313" t="n"/>
      <c r="V108" s="315" t="n"/>
      <c r="W108" s="316" t="inlineStr">
        <is>
          <t>ETD : 27-07-2026</t>
        </is>
      </c>
      <c r="X108" s="311" t="n"/>
      <c r="Y108" s="315" t="n"/>
      <c r="Z108" s="317" t="n"/>
    </row>
    <row r="109" ht="17.1" customHeight="1" s="223">
      <c r="A109" s="325" t="n"/>
      <c r="B109" s="326" t="n"/>
      <c r="C109" s="327" t="n"/>
      <c r="D109" s="327" t="n"/>
      <c r="E109" s="328" t="n"/>
      <c r="F109" s="328" t="n"/>
      <c r="G109" s="328" t="n"/>
      <c r="H109" s="329">
        <f>SUM(H107:H108)</f>
        <v/>
      </c>
      <c r="I109" s="330">
        <f>COUNTA(I107:I108)</f>
        <v/>
      </c>
      <c r="J109" s="329" t="n"/>
      <c r="K109" s="329" t="n"/>
      <c r="L109" s="331" t="n"/>
      <c r="M109" s="329" t="n"/>
      <c r="N109" s="329" t="n"/>
      <c r="O109" s="332">
        <f>SUM(O107:O108)</f>
        <v/>
      </c>
      <c r="P109" s="332">
        <f>SUM(P107:P108)</f>
        <v/>
      </c>
      <c r="Q109" s="333" t="n"/>
      <c r="R109" s="334">
        <f>SUM(R107:R108)</f>
        <v/>
      </c>
      <c r="S109" s="335" t="n"/>
      <c r="T109" s="335">
        <f>SUM(T107:T108)</f>
        <v/>
      </c>
      <c r="U109" s="329" t="n"/>
      <c r="V109" s="336" t="n"/>
      <c r="W109" s="337" t="n"/>
      <c r="X109" s="336" t="n"/>
      <c r="Y109" s="336" t="n"/>
      <c r="Z109" s="336" t="n"/>
    </row>
    <row r="110" ht="16.5" customHeight="1" s="223">
      <c r="A110" s="322" t="n">
        <v>12</v>
      </c>
      <c r="B110" s="324" t="inlineStr">
        <is>
          <t>000030ZIK48020260724000515</t>
        </is>
      </c>
      <c r="C110" s="304" t="n">
        <v>463426</v>
      </c>
      <c r="D110" s="304" t="n">
        <v>463389</v>
      </c>
      <c r="E110" s="317" t="n">
        <v>46230</v>
      </c>
      <c r="F110" s="320" t="inlineStr">
        <is>
          <t>ID2607-7900</t>
        </is>
      </c>
      <c r="G110" s="317" t="n">
        <v>46227</v>
      </c>
      <c r="H110" s="311" t="n">
        <v>1744</v>
      </c>
      <c r="I110" s="311" t="inlineStr">
        <is>
          <t>NIDU5219796</t>
        </is>
      </c>
      <c r="J110" s="311" t="inlineStr">
        <is>
          <t>40FT</t>
        </is>
      </c>
      <c r="K110" s="309" t="inlineStr">
        <is>
          <t>6IN MSS24-6TW</t>
        </is>
      </c>
      <c r="L110" s="310" t="inlineStr">
        <is>
          <t>MS24-6T</t>
        </is>
      </c>
      <c r="M110" s="311" t="inlineStr">
        <is>
          <t>1004113825</t>
        </is>
      </c>
      <c r="N110" s="309" t="inlineStr">
        <is>
          <t>F.MSS.06T.002.WS</t>
        </is>
      </c>
      <c r="O110" s="306" t="n">
        <v>31252.48</v>
      </c>
      <c r="P110" s="306" t="n">
        <v>27904</v>
      </c>
      <c r="Q110" s="312">
        <f>IFERROR(R110/H110, 0)</f>
        <v/>
      </c>
      <c r="R110" s="307" t="n">
        <v>55180.16</v>
      </c>
      <c r="S110" s="308" t="n">
        <v>18056</v>
      </c>
      <c r="T110" s="308">
        <f>IFERROR(S110*R110, 0)</f>
        <v/>
      </c>
      <c r="U110" s="313" t="inlineStr">
        <is>
          <t>040300/KPPBC</t>
        </is>
      </c>
      <c r="V110" s="315" t="inlineStr">
        <is>
          <t>TG. PRIOK</t>
        </is>
      </c>
      <c r="W110" s="316" t="inlineStr">
        <is>
          <t>NORFOLK</t>
        </is>
      </c>
      <c r="X110" s="311" t="inlineStr">
        <is>
          <t>WALMART, INC.</t>
        </is>
      </c>
      <c r="Y110" s="315" t="inlineStr">
        <is>
          <t>HLCUJK1260743818</t>
        </is>
      </c>
      <c r="Z110" s="317" t="n">
        <v>46230</v>
      </c>
    </row>
    <row r="111" ht="16.5" customHeight="1" s="223">
      <c r="A111" s="322" t="n"/>
      <c r="B111" s="324" t="n"/>
      <c r="C111" s="304" t="n"/>
      <c r="D111" s="304" t="n"/>
      <c r="E111" s="317" t="n"/>
      <c r="F111" s="320" t="n"/>
      <c r="G111" s="317" t="n"/>
      <c r="H111" s="311" t="n"/>
      <c r="I111" s="311" t="n"/>
      <c r="J111" s="311" t="n"/>
      <c r="K111" s="309" t="n"/>
      <c r="L111" s="310" t="n"/>
      <c r="M111" s="311" t="n"/>
      <c r="N111" s="309" t="n"/>
      <c r="O111" s="306" t="n"/>
      <c r="P111" s="306" t="n"/>
      <c r="Q111" s="312" t="n"/>
      <c r="R111" s="307" t="n"/>
      <c r="S111" s="308" t="n"/>
      <c r="T111" s="308" t="n"/>
      <c r="U111" s="313" t="n"/>
      <c r="V111" s="315" t="n"/>
      <c r="W111" s="316" t="inlineStr">
        <is>
          <t>ETD : 27-07-2026</t>
        </is>
      </c>
      <c r="X111" s="311" t="n"/>
      <c r="Y111" s="315" t="n"/>
      <c r="Z111" s="317" t="n"/>
    </row>
    <row r="112" ht="17.1" customHeight="1" s="223">
      <c r="A112" s="325" t="n"/>
      <c r="B112" s="326" t="n"/>
      <c r="C112" s="327" t="n"/>
      <c r="D112" s="327" t="n"/>
      <c r="E112" s="328" t="n"/>
      <c r="F112" s="328" t="n"/>
      <c r="G112" s="328" t="n"/>
      <c r="H112" s="329">
        <f>SUM(H110:H111)</f>
        <v/>
      </c>
      <c r="I112" s="330">
        <f>COUNTA(I110:I111)</f>
        <v/>
      </c>
      <c r="J112" s="329" t="n"/>
      <c r="K112" s="329" t="n"/>
      <c r="L112" s="331" t="n"/>
      <c r="M112" s="329" t="n"/>
      <c r="N112" s="329" t="n"/>
      <c r="O112" s="332">
        <f>SUM(O110:O111)</f>
        <v/>
      </c>
      <c r="P112" s="332">
        <f>SUM(P110:P111)</f>
        <v/>
      </c>
      <c r="Q112" s="333" t="n"/>
      <c r="R112" s="334">
        <f>SUM(R110:R111)</f>
        <v/>
      </c>
      <c r="S112" s="335" t="n"/>
      <c r="T112" s="335">
        <f>SUM(T110:T111)</f>
        <v/>
      </c>
      <c r="U112" s="329" t="n"/>
      <c r="V112" s="336" t="n"/>
      <c r="W112" s="337" t="n"/>
      <c r="X112" s="336" t="n"/>
      <c r="Y112" s="336" t="n"/>
      <c r="Z112" s="336" t="n"/>
    </row>
    <row r="113" ht="16.5" customHeight="1" s="223">
      <c r="A113" s="322" t="n">
        <v>13</v>
      </c>
      <c r="B113" s="324" t="inlineStr">
        <is>
          <t>000030ZIK48020260724000516</t>
        </is>
      </c>
      <c r="C113" s="304" t="n">
        <v>464202</v>
      </c>
      <c r="D113" s="304" t="n">
        <v>464163</v>
      </c>
      <c r="E113" s="317" t="n">
        <v>46230</v>
      </c>
      <c r="F113" s="320" t="inlineStr">
        <is>
          <t>ID2607-7901</t>
        </is>
      </c>
      <c r="G113" s="317" t="n">
        <v>46227</v>
      </c>
      <c r="H113" s="311" t="n">
        <v>1350</v>
      </c>
      <c r="I113" s="311" t="inlineStr">
        <is>
          <t>TRHU5254265</t>
        </is>
      </c>
      <c r="J113" s="311" t="inlineStr">
        <is>
          <t>40FT</t>
        </is>
      </c>
      <c r="K113" s="309" t="inlineStr">
        <is>
          <t>8IN GREEN TEA MF MATTRESS QN</t>
        </is>
      </c>
      <c r="L113" s="310" t="inlineStr">
        <is>
          <t>SCF-STR-800Q</t>
        </is>
      </c>
      <c r="M113" s="311" t="inlineStr">
        <is>
          <t>0993631058</t>
        </is>
      </c>
      <c r="N113" s="309" t="inlineStr">
        <is>
          <t>F.MFM.08Q.000.WS</t>
        </is>
      </c>
      <c r="O113" s="306" t="n">
        <v>32265</v>
      </c>
      <c r="P113" s="306" t="n">
        <v>28782</v>
      </c>
      <c r="Q113" s="312">
        <f>IFERROR(R113/H113, 0)</f>
        <v/>
      </c>
      <c r="R113" s="307" t="n">
        <v>126859.5</v>
      </c>
      <c r="S113" s="308" t="n">
        <v>18056</v>
      </c>
      <c r="T113" s="308">
        <f>IFERROR(S113*R113, 0)</f>
        <v/>
      </c>
      <c r="U113" s="313" t="inlineStr">
        <is>
          <t>040300/KPPBC</t>
        </is>
      </c>
      <c r="V113" s="315" t="inlineStr">
        <is>
          <t>TG. PRIOK</t>
        </is>
      </c>
      <c r="W113" s="316" t="inlineStr">
        <is>
          <t>LONG BEACH</t>
        </is>
      </c>
      <c r="X113" s="311" t="inlineStr">
        <is>
          <t>WALMART, INC.</t>
        </is>
      </c>
      <c r="Y113" s="315" t="inlineStr">
        <is>
          <t>COSU6507394220</t>
        </is>
      </c>
      <c r="Z113" s="317" t="n">
        <v>46230</v>
      </c>
    </row>
    <row r="114" ht="16.5" customHeight="1" s="223">
      <c r="A114" s="322" t="n"/>
      <c r="B114" s="324" t="n"/>
      <c r="C114" s="304" t="n"/>
      <c r="D114" s="304" t="n"/>
      <c r="E114" s="317" t="n"/>
      <c r="F114" s="320" t="n"/>
      <c r="G114" s="317" t="n"/>
      <c r="H114" s="311" t="n"/>
      <c r="I114" s="311" t="n"/>
      <c r="J114" s="311" t="n"/>
      <c r="K114" s="309" t="n"/>
      <c r="L114" s="310" t="n"/>
      <c r="M114" s="311" t="n"/>
      <c r="N114" s="309" t="n"/>
      <c r="O114" s="306" t="n"/>
      <c r="P114" s="306" t="n"/>
      <c r="Q114" s="312" t="n"/>
      <c r="R114" s="307" t="n"/>
      <c r="S114" s="308" t="n"/>
      <c r="T114" s="308" t="n"/>
      <c r="U114" s="313" t="n"/>
      <c r="V114" s="315" t="n"/>
      <c r="W114" s="316" t="inlineStr">
        <is>
          <t>ETD : 27-07-2026</t>
        </is>
      </c>
      <c r="X114" s="311" t="n"/>
      <c r="Y114" s="315" t="n"/>
      <c r="Z114" s="317" t="n"/>
    </row>
    <row r="115" ht="17.1" customHeight="1" s="223">
      <c r="A115" s="325" t="n"/>
      <c r="B115" s="326" t="n"/>
      <c r="C115" s="327" t="n"/>
      <c r="D115" s="327" t="n"/>
      <c r="E115" s="328" t="n"/>
      <c r="F115" s="328" t="n"/>
      <c r="G115" s="328" t="n"/>
      <c r="H115" s="329">
        <f>SUM(H113:H114)</f>
        <v/>
      </c>
      <c r="I115" s="330">
        <f>COUNTA(I113:I114)</f>
        <v/>
      </c>
      <c r="J115" s="329" t="n"/>
      <c r="K115" s="329" t="n"/>
      <c r="L115" s="331" t="n"/>
      <c r="M115" s="329" t="n"/>
      <c r="N115" s="329" t="n"/>
      <c r="O115" s="332">
        <f>SUM(O113:O114)</f>
        <v/>
      </c>
      <c r="P115" s="332">
        <f>SUM(P113:P114)</f>
        <v/>
      </c>
      <c r="Q115" s="333" t="n"/>
      <c r="R115" s="334">
        <f>SUM(R113:R114)</f>
        <v/>
      </c>
      <c r="S115" s="335" t="n"/>
      <c r="T115" s="335">
        <f>SUM(T113:T114)</f>
        <v/>
      </c>
      <c r="U115" s="329" t="n"/>
      <c r="V115" s="336" t="n"/>
      <c r="W115" s="337" t="n"/>
      <c r="X115" s="336" t="n"/>
      <c r="Y115" s="336" t="n"/>
      <c r="Z115" s="336" t="n"/>
    </row>
    <row r="116" ht="16.5" customHeight="1" s="223">
      <c r="A116" s="322" t="n">
        <v>14</v>
      </c>
      <c r="B116" s="324" t="inlineStr">
        <is>
          <t>000030ZIK48020260724000517</t>
        </is>
      </c>
      <c r="C116" s="304" t="n">
        <v>463325</v>
      </c>
      <c r="D116" s="304" t="n">
        <v>463288</v>
      </c>
      <c r="E116" s="317" t="n">
        <v>46230</v>
      </c>
      <c r="F116" s="320" t="inlineStr">
        <is>
          <t>ID2607-7902</t>
        </is>
      </c>
      <c r="G116" s="317" t="n">
        <v>46227</v>
      </c>
      <c r="H116" s="311" t="n">
        <v>693</v>
      </c>
      <c r="I116" s="311" t="inlineStr">
        <is>
          <t>OOLU9589239</t>
        </is>
      </c>
      <c r="J116" s="311" t="inlineStr">
        <is>
          <t>40FT</t>
        </is>
      </c>
      <c r="K116" s="309" t="inlineStr">
        <is>
          <t>8IN GREEN TEA MF MATTRESS TW</t>
        </is>
      </c>
      <c r="L116" s="310" t="inlineStr">
        <is>
          <t>SCF-STR-800T</t>
        </is>
      </c>
      <c r="M116" s="311" t="inlineStr">
        <is>
          <t>0993631124</t>
        </is>
      </c>
      <c r="N116" s="309" t="inlineStr">
        <is>
          <t>F.MFM.08T.000.WS</t>
        </is>
      </c>
      <c r="O116" s="306" t="n">
        <v>10526.67</v>
      </c>
      <c r="P116" s="306" t="n">
        <v>9140.67</v>
      </c>
      <c r="Q116" s="312">
        <f>IFERROR(R116/H116, 0)</f>
        <v/>
      </c>
      <c r="R116" s="307" t="n">
        <v>42619.5</v>
      </c>
      <c r="S116" s="308" t="n">
        <v>18056</v>
      </c>
      <c r="T116" s="308">
        <f>IFERROR(S116*R116, 0)</f>
        <v/>
      </c>
      <c r="U116" s="313" t="inlineStr">
        <is>
          <t>040300/KPPBC</t>
        </is>
      </c>
      <c r="V116" s="315" t="inlineStr">
        <is>
          <t>TG. PRIOK</t>
        </is>
      </c>
      <c r="W116" s="316" t="inlineStr">
        <is>
          <t>SAVANNAH</t>
        </is>
      </c>
      <c r="X116" s="311" t="inlineStr">
        <is>
          <t>WALMART, INC.</t>
        </is>
      </c>
      <c r="Y116" s="315" t="inlineStr">
        <is>
          <t>COSU6507777680</t>
        </is>
      </c>
      <c r="Z116" s="317" t="n">
        <v>46230</v>
      </c>
    </row>
    <row r="117" ht="16.5" customHeight="1" s="223">
      <c r="A117" s="322" t="n"/>
      <c r="B117" s="324" t="n"/>
      <c r="C117" s="304" t="n"/>
      <c r="D117" s="304" t="n"/>
      <c r="E117" s="317" t="n"/>
      <c r="F117" s="320" t="n"/>
      <c r="G117" s="317" t="n"/>
      <c r="H117" s="311" t="n"/>
      <c r="I117" s="311" t="n"/>
      <c r="J117" s="311" t="n"/>
      <c r="K117" s="309" t="n"/>
      <c r="L117" s="310" t="n"/>
      <c r="M117" s="311" t="n"/>
      <c r="N117" s="309" t="n"/>
      <c r="O117" s="306" t="n"/>
      <c r="P117" s="306" t="n"/>
      <c r="Q117" s="312" t="n"/>
      <c r="R117" s="307" t="n"/>
      <c r="S117" s="308" t="n"/>
      <c r="T117" s="308" t="n"/>
      <c r="U117" s="313" t="n"/>
      <c r="V117" s="315" t="n"/>
      <c r="W117" s="316" t="inlineStr">
        <is>
          <t>ETD : 27-07-2026</t>
        </is>
      </c>
      <c r="X117" s="311" t="n"/>
      <c r="Y117" s="315" t="n"/>
      <c r="Z117" s="317" t="n"/>
    </row>
    <row r="118" ht="17.1" customHeight="1" s="223">
      <c r="A118" s="325" t="n"/>
      <c r="B118" s="326" t="n"/>
      <c r="C118" s="327" t="n"/>
      <c r="D118" s="327" t="n"/>
      <c r="E118" s="328" t="n"/>
      <c r="F118" s="328" t="n"/>
      <c r="G118" s="328" t="n"/>
      <c r="H118" s="329">
        <f>SUM(H116:H117)</f>
        <v/>
      </c>
      <c r="I118" s="330">
        <f>COUNTA(I116:I117)</f>
        <v/>
      </c>
      <c r="J118" s="329" t="n"/>
      <c r="K118" s="329" t="n"/>
      <c r="L118" s="331" t="n"/>
      <c r="M118" s="329" t="n"/>
      <c r="N118" s="329" t="n"/>
      <c r="O118" s="332">
        <f>SUM(O116:O117)</f>
        <v/>
      </c>
      <c r="P118" s="332">
        <f>SUM(P116:P117)</f>
        <v/>
      </c>
      <c r="Q118" s="333" t="n"/>
      <c r="R118" s="334">
        <f>SUM(R116:R117)</f>
        <v/>
      </c>
      <c r="S118" s="335" t="n"/>
      <c r="T118" s="335">
        <f>SUM(T116:T117)</f>
        <v/>
      </c>
      <c r="U118" s="329" t="n"/>
      <c r="V118" s="336" t="n"/>
      <c r="W118" s="337" t="n"/>
      <c r="X118" s="336" t="n"/>
      <c r="Y118" s="336" t="n"/>
      <c r="Z118" s="336" t="n"/>
    </row>
    <row r="119" ht="16.5" customHeight="1" s="223">
      <c r="A119" s="322" t="n">
        <v>15</v>
      </c>
      <c r="B119" s="324" t="inlineStr">
        <is>
          <t>000030ZIK48020260724000518</t>
        </is>
      </c>
      <c r="C119" s="304" t="n">
        <v>463360</v>
      </c>
      <c r="D119" s="304" t="n">
        <v>463323</v>
      </c>
      <c r="E119" s="317" t="n">
        <v>46230</v>
      </c>
      <c r="F119" s="320" t="inlineStr">
        <is>
          <t>ID2607-7903</t>
        </is>
      </c>
      <c r="G119" s="317" t="n">
        <v>46227</v>
      </c>
      <c r="H119" s="311" t="n">
        <v>900</v>
      </c>
      <c r="I119" s="311" t="inlineStr">
        <is>
          <t>TCNU1329911</t>
        </is>
      </c>
      <c r="J119" s="311" t="inlineStr">
        <is>
          <t>40FT</t>
        </is>
      </c>
      <c r="K119" s="309" t="inlineStr">
        <is>
          <t>8IN GREEN TEA MF MATTRESS QN</t>
        </is>
      </c>
      <c r="L119" s="310" t="inlineStr">
        <is>
          <t>SCF-STR-800Q</t>
        </is>
      </c>
      <c r="M119" s="311" t="inlineStr">
        <is>
          <t>0993630951</t>
        </is>
      </c>
      <c r="N119" s="309" t="inlineStr">
        <is>
          <t>F.MFM.08Q.000.WS</t>
        </is>
      </c>
      <c r="O119" s="306" t="n">
        <v>21510</v>
      </c>
      <c r="P119" s="306" t="n">
        <v>19188</v>
      </c>
      <c r="Q119" s="312">
        <f>IFERROR(R119/H119, 0)</f>
        <v/>
      </c>
      <c r="R119" s="307" t="n">
        <v>84573</v>
      </c>
      <c r="S119" s="308" t="n">
        <v>18056</v>
      </c>
      <c r="T119" s="308">
        <f>IFERROR(S119*R119, 0)</f>
        <v/>
      </c>
      <c r="U119" s="313" t="inlineStr">
        <is>
          <t>040300/KPPBC</t>
        </is>
      </c>
      <c r="V119" s="315" t="inlineStr">
        <is>
          <t>TG. PRIOK</t>
        </is>
      </c>
      <c r="W119" s="316" t="inlineStr">
        <is>
          <t>SAVANNAH</t>
        </is>
      </c>
      <c r="X119" s="311" t="inlineStr">
        <is>
          <t>WALMART, INC.</t>
        </is>
      </c>
      <c r="Y119" s="315" t="inlineStr">
        <is>
          <t>COSU6507786810</t>
        </is>
      </c>
      <c r="Z119" s="317" t="n">
        <v>46230</v>
      </c>
    </row>
    <row r="120" ht="16.5" customHeight="1" s="223">
      <c r="A120" s="322" t="n"/>
      <c r="B120" s="324" t="n"/>
      <c r="C120" s="304" t="n"/>
      <c r="D120" s="304" t="n"/>
      <c r="E120" s="317" t="n"/>
      <c r="F120" s="320" t="n"/>
      <c r="G120" s="317" t="n"/>
      <c r="H120" s="311" t="n"/>
      <c r="I120" s="311" t="n"/>
      <c r="J120" s="311" t="n"/>
      <c r="K120" s="309" t="n"/>
      <c r="L120" s="310" t="n"/>
      <c r="M120" s="311" t="n"/>
      <c r="N120" s="309" t="n"/>
      <c r="O120" s="306" t="n"/>
      <c r="P120" s="306" t="n"/>
      <c r="Q120" s="312" t="n"/>
      <c r="R120" s="307" t="n"/>
      <c r="S120" s="308" t="n"/>
      <c r="T120" s="308" t="n"/>
      <c r="U120" s="313" t="n"/>
      <c r="V120" s="315" t="n"/>
      <c r="W120" s="316" t="inlineStr">
        <is>
          <t>ETD : 27-07-2026</t>
        </is>
      </c>
      <c r="X120" s="311" t="n"/>
      <c r="Y120" s="315" t="n"/>
      <c r="Z120" s="317" t="n"/>
    </row>
    <row r="121" ht="17.1" customHeight="1" s="223">
      <c r="A121" s="325" t="n"/>
      <c r="B121" s="326" t="n"/>
      <c r="C121" s="327" t="n"/>
      <c r="D121" s="327" t="n"/>
      <c r="E121" s="328" t="n"/>
      <c r="F121" s="328" t="n"/>
      <c r="G121" s="328" t="n"/>
      <c r="H121" s="329">
        <f>SUM(H119:H120)</f>
        <v/>
      </c>
      <c r="I121" s="330">
        <f>COUNTA(I119:I120)</f>
        <v/>
      </c>
      <c r="J121" s="329" t="n"/>
      <c r="K121" s="329" t="n"/>
      <c r="L121" s="331" t="n"/>
      <c r="M121" s="329" t="n"/>
      <c r="N121" s="329" t="n"/>
      <c r="O121" s="332">
        <f>SUM(O119:O120)</f>
        <v/>
      </c>
      <c r="P121" s="332">
        <f>SUM(P119:P120)</f>
        <v/>
      </c>
      <c r="Q121" s="333" t="n"/>
      <c r="R121" s="334">
        <f>SUM(R119:R120)</f>
        <v/>
      </c>
      <c r="S121" s="335" t="n"/>
      <c r="T121" s="335">
        <f>SUM(T119:T120)</f>
        <v/>
      </c>
      <c r="U121" s="329" t="n"/>
      <c r="V121" s="336" t="n"/>
      <c r="W121" s="337" t="n"/>
      <c r="X121" s="336" t="n"/>
      <c r="Y121" s="336" t="n"/>
      <c r="Z121" s="336" t="n"/>
    </row>
    <row r="122" ht="16.5" customHeight="1" s="223">
      <c r="A122" s="322" t="n">
        <v>16</v>
      </c>
      <c r="B122" s="324" t="inlineStr">
        <is>
          <t>000030ZIK48020260724000519</t>
        </is>
      </c>
      <c r="C122" s="304" t="n">
        <v>463292</v>
      </c>
      <c r="D122" s="304" t="n">
        <v>463255</v>
      </c>
      <c r="E122" s="317" t="n">
        <v>46230</v>
      </c>
      <c r="F122" s="320" t="inlineStr">
        <is>
          <t>ID2607-7904</t>
        </is>
      </c>
      <c r="G122" s="317" t="n">
        <v>46227</v>
      </c>
      <c r="H122" s="311" t="n">
        <v>693</v>
      </c>
      <c r="I122" s="311" t="inlineStr">
        <is>
          <t>TGBU4961207</t>
        </is>
      </c>
      <c r="J122" s="311" t="inlineStr">
        <is>
          <t>40FT</t>
        </is>
      </c>
      <c r="K122" s="309" t="inlineStr">
        <is>
          <t>8IN GREEN TEA MF MATTRESS TW</t>
        </is>
      </c>
      <c r="L122" s="310" t="inlineStr">
        <is>
          <t>SCF-STR-800T</t>
        </is>
      </c>
      <c r="M122" s="311" t="inlineStr">
        <is>
          <t>0993631233</t>
        </is>
      </c>
      <c r="N122" s="309" t="inlineStr">
        <is>
          <t>F.MFM.08T.000.WS</t>
        </is>
      </c>
      <c r="O122" s="306" t="n">
        <v>10526.67</v>
      </c>
      <c r="P122" s="306" t="n">
        <v>9140.67</v>
      </c>
      <c r="Q122" s="312">
        <f>IFERROR(R122/H122, 0)</f>
        <v/>
      </c>
      <c r="R122" s="307" t="n">
        <v>42619.5</v>
      </c>
      <c r="S122" s="308" t="n">
        <v>18056</v>
      </c>
      <c r="T122" s="308">
        <f>IFERROR(S122*R122, 0)</f>
        <v/>
      </c>
      <c r="U122" s="313" t="inlineStr">
        <is>
          <t>040300/KPPBC</t>
        </is>
      </c>
      <c r="V122" s="315" t="inlineStr">
        <is>
          <t>TG. PRIOK</t>
        </is>
      </c>
      <c r="W122" s="316" t="inlineStr">
        <is>
          <t>LONG BEACH</t>
        </is>
      </c>
      <c r="X122" s="311" t="inlineStr">
        <is>
          <t>WALMART, INC.</t>
        </is>
      </c>
      <c r="Y122" s="315" t="inlineStr">
        <is>
          <t>COSU6507936580</t>
        </is>
      </c>
      <c r="Z122" s="317" t="n">
        <v>46230</v>
      </c>
    </row>
    <row r="123" ht="16.5" customHeight="1" s="223">
      <c r="A123" s="322" t="n"/>
      <c r="B123" s="324" t="n"/>
      <c r="C123" s="304" t="n"/>
      <c r="D123" s="304" t="n"/>
      <c r="E123" s="317" t="n"/>
      <c r="F123" s="320" t="n"/>
      <c r="G123" s="317" t="n"/>
      <c r="H123" s="311" t="n"/>
      <c r="I123" s="311" t="n"/>
      <c r="J123" s="311" t="n"/>
      <c r="K123" s="309" t="n"/>
      <c r="L123" s="310" t="n"/>
      <c r="M123" s="311" t="n"/>
      <c r="N123" s="309" t="n"/>
      <c r="O123" s="306" t="n"/>
      <c r="P123" s="306" t="n"/>
      <c r="Q123" s="312" t="n"/>
      <c r="R123" s="307" t="n"/>
      <c r="S123" s="308" t="n"/>
      <c r="T123" s="308" t="n"/>
      <c r="U123" s="313" t="n"/>
      <c r="V123" s="315" t="n"/>
      <c r="W123" s="316" t="inlineStr">
        <is>
          <t>ETD : 27-07-2026</t>
        </is>
      </c>
      <c r="X123" s="311" t="n"/>
      <c r="Y123" s="315" t="n"/>
      <c r="Z123" s="317" t="n"/>
    </row>
    <row r="124" ht="17.1" customHeight="1" s="223">
      <c r="A124" s="325" t="n"/>
      <c r="B124" s="326" t="n"/>
      <c r="C124" s="327" t="n"/>
      <c r="D124" s="327" t="n"/>
      <c r="E124" s="328" t="n"/>
      <c r="F124" s="328" t="n"/>
      <c r="G124" s="328" t="n"/>
      <c r="H124" s="329">
        <f>SUM(H122:H123)</f>
        <v/>
      </c>
      <c r="I124" s="330">
        <f>COUNTA(I122:I123)</f>
        <v/>
      </c>
      <c r="J124" s="329" t="n"/>
      <c r="K124" s="329" t="n"/>
      <c r="L124" s="331" t="n"/>
      <c r="M124" s="329" t="n"/>
      <c r="N124" s="329" t="n"/>
      <c r="O124" s="332">
        <f>SUM(O122:O123)</f>
        <v/>
      </c>
      <c r="P124" s="332">
        <f>SUM(P122:P123)</f>
        <v/>
      </c>
      <c r="Q124" s="333" t="n"/>
      <c r="R124" s="334">
        <f>SUM(R122:R123)</f>
        <v/>
      </c>
      <c r="S124" s="335" t="n"/>
      <c r="T124" s="335">
        <f>SUM(T122:T123)</f>
        <v/>
      </c>
      <c r="U124" s="329" t="n"/>
      <c r="V124" s="336" t="n"/>
      <c r="W124" s="337" t="n"/>
      <c r="X124" s="336" t="n"/>
      <c r="Y124" s="336" t="n"/>
      <c r="Z124" s="336" t="n"/>
    </row>
    <row r="125" ht="16.5" customHeight="1" s="223">
      <c r="A125" s="322" t="n">
        <v>17</v>
      </c>
      <c r="B125" s="324" t="inlineStr">
        <is>
          <t>000030ZIK48020260725000520</t>
        </is>
      </c>
      <c r="C125" s="304" t="n">
        <v>467359</v>
      </c>
      <c r="D125" s="304" t="n">
        <v>467320</v>
      </c>
      <c r="E125" s="317" t="n">
        <v>46231</v>
      </c>
      <c r="F125" s="320" t="inlineStr">
        <is>
          <t>ID2607-7893</t>
        </is>
      </c>
      <c r="G125" s="317" t="n">
        <v>46227</v>
      </c>
      <c r="H125" s="311" t="n">
        <v>31</v>
      </c>
      <c r="I125" s="311" t="inlineStr">
        <is>
          <t>EMCU1520909</t>
        </is>
      </c>
      <c r="J125" s="311" t="inlineStr">
        <is>
          <t>40FT</t>
        </is>
      </c>
      <c r="K125" s="309" t="inlineStr">
        <is>
          <t>6IN MYGEL FOAM MATTRESS FL</t>
        </is>
      </c>
      <c r="L125" s="310" t="inlineStr">
        <is>
          <t>ZU-MFGN1YZI-06F</t>
        </is>
      </c>
      <c r="M125" s="311" t="inlineStr">
        <is>
          <t>2ESIXJJH</t>
        </is>
      </c>
      <c r="N125" s="309" t="inlineStr">
        <is>
          <t>F.MFG.06F.002.AD</t>
        </is>
      </c>
      <c r="O125" s="306" t="n">
        <v>60824.19</v>
      </c>
      <c r="P125" s="306" t="n">
        <v>55056.74</v>
      </c>
      <c r="Q125" s="312">
        <f>IFERROR(R125/H125, 0)</f>
        <v/>
      </c>
      <c r="R125" s="307" t="n">
        <v>1206.83</v>
      </c>
      <c r="S125" s="308" t="n">
        <v>18056</v>
      </c>
      <c r="T125" s="308">
        <f>IFERROR(S125*R125, 0)</f>
        <v/>
      </c>
      <c r="U125" s="313" t="inlineStr">
        <is>
          <t>040300/KPPBC</t>
        </is>
      </c>
      <c r="V125" s="315" t="inlineStr">
        <is>
          <t>TG. PRIOK</t>
        </is>
      </c>
      <c r="W125" s="316" t="inlineStr">
        <is>
          <t>NORFOLK</t>
        </is>
      </c>
      <c r="X125" s="311" t="inlineStr">
        <is>
          <t>AMAZON.COM SERVICES LLC</t>
        </is>
      </c>
      <c r="Y125" s="315" t="inlineStr">
        <is>
          <t>EGLV080600448397</t>
        </is>
      </c>
      <c r="Z125" s="317" t="n">
        <v>46231</v>
      </c>
    </row>
    <row r="126" ht="16.5" customHeight="1" s="223">
      <c r="A126" s="322" t="n"/>
      <c r="B126" s="324" t="n"/>
      <c r="C126" s="304" t="n"/>
      <c r="D126" s="304" t="n"/>
      <c r="E126" s="317" t="n"/>
      <c r="F126" s="320" t="n"/>
      <c r="G126" s="317" t="n"/>
      <c r="H126" s="311" t="n">
        <v>37</v>
      </c>
      <c r="I126" s="311" t="inlineStr">
        <is>
          <t>EITU1753738</t>
        </is>
      </c>
      <c r="J126" s="311" t="inlineStr">
        <is>
          <t>40FT</t>
        </is>
      </c>
      <c r="K126" s="309" t="inlineStr">
        <is>
          <t>8IN GREEN TEA MF MATTRESS SQ</t>
        </is>
      </c>
      <c r="L126" s="310" t="inlineStr">
        <is>
          <t>ZU-MFMA1FZI-08S</t>
        </is>
      </c>
      <c r="M126" s="311" t="inlineStr">
        <is>
          <t>2ESIXJJH</t>
        </is>
      </c>
      <c r="N126" s="309" t="inlineStr">
        <is>
          <t>F.MFM.08S.012.AD</t>
        </is>
      </c>
      <c r="O126" s="306" t="n"/>
      <c r="P126" s="306" t="n"/>
      <c r="Q126" s="312">
        <f>IFERROR(R126/H126, 0)</f>
        <v/>
      </c>
      <c r="R126" s="307" t="n">
        <v>2299.55</v>
      </c>
      <c r="S126" s="308" t="n">
        <v>18056</v>
      </c>
      <c r="T126" s="308">
        <f>IFERROR(S126*R126, 0)</f>
        <v/>
      </c>
      <c r="U126" s="313" t="n"/>
      <c r="V126" s="315" t="n"/>
      <c r="W126" s="316" t="inlineStr">
        <is>
          <t>ETD : 27-07-2026</t>
        </is>
      </c>
      <c r="X126" s="311" t="n"/>
      <c r="Y126" s="315" t="n"/>
      <c r="Z126" s="317" t="n"/>
    </row>
    <row r="127" ht="16.5" customHeight="1" s="223">
      <c r="A127" s="322" t="n"/>
      <c r="B127" s="324" t="n"/>
      <c r="C127" s="304" t="n"/>
      <c r="D127" s="304" t="n"/>
      <c r="E127" s="317" t="n"/>
      <c r="F127" s="320" t="n"/>
      <c r="G127" s="317" t="n"/>
      <c r="H127" s="311" t="n">
        <v>5</v>
      </c>
      <c r="I127" s="311" t="inlineStr">
        <is>
          <t>TGBU4041301</t>
        </is>
      </c>
      <c r="J127" s="311" t="inlineStr">
        <is>
          <t>40FT</t>
        </is>
      </c>
      <c r="K127" s="309" t="inlineStr">
        <is>
          <t>5IN OPP HD TW</t>
        </is>
      </c>
      <c r="L127" s="310" t="inlineStr">
        <is>
          <t>ZU-MFMA1OZI-05T</t>
        </is>
      </c>
      <c r="M127" s="311" t="inlineStr">
        <is>
          <t>2ESIXJJH</t>
        </is>
      </c>
      <c r="N127" s="309" t="inlineStr">
        <is>
          <t>F.MFM.05T.008.AD</t>
        </is>
      </c>
      <c r="O127" s="306" t="n"/>
      <c r="P127" s="306" t="n"/>
      <c r="Q127" s="312">
        <f>IFERROR(R127/H127, 0)</f>
        <v/>
      </c>
      <c r="R127" s="307" t="n">
        <v>119.75</v>
      </c>
      <c r="S127" s="308" t="n">
        <v>18056</v>
      </c>
      <c r="T127" s="308">
        <f>IFERROR(S127*R127, 0)</f>
        <v/>
      </c>
      <c r="U127" s="313" t="n"/>
      <c r="V127" s="315" t="n"/>
      <c r="W127" s="316" t="n"/>
      <c r="X127" s="311" t="n"/>
      <c r="Y127" s="315" t="n"/>
      <c r="Z127" s="317" t="n"/>
    </row>
    <row r="128" ht="16.5" customHeight="1" s="223">
      <c r="A128" s="322" t="n"/>
      <c r="B128" s="324" t="n"/>
      <c r="C128" s="304" t="n"/>
      <c r="D128" s="304" t="n"/>
      <c r="E128" s="317" t="n"/>
      <c r="F128" s="320" t="n"/>
      <c r="G128" s="317" t="n"/>
      <c r="H128" s="311" t="n">
        <v>1</v>
      </c>
      <c r="I128" s="311" t="inlineStr">
        <is>
          <t>EGHU9599335</t>
        </is>
      </c>
      <c r="J128" s="311" t="inlineStr">
        <is>
          <t>40FT</t>
        </is>
      </c>
      <c r="K128" s="309" t="inlineStr">
        <is>
          <t>8IN OPP HD QN</t>
        </is>
      </c>
      <c r="L128" s="310" t="inlineStr">
        <is>
          <t>ZU-MFMA1OZI-08Q</t>
        </is>
      </c>
      <c r="M128" s="311" t="inlineStr">
        <is>
          <t>2ESIXJJH</t>
        </is>
      </c>
      <c r="N128" s="309" t="inlineStr">
        <is>
          <t>F.MFM.08Q.013.AD</t>
        </is>
      </c>
      <c r="O128" s="306" t="n"/>
      <c r="P128" s="306" t="n"/>
      <c r="Q128" s="312">
        <f>IFERROR(R128/H128, 0)</f>
        <v/>
      </c>
      <c r="R128" s="307" t="n">
        <v>56.14</v>
      </c>
      <c r="S128" s="308" t="n">
        <v>18056</v>
      </c>
      <c r="T128" s="308">
        <f>IFERROR(S128*R128, 0)</f>
        <v/>
      </c>
      <c r="U128" s="313" t="n"/>
      <c r="V128" s="315" t="n"/>
      <c r="W128" s="316" t="n"/>
      <c r="X128" s="311" t="n"/>
      <c r="Y128" s="315" t="n"/>
      <c r="Z128" s="317" t="n"/>
    </row>
    <row r="129" ht="16.5" customHeight="1" s="223">
      <c r="A129" s="322" t="n"/>
      <c r="B129" s="324" t="n"/>
      <c r="C129" s="304" t="n"/>
      <c r="D129" s="304" t="n"/>
      <c r="E129" s="317" t="n"/>
      <c r="F129" s="320" t="n"/>
      <c r="G129" s="317" t="n"/>
      <c r="H129" s="311" t="n">
        <v>2</v>
      </c>
      <c r="I129" s="311" t="inlineStr">
        <is>
          <t>GCXU5332886</t>
        </is>
      </c>
      <c r="J129" s="311" t="inlineStr">
        <is>
          <t>40FT</t>
        </is>
      </c>
      <c r="K129" s="309" t="inlineStr">
        <is>
          <t>10IN OPP HD FL</t>
        </is>
      </c>
      <c r="L129" s="310" t="inlineStr">
        <is>
          <t>ZU-MFMA1OZI-10F</t>
        </is>
      </c>
      <c r="M129" s="311" t="inlineStr">
        <is>
          <t>2ESIXJJH</t>
        </is>
      </c>
      <c r="N129" s="309" t="inlineStr">
        <is>
          <t>F.MFM.10F.013.AD</t>
        </is>
      </c>
      <c r="O129" s="306" t="n"/>
      <c r="P129" s="306" t="n"/>
      <c r="Q129" s="312">
        <f>IFERROR(R129/H129, 0)</f>
        <v/>
      </c>
      <c r="R129" s="307" t="n">
        <v>95.81999999999999</v>
      </c>
      <c r="S129" s="308" t="n">
        <v>18056</v>
      </c>
      <c r="T129" s="308">
        <f>IFERROR(S129*R129, 0)</f>
        <v/>
      </c>
      <c r="U129" s="313" t="n"/>
      <c r="V129" s="315" t="n"/>
      <c r="W129" s="316" t="n"/>
      <c r="X129" s="311" t="n"/>
      <c r="Y129" s="315" t="n"/>
      <c r="Z129" s="317" t="n"/>
    </row>
    <row r="130" ht="16.5" customHeight="1" s="223">
      <c r="A130" s="322" t="n"/>
      <c r="B130" s="324" t="n"/>
      <c r="C130" s="304" t="n"/>
      <c r="D130" s="304" t="n"/>
      <c r="E130" s="317" t="n"/>
      <c r="F130" s="320" t="n"/>
      <c r="G130" s="317" t="n"/>
      <c r="H130" s="311" t="n">
        <v>144</v>
      </c>
      <c r="I130" s="311" t="inlineStr"/>
      <c r="J130" s="311" t="inlineStr"/>
      <c r="K130" s="309" t="inlineStr">
        <is>
          <t>10IN OPP HD QN</t>
        </is>
      </c>
      <c r="L130" s="310" t="inlineStr">
        <is>
          <t>ZU-MFMA1OZI-10Q</t>
        </is>
      </c>
      <c r="M130" s="311" t="inlineStr">
        <is>
          <t>2ESIXJJH</t>
        </is>
      </c>
      <c r="N130" s="309" t="inlineStr">
        <is>
          <t>F.MFM.10Q.013.AD</t>
        </is>
      </c>
      <c r="O130" s="306" t="n"/>
      <c r="P130" s="306" t="n"/>
      <c r="Q130" s="312">
        <f>IFERROR(R130/H130, 0)</f>
        <v/>
      </c>
      <c r="R130" s="307" t="n">
        <v>7761.6</v>
      </c>
      <c r="S130" s="308" t="n">
        <v>18056</v>
      </c>
      <c r="T130" s="308">
        <f>IFERROR(S130*R130, 0)</f>
        <v/>
      </c>
      <c r="U130" s="313" t="n"/>
      <c r="V130" s="315" t="n"/>
      <c r="W130" s="316" t="n"/>
      <c r="X130" s="311" t="n"/>
      <c r="Y130" s="315" t="n"/>
      <c r="Z130" s="317" t="n"/>
    </row>
    <row r="131" ht="16.5" customHeight="1" s="223">
      <c r="A131" s="322" t="n"/>
      <c r="B131" s="324" t="n"/>
      <c r="C131" s="304" t="n"/>
      <c r="D131" s="304" t="n"/>
      <c r="E131" s="317" t="n"/>
      <c r="F131" s="320" t="n"/>
      <c r="G131" s="317" t="n"/>
      <c r="H131" s="311" t="n">
        <v>7</v>
      </c>
      <c r="I131" s="311" t="inlineStr"/>
      <c r="J131" s="311" t="inlineStr"/>
      <c r="K131" s="309" t="inlineStr">
        <is>
          <t>12IN OPP HD EK</t>
        </is>
      </c>
      <c r="L131" s="310" t="inlineStr">
        <is>
          <t>ZU-MFMA1OZI-12K</t>
        </is>
      </c>
      <c r="M131" s="311" t="inlineStr">
        <is>
          <t>2ESIXJJH</t>
        </is>
      </c>
      <c r="N131" s="309" t="inlineStr">
        <is>
          <t>F.MFM.12K.010.AD</t>
        </is>
      </c>
      <c r="O131" s="306" t="n"/>
      <c r="P131" s="306" t="n"/>
      <c r="Q131" s="312">
        <f>IFERROR(R131/H131, 0)</f>
        <v/>
      </c>
      <c r="R131" s="307" t="n">
        <v>524.02</v>
      </c>
      <c r="S131" s="308" t="n">
        <v>18056</v>
      </c>
      <c r="T131" s="308">
        <f>IFERROR(S131*R131, 0)</f>
        <v/>
      </c>
      <c r="U131" s="313" t="n"/>
      <c r="V131" s="315" t="n"/>
      <c r="W131" s="316" t="n"/>
      <c r="X131" s="311" t="n"/>
      <c r="Y131" s="315" t="n"/>
      <c r="Z131" s="317" t="n"/>
    </row>
    <row r="132" ht="16.5" customHeight="1" s="223">
      <c r="A132" s="322" t="n"/>
      <c r="B132" s="324" t="n"/>
      <c r="C132" s="304" t="n"/>
      <c r="D132" s="304" t="n"/>
      <c r="E132" s="317" t="n"/>
      <c r="F132" s="320" t="n"/>
      <c r="G132" s="317" t="n"/>
      <c r="H132" s="311" t="n">
        <v>108</v>
      </c>
      <c r="I132" s="311" t="inlineStr"/>
      <c r="J132" s="311" t="inlineStr"/>
      <c r="K132" s="309" t="inlineStr">
        <is>
          <t>12IN OPP HD QN</t>
        </is>
      </c>
      <c r="L132" s="310" t="inlineStr">
        <is>
          <t>ZU-MFMA1OZI-12Q</t>
        </is>
      </c>
      <c r="M132" s="311" t="inlineStr">
        <is>
          <t>2ESIXJJH</t>
        </is>
      </c>
      <c r="N132" s="309" t="inlineStr">
        <is>
          <t>F.MFM.12Q.010.AD</t>
        </is>
      </c>
      <c r="O132" s="306" t="n"/>
      <c r="P132" s="306" t="n"/>
      <c r="Q132" s="312">
        <f>IFERROR(R132/H132, 0)</f>
        <v/>
      </c>
      <c r="R132" s="307" t="n">
        <v>7297.56</v>
      </c>
      <c r="S132" s="308" t="n">
        <v>18056</v>
      </c>
      <c r="T132" s="308">
        <f>IFERROR(S132*R132, 0)</f>
        <v/>
      </c>
      <c r="U132" s="313" t="n"/>
      <c r="V132" s="315" t="n"/>
      <c r="W132" s="316" t="n"/>
      <c r="X132" s="311" t="n"/>
      <c r="Y132" s="315" t="n"/>
      <c r="Z132" s="317" t="n"/>
    </row>
    <row r="133" ht="16.5" customHeight="1" s="223">
      <c r="A133" s="322" t="n"/>
      <c r="B133" s="324" t="n"/>
      <c r="C133" s="304" t="n"/>
      <c r="D133" s="304" t="n"/>
      <c r="E133" s="317" t="n"/>
      <c r="F133" s="320" t="n"/>
      <c r="G133" s="317" t="n"/>
      <c r="H133" s="311" t="n">
        <v>18</v>
      </c>
      <c r="I133" s="311" t="inlineStr"/>
      <c r="J133" s="311" t="inlineStr"/>
      <c r="K133" s="309" t="inlineStr">
        <is>
          <t>10IN AIRFLOW GEL FOAM MATT FL</t>
        </is>
      </c>
      <c r="L133" s="310" t="inlineStr">
        <is>
          <t>ZU-MFMA1RZI-10F</t>
        </is>
      </c>
      <c r="M133" s="311" t="inlineStr">
        <is>
          <t>2ESIXJJH</t>
        </is>
      </c>
      <c r="N133" s="309" t="inlineStr">
        <is>
          <t>F.MFM.10F.014.AD</t>
        </is>
      </c>
      <c r="O133" s="306" t="n"/>
      <c r="P133" s="306" t="n"/>
      <c r="Q133" s="312">
        <f>IFERROR(R133/H133, 0)</f>
        <v/>
      </c>
      <c r="R133" s="307" t="n">
        <v>862.38</v>
      </c>
      <c r="S133" s="308" t="n">
        <v>18056</v>
      </c>
      <c r="T133" s="308">
        <f>IFERROR(S133*R133, 0)</f>
        <v/>
      </c>
      <c r="U133" s="313" t="n"/>
      <c r="V133" s="315" t="n"/>
      <c r="W133" s="316" t="n"/>
      <c r="X133" s="311" t="n"/>
      <c r="Y133" s="315" t="n"/>
      <c r="Z133" s="317" t="n"/>
    </row>
    <row r="134" ht="16.5" customHeight="1" s="223">
      <c r="A134" s="322" t="n"/>
      <c r="B134" s="324" t="n"/>
      <c r="C134" s="304" t="n"/>
      <c r="D134" s="304" t="n"/>
      <c r="E134" s="317" t="n"/>
      <c r="F134" s="320" t="n"/>
      <c r="G134" s="317" t="n"/>
      <c r="H134" s="311" t="n">
        <v>7</v>
      </c>
      <c r="I134" s="311" t="inlineStr"/>
      <c r="J134" s="311" t="inlineStr"/>
      <c r="K134" s="309" t="inlineStr">
        <is>
          <t>10IN AIRFLOW GEL FOAM MATT EK</t>
        </is>
      </c>
      <c r="L134" s="310" t="inlineStr">
        <is>
          <t>ZU-MFMA1RZI-10K</t>
        </is>
      </c>
      <c r="M134" s="311" t="inlineStr">
        <is>
          <t>2ESIXJJH</t>
        </is>
      </c>
      <c r="N134" s="309" t="inlineStr">
        <is>
          <t>F.MFM.10K.014.AD</t>
        </is>
      </c>
      <c r="O134" s="306" t="n"/>
      <c r="P134" s="306" t="n"/>
      <c r="Q134" s="312">
        <f>IFERROR(R134/H134, 0)</f>
        <v/>
      </c>
      <c r="R134" s="307" t="n">
        <v>461.16</v>
      </c>
      <c r="S134" s="308" t="n">
        <v>18056</v>
      </c>
      <c r="T134" s="308">
        <f>IFERROR(S134*R134, 0)</f>
        <v/>
      </c>
      <c r="U134" s="313" t="n"/>
      <c r="V134" s="315" t="n"/>
      <c r="W134" s="316" t="n"/>
      <c r="X134" s="311" t="n"/>
      <c r="Y134" s="315" t="n"/>
      <c r="Z134" s="317" t="n"/>
    </row>
    <row r="135" ht="16.5" customHeight="1" s="223">
      <c r="A135" s="322" t="n"/>
      <c r="B135" s="324" t="n"/>
      <c r="C135" s="304" t="n"/>
      <c r="D135" s="304" t="n"/>
      <c r="E135" s="317" t="n"/>
      <c r="F135" s="320" t="n"/>
      <c r="G135" s="317" t="n"/>
      <c r="H135" s="311" t="n">
        <v>1</v>
      </c>
      <c r="I135" s="311" t="inlineStr"/>
      <c r="J135" s="311" t="inlineStr"/>
      <c r="K135" s="309" t="inlineStr">
        <is>
          <t>12IN AIRFLOW GEL FOAM MATT QN</t>
        </is>
      </c>
      <c r="L135" s="310" t="inlineStr">
        <is>
          <t>ZU-MFMA1RZI-12Q</t>
        </is>
      </c>
      <c r="M135" s="311" t="inlineStr">
        <is>
          <t>2ESIXJJH</t>
        </is>
      </c>
      <c r="N135" s="309" t="inlineStr">
        <is>
          <t>F.MFM.12Q.011.AD</t>
        </is>
      </c>
      <c r="O135" s="306" t="n"/>
      <c r="P135" s="306" t="n"/>
      <c r="Q135" s="312">
        <f>IFERROR(R135/H135, 0)</f>
        <v/>
      </c>
      <c r="R135" s="307" t="n">
        <v>67.56999999999999</v>
      </c>
      <c r="S135" s="308" t="n">
        <v>18056</v>
      </c>
      <c r="T135" s="308">
        <f>IFERROR(S135*R135, 0)</f>
        <v/>
      </c>
      <c r="U135" s="313" t="n"/>
      <c r="V135" s="315" t="n"/>
      <c r="W135" s="316" t="n"/>
      <c r="X135" s="311" t="n"/>
      <c r="Y135" s="315" t="n"/>
      <c r="Z135" s="317" t="n"/>
    </row>
    <row r="136" ht="16.5" customHeight="1" s="223">
      <c r="A136" s="322" t="n"/>
      <c r="B136" s="324" t="n"/>
      <c r="C136" s="304" t="n"/>
      <c r="D136" s="304" t="n"/>
      <c r="E136" s="317" t="n"/>
      <c r="F136" s="320" t="n"/>
      <c r="G136" s="317" t="n"/>
      <c r="H136" s="311" t="n">
        <v>106</v>
      </c>
      <c r="I136" s="311" t="inlineStr"/>
      <c r="J136" s="311" t="inlineStr"/>
      <c r="K136" s="309" t="inlineStr">
        <is>
          <t>5IN GREEN TEA MF MATTRESS TW</t>
        </is>
      </c>
      <c r="L136" s="310" t="inlineStr">
        <is>
          <t>ZU-MFMA1ZZI-05T</t>
        </is>
      </c>
      <c r="M136" s="311" t="inlineStr">
        <is>
          <t>2ESIXJJH</t>
        </is>
      </c>
      <c r="N136" s="309" t="inlineStr">
        <is>
          <t>F.MFM.05T.007.AD</t>
        </is>
      </c>
      <c r="O136" s="306" t="n"/>
      <c r="P136" s="306" t="n"/>
      <c r="Q136" s="312">
        <f>IFERROR(R136/H136, 0)</f>
        <v/>
      </c>
      <c r="R136" s="307" t="n">
        <v>2507.96</v>
      </c>
      <c r="S136" s="308" t="n">
        <v>18056</v>
      </c>
      <c r="T136" s="308">
        <f>IFERROR(S136*R136, 0)</f>
        <v/>
      </c>
      <c r="U136" s="313" t="n"/>
      <c r="V136" s="315" t="n"/>
      <c r="W136" s="316" t="n"/>
      <c r="X136" s="311" t="n"/>
      <c r="Y136" s="315" t="n"/>
      <c r="Z136" s="317" t="n"/>
    </row>
    <row r="137" ht="16.5" customHeight="1" s="223">
      <c r="A137" s="322" t="n"/>
      <c r="B137" s="324" t="n"/>
      <c r="C137" s="304" t="n"/>
      <c r="D137" s="304" t="n"/>
      <c r="E137" s="317" t="n"/>
      <c r="F137" s="320" t="n"/>
      <c r="G137" s="317" t="n"/>
      <c r="H137" s="311" t="n">
        <v>40</v>
      </c>
      <c r="I137" s="311" t="inlineStr"/>
      <c r="J137" s="311" t="inlineStr"/>
      <c r="K137" s="309" t="inlineStr">
        <is>
          <t>6IN GREEN TEA MF MATTRESS FL</t>
        </is>
      </c>
      <c r="L137" s="310" t="inlineStr">
        <is>
          <t>ZU-MFMA1ZZI-06F</t>
        </is>
      </c>
      <c r="M137" s="311" t="inlineStr">
        <is>
          <t>2ESIXJJH</t>
        </is>
      </c>
      <c r="N137" s="309" t="inlineStr">
        <is>
          <t>F.MFM.06F.007.AD</t>
        </is>
      </c>
      <c r="O137" s="306" t="n"/>
      <c r="P137" s="306" t="n"/>
      <c r="Q137" s="312">
        <f>IFERROR(R137/H137, 0)</f>
        <v/>
      </c>
      <c r="R137" s="307" t="n">
        <v>1533.2</v>
      </c>
      <c r="S137" s="308" t="n">
        <v>18056</v>
      </c>
      <c r="T137" s="308">
        <f>IFERROR(S137*R137, 0)</f>
        <v/>
      </c>
      <c r="U137" s="313" t="n"/>
      <c r="V137" s="315" t="n"/>
      <c r="W137" s="316" t="n"/>
      <c r="X137" s="311" t="n"/>
      <c r="Y137" s="315" t="n"/>
      <c r="Z137" s="317" t="n"/>
    </row>
    <row r="138" ht="16.5" customHeight="1" s="223">
      <c r="A138" s="322" t="n"/>
      <c r="B138" s="324" t="n"/>
      <c r="C138" s="304" t="n"/>
      <c r="D138" s="304" t="n"/>
      <c r="E138" s="317" t="n"/>
      <c r="F138" s="320" t="n"/>
      <c r="G138" s="317" t="n"/>
      <c r="H138" s="311" t="n">
        <v>4</v>
      </c>
      <c r="I138" s="311" t="inlineStr"/>
      <c r="J138" s="311" t="inlineStr"/>
      <c r="K138" s="309" t="inlineStr">
        <is>
          <t>8IN GREEN TEA MF MATTRESS FL</t>
        </is>
      </c>
      <c r="L138" s="310" t="inlineStr">
        <is>
          <t>ZU-MFMA1ZZI-08F</t>
        </is>
      </c>
      <c r="M138" s="311" t="inlineStr">
        <is>
          <t>2ESIXJJH</t>
        </is>
      </c>
      <c r="N138" s="309" t="inlineStr">
        <is>
          <t>F.MFM.08F.008.AD</t>
        </is>
      </c>
      <c r="O138" s="306" t="n"/>
      <c r="P138" s="306" t="n"/>
      <c r="Q138" s="312">
        <f>IFERROR(R138/H138, 0)</f>
        <v/>
      </c>
      <c r="R138" s="307" t="n">
        <v>223.96</v>
      </c>
      <c r="S138" s="308" t="n">
        <v>18056</v>
      </c>
      <c r="T138" s="308">
        <f>IFERROR(S138*R138, 0)</f>
        <v/>
      </c>
      <c r="U138" s="313" t="n"/>
      <c r="V138" s="315" t="n"/>
      <c r="W138" s="316" t="n"/>
      <c r="X138" s="311" t="n"/>
      <c r="Y138" s="315" t="n"/>
      <c r="Z138" s="317" t="n"/>
    </row>
    <row r="139" ht="16.5" customHeight="1" s="223">
      <c r="A139" s="322" t="n"/>
      <c r="B139" s="324" t="n"/>
      <c r="C139" s="304" t="n"/>
      <c r="D139" s="304" t="n"/>
      <c r="E139" s="317" t="n"/>
      <c r="F139" s="320" t="n"/>
      <c r="G139" s="317" t="n"/>
      <c r="H139" s="311" t="n">
        <v>3</v>
      </c>
      <c r="I139" s="311" t="inlineStr"/>
      <c r="J139" s="311" t="inlineStr"/>
      <c r="K139" s="309" t="inlineStr">
        <is>
          <t>8IN GREEN TEA MF MATTRESS SQ</t>
        </is>
      </c>
      <c r="L139" s="310" t="inlineStr">
        <is>
          <t>ZU-MFMA1ZZI-08S</t>
        </is>
      </c>
      <c r="M139" s="311" t="inlineStr">
        <is>
          <t>2ESIXJJH</t>
        </is>
      </c>
      <c r="N139" s="309" t="inlineStr">
        <is>
          <t>F.MFM.08S.011.AD</t>
        </is>
      </c>
      <c r="O139" s="306" t="n"/>
      <c r="P139" s="306" t="n"/>
      <c r="Q139" s="312">
        <f>IFERROR(R139/H139, 0)</f>
        <v/>
      </c>
      <c r="R139" s="307" t="n">
        <v>177.3</v>
      </c>
      <c r="S139" s="308" t="n">
        <v>18056</v>
      </c>
      <c r="T139" s="308">
        <f>IFERROR(S139*R139, 0)</f>
        <v/>
      </c>
      <c r="U139" s="313" t="n"/>
      <c r="V139" s="315" t="n"/>
      <c r="W139" s="316" t="n"/>
      <c r="X139" s="311" t="n"/>
      <c r="Y139" s="315" t="n"/>
      <c r="Z139" s="317" t="n"/>
    </row>
    <row r="140" ht="16.5" customHeight="1" s="223">
      <c r="A140" s="322" t="n"/>
      <c r="B140" s="324" t="n"/>
      <c r="C140" s="304" t="n"/>
      <c r="D140" s="304" t="n"/>
      <c r="E140" s="317" t="n"/>
      <c r="F140" s="320" t="n"/>
      <c r="G140" s="317" t="n"/>
      <c r="H140" s="311" t="n">
        <v>3</v>
      </c>
      <c r="I140" s="311" t="inlineStr"/>
      <c r="J140" s="311" t="inlineStr"/>
      <c r="K140" s="309" t="inlineStr">
        <is>
          <t>10IN GREEN TEA MF MATTRESS TW</t>
        </is>
      </c>
      <c r="L140" s="310" t="inlineStr">
        <is>
          <t>ZU-MFMA1ZZI-10T</t>
        </is>
      </c>
      <c r="M140" s="311" t="inlineStr">
        <is>
          <t>2ESIXJJH</t>
        </is>
      </c>
      <c r="N140" s="309" t="inlineStr">
        <is>
          <t>F.MFM.10T.007.AD</t>
        </is>
      </c>
      <c r="O140" s="306" t="n"/>
      <c r="P140" s="306" t="n"/>
      <c r="Q140" s="312">
        <f>IFERROR(R140/H140, 0)</f>
        <v/>
      </c>
      <c r="R140" s="307" t="n">
        <v>165.72</v>
      </c>
      <c r="S140" s="308" t="n">
        <v>18056</v>
      </c>
      <c r="T140" s="308">
        <f>IFERROR(S140*R140, 0)</f>
        <v/>
      </c>
      <c r="U140" s="313" t="n"/>
      <c r="V140" s="315" t="n"/>
      <c r="W140" s="316" t="n"/>
      <c r="X140" s="311" t="n"/>
      <c r="Y140" s="315" t="n"/>
      <c r="Z140" s="317" t="n"/>
    </row>
    <row r="141" ht="16.5" customHeight="1" s="223">
      <c r="A141" s="322" t="n"/>
      <c r="B141" s="324" t="n"/>
      <c r="C141" s="304" t="n"/>
      <c r="D141" s="304" t="n"/>
      <c r="E141" s="317" t="n"/>
      <c r="F141" s="320" t="n"/>
      <c r="G141" s="317" t="n"/>
      <c r="H141" s="311" t="n">
        <v>1</v>
      </c>
      <c r="I141" s="311" t="inlineStr"/>
      <c r="J141" s="311" t="inlineStr"/>
      <c r="K141" s="309" t="inlineStr">
        <is>
          <t>10IN GREEN TEA MF MATTRESS TX</t>
        </is>
      </c>
      <c r="L141" s="310" t="inlineStr">
        <is>
          <t>ZU-MFMA1ZZI-10X</t>
        </is>
      </c>
      <c r="M141" s="311" t="inlineStr">
        <is>
          <t>2ESIXJJH</t>
        </is>
      </c>
      <c r="N141" s="309" t="inlineStr">
        <is>
          <t>F.MFM.10X.007.AD</t>
        </is>
      </c>
      <c r="O141" s="306" t="n"/>
      <c r="P141" s="306" t="n"/>
      <c r="Q141" s="312">
        <f>IFERROR(R141/H141, 0)</f>
        <v/>
      </c>
      <c r="R141" s="307" t="n">
        <v>50.35</v>
      </c>
      <c r="S141" s="308" t="n">
        <v>18056</v>
      </c>
      <c r="T141" s="308">
        <f>IFERROR(S141*R141, 0)</f>
        <v/>
      </c>
      <c r="U141" s="313" t="n"/>
      <c r="V141" s="315" t="n"/>
      <c r="W141" s="316" t="n"/>
      <c r="X141" s="311" t="n"/>
      <c r="Y141" s="315" t="n"/>
      <c r="Z141" s="317" t="n"/>
    </row>
    <row r="142" ht="16.5" customHeight="1" s="223">
      <c r="A142" s="322" t="n"/>
      <c r="B142" s="324" t="n"/>
      <c r="C142" s="304" t="n"/>
      <c r="D142" s="304" t="n"/>
      <c r="E142" s="317" t="n"/>
      <c r="F142" s="320" t="n"/>
      <c r="G142" s="317" t="n"/>
      <c r="H142" s="311" t="n">
        <v>2</v>
      </c>
      <c r="I142" s="311" t="inlineStr"/>
      <c r="J142" s="311" t="inlineStr"/>
      <c r="K142" s="309" t="inlineStr">
        <is>
          <t>12IN MYGEL FOAM MATTRESS FL</t>
        </is>
      </c>
      <c r="L142" s="310" t="inlineStr">
        <is>
          <t>ZU-MFGN1YZI-12F</t>
        </is>
      </c>
      <c r="M142" s="311" t="inlineStr">
        <is>
          <t>2LFKMBRJ</t>
        </is>
      </c>
      <c r="N142" s="309" t="inlineStr">
        <is>
          <t>F.MFG.12F.002.AD</t>
        </is>
      </c>
      <c r="O142" s="306" t="n"/>
      <c r="P142" s="306" t="n"/>
      <c r="Q142" s="312">
        <f>IFERROR(R142/H142, 0)</f>
        <v/>
      </c>
      <c r="R142" s="307" t="n">
        <v>141.62</v>
      </c>
      <c r="S142" s="308" t="n">
        <v>18056</v>
      </c>
      <c r="T142" s="308">
        <f>IFERROR(S142*R142, 0)</f>
        <v/>
      </c>
      <c r="U142" s="313" t="n"/>
      <c r="V142" s="315" t="n"/>
      <c r="W142" s="316" t="n"/>
      <c r="X142" s="311" t="n"/>
      <c r="Y142" s="315" t="n"/>
      <c r="Z142" s="317" t="n"/>
    </row>
    <row r="143" ht="16.5" customHeight="1" s="223">
      <c r="A143" s="322" t="n"/>
      <c r="B143" s="324" t="n"/>
      <c r="C143" s="304" t="n"/>
      <c r="D143" s="304" t="n"/>
      <c r="E143" s="317" t="n"/>
      <c r="F143" s="320" t="n"/>
      <c r="G143" s="317" t="n"/>
      <c r="H143" s="311" t="n">
        <v>1</v>
      </c>
      <c r="I143" s="311" t="inlineStr"/>
      <c r="J143" s="311" t="inlineStr"/>
      <c r="K143" s="309" t="inlineStr">
        <is>
          <t>10IN AIRFLOW GEL FOAM MATT QN</t>
        </is>
      </c>
      <c r="L143" s="310" t="inlineStr">
        <is>
          <t>ZU-MFMA1RZI-10Q</t>
        </is>
      </c>
      <c r="M143" s="311" t="inlineStr">
        <is>
          <t>2LFKMBRJ</t>
        </is>
      </c>
      <c r="N143" s="309" t="inlineStr">
        <is>
          <t>F.MFM.10Q.014.AD</t>
        </is>
      </c>
      <c r="O143" s="306" t="n"/>
      <c r="P143" s="306" t="n"/>
      <c r="Q143" s="312">
        <f>IFERROR(R143/H143, 0)</f>
        <v/>
      </c>
      <c r="R143" s="307" t="n">
        <v>53.9</v>
      </c>
      <c r="S143" s="308" t="n">
        <v>18056</v>
      </c>
      <c r="T143" s="308">
        <f>IFERROR(S143*R143, 0)</f>
        <v/>
      </c>
      <c r="U143" s="313" t="n"/>
      <c r="V143" s="315" t="n"/>
      <c r="W143" s="316" t="n"/>
      <c r="X143" s="311" t="n"/>
      <c r="Y143" s="315" t="n"/>
      <c r="Z143" s="317" t="n"/>
    </row>
    <row r="144" ht="16.5" customHeight="1" s="223">
      <c r="A144" s="322" t="n"/>
      <c r="B144" s="324" t="n"/>
      <c r="C144" s="304" t="n"/>
      <c r="D144" s="304" t="n"/>
      <c r="E144" s="317" t="n"/>
      <c r="F144" s="320" t="n"/>
      <c r="G144" s="317" t="n"/>
      <c r="H144" s="311" t="n">
        <v>899</v>
      </c>
      <c r="I144" s="311" t="inlineStr"/>
      <c r="J144" s="311" t="inlineStr"/>
      <c r="K144" s="309" t="inlineStr">
        <is>
          <t>5IN GREEN TEA MF MATTRESS TW</t>
        </is>
      </c>
      <c r="L144" s="310" t="inlineStr">
        <is>
          <t>ZU-MFMA1ZZI-05T</t>
        </is>
      </c>
      <c r="M144" s="311" t="inlineStr">
        <is>
          <t>2LFKMBRJ</t>
        </is>
      </c>
      <c r="N144" s="309" t="inlineStr">
        <is>
          <t>F.MFM.05T.007.AD</t>
        </is>
      </c>
      <c r="O144" s="306" t="n"/>
      <c r="P144" s="306" t="n"/>
      <c r="Q144" s="312">
        <f>IFERROR(R144/H144, 0)</f>
        <v/>
      </c>
      <c r="R144" s="307" t="n">
        <v>21270.34</v>
      </c>
      <c r="S144" s="308" t="n">
        <v>18056</v>
      </c>
      <c r="T144" s="308">
        <f>IFERROR(S144*R144, 0)</f>
        <v/>
      </c>
      <c r="U144" s="313" t="n"/>
      <c r="V144" s="315" t="n"/>
      <c r="W144" s="316" t="n"/>
      <c r="X144" s="311" t="n"/>
      <c r="Y144" s="315" t="n"/>
      <c r="Z144" s="317" t="n"/>
    </row>
    <row r="145" ht="16.5" customHeight="1" s="223">
      <c r="A145" s="322" t="n"/>
      <c r="B145" s="324" t="n"/>
      <c r="C145" s="304" t="n"/>
      <c r="D145" s="304" t="n"/>
      <c r="E145" s="317" t="n"/>
      <c r="F145" s="320" t="n"/>
      <c r="G145" s="317" t="n"/>
      <c r="H145" s="311" t="n">
        <v>1</v>
      </c>
      <c r="I145" s="311" t="inlineStr"/>
      <c r="J145" s="311" t="inlineStr"/>
      <c r="K145" s="309" t="inlineStr">
        <is>
          <t>10IN GREEN TEA MF MATTRESS TW</t>
        </is>
      </c>
      <c r="L145" s="310" t="inlineStr">
        <is>
          <t>ZU-MFMA1ZZI-10T</t>
        </is>
      </c>
      <c r="M145" s="311" t="inlineStr">
        <is>
          <t>2LFKMBRJ</t>
        </is>
      </c>
      <c r="N145" s="309" t="inlineStr">
        <is>
          <t>F.MFM.10T.007.AD</t>
        </is>
      </c>
      <c r="O145" s="306" t="n"/>
      <c r="P145" s="306" t="n"/>
      <c r="Q145" s="312">
        <f>IFERROR(R145/H145, 0)</f>
        <v/>
      </c>
      <c r="R145" s="307" t="n">
        <v>55.24</v>
      </c>
      <c r="S145" s="308" t="n">
        <v>18056</v>
      </c>
      <c r="T145" s="308">
        <f>IFERROR(S145*R145, 0)</f>
        <v/>
      </c>
      <c r="U145" s="313" t="n"/>
      <c r="V145" s="315" t="n"/>
      <c r="W145" s="316" t="n"/>
      <c r="X145" s="311" t="n"/>
      <c r="Y145" s="315" t="n"/>
      <c r="Z145" s="317" t="n"/>
    </row>
    <row r="146" ht="16.5" customHeight="1" s="223">
      <c r="A146" s="322" t="n"/>
      <c r="B146" s="324" t="n"/>
      <c r="C146" s="304" t="n"/>
      <c r="D146" s="304" t="n"/>
      <c r="E146" s="317" t="n"/>
      <c r="F146" s="320" t="n"/>
      <c r="G146" s="317" t="n"/>
      <c r="H146" s="311" t="n">
        <v>5</v>
      </c>
      <c r="I146" s="311" t="inlineStr"/>
      <c r="J146" s="311" t="inlineStr"/>
      <c r="K146" s="309" t="inlineStr">
        <is>
          <t>10IN GREEN TEA MF MATTRESS TX</t>
        </is>
      </c>
      <c r="L146" s="310" t="inlineStr">
        <is>
          <t>ZU-MFMA1ZZI-10X</t>
        </is>
      </c>
      <c r="M146" s="311" t="inlineStr">
        <is>
          <t>2LFKMBRJ</t>
        </is>
      </c>
      <c r="N146" s="309" t="inlineStr">
        <is>
          <t>F.MFM.10X.007.AD</t>
        </is>
      </c>
      <c r="O146" s="306" t="n"/>
      <c r="P146" s="306" t="n"/>
      <c r="Q146" s="312">
        <f>IFERROR(R146/H146, 0)</f>
        <v/>
      </c>
      <c r="R146" s="307" t="n">
        <v>251.75</v>
      </c>
      <c r="S146" s="308" t="n">
        <v>18056</v>
      </c>
      <c r="T146" s="308">
        <f>IFERROR(S146*R146, 0)</f>
        <v/>
      </c>
      <c r="U146" s="313" t="n"/>
      <c r="V146" s="315" t="n"/>
      <c r="W146" s="316" t="n"/>
      <c r="X146" s="311" t="n"/>
      <c r="Y146" s="315" t="n"/>
      <c r="Z146" s="317" t="n"/>
    </row>
    <row r="147" ht="16.5" customHeight="1" s="223">
      <c r="A147" s="322" t="n"/>
      <c r="B147" s="324" t="n"/>
      <c r="C147" s="304" t="n"/>
      <c r="D147" s="304" t="n"/>
      <c r="E147" s="317" t="n"/>
      <c r="F147" s="320" t="n"/>
      <c r="G147" s="317" t="n"/>
      <c r="H147" s="311" t="n">
        <v>34</v>
      </c>
      <c r="I147" s="311" t="inlineStr"/>
      <c r="J147" s="311" t="inlineStr"/>
      <c r="K147" s="309" t="inlineStr">
        <is>
          <t>12IN GREEN TEA MF MATTRESS EK</t>
        </is>
      </c>
      <c r="L147" s="310" t="inlineStr">
        <is>
          <t>ZU-MFMA1ZZI-12K</t>
        </is>
      </c>
      <c r="M147" s="311" t="inlineStr">
        <is>
          <t>2LFKMBRJ</t>
        </is>
      </c>
      <c r="N147" s="309" t="inlineStr">
        <is>
          <t>F.MFM.12K.006.AD</t>
        </is>
      </c>
      <c r="O147" s="306" t="n"/>
      <c r="P147" s="306" t="n"/>
      <c r="Q147" s="312">
        <f>IFERROR(R147/H147, 0)</f>
        <v/>
      </c>
      <c r="R147" s="307" t="n">
        <v>3466.98</v>
      </c>
      <c r="S147" s="308" t="n">
        <v>18056</v>
      </c>
      <c r="T147" s="308">
        <f>IFERROR(S147*R147, 0)</f>
        <v/>
      </c>
      <c r="U147" s="313" t="n"/>
      <c r="V147" s="315" t="n"/>
      <c r="W147" s="316" t="n"/>
      <c r="X147" s="311" t="n"/>
      <c r="Y147" s="315" t="n"/>
      <c r="Z147" s="317" t="n"/>
    </row>
    <row r="148" ht="16.5" customHeight="1" s="223">
      <c r="A148" s="322" t="n"/>
      <c r="B148" s="324" t="n"/>
      <c r="C148" s="304" t="n"/>
      <c r="D148" s="304" t="n"/>
      <c r="E148" s="317" t="n"/>
      <c r="F148" s="320" t="n"/>
      <c r="G148" s="317" t="n"/>
      <c r="H148" s="311" t="n">
        <v>2</v>
      </c>
      <c r="I148" s="311" t="inlineStr"/>
      <c r="J148" s="311" t="inlineStr"/>
      <c r="K148" s="309" t="inlineStr">
        <is>
          <t>6IN GREEN TEA MF MATTRESS FL</t>
        </is>
      </c>
      <c r="L148" s="310" t="inlineStr">
        <is>
          <t>ZU-MFMA1FZI-06F</t>
        </is>
      </c>
      <c r="M148" s="311" t="inlineStr">
        <is>
          <t>2QYUFNCC</t>
        </is>
      </c>
      <c r="N148" s="309" t="inlineStr">
        <is>
          <t>F.MFM.06F.006.AD</t>
        </is>
      </c>
      <c r="O148" s="306" t="n"/>
      <c r="P148" s="306" t="n"/>
      <c r="Q148" s="312">
        <f>IFERROR(R148/H148, 0)</f>
        <v/>
      </c>
      <c r="R148" s="307" t="n">
        <v>84.52</v>
      </c>
      <c r="S148" s="308" t="n">
        <v>18056</v>
      </c>
      <c r="T148" s="308">
        <f>IFERROR(S148*R148, 0)</f>
        <v/>
      </c>
      <c r="U148" s="313" t="n"/>
      <c r="V148" s="315" t="n"/>
      <c r="W148" s="316" t="n"/>
      <c r="X148" s="311" t="n"/>
      <c r="Y148" s="315" t="n"/>
      <c r="Z148" s="317" t="n"/>
    </row>
    <row r="149" ht="16.5" customHeight="1" s="223">
      <c r="A149" s="322" t="n"/>
      <c r="B149" s="324" t="n"/>
      <c r="C149" s="304" t="n"/>
      <c r="D149" s="304" t="n"/>
      <c r="E149" s="317" t="n"/>
      <c r="F149" s="320" t="n"/>
      <c r="G149" s="317" t="n"/>
      <c r="H149" s="311" t="n">
        <v>5</v>
      </c>
      <c r="I149" s="311" t="inlineStr"/>
      <c r="J149" s="311" t="inlineStr"/>
      <c r="K149" s="309" t="inlineStr">
        <is>
          <t>6IN OPP HD TW</t>
        </is>
      </c>
      <c r="L149" s="310" t="inlineStr">
        <is>
          <t>ZU-MFMA1OZI-06T</t>
        </is>
      </c>
      <c r="M149" s="311" t="inlineStr">
        <is>
          <t>2QYUFNCC</t>
        </is>
      </c>
      <c r="N149" s="309" t="inlineStr">
        <is>
          <t>F.MFM.06T.008.AD</t>
        </is>
      </c>
      <c r="O149" s="306" t="n"/>
      <c r="P149" s="306" t="n"/>
      <c r="Q149" s="312">
        <f>IFERROR(R149/H149, 0)</f>
        <v/>
      </c>
      <c r="R149" s="307" t="n">
        <v>134.75</v>
      </c>
      <c r="S149" s="308" t="n">
        <v>18056</v>
      </c>
      <c r="T149" s="308">
        <f>IFERROR(S149*R149, 0)</f>
        <v/>
      </c>
      <c r="U149" s="313" t="n"/>
      <c r="V149" s="315" t="n"/>
      <c r="W149" s="316" t="n"/>
      <c r="X149" s="311" t="n"/>
      <c r="Y149" s="315" t="n"/>
      <c r="Z149" s="317" t="n"/>
    </row>
    <row r="150" ht="16.5" customHeight="1" s="223">
      <c r="A150" s="322" t="n"/>
      <c r="B150" s="324" t="n"/>
      <c r="C150" s="304" t="n"/>
      <c r="D150" s="304" t="n"/>
      <c r="E150" s="317" t="n"/>
      <c r="F150" s="320" t="n"/>
      <c r="G150" s="317" t="n"/>
      <c r="H150" s="311" t="n">
        <v>2</v>
      </c>
      <c r="I150" s="311" t="inlineStr"/>
      <c r="J150" s="311" t="inlineStr"/>
      <c r="K150" s="309" t="inlineStr">
        <is>
          <t>8IN OPP HD FL</t>
        </is>
      </c>
      <c r="L150" s="310" t="inlineStr">
        <is>
          <t>ZU-MFMA1OZI-08F</t>
        </is>
      </c>
      <c r="M150" s="311" t="inlineStr">
        <is>
          <t>2QYUFNCC</t>
        </is>
      </c>
      <c r="N150" s="309" t="inlineStr">
        <is>
          <t>F.MFM.08F.013.AD</t>
        </is>
      </c>
      <c r="O150" s="306" t="n"/>
      <c r="P150" s="306" t="n"/>
      <c r="Q150" s="312">
        <f>IFERROR(R150/H150, 0)</f>
        <v/>
      </c>
      <c r="R150" s="307" t="n">
        <v>77.86</v>
      </c>
      <c r="S150" s="308" t="n">
        <v>18056</v>
      </c>
      <c r="T150" s="308">
        <f>IFERROR(S150*R150, 0)</f>
        <v/>
      </c>
      <c r="U150" s="313" t="n"/>
      <c r="V150" s="315" t="n"/>
      <c r="W150" s="316" t="n"/>
      <c r="X150" s="311" t="n"/>
      <c r="Y150" s="315" t="n"/>
      <c r="Z150" s="317" t="n"/>
    </row>
    <row r="151" ht="16.5" customHeight="1" s="223">
      <c r="A151" s="322" t="n"/>
      <c r="B151" s="324" t="n"/>
      <c r="C151" s="304" t="n"/>
      <c r="D151" s="304" t="n"/>
      <c r="E151" s="317" t="n"/>
      <c r="F151" s="320" t="n"/>
      <c r="G151" s="317" t="n"/>
      <c r="H151" s="311" t="n">
        <v>3</v>
      </c>
      <c r="I151" s="311" t="inlineStr"/>
      <c r="J151" s="311" t="inlineStr"/>
      <c r="K151" s="309" t="inlineStr">
        <is>
          <t>12IN AIRFLOW GEL FOAM MATT EK</t>
        </is>
      </c>
      <c r="L151" s="310" t="inlineStr">
        <is>
          <t>ZU-MFMA1RZI-12K</t>
        </is>
      </c>
      <c r="M151" s="311" t="inlineStr">
        <is>
          <t>2QYUFNCC</t>
        </is>
      </c>
      <c r="N151" s="309" t="inlineStr">
        <is>
          <t>F.MFM.12K.011.AD</t>
        </is>
      </c>
      <c r="O151" s="306" t="n"/>
      <c r="P151" s="306" t="n"/>
      <c r="Q151" s="312">
        <f>IFERROR(R151/H151, 0)</f>
        <v/>
      </c>
      <c r="R151" s="307" t="n">
        <v>224.58</v>
      </c>
      <c r="S151" s="308" t="n">
        <v>18056</v>
      </c>
      <c r="T151" s="308">
        <f>IFERROR(S151*R151, 0)</f>
        <v/>
      </c>
      <c r="U151" s="313" t="n"/>
      <c r="V151" s="315" t="n"/>
      <c r="W151" s="316" t="n"/>
      <c r="X151" s="311" t="n"/>
      <c r="Y151" s="315" t="n"/>
      <c r="Z151" s="317" t="n"/>
    </row>
    <row r="152" ht="16.5" customHeight="1" s="223">
      <c r="A152" s="322" t="n"/>
      <c r="B152" s="324" t="n"/>
      <c r="C152" s="304" t="n"/>
      <c r="D152" s="304" t="n"/>
      <c r="E152" s="317" t="n"/>
      <c r="F152" s="320" t="n"/>
      <c r="G152" s="317" t="n"/>
      <c r="H152" s="311" t="n">
        <v>346</v>
      </c>
      <c r="I152" s="311" t="inlineStr"/>
      <c r="J152" s="311" t="inlineStr"/>
      <c r="K152" s="309" t="inlineStr">
        <is>
          <t>12IN AIRFLOW GEL FOAM MATT QN</t>
        </is>
      </c>
      <c r="L152" s="310" t="inlineStr">
        <is>
          <t>ZU-MFMA1RZI-12Q</t>
        </is>
      </c>
      <c r="M152" s="311" t="inlineStr">
        <is>
          <t>2QYUFNCC</t>
        </is>
      </c>
      <c r="N152" s="309" t="inlineStr">
        <is>
          <t>F.MFM.12Q.011.AD</t>
        </is>
      </c>
      <c r="O152" s="306" t="n"/>
      <c r="P152" s="306" t="n"/>
      <c r="Q152" s="312">
        <f>IFERROR(R152/H152, 0)</f>
        <v/>
      </c>
      <c r="R152" s="307" t="n">
        <v>23379.22</v>
      </c>
      <c r="S152" s="308" t="n">
        <v>18056</v>
      </c>
      <c r="T152" s="308">
        <f>IFERROR(S152*R152, 0)</f>
        <v/>
      </c>
      <c r="U152" s="313" t="n"/>
      <c r="V152" s="315" t="n"/>
      <c r="W152" s="316" t="n"/>
      <c r="X152" s="311" t="n"/>
      <c r="Y152" s="315" t="n"/>
      <c r="Z152" s="317" t="n"/>
    </row>
    <row r="153" ht="16.5" customHeight="1" s="223">
      <c r="A153" s="322" t="n"/>
      <c r="B153" s="324" t="n"/>
      <c r="C153" s="304" t="n"/>
      <c r="D153" s="304" t="n"/>
      <c r="E153" s="317" t="n"/>
      <c r="F153" s="320" t="n"/>
      <c r="G153" s="317" t="n"/>
      <c r="H153" s="311" t="n">
        <v>30</v>
      </c>
      <c r="I153" s="311" t="inlineStr"/>
      <c r="J153" s="311" t="inlineStr"/>
      <c r="K153" s="309" t="inlineStr">
        <is>
          <t>6IN GREEN TEA MF MATTRESS FL</t>
        </is>
      </c>
      <c r="L153" s="310" t="inlineStr">
        <is>
          <t>ZU-MFMA1ZZI-06F</t>
        </is>
      </c>
      <c r="M153" s="311" t="inlineStr">
        <is>
          <t>2QYUFNCC</t>
        </is>
      </c>
      <c r="N153" s="309" t="inlineStr">
        <is>
          <t>F.MFM.06F.007.AD</t>
        </is>
      </c>
      <c r="O153" s="306" t="n"/>
      <c r="P153" s="306" t="n"/>
      <c r="Q153" s="312">
        <f>IFERROR(R153/H153, 0)</f>
        <v/>
      </c>
      <c r="R153" s="307" t="n">
        <v>1149.9</v>
      </c>
      <c r="S153" s="308" t="n">
        <v>18056</v>
      </c>
      <c r="T153" s="308">
        <f>IFERROR(S153*R153, 0)</f>
        <v/>
      </c>
      <c r="U153" s="313" t="n"/>
      <c r="V153" s="315" t="n"/>
      <c r="W153" s="316" t="n"/>
      <c r="X153" s="311" t="n"/>
      <c r="Y153" s="315" t="n"/>
      <c r="Z153" s="317" t="n"/>
    </row>
    <row r="154" ht="16.5" customHeight="1" s="223">
      <c r="A154" s="322" t="n"/>
      <c r="B154" s="324" t="n"/>
      <c r="C154" s="304" t="n"/>
      <c r="D154" s="304" t="n"/>
      <c r="E154" s="317" t="n"/>
      <c r="F154" s="320" t="n"/>
      <c r="G154" s="317" t="n"/>
      <c r="H154" s="311" t="n">
        <v>1</v>
      </c>
      <c r="I154" s="311" t="inlineStr"/>
      <c r="J154" s="311" t="inlineStr"/>
      <c r="K154" s="309" t="inlineStr">
        <is>
          <t>10IN GREEN TEA MF MATTRESS TW</t>
        </is>
      </c>
      <c r="L154" s="310" t="inlineStr">
        <is>
          <t>ZU-MFMA1ZZI-10T</t>
        </is>
      </c>
      <c r="M154" s="311" t="inlineStr">
        <is>
          <t>2QYUFNCC</t>
        </is>
      </c>
      <c r="N154" s="309" t="inlineStr">
        <is>
          <t>F.MFM.10T.007.AD</t>
        </is>
      </c>
      <c r="O154" s="306" t="n"/>
      <c r="P154" s="306" t="n"/>
      <c r="Q154" s="312">
        <f>IFERROR(R154/H154, 0)</f>
        <v/>
      </c>
      <c r="R154" s="307" t="n">
        <v>55.24</v>
      </c>
      <c r="S154" s="308" t="n">
        <v>18056</v>
      </c>
      <c r="T154" s="308">
        <f>IFERROR(S154*R154, 0)</f>
        <v/>
      </c>
      <c r="U154" s="313" t="n"/>
      <c r="V154" s="315" t="n"/>
      <c r="W154" s="316" t="n"/>
      <c r="X154" s="311" t="n"/>
      <c r="Y154" s="315" t="n"/>
      <c r="Z154" s="317" t="n"/>
    </row>
    <row r="155" ht="16.5" customHeight="1" s="223">
      <c r="A155" s="322" t="n"/>
      <c r="B155" s="324" t="n"/>
      <c r="C155" s="304" t="n"/>
      <c r="D155" s="304" t="n"/>
      <c r="E155" s="317" t="n"/>
      <c r="F155" s="320" t="n"/>
      <c r="G155" s="317" t="n"/>
      <c r="H155" s="311" t="n">
        <v>33</v>
      </c>
      <c r="I155" s="311" t="inlineStr"/>
      <c r="J155" s="311" t="inlineStr"/>
      <c r="K155" s="309" t="inlineStr">
        <is>
          <t>8IN GREEN TEA MF MATTRESS SQ</t>
        </is>
      </c>
      <c r="L155" s="310" t="inlineStr">
        <is>
          <t>ZU-MFMA1FZI-08S</t>
        </is>
      </c>
      <c r="M155" s="311" t="inlineStr">
        <is>
          <t>2S2MB3ZL</t>
        </is>
      </c>
      <c r="N155" s="309" t="inlineStr">
        <is>
          <t>F.MFM.08S.012.AD</t>
        </is>
      </c>
      <c r="O155" s="306" t="n"/>
      <c r="P155" s="306" t="n"/>
      <c r="Q155" s="312">
        <f>IFERROR(R155/H155, 0)</f>
        <v/>
      </c>
      <c r="R155" s="307" t="n">
        <v>2050.95</v>
      </c>
      <c r="S155" s="308" t="n">
        <v>18056</v>
      </c>
      <c r="T155" s="308">
        <f>IFERROR(S155*R155, 0)</f>
        <v/>
      </c>
      <c r="U155" s="313" t="n"/>
      <c r="V155" s="315" t="n"/>
      <c r="W155" s="316" t="n"/>
      <c r="X155" s="311" t="n"/>
      <c r="Y155" s="315" t="n"/>
      <c r="Z155" s="317" t="n"/>
    </row>
    <row r="156" ht="16.5" customHeight="1" s="223">
      <c r="A156" s="322" t="n"/>
      <c r="B156" s="324" t="n"/>
      <c r="C156" s="304" t="n"/>
      <c r="D156" s="304" t="n"/>
      <c r="E156" s="317" t="n"/>
      <c r="F156" s="320" t="n"/>
      <c r="G156" s="317" t="n"/>
      <c r="H156" s="311" t="n">
        <v>2</v>
      </c>
      <c r="I156" s="311" t="inlineStr"/>
      <c r="J156" s="311" t="inlineStr"/>
      <c r="K156" s="309" t="inlineStr">
        <is>
          <t>5IN OPP HD TW</t>
        </is>
      </c>
      <c r="L156" s="310" t="inlineStr">
        <is>
          <t>ZU-MFMA1OZI-05T</t>
        </is>
      </c>
      <c r="M156" s="311" t="inlineStr">
        <is>
          <t>2S2MB3ZL</t>
        </is>
      </c>
      <c r="N156" s="309" t="inlineStr">
        <is>
          <t>F.MFM.05T.008.AD</t>
        </is>
      </c>
      <c r="O156" s="306" t="n"/>
      <c r="P156" s="306" t="n"/>
      <c r="Q156" s="312">
        <f>IFERROR(R156/H156, 0)</f>
        <v/>
      </c>
      <c r="R156" s="307" t="n">
        <v>47.9</v>
      </c>
      <c r="S156" s="308" t="n">
        <v>18056</v>
      </c>
      <c r="T156" s="308">
        <f>IFERROR(S156*R156, 0)</f>
        <v/>
      </c>
      <c r="U156" s="313" t="n"/>
      <c r="V156" s="315" t="n"/>
      <c r="W156" s="316" t="n"/>
      <c r="X156" s="311" t="n"/>
      <c r="Y156" s="315" t="n"/>
      <c r="Z156" s="317" t="n"/>
    </row>
    <row r="157" ht="16.5" customHeight="1" s="223">
      <c r="A157" s="322" t="n"/>
      <c r="B157" s="324" t="n"/>
      <c r="C157" s="304" t="n"/>
      <c r="D157" s="304" t="n"/>
      <c r="E157" s="317" t="n"/>
      <c r="F157" s="320" t="n"/>
      <c r="G157" s="317" t="n"/>
      <c r="H157" s="311" t="n">
        <v>6</v>
      </c>
      <c r="I157" s="311" t="inlineStr"/>
      <c r="J157" s="311" t="inlineStr"/>
      <c r="K157" s="309" t="inlineStr">
        <is>
          <t>8IN OPP HD FL</t>
        </is>
      </c>
      <c r="L157" s="310" t="inlineStr">
        <is>
          <t>ZU-MFMA1OZI-08F</t>
        </is>
      </c>
      <c r="M157" s="311" t="inlineStr">
        <is>
          <t>2S2MB3ZL</t>
        </is>
      </c>
      <c r="N157" s="309" t="inlineStr">
        <is>
          <t>F.MFM.08F.013.AD</t>
        </is>
      </c>
      <c r="O157" s="306" t="n"/>
      <c r="P157" s="306" t="n"/>
      <c r="Q157" s="312">
        <f>IFERROR(R157/H157, 0)</f>
        <v/>
      </c>
      <c r="R157" s="307" t="n">
        <v>233.58</v>
      </c>
      <c r="S157" s="308" t="n">
        <v>18056</v>
      </c>
      <c r="T157" s="308">
        <f>IFERROR(S157*R157, 0)</f>
        <v/>
      </c>
      <c r="U157" s="313" t="n"/>
      <c r="V157" s="315" t="n"/>
      <c r="W157" s="316" t="n"/>
      <c r="X157" s="311" t="n"/>
      <c r="Y157" s="315" t="n"/>
      <c r="Z157" s="317" t="n"/>
    </row>
    <row r="158" ht="16.5" customHeight="1" s="223">
      <c r="A158" s="322" t="n"/>
      <c r="B158" s="324" t="n"/>
      <c r="C158" s="304" t="n"/>
      <c r="D158" s="304" t="n"/>
      <c r="E158" s="317" t="n"/>
      <c r="F158" s="320" t="n"/>
      <c r="G158" s="317" t="n"/>
      <c r="H158" s="311" t="n">
        <v>62</v>
      </c>
      <c r="I158" s="311" t="inlineStr"/>
      <c r="J158" s="311" t="inlineStr"/>
      <c r="K158" s="309" t="inlineStr">
        <is>
          <t>12IN OPP HD EK</t>
        </is>
      </c>
      <c r="L158" s="310" t="inlineStr">
        <is>
          <t>ZU-MFMA1OZI-12K</t>
        </is>
      </c>
      <c r="M158" s="311" t="inlineStr">
        <is>
          <t>2S2MB3ZL</t>
        </is>
      </c>
      <c r="N158" s="309" t="inlineStr">
        <is>
          <t>F.MFM.12K.010.AD</t>
        </is>
      </c>
      <c r="O158" s="306" t="n"/>
      <c r="P158" s="306" t="n"/>
      <c r="Q158" s="312">
        <f>IFERROR(R158/H158, 0)</f>
        <v/>
      </c>
      <c r="R158" s="307" t="n">
        <v>4641.32</v>
      </c>
      <c r="S158" s="308" t="n">
        <v>18056</v>
      </c>
      <c r="T158" s="308">
        <f>IFERROR(S158*R158, 0)</f>
        <v/>
      </c>
      <c r="U158" s="313" t="n"/>
      <c r="V158" s="315" t="n"/>
      <c r="W158" s="316" t="n"/>
      <c r="X158" s="311" t="n"/>
      <c r="Y158" s="315" t="n"/>
      <c r="Z158" s="317" t="n"/>
    </row>
    <row r="159" ht="16.5" customHeight="1" s="223">
      <c r="A159" s="322" t="n"/>
      <c r="B159" s="324" t="n"/>
      <c r="C159" s="304" t="n"/>
      <c r="D159" s="304" t="n"/>
      <c r="E159" s="317" t="n"/>
      <c r="F159" s="320" t="n"/>
      <c r="G159" s="317" t="n"/>
      <c r="H159" s="311" t="n">
        <v>90</v>
      </c>
      <c r="I159" s="311" t="inlineStr"/>
      <c r="J159" s="311" t="inlineStr"/>
      <c r="K159" s="309" t="inlineStr">
        <is>
          <t>12IN AIRFLOW GEL FOAM MATT EK</t>
        </is>
      </c>
      <c r="L159" s="310" t="inlineStr">
        <is>
          <t>ZU-MFMA1RZI-12K</t>
        </is>
      </c>
      <c r="M159" s="311" t="inlineStr">
        <is>
          <t>2S2MB3ZL</t>
        </is>
      </c>
      <c r="N159" s="309" t="inlineStr">
        <is>
          <t>F.MFM.12K.011.AD</t>
        </is>
      </c>
      <c r="O159" s="306" t="n"/>
      <c r="P159" s="306" t="n"/>
      <c r="Q159" s="312">
        <f>IFERROR(R159/H159, 0)</f>
        <v/>
      </c>
      <c r="R159" s="307" t="n">
        <v>6737.4</v>
      </c>
      <c r="S159" s="308" t="n">
        <v>18056</v>
      </c>
      <c r="T159" s="308">
        <f>IFERROR(S159*R159, 0)</f>
        <v/>
      </c>
      <c r="U159" s="313" t="n"/>
      <c r="V159" s="315" t="n"/>
      <c r="W159" s="316" t="n"/>
      <c r="X159" s="311" t="n"/>
      <c r="Y159" s="315" t="n"/>
      <c r="Z159" s="317" t="n"/>
    </row>
    <row r="160" ht="16.5" customHeight="1" s="223">
      <c r="A160" s="322" t="n"/>
      <c r="B160" s="324" t="n"/>
      <c r="C160" s="304" t="n"/>
      <c r="D160" s="304" t="n"/>
      <c r="E160" s="317" t="n"/>
      <c r="F160" s="320" t="n"/>
      <c r="G160" s="317" t="n"/>
      <c r="H160" s="311" t="n">
        <v>108</v>
      </c>
      <c r="I160" s="311" t="inlineStr"/>
      <c r="J160" s="311" t="inlineStr"/>
      <c r="K160" s="309" t="inlineStr">
        <is>
          <t>8IN GREEN TEA MF MATTRESS FL</t>
        </is>
      </c>
      <c r="L160" s="310" t="inlineStr">
        <is>
          <t>ZU-MFMA1ZZI-08F</t>
        </is>
      </c>
      <c r="M160" s="311" t="inlineStr">
        <is>
          <t>2S2MB3ZL</t>
        </is>
      </c>
      <c r="N160" s="309" t="inlineStr">
        <is>
          <t>F.MFM.08F.008.AD</t>
        </is>
      </c>
      <c r="O160" s="306" t="n"/>
      <c r="P160" s="306" t="n"/>
      <c r="Q160" s="312">
        <f>IFERROR(R160/H160, 0)</f>
        <v/>
      </c>
      <c r="R160" s="307" t="n">
        <v>6046.92</v>
      </c>
      <c r="S160" s="308" t="n">
        <v>18056</v>
      </c>
      <c r="T160" s="308">
        <f>IFERROR(S160*R160, 0)</f>
        <v/>
      </c>
      <c r="U160" s="313" t="n"/>
      <c r="V160" s="315" t="n"/>
      <c r="W160" s="316" t="n"/>
      <c r="X160" s="311" t="n"/>
      <c r="Y160" s="315" t="n"/>
      <c r="Z160" s="317" t="n"/>
    </row>
    <row r="161" ht="16.5" customHeight="1" s="223">
      <c r="A161" s="322" t="n"/>
      <c r="B161" s="324" t="n"/>
      <c r="C161" s="304" t="n"/>
      <c r="D161" s="304" t="n"/>
      <c r="E161" s="317" t="n"/>
      <c r="F161" s="320" t="n"/>
      <c r="G161" s="317" t="n"/>
      <c r="H161" s="311" t="n">
        <v>1</v>
      </c>
      <c r="I161" s="311" t="inlineStr"/>
      <c r="J161" s="311" t="inlineStr"/>
      <c r="K161" s="309" t="inlineStr">
        <is>
          <t>10IN GREEN TEA MF MATTRESS TX</t>
        </is>
      </c>
      <c r="L161" s="310" t="inlineStr">
        <is>
          <t>ZU-MFMA1ZZI-10X</t>
        </is>
      </c>
      <c r="M161" s="311" t="inlineStr">
        <is>
          <t>2S2MB3ZL</t>
        </is>
      </c>
      <c r="N161" s="309" t="inlineStr">
        <is>
          <t>F.MFM.10X.007.AD</t>
        </is>
      </c>
      <c r="O161" s="306" t="n"/>
      <c r="P161" s="306" t="n"/>
      <c r="Q161" s="312">
        <f>IFERROR(R161/H161, 0)</f>
        <v/>
      </c>
      <c r="R161" s="307" t="n">
        <v>50.35</v>
      </c>
      <c r="S161" s="308" t="n">
        <v>18056</v>
      </c>
      <c r="T161" s="308">
        <f>IFERROR(S161*R161, 0)</f>
        <v/>
      </c>
      <c r="U161" s="313" t="n"/>
      <c r="V161" s="315" t="n"/>
      <c r="W161" s="316" t="n"/>
      <c r="X161" s="311" t="n"/>
      <c r="Y161" s="315" t="n"/>
      <c r="Z161" s="317" t="n"/>
    </row>
    <row r="162" ht="16.5" customHeight="1" s="223">
      <c r="A162" s="322" t="n"/>
      <c r="B162" s="324" t="n"/>
      <c r="C162" s="304" t="n"/>
      <c r="D162" s="304" t="n"/>
      <c r="E162" s="317" t="n"/>
      <c r="F162" s="320" t="n"/>
      <c r="G162" s="317" t="n"/>
      <c r="H162" s="311" t="n">
        <v>159</v>
      </c>
      <c r="I162" s="311" t="inlineStr"/>
      <c r="J162" s="311" t="inlineStr"/>
      <c r="K162" s="309" t="inlineStr">
        <is>
          <t>12IN GREEN TEA MF MATTRESS EK</t>
        </is>
      </c>
      <c r="L162" s="310" t="inlineStr">
        <is>
          <t>ZU-MFMA1ZZI-12K</t>
        </is>
      </c>
      <c r="M162" s="311" t="inlineStr">
        <is>
          <t>2S2MB3ZL</t>
        </is>
      </c>
      <c r="N162" s="309" t="inlineStr">
        <is>
          <t>F.MFM.12K.006.AD</t>
        </is>
      </c>
      <c r="O162" s="306" t="n"/>
      <c r="P162" s="306" t="n"/>
      <c r="Q162" s="312">
        <f>IFERROR(R162/H162, 0)</f>
        <v/>
      </c>
      <c r="R162" s="307" t="n">
        <v>16213.23</v>
      </c>
      <c r="S162" s="308" t="n">
        <v>18056</v>
      </c>
      <c r="T162" s="308">
        <f>IFERROR(S162*R162, 0)</f>
        <v/>
      </c>
      <c r="U162" s="313" t="n"/>
      <c r="V162" s="315" t="n"/>
      <c r="W162" s="316" t="n"/>
      <c r="X162" s="311" t="n"/>
      <c r="Y162" s="315" t="n"/>
      <c r="Z162" s="317" t="n"/>
    </row>
    <row r="163" ht="16.5" customHeight="1" s="223">
      <c r="A163" s="322" t="n"/>
      <c r="B163" s="324" t="n"/>
      <c r="C163" s="304" t="n"/>
      <c r="D163" s="304" t="n"/>
      <c r="E163" s="317" t="n"/>
      <c r="F163" s="320" t="n"/>
      <c r="G163" s="317" t="n"/>
      <c r="H163" s="311" t="n">
        <v>2</v>
      </c>
      <c r="I163" s="311" t="inlineStr"/>
      <c r="J163" s="311" t="inlineStr"/>
      <c r="K163" s="309" t="inlineStr">
        <is>
          <t>12IN GREEN TEA MF MATTRESS TX</t>
        </is>
      </c>
      <c r="L163" s="310" t="inlineStr">
        <is>
          <t>ZU-MFMA1ZZI-12X</t>
        </is>
      </c>
      <c r="M163" s="311" t="inlineStr">
        <is>
          <t>2S2MB3ZL</t>
        </is>
      </c>
      <c r="N163" s="309" t="inlineStr">
        <is>
          <t>F.MFM.12X.006.AD</t>
        </is>
      </c>
      <c r="O163" s="306" t="n"/>
      <c r="P163" s="306" t="n"/>
      <c r="Q163" s="312">
        <f>IFERROR(R163/H163, 0)</f>
        <v/>
      </c>
      <c r="R163" s="307" t="n">
        <v>116.6</v>
      </c>
      <c r="S163" s="308" t="n">
        <v>18056</v>
      </c>
      <c r="T163" s="308">
        <f>IFERROR(S163*R163, 0)</f>
        <v/>
      </c>
      <c r="U163" s="313" t="n"/>
      <c r="V163" s="315" t="n"/>
      <c r="W163" s="316" t="n"/>
      <c r="X163" s="311" t="n"/>
      <c r="Y163" s="315" t="n"/>
      <c r="Z163" s="317" t="n"/>
    </row>
    <row r="164" ht="16.5" customHeight="1" s="223">
      <c r="A164" s="322" t="n"/>
      <c r="B164" s="324" t="n"/>
      <c r="C164" s="304" t="n"/>
      <c r="D164" s="304" t="n"/>
      <c r="E164" s="317" t="n"/>
      <c r="F164" s="320" t="n"/>
      <c r="G164" s="317" t="n"/>
      <c r="H164" s="311" t="n">
        <v>268</v>
      </c>
      <c r="I164" s="311" t="inlineStr"/>
      <c r="J164" s="311" t="inlineStr"/>
      <c r="K164" s="309" t="inlineStr">
        <is>
          <t>6IN MYGEL FOAM MATTRESS FL</t>
        </is>
      </c>
      <c r="L164" s="310" t="inlineStr">
        <is>
          <t>ZU-MFGN1YZI-06F</t>
        </is>
      </c>
      <c r="M164" s="311" t="inlineStr">
        <is>
          <t>4F5HZJGZ</t>
        </is>
      </c>
      <c r="N164" s="309" t="inlineStr">
        <is>
          <t>F.MFG.06F.002.AD</t>
        </is>
      </c>
      <c r="O164" s="306" t="n"/>
      <c r="P164" s="306" t="n"/>
      <c r="Q164" s="312">
        <f>IFERROR(R164/H164, 0)</f>
        <v/>
      </c>
      <c r="R164" s="307" t="n">
        <v>10433.24</v>
      </c>
      <c r="S164" s="308" t="n">
        <v>18056</v>
      </c>
      <c r="T164" s="308">
        <f>IFERROR(S164*R164, 0)</f>
        <v/>
      </c>
      <c r="U164" s="313" t="n"/>
      <c r="V164" s="315" t="n"/>
      <c r="W164" s="316" t="n"/>
      <c r="X164" s="311" t="n"/>
      <c r="Y164" s="315" t="n"/>
      <c r="Z164" s="317" t="n"/>
    </row>
    <row r="165" ht="16.5" customHeight="1" s="223">
      <c r="A165" s="322" t="n"/>
      <c r="B165" s="324" t="n"/>
      <c r="C165" s="304" t="n"/>
      <c r="D165" s="304" t="n"/>
      <c r="E165" s="317" t="n"/>
      <c r="F165" s="320" t="n"/>
      <c r="G165" s="317" t="n"/>
      <c r="H165" s="311" t="n">
        <v>117</v>
      </c>
      <c r="I165" s="311" t="inlineStr"/>
      <c r="J165" s="311" t="inlineStr"/>
      <c r="K165" s="309" t="inlineStr">
        <is>
          <t>10IN OPP HD FL</t>
        </is>
      </c>
      <c r="L165" s="310" t="inlineStr">
        <is>
          <t>ZU-MFMA1OZI-10F</t>
        </is>
      </c>
      <c r="M165" s="311" t="inlineStr">
        <is>
          <t>4F5HZJGZ</t>
        </is>
      </c>
      <c r="N165" s="309" t="inlineStr">
        <is>
          <t>F.MFM.10F.013.AD</t>
        </is>
      </c>
      <c r="O165" s="306" t="n"/>
      <c r="P165" s="306" t="n"/>
      <c r="Q165" s="312">
        <f>IFERROR(R165/H165, 0)</f>
        <v/>
      </c>
      <c r="R165" s="307" t="n">
        <v>5605.47</v>
      </c>
      <c r="S165" s="308" t="n">
        <v>18056</v>
      </c>
      <c r="T165" s="308">
        <f>IFERROR(S165*R165, 0)</f>
        <v/>
      </c>
      <c r="U165" s="313" t="n"/>
      <c r="V165" s="315" t="n"/>
      <c r="W165" s="316" t="n"/>
      <c r="X165" s="311" t="n"/>
      <c r="Y165" s="315" t="n"/>
      <c r="Z165" s="317" t="n"/>
    </row>
    <row r="166" ht="16.5" customHeight="1" s="223">
      <c r="A166" s="322" t="n"/>
      <c r="B166" s="324" t="n"/>
      <c r="C166" s="304" t="n"/>
      <c r="D166" s="304" t="n"/>
      <c r="E166" s="317" t="n"/>
      <c r="F166" s="320" t="n"/>
      <c r="G166" s="317" t="n"/>
      <c r="H166" s="311" t="n">
        <v>2</v>
      </c>
      <c r="I166" s="311" t="inlineStr"/>
      <c r="J166" s="311" t="inlineStr"/>
      <c r="K166" s="309" t="inlineStr">
        <is>
          <t>10IN OPP HD TW</t>
        </is>
      </c>
      <c r="L166" s="310" t="inlineStr">
        <is>
          <t>ZU-MFMA1OZI-10T</t>
        </is>
      </c>
      <c r="M166" s="311" t="inlineStr">
        <is>
          <t>4F5HZJGZ</t>
        </is>
      </c>
      <c r="N166" s="309" t="inlineStr">
        <is>
          <t>F.MFM.10T.013.AD</t>
        </is>
      </c>
      <c r="O166" s="306" t="n"/>
      <c r="P166" s="306" t="n"/>
      <c r="Q166" s="312">
        <f>IFERROR(R166/H166, 0)</f>
        <v/>
      </c>
      <c r="R166" s="307" t="n">
        <v>77.86</v>
      </c>
      <c r="S166" s="308" t="n">
        <v>18056</v>
      </c>
      <c r="T166" s="308">
        <f>IFERROR(S166*R166, 0)</f>
        <v/>
      </c>
      <c r="U166" s="313" t="n"/>
      <c r="V166" s="315" t="n"/>
      <c r="W166" s="316" t="n"/>
      <c r="X166" s="311" t="n"/>
      <c r="Y166" s="315" t="n"/>
      <c r="Z166" s="317" t="n"/>
    </row>
    <row r="167" ht="16.5" customHeight="1" s="223">
      <c r="A167" s="322" t="n"/>
      <c r="B167" s="324" t="n"/>
      <c r="C167" s="304" t="n"/>
      <c r="D167" s="304" t="n"/>
      <c r="E167" s="317" t="n"/>
      <c r="F167" s="320" t="n"/>
      <c r="G167" s="317" t="n"/>
      <c r="H167" s="311" t="n">
        <v>5</v>
      </c>
      <c r="I167" s="311" t="inlineStr"/>
      <c r="J167" s="311" t="inlineStr"/>
      <c r="K167" s="309" t="inlineStr">
        <is>
          <t>12IN OPP HD QN</t>
        </is>
      </c>
      <c r="L167" s="310" t="inlineStr">
        <is>
          <t>ZU-MFMA1OZI-12Q</t>
        </is>
      </c>
      <c r="M167" s="311" t="inlineStr">
        <is>
          <t>4F5HZJGZ</t>
        </is>
      </c>
      <c r="N167" s="309" t="inlineStr">
        <is>
          <t>F.MFM.12Q.010.AD</t>
        </is>
      </c>
      <c r="O167" s="306" t="n"/>
      <c r="P167" s="306" t="n"/>
      <c r="Q167" s="312">
        <f>IFERROR(R167/H167, 0)</f>
        <v/>
      </c>
      <c r="R167" s="307" t="n">
        <v>337.85</v>
      </c>
      <c r="S167" s="308" t="n">
        <v>18056</v>
      </c>
      <c r="T167" s="308">
        <f>IFERROR(S167*R167, 0)</f>
        <v/>
      </c>
      <c r="U167" s="313" t="n"/>
      <c r="V167" s="315" t="n"/>
      <c r="W167" s="316" t="n"/>
      <c r="X167" s="311" t="n"/>
      <c r="Y167" s="315" t="n"/>
      <c r="Z167" s="317" t="n"/>
    </row>
    <row r="168" ht="16.5" customHeight="1" s="223">
      <c r="A168" s="322" t="n"/>
      <c r="B168" s="324" t="n"/>
      <c r="C168" s="304" t="n"/>
      <c r="D168" s="304" t="n"/>
      <c r="E168" s="317" t="n"/>
      <c r="F168" s="320" t="n"/>
      <c r="G168" s="317" t="n"/>
      <c r="H168" s="311" t="n">
        <v>1</v>
      </c>
      <c r="I168" s="311" t="inlineStr"/>
      <c r="J168" s="311" t="inlineStr"/>
      <c r="K168" s="309" t="inlineStr">
        <is>
          <t>10IN AIRFLOW GEL FOAM MATT EK</t>
        </is>
      </c>
      <c r="L168" s="310" t="inlineStr">
        <is>
          <t>ZU-MFMA1RZI-10K</t>
        </is>
      </c>
      <c r="M168" s="311" t="inlineStr">
        <is>
          <t>4F5HZJGZ</t>
        </is>
      </c>
      <c r="N168" s="309" t="inlineStr">
        <is>
          <t>F.MFM.10K.014.AD</t>
        </is>
      </c>
      <c r="O168" s="306" t="n"/>
      <c r="P168" s="306" t="n"/>
      <c r="Q168" s="312">
        <f>IFERROR(R168/H168, 0)</f>
        <v/>
      </c>
      <c r="R168" s="307" t="n">
        <v>65.88</v>
      </c>
      <c r="S168" s="308" t="n">
        <v>18056</v>
      </c>
      <c r="T168" s="308">
        <f>IFERROR(S168*R168, 0)</f>
        <v/>
      </c>
      <c r="U168" s="313" t="n"/>
      <c r="V168" s="315" t="n"/>
      <c r="W168" s="316" t="n"/>
      <c r="X168" s="311" t="n"/>
      <c r="Y168" s="315" t="n"/>
      <c r="Z168" s="317" t="n"/>
    </row>
    <row r="169" ht="16.5" customHeight="1" s="223">
      <c r="A169" s="322" t="n"/>
      <c r="B169" s="324" t="n"/>
      <c r="C169" s="304" t="n"/>
      <c r="D169" s="304" t="n"/>
      <c r="E169" s="317" t="n"/>
      <c r="F169" s="320" t="n"/>
      <c r="G169" s="317" t="n"/>
      <c r="H169" s="311" t="n">
        <v>81</v>
      </c>
      <c r="I169" s="311" t="inlineStr"/>
      <c r="J169" s="311" t="inlineStr"/>
      <c r="K169" s="309" t="inlineStr">
        <is>
          <t>10IN AIRFLOW GEL FOAM MATT QN</t>
        </is>
      </c>
      <c r="L169" s="310" t="inlineStr">
        <is>
          <t>ZU-MFMA1RZI-10Q</t>
        </is>
      </c>
      <c r="M169" s="311" t="inlineStr">
        <is>
          <t>4F5HZJGZ</t>
        </is>
      </c>
      <c r="N169" s="309" t="inlineStr">
        <is>
          <t>F.MFM.10Q.014.AD</t>
        </is>
      </c>
      <c r="O169" s="306" t="n"/>
      <c r="P169" s="306" t="n"/>
      <c r="Q169" s="312">
        <f>IFERROR(R169/H169, 0)</f>
        <v/>
      </c>
      <c r="R169" s="307" t="n">
        <v>4365.9</v>
      </c>
      <c r="S169" s="308" t="n">
        <v>18056</v>
      </c>
      <c r="T169" s="308">
        <f>IFERROR(S169*R169, 0)</f>
        <v/>
      </c>
      <c r="U169" s="313" t="n"/>
      <c r="V169" s="315" t="n"/>
      <c r="W169" s="316" t="n"/>
      <c r="X169" s="311" t="n"/>
      <c r="Y169" s="315" t="n"/>
      <c r="Z169" s="317" t="n"/>
    </row>
    <row r="170" ht="16.5" customHeight="1" s="223">
      <c r="A170" s="322" t="n"/>
      <c r="B170" s="324" t="n"/>
      <c r="C170" s="304" t="n"/>
      <c r="D170" s="304" t="n"/>
      <c r="E170" s="317" t="n"/>
      <c r="F170" s="320" t="n"/>
      <c r="G170" s="317" t="n"/>
      <c r="H170" s="311" t="n">
        <v>15</v>
      </c>
      <c r="I170" s="311" t="inlineStr"/>
      <c r="J170" s="311" t="inlineStr"/>
      <c r="K170" s="309" t="inlineStr">
        <is>
          <t>12IN AIRFLOW GEL FOAM MATT QN</t>
        </is>
      </c>
      <c r="L170" s="310" t="inlineStr">
        <is>
          <t>ZU-MFMA1RZI-12Q</t>
        </is>
      </c>
      <c r="M170" s="311" t="inlineStr">
        <is>
          <t>4F5HZJGZ</t>
        </is>
      </c>
      <c r="N170" s="309" t="inlineStr">
        <is>
          <t>F.MFM.12Q.011.AD</t>
        </is>
      </c>
      <c r="O170" s="306" t="n"/>
      <c r="P170" s="306" t="n"/>
      <c r="Q170" s="312">
        <f>IFERROR(R170/H170, 0)</f>
        <v/>
      </c>
      <c r="R170" s="307" t="n">
        <v>1013.55</v>
      </c>
      <c r="S170" s="308" t="n">
        <v>18056</v>
      </c>
      <c r="T170" s="308">
        <f>IFERROR(S170*R170, 0)</f>
        <v/>
      </c>
      <c r="U170" s="313" t="n"/>
      <c r="V170" s="315" t="n"/>
      <c r="W170" s="316" t="n"/>
      <c r="X170" s="311" t="n"/>
      <c r="Y170" s="315" t="n"/>
      <c r="Z170" s="317" t="n"/>
    </row>
    <row r="171" ht="16.5" customHeight="1" s="223">
      <c r="A171" s="322" t="n"/>
      <c r="B171" s="324" t="n"/>
      <c r="C171" s="304" t="n"/>
      <c r="D171" s="304" t="n"/>
      <c r="E171" s="317" t="n"/>
      <c r="F171" s="320" t="n"/>
      <c r="G171" s="317" t="n"/>
      <c r="H171" s="311" t="n">
        <v>44</v>
      </c>
      <c r="I171" s="311" t="inlineStr"/>
      <c r="J171" s="311" t="inlineStr"/>
      <c r="K171" s="309" t="inlineStr">
        <is>
          <t>8IN GREEN TEA MF MATTRESS FL</t>
        </is>
      </c>
      <c r="L171" s="310" t="inlineStr">
        <is>
          <t>ZU-MFMA1ZZI-08F</t>
        </is>
      </c>
      <c r="M171" s="311" t="inlineStr">
        <is>
          <t>4F5HZJGZ</t>
        </is>
      </c>
      <c r="N171" s="309" t="inlineStr">
        <is>
          <t>F.MFM.08F.008.AD</t>
        </is>
      </c>
      <c r="O171" s="306" t="n"/>
      <c r="P171" s="306" t="n"/>
      <c r="Q171" s="312">
        <f>IFERROR(R171/H171, 0)</f>
        <v/>
      </c>
      <c r="R171" s="307" t="n">
        <v>2463.56</v>
      </c>
      <c r="S171" s="308" t="n">
        <v>18056</v>
      </c>
      <c r="T171" s="308">
        <f>IFERROR(S171*R171, 0)</f>
        <v/>
      </c>
      <c r="U171" s="313" t="n"/>
      <c r="V171" s="315" t="n"/>
      <c r="W171" s="316" t="n"/>
      <c r="X171" s="311" t="n"/>
      <c r="Y171" s="315" t="n"/>
      <c r="Z171" s="317" t="n"/>
    </row>
    <row r="172" ht="16.5" customHeight="1" s="223">
      <c r="A172" s="322" t="n"/>
      <c r="B172" s="324" t="n"/>
      <c r="C172" s="304" t="n"/>
      <c r="D172" s="304" t="n"/>
      <c r="E172" s="317" t="n"/>
      <c r="F172" s="320" t="n"/>
      <c r="G172" s="317" t="n"/>
      <c r="H172" s="311" t="n">
        <v>58</v>
      </c>
      <c r="I172" s="311" t="inlineStr"/>
      <c r="J172" s="311" t="inlineStr"/>
      <c r="K172" s="309" t="inlineStr">
        <is>
          <t>10IN GREEN TEA MF MATTRESS TX</t>
        </is>
      </c>
      <c r="L172" s="310" t="inlineStr">
        <is>
          <t>ZU-MFMA1ZZI-10X</t>
        </is>
      </c>
      <c r="M172" s="311" t="inlineStr">
        <is>
          <t>4F5HZJGZ</t>
        </is>
      </c>
      <c r="N172" s="309" t="inlineStr">
        <is>
          <t>F.MFM.10X.007.AD</t>
        </is>
      </c>
      <c r="O172" s="306" t="n"/>
      <c r="P172" s="306" t="n"/>
      <c r="Q172" s="312">
        <f>IFERROR(R172/H172, 0)</f>
        <v/>
      </c>
      <c r="R172" s="307" t="n">
        <v>2920.3</v>
      </c>
      <c r="S172" s="308" t="n">
        <v>18056</v>
      </c>
      <c r="T172" s="308">
        <f>IFERROR(S172*R172, 0)</f>
        <v/>
      </c>
      <c r="U172" s="313" t="n"/>
      <c r="V172" s="315" t="n"/>
      <c r="W172" s="316" t="n"/>
      <c r="X172" s="311" t="n"/>
      <c r="Y172" s="315" t="n"/>
      <c r="Z172" s="317" t="n"/>
    </row>
    <row r="173" ht="17.1" customHeight="1" s="223">
      <c r="A173" s="325" t="n"/>
      <c r="B173" s="326" t="n"/>
      <c r="C173" s="327" t="n"/>
      <c r="D173" s="327" t="n"/>
      <c r="E173" s="328" t="n"/>
      <c r="F173" s="328" t="n"/>
      <c r="G173" s="328" t="n"/>
      <c r="H173" s="329">
        <f>SUM(H125:H172)</f>
        <v/>
      </c>
      <c r="I173" s="330">
        <f>COUNTA(I125:I172)</f>
        <v/>
      </c>
      <c r="J173" s="329" t="n"/>
      <c r="K173" s="329" t="n"/>
      <c r="L173" s="331" t="n"/>
      <c r="M173" s="329" t="n"/>
      <c r="N173" s="329" t="n"/>
      <c r="O173" s="332">
        <f>SUM(O125:O172)</f>
        <v/>
      </c>
      <c r="P173" s="332">
        <f>SUM(P125:P172)</f>
        <v/>
      </c>
      <c r="Q173" s="333" t="n"/>
      <c r="R173" s="334">
        <f>SUM(R125:R172)</f>
        <v/>
      </c>
      <c r="S173" s="335" t="n"/>
      <c r="T173" s="335">
        <f>SUM(T125:T172)</f>
        <v/>
      </c>
      <c r="U173" s="329" t="n"/>
      <c r="V173" s="336" t="n"/>
      <c r="W173" s="337" t="n"/>
      <c r="X173" s="336" t="n"/>
      <c r="Y173" s="336" t="n"/>
      <c r="Z173" s="336" t="n"/>
    </row>
    <row r="174" ht="16.5" customHeight="1" s="223">
      <c r="A174" s="322" t="n">
        <v>18</v>
      </c>
      <c r="B174" s="324" t="inlineStr">
        <is>
          <t>000030ZIK48020260728000521</t>
        </is>
      </c>
      <c r="C174" s="304" t="n">
        <v>468980</v>
      </c>
      <c r="D174" s="304" t="n">
        <v>468943</v>
      </c>
      <c r="E174" s="317" t="n">
        <v>46232</v>
      </c>
      <c r="F174" s="320" t="inlineStr">
        <is>
          <t>ID2607-7920</t>
        </is>
      </c>
      <c r="G174" s="317" t="n">
        <v>46230</v>
      </c>
      <c r="H174" s="311" t="n">
        <v>1040</v>
      </c>
      <c r="I174" s="311" t="inlineStr">
        <is>
          <t>CMAU7813408</t>
        </is>
      </c>
      <c r="J174" s="311" t="inlineStr">
        <is>
          <t>40FT</t>
        </is>
      </c>
      <c r="K174" s="309" t="inlineStr">
        <is>
          <t>8IN GREEN TEA MF MATTRESS FL</t>
        </is>
      </c>
      <c r="L174" s="310" t="inlineStr">
        <is>
          <t>SCF-STR-800F</t>
        </is>
      </c>
      <c r="M174" s="311" t="inlineStr">
        <is>
          <t>0993630632</t>
        </is>
      </c>
      <c r="N174" s="309" t="inlineStr">
        <is>
          <t>F.MFM.08F.000.WS</t>
        </is>
      </c>
      <c r="O174" s="306" t="n">
        <v>21236.8</v>
      </c>
      <c r="P174" s="306" t="n">
        <v>18740.8</v>
      </c>
      <c r="Q174" s="312">
        <f>IFERROR(R174/H174, 0)</f>
        <v/>
      </c>
      <c r="R174" s="307" t="n">
        <v>82960.8</v>
      </c>
      <c r="S174" s="308" t="n">
        <v>18056</v>
      </c>
      <c r="T174" s="308">
        <f>IFERROR(S174*R174, 0)</f>
        <v/>
      </c>
      <c r="U174" s="313" t="inlineStr">
        <is>
          <t>040300/KPPBC</t>
        </is>
      </c>
      <c r="V174" s="315" t="inlineStr">
        <is>
          <t>TG. PRIOK</t>
        </is>
      </c>
      <c r="W174" s="316" t="inlineStr">
        <is>
          <t>HOUSTON</t>
        </is>
      </c>
      <c r="X174" s="311" t="inlineStr">
        <is>
          <t>WALMART, INC.</t>
        </is>
      </c>
      <c r="Y174" s="315" t="inlineStr">
        <is>
          <t>CMDUDJA1504440A</t>
        </is>
      </c>
      <c r="Z174" s="317" t="n">
        <v>46232</v>
      </c>
    </row>
    <row r="175" ht="16.5" customHeight="1" s="223">
      <c r="A175" s="322" t="n"/>
      <c r="B175" s="324" t="n"/>
      <c r="C175" s="304" t="n"/>
      <c r="D175" s="304" t="n"/>
      <c r="E175" s="317" t="n"/>
      <c r="F175" s="320" t="n"/>
      <c r="G175" s="317" t="n"/>
      <c r="H175" s="311" t="n"/>
      <c r="I175" s="311" t="n"/>
      <c r="J175" s="311" t="n"/>
      <c r="K175" s="309" t="n"/>
      <c r="L175" s="310" t="n"/>
      <c r="M175" s="311" t="n"/>
      <c r="N175" s="309" t="n"/>
      <c r="O175" s="306" t="n"/>
      <c r="P175" s="306" t="n"/>
      <c r="Q175" s="312" t="n"/>
      <c r="R175" s="307" t="n"/>
      <c r="S175" s="308" t="n"/>
      <c r="T175" s="308" t="n"/>
      <c r="U175" s="313" t="n"/>
      <c r="V175" s="315" t="n"/>
      <c r="W175" s="316" t="inlineStr">
        <is>
          <t>ETD : 27-07-2026</t>
        </is>
      </c>
      <c r="X175" s="311" t="n"/>
      <c r="Y175" s="315" t="n"/>
      <c r="Z175" s="317" t="n"/>
    </row>
    <row r="176" ht="17.1" customHeight="1" s="223">
      <c r="A176" s="325" t="n"/>
      <c r="B176" s="326" t="n"/>
      <c r="C176" s="327" t="n"/>
      <c r="D176" s="327" t="n"/>
      <c r="E176" s="328" t="n"/>
      <c r="F176" s="328" t="n"/>
      <c r="G176" s="328" t="n"/>
      <c r="H176" s="329">
        <f>SUM(H174:H175)</f>
        <v/>
      </c>
      <c r="I176" s="330">
        <f>COUNTA(I174:I175)</f>
        <v/>
      </c>
      <c r="J176" s="329" t="n"/>
      <c r="K176" s="329" t="n"/>
      <c r="L176" s="331" t="n"/>
      <c r="M176" s="329" t="n"/>
      <c r="N176" s="329" t="n"/>
      <c r="O176" s="332">
        <f>SUM(O174:O175)</f>
        <v/>
      </c>
      <c r="P176" s="332">
        <f>SUM(P174:P175)</f>
        <v/>
      </c>
      <c r="Q176" s="333" t="n"/>
      <c r="R176" s="334">
        <f>SUM(R174:R175)</f>
        <v/>
      </c>
      <c r="S176" s="335" t="n"/>
      <c r="T176" s="335">
        <f>SUM(T174:T175)</f>
        <v/>
      </c>
      <c r="U176" s="329" t="n"/>
      <c r="V176" s="336" t="n"/>
      <c r="W176" s="337" t="n"/>
      <c r="X176" s="336" t="n"/>
      <c r="Y176" s="336" t="n"/>
      <c r="Z176" s="336" t="n"/>
    </row>
    <row r="177" ht="16.5" customHeight="1" s="223">
      <c r="A177" s="322" t="n">
        <v>19</v>
      </c>
      <c r="B177" s="324" t="inlineStr">
        <is>
          <t>000030ZIK48020260728000522</t>
        </is>
      </c>
      <c r="C177" s="304" t="n">
        <v>468916</v>
      </c>
      <c r="D177" s="304" t="n">
        <v>468879</v>
      </c>
      <c r="E177" s="317" t="n">
        <v>46232</v>
      </c>
      <c r="F177" s="320" t="inlineStr">
        <is>
          <t>ID2607-7922</t>
        </is>
      </c>
      <c r="G177" s="317" t="n">
        <v>46230</v>
      </c>
      <c r="H177" s="311" t="n">
        <v>1386</v>
      </c>
      <c r="I177" s="311" t="inlineStr">
        <is>
          <t>CMAU5981742</t>
        </is>
      </c>
      <c r="J177" s="311" t="inlineStr">
        <is>
          <t>40FT</t>
        </is>
      </c>
      <c r="K177" s="309" t="inlineStr">
        <is>
          <t>8IN GREEN TEA MF MATTRESS TW</t>
        </is>
      </c>
      <c r="L177" s="310" t="inlineStr">
        <is>
          <t>SCF-STR-800T</t>
        </is>
      </c>
      <c r="M177" s="311" t="inlineStr">
        <is>
          <t>0993631237</t>
        </is>
      </c>
      <c r="N177" s="309" t="inlineStr">
        <is>
          <t>F.MFM.08T.000.WS</t>
        </is>
      </c>
      <c r="O177" s="306" t="n">
        <v>21053.34</v>
      </c>
      <c r="P177" s="306" t="n">
        <v>18281.34</v>
      </c>
      <c r="Q177" s="312">
        <f>IFERROR(R177/H177, 0)</f>
        <v/>
      </c>
      <c r="R177" s="307" t="n">
        <v>85239</v>
      </c>
      <c r="S177" s="308" t="n">
        <v>18056</v>
      </c>
      <c r="T177" s="308">
        <f>IFERROR(S177*R177, 0)</f>
        <v/>
      </c>
      <c r="U177" s="313" t="inlineStr">
        <is>
          <t>040300/KPPBC</t>
        </is>
      </c>
      <c r="V177" s="315" t="inlineStr">
        <is>
          <t>TG. PRIOK</t>
        </is>
      </c>
      <c r="W177" s="316" t="inlineStr">
        <is>
          <t>HOUSTON</t>
        </is>
      </c>
      <c r="X177" s="311" t="inlineStr">
        <is>
          <t>WALMART, INC.</t>
        </is>
      </c>
      <c r="Y177" s="315" t="inlineStr">
        <is>
          <t>CMDUDJA1504440C</t>
        </is>
      </c>
      <c r="Z177" s="317" t="n">
        <v>46232</v>
      </c>
    </row>
    <row r="178" ht="16.5" customHeight="1" s="223">
      <c r="A178" s="322" t="n"/>
      <c r="B178" s="324" t="n"/>
      <c r="C178" s="304" t="n"/>
      <c r="D178" s="304" t="n"/>
      <c r="E178" s="317" t="n"/>
      <c r="F178" s="320" t="n"/>
      <c r="G178" s="317" t="n"/>
      <c r="H178" s="311" t="n"/>
      <c r="I178" s="311" t="n"/>
      <c r="J178" s="311" t="n"/>
      <c r="K178" s="309" t="n"/>
      <c r="L178" s="310" t="n"/>
      <c r="M178" s="311" t="n"/>
      <c r="N178" s="309" t="n"/>
      <c r="O178" s="306" t="n"/>
      <c r="P178" s="306" t="n"/>
      <c r="Q178" s="312" t="n"/>
      <c r="R178" s="307" t="n"/>
      <c r="S178" s="308" t="n"/>
      <c r="T178" s="308" t="n"/>
      <c r="U178" s="313" t="n"/>
      <c r="V178" s="315" t="n"/>
      <c r="W178" s="316" t="inlineStr">
        <is>
          <t>ETD : 27-07-2026</t>
        </is>
      </c>
      <c r="X178" s="311" t="n"/>
      <c r="Y178" s="315" t="n"/>
      <c r="Z178" s="317" t="n"/>
    </row>
    <row r="179" ht="17.1" customHeight="1" s="223">
      <c r="A179" s="325" t="n"/>
      <c r="B179" s="326" t="n"/>
      <c r="C179" s="327" t="n"/>
      <c r="D179" s="327" t="n"/>
      <c r="E179" s="328" t="n"/>
      <c r="F179" s="328" t="n"/>
      <c r="G179" s="328" t="n"/>
      <c r="H179" s="329">
        <f>SUM(H177:H178)</f>
        <v/>
      </c>
      <c r="I179" s="330">
        <f>COUNTA(I177:I178)</f>
        <v/>
      </c>
      <c r="J179" s="329" t="n"/>
      <c r="K179" s="329" t="n"/>
      <c r="L179" s="331" t="n"/>
      <c r="M179" s="329" t="n"/>
      <c r="N179" s="329" t="n"/>
      <c r="O179" s="332">
        <f>SUM(O177:O178)</f>
        <v/>
      </c>
      <c r="P179" s="332">
        <f>SUM(P177:P178)</f>
        <v/>
      </c>
      <c r="Q179" s="333" t="n"/>
      <c r="R179" s="334">
        <f>SUM(R177:R178)</f>
        <v/>
      </c>
      <c r="S179" s="335" t="n"/>
      <c r="T179" s="335">
        <f>SUM(T177:T178)</f>
        <v/>
      </c>
      <c r="U179" s="329" t="n"/>
      <c r="V179" s="336" t="n"/>
      <c r="W179" s="337" t="n"/>
      <c r="X179" s="336" t="n"/>
      <c r="Y179" s="336" t="n"/>
      <c r="Z179" s="336" t="n"/>
    </row>
    <row r="180" ht="16.5" customHeight="1" s="223">
      <c r="A180" s="322" t="n">
        <v>20</v>
      </c>
      <c r="B180" s="324" t="inlineStr">
        <is>
          <t>000030ZIK48020260728000523</t>
        </is>
      </c>
      <c r="C180" s="304" t="n">
        <v>468949</v>
      </c>
      <c r="D180" s="304" t="n">
        <v>468912</v>
      </c>
      <c r="E180" s="317" t="n">
        <v>46232</v>
      </c>
      <c r="F180" s="320" t="inlineStr">
        <is>
          <t>ID2607-7924</t>
        </is>
      </c>
      <c r="G180" s="317" t="n">
        <v>46230</v>
      </c>
      <c r="H180" s="311" t="n">
        <v>1350</v>
      </c>
      <c r="I180" s="311" t="inlineStr">
        <is>
          <t>CMAU7897836</t>
        </is>
      </c>
      <c r="J180" s="311" t="inlineStr">
        <is>
          <t>40FT</t>
        </is>
      </c>
      <c r="K180" s="309" t="inlineStr">
        <is>
          <t>8IN GREEN TEA MF MATTRESS QN</t>
        </is>
      </c>
      <c r="L180" s="310" t="inlineStr">
        <is>
          <t>SCF-STR-800Q</t>
        </is>
      </c>
      <c r="M180" s="311" t="inlineStr">
        <is>
          <t>0993631056</t>
        </is>
      </c>
      <c r="N180" s="309" t="inlineStr">
        <is>
          <t>F.MFM.08Q.000.WS</t>
        </is>
      </c>
      <c r="O180" s="306" t="n">
        <v>32265</v>
      </c>
      <c r="P180" s="306" t="n">
        <v>28782</v>
      </c>
      <c r="Q180" s="312">
        <f>IFERROR(R180/H180, 0)</f>
        <v/>
      </c>
      <c r="R180" s="307" t="n">
        <v>126859.5</v>
      </c>
      <c r="S180" s="308" t="n">
        <v>18056</v>
      </c>
      <c r="T180" s="308">
        <f>IFERROR(S180*R180, 0)</f>
        <v/>
      </c>
      <c r="U180" s="313" t="inlineStr">
        <is>
          <t>040300/KPPBC</t>
        </is>
      </c>
      <c r="V180" s="315" t="inlineStr">
        <is>
          <t>TG. PRIOK</t>
        </is>
      </c>
      <c r="W180" s="316" t="inlineStr">
        <is>
          <t>HOUSTON</t>
        </is>
      </c>
      <c r="X180" s="311" t="inlineStr">
        <is>
          <t>WALMART, INC.</t>
        </is>
      </c>
      <c r="Y180" s="315" t="inlineStr">
        <is>
          <t>CMDUDJA1504440B</t>
        </is>
      </c>
      <c r="Z180" s="317" t="n">
        <v>46232</v>
      </c>
    </row>
    <row r="181" ht="16.5" customHeight="1" s="223">
      <c r="A181" s="322" t="n"/>
      <c r="B181" s="324" t="n"/>
      <c r="C181" s="304" t="n"/>
      <c r="D181" s="304" t="n"/>
      <c r="E181" s="317" t="n"/>
      <c r="F181" s="320" t="n"/>
      <c r="G181" s="317" t="n"/>
      <c r="H181" s="311" t="n"/>
      <c r="I181" s="311" t="n"/>
      <c r="J181" s="311" t="n"/>
      <c r="K181" s="309" t="n"/>
      <c r="L181" s="310" t="n"/>
      <c r="M181" s="311" t="n"/>
      <c r="N181" s="309" t="n"/>
      <c r="O181" s="306" t="n"/>
      <c r="P181" s="306" t="n"/>
      <c r="Q181" s="312" t="n"/>
      <c r="R181" s="307" t="n"/>
      <c r="S181" s="308" t="n"/>
      <c r="T181" s="308" t="n"/>
      <c r="U181" s="313" t="n"/>
      <c r="V181" s="315" t="n"/>
      <c r="W181" s="316" t="inlineStr">
        <is>
          <t>ETD : 27-07-2026</t>
        </is>
      </c>
      <c r="X181" s="311" t="n"/>
      <c r="Y181" s="315" t="n"/>
      <c r="Z181" s="317" t="n"/>
    </row>
    <row r="182" ht="17.1" customHeight="1" s="223">
      <c r="A182" s="325" t="n"/>
      <c r="B182" s="326" t="n"/>
      <c r="C182" s="327" t="n"/>
      <c r="D182" s="327" t="n"/>
      <c r="E182" s="328" t="n"/>
      <c r="F182" s="328" t="n"/>
      <c r="G182" s="328" t="n"/>
      <c r="H182" s="329">
        <f>SUM(H180:H181)</f>
        <v/>
      </c>
      <c r="I182" s="330">
        <f>COUNTA(I180:I181)</f>
        <v/>
      </c>
      <c r="J182" s="329" t="n"/>
      <c r="K182" s="329" t="n"/>
      <c r="L182" s="331" t="n"/>
      <c r="M182" s="329" t="n"/>
      <c r="N182" s="329" t="n"/>
      <c r="O182" s="332">
        <f>SUM(O180:O181)</f>
        <v/>
      </c>
      <c r="P182" s="332">
        <f>SUM(P180:P181)</f>
        <v/>
      </c>
      <c r="Q182" s="333" t="n"/>
      <c r="R182" s="334">
        <f>SUM(R180:R181)</f>
        <v/>
      </c>
      <c r="S182" s="335" t="n"/>
      <c r="T182" s="335">
        <f>SUM(T180:T181)</f>
        <v/>
      </c>
      <c r="U182" s="329" t="n"/>
      <c r="V182" s="336" t="n"/>
      <c r="W182" s="337" t="n"/>
      <c r="X182" s="336" t="n"/>
      <c r="Y182" s="336" t="n"/>
      <c r="Z182" s="336" t="n"/>
    </row>
    <row r="183" ht="16.5" customHeight="1" s="223">
      <c r="A183" s="322" t="n">
        <v>21</v>
      </c>
      <c r="B183" s="324" t="inlineStr">
        <is>
          <t>000030ZIK48020260728000524</t>
        </is>
      </c>
      <c r="C183" s="304" t="n">
        <v>469476</v>
      </c>
      <c r="D183" s="304" t="n">
        <v>469437</v>
      </c>
      <c r="E183" s="317" t="n">
        <v>46232</v>
      </c>
      <c r="F183" s="320" t="inlineStr">
        <is>
          <t>ID2607-7926</t>
        </is>
      </c>
      <c r="G183" s="317" t="n">
        <v>46230</v>
      </c>
      <c r="H183" s="311" t="n">
        <v>900</v>
      </c>
      <c r="I183" s="311" t="inlineStr">
        <is>
          <t>TRHU6179905</t>
        </is>
      </c>
      <c r="J183" s="311" t="inlineStr">
        <is>
          <t>40FT</t>
        </is>
      </c>
      <c r="K183" s="309" t="inlineStr">
        <is>
          <t>8IN GREEN TEA MF MATTRESS QN</t>
        </is>
      </c>
      <c r="L183" s="310" t="inlineStr">
        <is>
          <t>SCF-STR-800Q</t>
        </is>
      </c>
      <c r="M183" s="311" t="inlineStr">
        <is>
          <t>0995067429</t>
        </is>
      </c>
      <c r="N183" s="309" t="inlineStr">
        <is>
          <t>F.MFM.08Q.000.WS</t>
        </is>
      </c>
      <c r="O183" s="306" t="n">
        <v>21510</v>
      </c>
      <c r="P183" s="306" t="n">
        <v>19188</v>
      </c>
      <c r="Q183" s="312">
        <f>IFERROR(R183/H183, 0)</f>
        <v/>
      </c>
      <c r="R183" s="307" t="n">
        <v>84573</v>
      </c>
      <c r="S183" s="308" t="n">
        <v>18056</v>
      </c>
      <c r="T183" s="308">
        <f>IFERROR(S183*R183, 0)</f>
        <v/>
      </c>
      <c r="U183" s="313" t="inlineStr">
        <is>
          <t>040300/KPPBC</t>
        </is>
      </c>
      <c r="V183" s="315" t="inlineStr">
        <is>
          <t>TG. PRIOK</t>
        </is>
      </c>
      <c r="W183" s="316" t="inlineStr">
        <is>
          <t>LOS ANGELES</t>
        </is>
      </c>
      <c r="X183" s="311" t="inlineStr">
        <is>
          <t>WALMART, INC.</t>
        </is>
      </c>
      <c r="Y183" s="315" t="inlineStr">
        <is>
          <t>CMDUDJA1502148</t>
        </is>
      </c>
      <c r="Z183" s="317" t="n">
        <v>46232</v>
      </c>
    </row>
    <row r="184" ht="16.5" customHeight="1" s="223">
      <c r="A184" s="322" t="n"/>
      <c r="B184" s="324" t="n"/>
      <c r="C184" s="304" t="n"/>
      <c r="D184" s="304" t="n"/>
      <c r="E184" s="317" t="n"/>
      <c r="F184" s="320" t="n"/>
      <c r="G184" s="317" t="n"/>
      <c r="H184" s="311" t="n"/>
      <c r="I184" s="311" t="n"/>
      <c r="J184" s="311" t="n"/>
      <c r="K184" s="309" t="n"/>
      <c r="L184" s="310" t="n"/>
      <c r="M184" s="311" t="n"/>
      <c r="N184" s="309" t="n"/>
      <c r="O184" s="306" t="n"/>
      <c r="P184" s="306" t="n"/>
      <c r="Q184" s="312" t="n"/>
      <c r="R184" s="307" t="n"/>
      <c r="S184" s="308" t="n"/>
      <c r="T184" s="308" t="n"/>
      <c r="U184" s="313" t="n"/>
      <c r="V184" s="315" t="n"/>
      <c r="W184" s="316" t="inlineStr">
        <is>
          <t>ETD : 27-07-2026</t>
        </is>
      </c>
      <c r="X184" s="311" t="n"/>
      <c r="Y184" s="315" t="n"/>
      <c r="Z184" s="317" t="n"/>
    </row>
    <row r="185" ht="17.1" customHeight="1" s="223">
      <c r="A185" s="325" t="n"/>
      <c r="B185" s="326" t="n"/>
      <c r="C185" s="327" t="n"/>
      <c r="D185" s="327" t="n"/>
      <c r="E185" s="328" t="n"/>
      <c r="F185" s="328" t="n"/>
      <c r="G185" s="328" t="n"/>
      <c r="H185" s="329">
        <f>SUM(H183:H184)</f>
        <v/>
      </c>
      <c r="I185" s="330">
        <f>COUNTA(I183:I184)</f>
        <v/>
      </c>
      <c r="J185" s="329" t="n"/>
      <c r="K185" s="329" t="n"/>
      <c r="L185" s="331" t="n"/>
      <c r="M185" s="329" t="n"/>
      <c r="N185" s="329" t="n"/>
      <c r="O185" s="332">
        <f>SUM(O183:O184)</f>
        <v/>
      </c>
      <c r="P185" s="332">
        <f>SUM(P183:P184)</f>
        <v/>
      </c>
      <c r="Q185" s="333" t="n"/>
      <c r="R185" s="334">
        <f>SUM(R183:R184)</f>
        <v/>
      </c>
      <c r="S185" s="335" t="n"/>
      <c r="T185" s="335">
        <f>SUM(T183:T184)</f>
        <v/>
      </c>
      <c r="U185" s="329" t="n"/>
      <c r="V185" s="336" t="n"/>
      <c r="W185" s="337" t="n"/>
      <c r="X185" s="336" t="n"/>
      <c r="Y185" s="336" t="n"/>
      <c r="Z185" s="336" t="n"/>
    </row>
    <row r="186" ht="16.5" customHeight="1" s="223">
      <c r="A186" s="322" t="n">
        <v>22</v>
      </c>
      <c r="B186" s="324" t="inlineStr">
        <is>
          <t>000030ZIK48020260728000525</t>
        </is>
      </c>
      <c r="C186" s="304" t="n">
        <v>469287</v>
      </c>
      <c r="D186" s="304" t="n">
        <v>469249</v>
      </c>
      <c r="E186" s="317" t="n">
        <v>46232</v>
      </c>
      <c r="F186" s="320" t="inlineStr">
        <is>
          <t>ID2607-7927</t>
        </is>
      </c>
      <c r="G186" s="317" t="n">
        <v>46230</v>
      </c>
      <c r="H186" s="311" t="n">
        <v>693</v>
      </c>
      <c r="I186" s="311" t="inlineStr">
        <is>
          <t>CMAU7692034</t>
        </is>
      </c>
      <c r="J186" s="311" t="inlineStr">
        <is>
          <t>40FT</t>
        </is>
      </c>
      <c r="K186" s="309" t="inlineStr">
        <is>
          <t>8IN GREEN TEA MF MATTRESS TW</t>
        </is>
      </c>
      <c r="L186" s="310" t="inlineStr">
        <is>
          <t>SCF-STR-800T</t>
        </is>
      </c>
      <c r="M186" s="311" t="inlineStr">
        <is>
          <t>0993631096</t>
        </is>
      </c>
      <c r="N186" s="309" t="inlineStr">
        <is>
          <t>F.MFM.08T.000.WS</t>
        </is>
      </c>
      <c r="O186" s="306" t="n">
        <v>10526.67</v>
      </c>
      <c r="P186" s="306" t="n">
        <v>9140.67</v>
      </c>
      <c r="Q186" s="312">
        <f>IFERROR(R186/H186, 0)</f>
        <v/>
      </c>
      <c r="R186" s="307" t="n">
        <v>42619.5</v>
      </c>
      <c r="S186" s="308" t="n">
        <v>18056</v>
      </c>
      <c r="T186" s="308">
        <f>IFERROR(S186*R186, 0)</f>
        <v/>
      </c>
      <c r="U186" s="313" t="inlineStr">
        <is>
          <t>040300/KPPBC</t>
        </is>
      </c>
      <c r="V186" s="315" t="inlineStr">
        <is>
          <t>TG. PRIOK</t>
        </is>
      </c>
      <c r="W186" s="316" t="inlineStr">
        <is>
          <t>SAVANNAH</t>
        </is>
      </c>
      <c r="X186" s="311" t="inlineStr">
        <is>
          <t>WALMART, INC.</t>
        </is>
      </c>
      <c r="Y186" s="315" t="inlineStr">
        <is>
          <t>CMDUDJA1506810</t>
        </is>
      </c>
      <c r="Z186" s="317" t="n">
        <v>46232</v>
      </c>
    </row>
    <row r="187" ht="16.5" customHeight="1" s="223">
      <c r="A187" s="322" t="n"/>
      <c r="B187" s="324" t="n"/>
      <c r="C187" s="304" t="n"/>
      <c r="D187" s="304" t="n"/>
      <c r="E187" s="317" t="n"/>
      <c r="F187" s="320" t="n"/>
      <c r="G187" s="317" t="n"/>
      <c r="H187" s="311" t="n"/>
      <c r="I187" s="311" t="n"/>
      <c r="J187" s="311" t="n"/>
      <c r="K187" s="309" t="n"/>
      <c r="L187" s="310" t="n"/>
      <c r="M187" s="311" t="n"/>
      <c r="N187" s="309" t="n"/>
      <c r="O187" s="306" t="n"/>
      <c r="P187" s="306" t="n"/>
      <c r="Q187" s="312" t="n"/>
      <c r="R187" s="307" t="n"/>
      <c r="S187" s="308" t="n"/>
      <c r="T187" s="308" t="n"/>
      <c r="U187" s="313" t="n"/>
      <c r="V187" s="315" t="n"/>
      <c r="W187" s="316" t="inlineStr">
        <is>
          <t>ETD : 27-07-2026</t>
        </is>
      </c>
      <c r="X187" s="311" t="n"/>
      <c r="Y187" s="315" t="n"/>
      <c r="Z187" s="317" t="n"/>
    </row>
    <row r="188" ht="17.1" customHeight="1" s="223">
      <c r="A188" s="325" t="n"/>
      <c r="B188" s="326" t="n"/>
      <c r="C188" s="327" t="n"/>
      <c r="D188" s="327" t="n"/>
      <c r="E188" s="328" t="n"/>
      <c r="F188" s="328" t="n"/>
      <c r="G188" s="328" t="n"/>
      <c r="H188" s="329">
        <f>SUM(H186:H187)</f>
        <v/>
      </c>
      <c r="I188" s="330">
        <f>COUNTA(I186:I187)</f>
        <v/>
      </c>
      <c r="J188" s="329" t="n"/>
      <c r="K188" s="329" t="n"/>
      <c r="L188" s="331" t="n"/>
      <c r="M188" s="329" t="n"/>
      <c r="N188" s="329" t="n"/>
      <c r="O188" s="332">
        <f>SUM(O186:O187)</f>
        <v/>
      </c>
      <c r="P188" s="332">
        <f>SUM(P186:P187)</f>
        <v/>
      </c>
      <c r="Q188" s="333" t="n"/>
      <c r="R188" s="334">
        <f>SUM(R186:R187)</f>
        <v/>
      </c>
      <c r="S188" s="335" t="n"/>
      <c r="T188" s="335">
        <f>SUM(T186:T187)</f>
        <v/>
      </c>
      <c r="U188" s="329" t="n"/>
      <c r="V188" s="336" t="n"/>
      <c r="W188" s="337" t="n"/>
      <c r="X188" s="336" t="n"/>
      <c r="Y188" s="336" t="n"/>
      <c r="Z188" s="336" t="n"/>
    </row>
    <row r="189" ht="16.5" customHeight="1" s="223">
      <c r="A189" s="322" t="n">
        <v>23</v>
      </c>
      <c r="B189" s="324" t="inlineStr">
        <is>
          <t>000030ZIK48020260728000526</t>
        </is>
      </c>
      <c r="C189" s="304" t="n">
        <v>469140</v>
      </c>
      <c r="D189" s="304" t="n">
        <v>469103</v>
      </c>
      <c r="E189" s="317" t="n">
        <v>46232</v>
      </c>
      <c r="F189" s="320" t="inlineStr">
        <is>
          <t>ID2607-7946</t>
        </is>
      </c>
      <c r="G189" s="317" t="n">
        <v>46231</v>
      </c>
      <c r="H189" s="311" t="n">
        <v>520</v>
      </c>
      <c r="I189" s="311" t="inlineStr">
        <is>
          <t>UETU6081995</t>
        </is>
      </c>
      <c r="J189" s="311" t="inlineStr">
        <is>
          <t>40FT</t>
        </is>
      </c>
      <c r="K189" s="309" t="inlineStr">
        <is>
          <t>8IN GREEN TEA MF MATTRESS FL</t>
        </is>
      </c>
      <c r="L189" s="310" t="inlineStr">
        <is>
          <t>SCF-STR-800F</t>
        </is>
      </c>
      <c r="M189" s="311" t="inlineStr">
        <is>
          <t>0993630619</t>
        </is>
      </c>
      <c r="N189" s="309" t="inlineStr">
        <is>
          <t>F.MFM.08F.000.WS</t>
        </is>
      </c>
      <c r="O189" s="306" t="n">
        <v>10618.4</v>
      </c>
      <c r="P189" s="306" t="n">
        <v>9370.4</v>
      </c>
      <c r="Q189" s="312">
        <f>IFERROR(R189/H189, 0)</f>
        <v/>
      </c>
      <c r="R189" s="307" t="n">
        <v>41480.4</v>
      </c>
      <c r="S189" s="308" t="n">
        <v>18056</v>
      </c>
      <c r="T189" s="308">
        <f>IFERROR(S189*R189, 0)</f>
        <v/>
      </c>
      <c r="U189" s="313" t="inlineStr">
        <is>
          <t>040300/KPPBC</t>
        </is>
      </c>
      <c r="V189" s="315" t="inlineStr">
        <is>
          <t>TG. PRIOK</t>
        </is>
      </c>
      <c r="W189" s="316" t="inlineStr">
        <is>
          <t>LOS ANGELES</t>
        </is>
      </c>
      <c r="X189" s="311" t="inlineStr">
        <is>
          <t>WALMART, INC.</t>
        </is>
      </c>
      <c r="Y189" s="315" t="inlineStr">
        <is>
          <t>CMDUDJA1505606A</t>
        </is>
      </c>
      <c r="Z189" s="317" t="n">
        <v>46232</v>
      </c>
    </row>
    <row r="190" ht="16.5" customHeight="1" s="223">
      <c r="A190" s="322" t="n"/>
      <c r="B190" s="324" t="n"/>
      <c r="C190" s="304" t="n"/>
      <c r="D190" s="304" t="n"/>
      <c r="E190" s="317" t="n"/>
      <c r="F190" s="320" t="n"/>
      <c r="G190" s="317" t="n"/>
      <c r="H190" s="311" t="n"/>
      <c r="I190" s="311" t="n"/>
      <c r="J190" s="311" t="n"/>
      <c r="K190" s="309" t="n"/>
      <c r="L190" s="310" t="n"/>
      <c r="M190" s="311" t="n"/>
      <c r="N190" s="309" t="n"/>
      <c r="O190" s="306" t="n"/>
      <c r="P190" s="306" t="n"/>
      <c r="Q190" s="312" t="n"/>
      <c r="R190" s="307" t="n"/>
      <c r="S190" s="308" t="n"/>
      <c r="T190" s="308" t="n"/>
      <c r="U190" s="313" t="n"/>
      <c r="V190" s="315" t="n"/>
      <c r="W190" s="316" t="inlineStr">
        <is>
          <t>ETD : 27-07-2026</t>
        </is>
      </c>
      <c r="X190" s="311" t="n"/>
      <c r="Y190" s="315" t="n"/>
      <c r="Z190" s="317" t="n"/>
    </row>
    <row r="191" ht="17.1" customHeight="1" s="223">
      <c r="A191" s="325" t="n"/>
      <c r="B191" s="326" t="n"/>
      <c r="C191" s="327" t="n"/>
      <c r="D191" s="327" t="n"/>
      <c r="E191" s="328" t="n"/>
      <c r="F191" s="328" t="n"/>
      <c r="G191" s="328" t="n"/>
      <c r="H191" s="329">
        <f>SUM(H189:H190)</f>
        <v/>
      </c>
      <c r="I191" s="330">
        <f>COUNTA(I189:I190)</f>
        <v/>
      </c>
      <c r="J191" s="329" t="n"/>
      <c r="K191" s="329" t="n"/>
      <c r="L191" s="331" t="n"/>
      <c r="M191" s="329" t="n"/>
      <c r="N191" s="329" t="n"/>
      <c r="O191" s="332">
        <f>SUM(O189:O190)</f>
        <v/>
      </c>
      <c r="P191" s="332">
        <f>SUM(P189:P190)</f>
        <v/>
      </c>
      <c r="Q191" s="333" t="n"/>
      <c r="R191" s="334">
        <f>SUM(R189:R190)</f>
        <v/>
      </c>
      <c r="S191" s="335" t="n"/>
      <c r="T191" s="335">
        <f>SUM(T189:T190)</f>
        <v/>
      </c>
      <c r="U191" s="329" t="n"/>
      <c r="V191" s="336" t="n"/>
      <c r="W191" s="337" t="n"/>
      <c r="X191" s="336" t="n"/>
      <c r="Y191" s="336" t="n"/>
      <c r="Z191" s="336" t="n"/>
    </row>
    <row r="192" ht="16.5" customHeight="1" s="223">
      <c r="A192" s="322" t="n">
        <v>24</v>
      </c>
      <c r="B192" s="324" t="inlineStr">
        <is>
          <t>000030ZIK48020260728000527</t>
        </is>
      </c>
      <c r="C192" s="304" t="n">
        <v>469035</v>
      </c>
      <c r="D192" s="304" t="n">
        <v>468998</v>
      </c>
      <c r="E192" s="317" t="n">
        <v>46232</v>
      </c>
      <c r="F192" s="320" t="inlineStr">
        <is>
          <t>ID2607-7947</t>
        </is>
      </c>
      <c r="G192" s="317" t="n">
        <v>46231</v>
      </c>
      <c r="H192" s="311" t="n">
        <v>450</v>
      </c>
      <c r="I192" s="311" t="inlineStr">
        <is>
          <t>TRHU8574350</t>
        </is>
      </c>
      <c r="J192" s="311" t="inlineStr">
        <is>
          <t>40FT</t>
        </is>
      </c>
      <c r="K192" s="309" t="inlineStr">
        <is>
          <t>8IN GREEN TEA MF MATTRESS QN</t>
        </is>
      </c>
      <c r="L192" s="310" t="inlineStr">
        <is>
          <t>SCF-STR-800Q</t>
        </is>
      </c>
      <c r="M192" s="311" t="inlineStr">
        <is>
          <t>0993631051</t>
        </is>
      </c>
      <c r="N192" s="309" t="inlineStr">
        <is>
          <t>F.MFM.08Q.000.WS</t>
        </is>
      </c>
      <c r="O192" s="306" t="n">
        <v>10755</v>
      </c>
      <c r="P192" s="306" t="n">
        <v>9594</v>
      </c>
      <c r="Q192" s="312">
        <f>IFERROR(R192/H192, 0)</f>
        <v/>
      </c>
      <c r="R192" s="307" t="n">
        <v>42286.5</v>
      </c>
      <c r="S192" s="308" t="n">
        <v>18056</v>
      </c>
      <c r="T192" s="308">
        <f>IFERROR(S192*R192, 0)</f>
        <v/>
      </c>
      <c r="U192" s="313" t="inlineStr">
        <is>
          <t>040300/KPPBC</t>
        </is>
      </c>
      <c r="V192" s="315" t="inlineStr">
        <is>
          <t>TG. PRIOK</t>
        </is>
      </c>
      <c r="W192" s="316" t="inlineStr">
        <is>
          <t>LOS ANGELES</t>
        </is>
      </c>
      <c r="X192" s="311" t="inlineStr">
        <is>
          <t>WALMART, INC.</t>
        </is>
      </c>
      <c r="Y192" s="315" t="inlineStr">
        <is>
          <t>CMDUDJA1505606B</t>
        </is>
      </c>
      <c r="Z192" s="317" t="n">
        <v>46232</v>
      </c>
    </row>
    <row r="193" ht="16.5" customHeight="1" s="223">
      <c r="A193" s="322" t="n"/>
      <c r="B193" s="324" t="n"/>
      <c r="C193" s="304" t="n"/>
      <c r="D193" s="304" t="n"/>
      <c r="E193" s="317" t="n"/>
      <c r="F193" s="320" t="n"/>
      <c r="G193" s="317" t="n"/>
      <c r="H193" s="311" t="n"/>
      <c r="I193" s="311" t="n"/>
      <c r="J193" s="311" t="n"/>
      <c r="K193" s="309" t="n"/>
      <c r="L193" s="310" t="n"/>
      <c r="M193" s="311" t="n"/>
      <c r="N193" s="309" t="n"/>
      <c r="O193" s="306" t="n"/>
      <c r="P193" s="306" t="n"/>
      <c r="Q193" s="312" t="n"/>
      <c r="R193" s="307" t="n"/>
      <c r="S193" s="308" t="n"/>
      <c r="T193" s="308" t="n"/>
      <c r="U193" s="313" t="n"/>
      <c r="V193" s="315" t="n"/>
      <c r="W193" s="316" t="inlineStr">
        <is>
          <t>ETD : 27-07-2026</t>
        </is>
      </c>
      <c r="X193" s="311" t="n"/>
      <c r="Y193" s="315" t="n"/>
      <c r="Z193" s="317" t="n"/>
    </row>
    <row r="194" ht="17.1" customHeight="1" s="223">
      <c r="A194" s="325" t="n"/>
      <c r="B194" s="326" t="n"/>
      <c r="C194" s="327" t="n"/>
      <c r="D194" s="327" t="n"/>
      <c r="E194" s="328" t="n"/>
      <c r="F194" s="328" t="n"/>
      <c r="G194" s="328" t="n"/>
      <c r="H194" s="329">
        <f>SUM(H192:H193)</f>
        <v/>
      </c>
      <c r="I194" s="330">
        <f>COUNTA(I192:I193)</f>
        <v/>
      </c>
      <c r="J194" s="329" t="n"/>
      <c r="K194" s="329" t="n"/>
      <c r="L194" s="331" t="n"/>
      <c r="M194" s="329" t="n"/>
      <c r="N194" s="329" t="n"/>
      <c r="O194" s="332">
        <f>SUM(O192:O193)</f>
        <v/>
      </c>
      <c r="P194" s="332">
        <f>SUM(P192:P193)</f>
        <v/>
      </c>
      <c r="Q194" s="333" t="n"/>
      <c r="R194" s="334">
        <f>SUM(R192:R193)</f>
        <v/>
      </c>
      <c r="S194" s="335" t="n"/>
      <c r="T194" s="335">
        <f>SUM(T192:T193)</f>
        <v/>
      </c>
      <c r="U194" s="329" t="n"/>
      <c r="V194" s="336" t="n"/>
      <c r="W194" s="337" t="n"/>
      <c r="X194" s="336" t="n"/>
      <c r="Y194" s="336" t="n"/>
      <c r="Z194" s="336" t="n"/>
    </row>
    <row r="195" ht="16.5" customHeight="1" s="223">
      <c r="A195" s="322" t="n">
        <v>25</v>
      </c>
      <c r="B195" s="324" t="inlineStr">
        <is>
          <t>000030ZIK48020260728000528</t>
        </is>
      </c>
      <c r="C195" s="304" t="n">
        <v>469011</v>
      </c>
      <c r="D195" s="304" t="n">
        <v>468974</v>
      </c>
      <c r="E195" s="317" t="n">
        <v>46232</v>
      </c>
      <c r="F195" s="320" t="inlineStr">
        <is>
          <t>ID2607-7948</t>
        </is>
      </c>
      <c r="G195" s="317" t="n">
        <v>46231</v>
      </c>
      <c r="H195" s="311" t="n">
        <v>693</v>
      </c>
      <c r="I195" s="311" t="inlineStr">
        <is>
          <t>TCNU5711033</t>
        </is>
      </c>
      <c r="J195" s="311" t="inlineStr">
        <is>
          <t>40FT</t>
        </is>
      </c>
      <c r="K195" s="309" t="inlineStr">
        <is>
          <t>8IN GREEN TEA MF MATTRESS TW</t>
        </is>
      </c>
      <c r="L195" s="310" t="inlineStr">
        <is>
          <t>SCF-STR-800T</t>
        </is>
      </c>
      <c r="M195" s="311" t="inlineStr">
        <is>
          <t>0993631202</t>
        </is>
      </c>
      <c r="N195" s="309" t="inlineStr">
        <is>
          <t>F.MFM.08T.000.WS</t>
        </is>
      </c>
      <c r="O195" s="306" t="n">
        <v>10526.67</v>
      </c>
      <c r="P195" s="306" t="n">
        <v>9140.67</v>
      </c>
      <c r="Q195" s="312">
        <f>IFERROR(R195/H195, 0)</f>
        <v/>
      </c>
      <c r="R195" s="307" t="n">
        <v>42619.5</v>
      </c>
      <c r="S195" s="308" t="n">
        <v>18056</v>
      </c>
      <c r="T195" s="308">
        <f>IFERROR(S195*R195, 0)</f>
        <v/>
      </c>
      <c r="U195" s="313" t="inlineStr">
        <is>
          <t>040300/KPPBC</t>
        </is>
      </c>
      <c r="V195" s="315" t="inlineStr">
        <is>
          <t>TG. PRIOK</t>
        </is>
      </c>
      <c r="W195" s="316" t="inlineStr">
        <is>
          <t>LOS ANGELES</t>
        </is>
      </c>
      <c r="X195" s="311" t="inlineStr">
        <is>
          <t>WALMART, INC.</t>
        </is>
      </c>
      <c r="Y195" s="315" t="inlineStr">
        <is>
          <t>CMDUDJA1505606C</t>
        </is>
      </c>
      <c r="Z195" s="317" t="n">
        <v>46232</v>
      </c>
    </row>
    <row r="196" ht="16.5" customHeight="1" s="223">
      <c r="A196" s="322" t="n"/>
      <c r="B196" s="324" t="n"/>
      <c r="C196" s="304" t="n"/>
      <c r="D196" s="304" t="n"/>
      <c r="E196" s="317" t="n"/>
      <c r="F196" s="320" t="n"/>
      <c r="G196" s="317" t="n"/>
      <c r="H196" s="311" t="n"/>
      <c r="I196" s="311" t="n"/>
      <c r="J196" s="311" t="n"/>
      <c r="K196" s="309" t="n"/>
      <c r="L196" s="310" t="n"/>
      <c r="M196" s="311" t="n"/>
      <c r="N196" s="309" t="n"/>
      <c r="O196" s="306" t="n"/>
      <c r="P196" s="306" t="n"/>
      <c r="Q196" s="312" t="n"/>
      <c r="R196" s="307" t="n"/>
      <c r="S196" s="308" t="n"/>
      <c r="T196" s="308" t="n"/>
      <c r="U196" s="313" t="n"/>
      <c r="V196" s="315" t="n"/>
      <c r="W196" s="316" t="inlineStr">
        <is>
          <t>ETD : 27-07-2026</t>
        </is>
      </c>
      <c r="X196" s="311" t="n"/>
      <c r="Y196" s="315" t="n"/>
      <c r="Z196" s="317" t="n"/>
    </row>
    <row r="197" ht="17.1" customHeight="1" s="223">
      <c r="A197" s="325" t="n"/>
      <c r="B197" s="326" t="n"/>
      <c r="C197" s="327" t="n"/>
      <c r="D197" s="327" t="n"/>
      <c r="E197" s="328" t="n"/>
      <c r="F197" s="328" t="n"/>
      <c r="G197" s="328" t="n"/>
      <c r="H197" s="329">
        <f>SUM(H195:H196)</f>
        <v/>
      </c>
      <c r="I197" s="330">
        <f>COUNTA(I195:I196)</f>
        <v/>
      </c>
      <c r="J197" s="329" t="n"/>
      <c r="K197" s="329" t="n"/>
      <c r="L197" s="331" t="n"/>
      <c r="M197" s="329" t="n"/>
      <c r="N197" s="329" t="n"/>
      <c r="O197" s="332">
        <f>SUM(O195:O196)</f>
        <v/>
      </c>
      <c r="P197" s="332">
        <f>SUM(P195:P196)</f>
        <v/>
      </c>
      <c r="Q197" s="333" t="n"/>
      <c r="R197" s="334">
        <f>SUM(R195:R196)</f>
        <v/>
      </c>
      <c r="S197" s="335" t="n"/>
      <c r="T197" s="335">
        <f>SUM(T195:T196)</f>
        <v/>
      </c>
      <c r="U197" s="329" t="n"/>
      <c r="V197" s="336" t="n"/>
      <c r="W197" s="337" t="n"/>
      <c r="X197" s="336" t="n"/>
      <c r="Y197" s="336" t="n"/>
      <c r="Z197" s="336" t="n"/>
    </row>
    <row r="198" ht="16.5" customHeight="1" s="223">
      <c r="A198" s="322" t="n">
        <v>26</v>
      </c>
      <c r="B198" s="324" t="inlineStr">
        <is>
          <t>000030ZIK48020260728000529</t>
        </is>
      </c>
      <c r="C198" s="304" t="n">
        <v>469265</v>
      </c>
      <c r="D198" s="304" t="n">
        <v>469228</v>
      </c>
      <c r="E198" s="317" t="n">
        <v>46232</v>
      </c>
      <c r="F198" s="320" t="inlineStr">
        <is>
          <t>ID2607-7949</t>
        </is>
      </c>
      <c r="G198" s="317" t="n">
        <v>46231</v>
      </c>
      <c r="H198" s="311" t="n">
        <v>900</v>
      </c>
      <c r="I198" s="311" t="inlineStr">
        <is>
          <t>TRHU8974058</t>
        </is>
      </c>
      <c r="J198" s="311" t="inlineStr">
        <is>
          <t>40FT</t>
        </is>
      </c>
      <c r="K198" s="309" t="inlineStr">
        <is>
          <t>8IN GREEN TEA MF MATTRESS QN</t>
        </is>
      </c>
      <c r="L198" s="310" t="inlineStr">
        <is>
          <t>SCF-STR-800Q</t>
        </is>
      </c>
      <c r="M198" s="311" t="inlineStr">
        <is>
          <t>0993631110</t>
        </is>
      </c>
      <c r="N198" s="309" t="inlineStr">
        <is>
          <t>F.MFM.08Q.000.WS</t>
        </is>
      </c>
      <c r="O198" s="306" t="n">
        <v>21510</v>
      </c>
      <c r="P198" s="306" t="n">
        <v>19188</v>
      </c>
      <c r="Q198" s="312">
        <f>IFERROR(R198/H198, 0)</f>
        <v/>
      </c>
      <c r="R198" s="307" t="n">
        <v>84573</v>
      </c>
      <c r="S198" s="308" t="n">
        <v>18056</v>
      </c>
      <c r="T198" s="308">
        <f>IFERROR(S198*R198, 0)</f>
        <v/>
      </c>
      <c r="U198" s="313" t="inlineStr">
        <is>
          <t>040300/KPPBC</t>
        </is>
      </c>
      <c r="V198" s="315" t="inlineStr">
        <is>
          <t>TG. PRIOK</t>
        </is>
      </c>
      <c r="W198" s="316" t="inlineStr">
        <is>
          <t>NORFOLK</t>
        </is>
      </c>
      <c r="X198" s="311" t="inlineStr">
        <is>
          <t>WALMART, INC.</t>
        </is>
      </c>
      <c r="Y198" s="315" t="inlineStr">
        <is>
          <t>CMDUDJA1509834</t>
        </is>
      </c>
      <c r="Z198" s="317" t="n">
        <v>46232</v>
      </c>
    </row>
    <row r="199" ht="16.5" customHeight="1" s="223">
      <c r="A199" s="322" t="n"/>
      <c r="B199" s="324" t="n"/>
      <c r="C199" s="304" t="n"/>
      <c r="D199" s="304" t="n"/>
      <c r="E199" s="317" t="n"/>
      <c r="F199" s="320" t="n"/>
      <c r="G199" s="317" t="n"/>
      <c r="H199" s="311" t="n"/>
      <c r="I199" s="311" t="n"/>
      <c r="J199" s="311" t="n"/>
      <c r="K199" s="309" t="n"/>
      <c r="L199" s="310" t="n"/>
      <c r="M199" s="311" t="n"/>
      <c r="N199" s="309" t="n"/>
      <c r="O199" s="306" t="n"/>
      <c r="P199" s="306" t="n"/>
      <c r="Q199" s="312" t="n"/>
      <c r="R199" s="307" t="n"/>
      <c r="S199" s="308" t="n"/>
      <c r="T199" s="308" t="n"/>
      <c r="U199" s="313" t="n"/>
      <c r="V199" s="315" t="n"/>
      <c r="W199" s="316" t="inlineStr">
        <is>
          <t>ETD : 27-07-2026</t>
        </is>
      </c>
      <c r="X199" s="311" t="n"/>
      <c r="Y199" s="315" t="n"/>
      <c r="Z199" s="317" t="n"/>
    </row>
    <row r="200" ht="17.1" customHeight="1" s="223">
      <c r="A200" s="325" t="n"/>
      <c r="B200" s="326" t="n"/>
      <c r="C200" s="327" t="n"/>
      <c r="D200" s="327" t="n"/>
      <c r="E200" s="328" t="n"/>
      <c r="F200" s="328" t="n"/>
      <c r="G200" s="328" t="n"/>
      <c r="H200" s="329">
        <f>SUM(H198:H199)</f>
        <v/>
      </c>
      <c r="I200" s="330">
        <f>COUNTA(I198:I199)</f>
        <v/>
      </c>
      <c r="J200" s="329" t="n"/>
      <c r="K200" s="329" t="n"/>
      <c r="L200" s="331" t="n"/>
      <c r="M200" s="329" t="n"/>
      <c r="N200" s="329" t="n"/>
      <c r="O200" s="332">
        <f>SUM(O198:O199)</f>
        <v/>
      </c>
      <c r="P200" s="332">
        <f>SUM(P198:P199)</f>
        <v/>
      </c>
      <c r="Q200" s="333" t="n"/>
      <c r="R200" s="334">
        <f>SUM(R198:R199)</f>
        <v/>
      </c>
      <c r="S200" s="335" t="n"/>
      <c r="T200" s="335">
        <f>SUM(T198:T199)</f>
        <v/>
      </c>
      <c r="U200" s="329" t="n"/>
      <c r="V200" s="336" t="n"/>
      <c r="W200" s="337" t="n"/>
      <c r="X200" s="336" t="n"/>
      <c r="Y200" s="336" t="n"/>
      <c r="Z200" s="336" t="n"/>
    </row>
    <row r="201" ht="16.5" customHeight="1" s="223">
      <c r="A201" s="322" t="n">
        <v>27</v>
      </c>
      <c r="B201" s="324" t="inlineStr">
        <is>
          <t>000030ZIK48020260728000530</t>
        </is>
      </c>
      <c r="C201" s="304" t="n">
        <v>469346</v>
      </c>
      <c r="D201" s="304" t="n">
        <v>469308</v>
      </c>
      <c r="E201" s="317" t="n">
        <v>46232</v>
      </c>
      <c r="F201" s="320" t="inlineStr">
        <is>
          <t>ID2607-7950</t>
        </is>
      </c>
      <c r="G201" s="317" t="n">
        <v>46231</v>
      </c>
      <c r="H201" s="311" t="n">
        <v>1040</v>
      </c>
      <c r="I201" s="311" t="inlineStr">
        <is>
          <t>UETU7730893</t>
        </is>
      </c>
      <c r="J201" s="311" t="inlineStr">
        <is>
          <t>40FT</t>
        </is>
      </c>
      <c r="K201" s="309" t="inlineStr">
        <is>
          <t>8IN GREEN TEA MF MATTRESS FL</t>
        </is>
      </c>
      <c r="L201" s="310" t="inlineStr">
        <is>
          <t>SCF-STR-800F</t>
        </is>
      </c>
      <c r="M201" s="311" t="inlineStr">
        <is>
          <t>0993630522</t>
        </is>
      </c>
      <c r="N201" s="309" t="inlineStr">
        <is>
          <t>F.MFM.08F.000.WS</t>
        </is>
      </c>
      <c r="O201" s="306" t="n">
        <v>21236.8</v>
      </c>
      <c r="P201" s="306" t="n">
        <v>18740.8</v>
      </c>
      <c r="Q201" s="312">
        <f>IFERROR(R201/H201, 0)</f>
        <v/>
      </c>
      <c r="R201" s="307" t="n">
        <v>82960.8</v>
      </c>
      <c r="S201" s="308" t="n">
        <v>18056</v>
      </c>
      <c r="T201" s="308">
        <f>IFERROR(S201*R201, 0)</f>
        <v/>
      </c>
      <c r="U201" s="313" t="inlineStr">
        <is>
          <t>040300/KPPBC</t>
        </is>
      </c>
      <c r="V201" s="315" t="inlineStr">
        <is>
          <t>TG. PRIOK</t>
        </is>
      </c>
      <c r="W201" s="316" t="inlineStr">
        <is>
          <t>NORFOLK</t>
        </is>
      </c>
      <c r="X201" s="311" t="inlineStr">
        <is>
          <t>WALMART, INC.</t>
        </is>
      </c>
      <c r="Y201" s="315" t="inlineStr">
        <is>
          <t>CMDUDJA1509828</t>
        </is>
      </c>
      <c r="Z201" s="317" t="n">
        <v>46232</v>
      </c>
    </row>
    <row r="202" ht="16.5" customHeight="1" s="223">
      <c r="A202" s="322" t="n"/>
      <c r="B202" s="324" t="n"/>
      <c r="C202" s="304" t="n"/>
      <c r="D202" s="304" t="n"/>
      <c r="E202" s="317" t="n"/>
      <c r="F202" s="320" t="n"/>
      <c r="G202" s="317" t="n"/>
      <c r="H202" s="311" t="n"/>
      <c r="I202" s="311" t="n"/>
      <c r="J202" s="311" t="n"/>
      <c r="K202" s="309" t="n"/>
      <c r="L202" s="310" t="n"/>
      <c r="M202" s="311" t="n"/>
      <c r="N202" s="309" t="n"/>
      <c r="O202" s="306" t="n"/>
      <c r="P202" s="306" t="n"/>
      <c r="Q202" s="312" t="n"/>
      <c r="R202" s="307" t="n"/>
      <c r="S202" s="308" t="n"/>
      <c r="T202" s="308" t="n"/>
      <c r="U202" s="313" t="n"/>
      <c r="V202" s="315" t="n"/>
      <c r="W202" s="316" t="inlineStr">
        <is>
          <t>ETD : 27-07-2026</t>
        </is>
      </c>
      <c r="X202" s="311" t="n"/>
      <c r="Y202" s="315" t="n"/>
      <c r="Z202" s="317" t="n"/>
    </row>
    <row r="203" ht="17.1" customHeight="1" s="223">
      <c r="A203" s="325" t="n"/>
      <c r="B203" s="326" t="n"/>
      <c r="C203" s="327" t="n"/>
      <c r="D203" s="327" t="n"/>
      <c r="E203" s="328" t="n"/>
      <c r="F203" s="328" t="n"/>
      <c r="G203" s="328" t="n"/>
      <c r="H203" s="329">
        <f>SUM(H201:H202)</f>
        <v/>
      </c>
      <c r="I203" s="330">
        <f>COUNTA(I201:I202)</f>
        <v/>
      </c>
      <c r="J203" s="329" t="n"/>
      <c r="K203" s="329" t="n"/>
      <c r="L203" s="331" t="n"/>
      <c r="M203" s="329" t="n"/>
      <c r="N203" s="329" t="n"/>
      <c r="O203" s="332">
        <f>SUM(O201:O202)</f>
        <v/>
      </c>
      <c r="P203" s="332">
        <f>SUM(P201:P202)</f>
        <v/>
      </c>
      <c r="Q203" s="333" t="n"/>
      <c r="R203" s="334">
        <f>SUM(R201:R202)</f>
        <v/>
      </c>
      <c r="S203" s="335" t="n"/>
      <c r="T203" s="335">
        <f>SUM(T201:T202)</f>
        <v/>
      </c>
      <c r="U203" s="329" t="n"/>
      <c r="V203" s="336" t="n"/>
      <c r="W203" s="337" t="n"/>
      <c r="X203" s="336" t="n"/>
      <c r="Y203" s="336" t="n"/>
      <c r="Z203" s="336" t="n"/>
    </row>
    <row r="204" ht="16.5" customHeight="1" s="223">
      <c r="A204" s="322" t="n">
        <v>28</v>
      </c>
      <c r="B204" s="324" t="inlineStr">
        <is>
          <t>000030ZIK48020260728000531</t>
        </is>
      </c>
      <c r="C204" s="304" t="n">
        <v>469210</v>
      </c>
      <c r="D204" s="304" t="n">
        <v>469173</v>
      </c>
      <c r="E204" s="317" t="n">
        <v>46232</v>
      </c>
      <c r="F204" s="320" t="inlineStr">
        <is>
          <t>ID2607-7951</t>
        </is>
      </c>
      <c r="G204" s="317" t="n">
        <v>46231</v>
      </c>
      <c r="H204" s="311" t="n">
        <v>2250</v>
      </c>
      <c r="I204" s="311" t="inlineStr">
        <is>
          <t>TCLU9604099</t>
        </is>
      </c>
      <c r="J204" s="311" t="inlineStr">
        <is>
          <t>40FT</t>
        </is>
      </c>
      <c r="K204" s="309" t="inlineStr">
        <is>
          <t>8IN GREEN TEA MF MATTRESS QN</t>
        </is>
      </c>
      <c r="L204" s="310" t="inlineStr">
        <is>
          <t>SCF-STR-800Q</t>
        </is>
      </c>
      <c r="M204" s="311" t="inlineStr">
        <is>
          <t>0993631153</t>
        </is>
      </c>
      <c r="N204" s="309" t="inlineStr">
        <is>
          <t>F.MFM.08Q.000.WS</t>
        </is>
      </c>
      <c r="O204" s="306" t="n">
        <v>53775</v>
      </c>
      <c r="P204" s="306" t="n">
        <v>47970</v>
      </c>
      <c r="Q204" s="312">
        <f>IFERROR(R204/H204, 0)</f>
        <v/>
      </c>
      <c r="R204" s="307" t="n">
        <v>211432.5</v>
      </c>
      <c r="S204" s="308" t="n">
        <v>18056</v>
      </c>
      <c r="T204" s="308">
        <f>IFERROR(S204*R204, 0)</f>
        <v/>
      </c>
      <c r="U204" s="313" t="inlineStr">
        <is>
          <t>040300/KPPBC</t>
        </is>
      </c>
      <c r="V204" s="315" t="inlineStr">
        <is>
          <t>TG. PRIOK</t>
        </is>
      </c>
      <c r="W204" s="316" t="inlineStr">
        <is>
          <t>LOS ANGELES</t>
        </is>
      </c>
      <c r="X204" s="311" t="inlineStr">
        <is>
          <t>WALMART, INC.</t>
        </is>
      </c>
      <c r="Y204" s="315" t="inlineStr">
        <is>
          <t>CMDUDJA1502423</t>
        </is>
      </c>
      <c r="Z204" s="317" t="n">
        <v>46232</v>
      </c>
    </row>
    <row r="205" ht="16.5" customHeight="1" s="223">
      <c r="A205" s="322" t="n"/>
      <c r="B205" s="324" t="n"/>
      <c r="C205" s="304" t="n"/>
      <c r="D205" s="304" t="n"/>
      <c r="E205" s="317" t="n"/>
      <c r="F205" s="320" t="n"/>
      <c r="G205" s="317" t="n"/>
      <c r="H205" s="311" t="n"/>
      <c r="I205" s="311" t="n"/>
      <c r="J205" s="311" t="n"/>
      <c r="K205" s="309" t="n"/>
      <c r="L205" s="310" t="n"/>
      <c r="M205" s="311" t="n"/>
      <c r="N205" s="309" t="n"/>
      <c r="O205" s="306" t="n"/>
      <c r="P205" s="306" t="n"/>
      <c r="Q205" s="312" t="n"/>
      <c r="R205" s="307" t="n"/>
      <c r="S205" s="308" t="n"/>
      <c r="T205" s="308" t="n"/>
      <c r="U205" s="313" t="n"/>
      <c r="V205" s="315" t="n"/>
      <c r="W205" s="316" t="inlineStr">
        <is>
          <t>ETD : 27-07-2026</t>
        </is>
      </c>
      <c r="X205" s="311" t="n"/>
      <c r="Y205" s="315" t="n"/>
      <c r="Z205" s="317" t="n"/>
    </row>
    <row r="206" ht="17.1" customHeight="1" s="223">
      <c r="A206" s="325" t="n"/>
      <c r="B206" s="326" t="n"/>
      <c r="C206" s="327" t="n"/>
      <c r="D206" s="327" t="n"/>
      <c r="E206" s="328" t="n"/>
      <c r="F206" s="328" t="n"/>
      <c r="G206" s="328" t="n"/>
      <c r="H206" s="329">
        <f>SUM(H204:H205)</f>
        <v/>
      </c>
      <c r="I206" s="330">
        <f>COUNTA(I204:I205)</f>
        <v/>
      </c>
      <c r="J206" s="329" t="n"/>
      <c r="K206" s="329" t="n"/>
      <c r="L206" s="331" t="n"/>
      <c r="M206" s="329" t="n"/>
      <c r="N206" s="329" t="n"/>
      <c r="O206" s="332">
        <f>SUM(O204:O205)</f>
        <v/>
      </c>
      <c r="P206" s="332">
        <f>SUM(P204:P205)</f>
        <v/>
      </c>
      <c r="Q206" s="333" t="n"/>
      <c r="R206" s="334">
        <f>SUM(R204:R205)</f>
        <v/>
      </c>
      <c r="S206" s="335" t="n"/>
      <c r="T206" s="335">
        <f>SUM(T204:T205)</f>
        <v/>
      </c>
      <c r="U206" s="329" t="n"/>
      <c r="V206" s="336" t="n"/>
      <c r="W206" s="337" t="n"/>
      <c r="X206" s="336" t="n"/>
      <c r="Y206" s="336" t="n"/>
      <c r="Z206" s="336" t="n"/>
    </row>
    <row r="207" ht="16.5" customHeight="1" s="223">
      <c r="A207" s="322" t="n">
        <v>29</v>
      </c>
      <c r="B207" s="324" t="inlineStr">
        <is>
          <t>000030ZIK48020260728000532</t>
        </is>
      </c>
      <c r="C207" s="304" t="n">
        <v>469336</v>
      </c>
      <c r="D207" s="304" t="n">
        <v>469298</v>
      </c>
      <c r="E207" s="317" t="n">
        <v>46232</v>
      </c>
      <c r="F207" s="320" t="inlineStr">
        <is>
          <t>ID2607-7952</t>
        </is>
      </c>
      <c r="G207" s="317" t="n">
        <v>46231</v>
      </c>
      <c r="H207" s="311" t="n">
        <v>450</v>
      </c>
      <c r="I207" s="311" t="inlineStr">
        <is>
          <t>SEKU6091629</t>
        </is>
      </c>
      <c r="J207" s="311" t="inlineStr">
        <is>
          <t>40FT</t>
        </is>
      </c>
      <c r="K207" s="309" t="inlineStr">
        <is>
          <t>8IN GREEN TEA MF MATTRESS QN</t>
        </is>
      </c>
      <c r="L207" s="310" t="inlineStr">
        <is>
          <t>SCF-STR-800Q</t>
        </is>
      </c>
      <c r="M207" s="311" t="inlineStr">
        <is>
          <t>0993631085</t>
        </is>
      </c>
      <c r="N207" s="309" t="inlineStr">
        <is>
          <t>F.MFM.08Q.000.WS</t>
        </is>
      </c>
      <c r="O207" s="306" t="n">
        <v>10755</v>
      </c>
      <c r="P207" s="306" t="n">
        <v>9594</v>
      </c>
      <c r="Q207" s="312">
        <f>IFERROR(R207/H207, 0)</f>
        <v/>
      </c>
      <c r="R207" s="307" t="n">
        <v>42286.5</v>
      </c>
      <c r="S207" s="308" t="n">
        <v>18056</v>
      </c>
      <c r="T207" s="308">
        <f>IFERROR(S207*R207, 0)</f>
        <v/>
      </c>
      <c r="U207" s="313" t="inlineStr">
        <is>
          <t>040300/KPPBC</t>
        </is>
      </c>
      <c r="V207" s="315" t="inlineStr">
        <is>
          <t>TG. PRIOK</t>
        </is>
      </c>
      <c r="W207" s="316" t="inlineStr">
        <is>
          <t>SAVANNAH</t>
        </is>
      </c>
      <c r="X207" s="311" t="inlineStr">
        <is>
          <t>WALMART, INC.</t>
        </is>
      </c>
      <c r="Y207" s="315" t="inlineStr">
        <is>
          <t>CMDUDJA1506811</t>
        </is>
      </c>
      <c r="Z207" s="317" t="n">
        <v>46232</v>
      </c>
    </row>
    <row r="208" ht="16.5" customHeight="1" s="223">
      <c r="A208" s="322" t="n"/>
      <c r="B208" s="324" t="n"/>
      <c r="C208" s="304" t="n"/>
      <c r="D208" s="304" t="n"/>
      <c r="E208" s="317" t="n"/>
      <c r="F208" s="320" t="n"/>
      <c r="G208" s="317" t="n"/>
      <c r="H208" s="311" t="n"/>
      <c r="I208" s="311" t="n"/>
      <c r="J208" s="311" t="n"/>
      <c r="K208" s="309" t="n"/>
      <c r="L208" s="310" t="n"/>
      <c r="M208" s="311" t="n"/>
      <c r="N208" s="309" t="n"/>
      <c r="O208" s="306" t="n"/>
      <c r="P208" s="306" t="n"/>
      <c r="Q208" s="312" t="n"/>
      <c r="R208" s="307" t="n"/>
      <c r="S208" s="308" t="n"/>
      <c r="T208" s="308" t="n"/>
      <c r="U208" s="313" t="n"/>
      <c r="V208" s="315" t="n"/>
      <c r="W208" s="316" t="inlineStr">
        <is>
          <t>ETD : 27-07-2026</t>
        </is>
      </c>
      <c r="X208" s="311" t="n"/>
      <c r="Y208" s="315" t="n"/>
      <c r="Z208" s="317" t="n"/>
    </row>
    <row r="209" ht="17.1" customHeight="1" s="223">
      <c r="A209" s="325" t="n"/>
      <c r="B209" s="326" t="n"/>
      <c r="C209" s="327" t="n"/>
      <c r="D209" s="327" t="n"/>
      <c r="E209" s="328" t="n"/>
      <c r="F209" s="328" t="n"/>
      <c r="G209" s="328" t="n"/>
      <c r="H209" s="329">
        <f>SUM(H207:H208)</f>
        <v/>
      </c>
      <c r="I209" s="330">
        <f>COUNTA(I207:I208)</f>
        <v/>
      </c>
      <c r="J209" s="329" t="n"/>
      <c r="K209" s="329" t="n"/>
      <c r="L209" s="331" t="n"/>
      <c r="M209" s="329" t="n"/>
      <c r="N209" s="329" t="n"/>
      <c r="O209" s="332">
        <f>SUM(O207:O208)</f>
        <v/>
      </c>
      <c r="P209" s="332">
        <f>SUM(P207:P208)</f>
        <v/>
      </c>
      <c r="Q209" s="333" t="n"/>
      <c r="R209" s="334">
        <f>SUM(R207:R208)</f>
        <v/>
      </c>
      <c r="S209" s="335" t="n"/>
      <c r="T209" s="335">
        <f>SUM(T207:T208)</f>
        <v/>
      </c>
      <c r="U209" s="329" t="n"/>
      <c r="V209" s="336" t="n"/>
      <c r="W209" s="337" t="n"/>
      <c r="X209" s="336" t="n"/>
      <c r="Y209" s="336" t="n"/>
      <c r="Z209" s="336" t="n"/>
    </row>
    <row r="210" ht="16.5" customHeight="1" s="223">
      <c r="A210" s="322" t="n">
        <v>30</v>
      </c>
      <c r="B210" s="324" t="inlineStr">
        <is>
          <t>000030ZIK48020260728000533</t>
        </is>
      </c>
      <c r="C210" s="304" t="n">
        <v>470020</v>
      </c>
      <c r="D210" s="304" t="n">
        <v>469982</v>
      </c>
      <c r="E210" s="317" t="n">
        <v>46232</v>
      </c>
      <c r="F210" s="320" t="inlineStr">
        <is>
          <t>ID2607-7953</t>
        </is>
      </c>
      <c r="G210" s="317" t="n">
        <v>46231</v>
      </c>
      <c r="H210" s="311" t="n">
        <v>1744</v>
      </c>
      <c r="I210" s="311" t="inlineStr">
        <is>
          <t>CMAU9573883</t>
        </is>
      </c>
      <c r="J210" s="311" t="inlineStr">
        <is>
          <t>40FT</t>
        </is>
      </c>
      <c r="K210" s="309" t="inlineStr">
        <is>
          <t>6IN MSS24-6TW</t>
        </is>
      </c>
      <c r="L210" s="310" t="inlineStr">
        <is>
          <t>MS24-6T</t>
        </is>
      </c>
      <c r="M210" s="311" t="inlineStr">
        <is>
          <t>1004113832</t>
        </is>
      </c>
      <c r="N210" s="309" t="inlineStr">
        <is>
          <t>F.MSS.06T.002.WS</t>
        </is>
      </c>
      <c r="O210" s="306" t="n">
        <v>31252.48</v>
      </c>
      <c r="P210" s="306" t="n">
        <v>27904</v>
      </c>
      <c r="Q210" s="312">
        <f>IFERROR(R210/H210, 0)</f>
        <v/>
      </c>
      <c r="R210" s="307" t="n">
        <v>55180.16</v>
      </c>
      <c r="S210" s="308" t="n">
        <v>18056</v>
      </c>
      <c r="T210" s="308">
        <f>IFERROR(S210*R210, 0)</f>
        <v/>
      </c>
      <c r="U210" s="313" t="inlineStr">
        <is>
          <t>040300/KPPBC</t>
        </is>
      </c>
      <c r="V210" s="315" t="inlineStr">
        <is>
          <t>TG. PRIOK</t>
        </is>
      </c>
      <c r="W210" s="316" t="inlineStr">
        <is>
          <t>CHARLESTON</t>
        </is>
      </c>
      <c r="X210" s="311" t="inlineStr">
        <is>
          <t>WALMART, INC.</t>
        </is>
      </c>
      <c r="Y210" s="315" t="inlineStr">
        <is>
          <t>CMDUDJA1509985</t>
        </is>
      </c>
      <c r="Z210" s="317" t="n">
        <v>46232</v>
      </c>
    </row>
    <row r="211" ht="16.5" customHeight="1" s="223">
      <c r="A211" s="322" t="n"/>
      <c r="B211" s="324" t="n"/>
      <c r="C211" s="304" t="n"/>
      <c r="D211" s="304" t="n"/>
      <c r="E211" s="317" t="n"/>
      <c r="F211" s="320" t="n"/>
      <c r="G211" s="317" t="n"/>
      <c r="H211" s="311" t="n"/>
      <c r="I211" s="311" t="n"/>
      <c r="J211" s="311" t="n"/>
      <c r="K211" s="309" t="n"/>
      <c r="L211" s="310" t="n"/>
      <c r="M211" s="311" t="n"/>
      <c r="N211" s="309" t="n"/>
      <c r="O211" s="306" t="n"/>
      <c r="P211" s="306" t="n"/>
      <c r="Q211" s="312" t="n"/>
      <c r="R211" s="307" t="n"/>
      <c r="S211" s="308" t="n"/>
      <c r="T211" s="308" t="n"/>
      <c r="U211" s="313" t="n"/>
      <c r="V211" s="315" t="n"/>
      <c r="W211" s="316" t="inlineStr">
        <is>
          <t>ETD : 27-07-2026</t>
        </is>
      </c>
      <c r="X211" s="311" t="n"/>
      <c r="Y211" s="315" t="n"/>
      <c r="Z211" s="317" t="n"/>
    </row>
    <row r="212" ht="17.1" customHeight="1" s="223">
      <c r="A212" s="325" t="n"/>
      <c r="B212" s="326" t="n"/>
      <c r="C212" s="327" t="n"/>
      <c r="D212" s="327" t="n"/>
      <c r="E212" s="328" t="n"/>
      <c r="F212" s="328" t="n"/>
      <c r="G212" s="328" t="n"/>
      <c r="H212" s="329">
        <f>SUM(H210:H211)</f>
        <v/>
      </c>
      <c r="I212" s="330">
        <f>COUNTA(I210:I211)</f>
        <v/>
      </c>
      <c r="J212" s="329" t="n"/>
      <c r="K212" s="329" t="n"/>
      <c r="L212" s="331" t="n"/>
      <c r="M212" s="329" t="n"/>
      <c r="N212" s="329" t="n"/>
      <c r="O212" s="332">
        <f>SUM(O210:O211)</f>
        <v/>
      </c>
      <c r="P212" s="332">
        <f>SUM(P210:P211)</f>
        <v/>
      </c>
      <c r="Q212" s="333" t="n"/>
      <c r="R212" s="334">
        <f>SUM(R210:R211)</f>
        <v/>
      </c>
      <c r="S212" s="335" t="n"/>
      <c r="T212" s="335">
        <f>SUM(T210:T211)</f>
        <v/>
      </c>
      <c r="U212" s="329" t="n"/>
      <c r="V212" s="336" t="n"/>
      <c r="W212" s="337" t="n"/>
      <c r="X212" s="336" t="n"/>
      <c r="Y212" s="336" t="n"/>
      <c r="Z212" s="336" t="n"/>
    </row>
    <row r="213" ht="16.5" customHeight="1" s="223">
      <c r="A213" s="322" t="n">
        <v>31</v>
      </c>
      <c r="B213" s="324" t="inlineStr">
        <is>
          <t>000030ZIK48020260728000534</t>
        </is>
      </c>
      <c r="C213" s="304" t="n">
        <v>469430</v>
      </c>
      <c r="D213" s="304" t="n">
        <v>469391</v>
      </c>
      <c r="E213" s="317" t="n">
        <v>46232</v>
      </c>
      <c r="F213" s="320" t="inlineStr">
        <is>
          <t>ID2607-7918</t>
        </is>
      </c>
      <c r="G213" s="317" t="n">
        <v>46230</v>
      </c>
      <c r="H213" s="311" t="n">
        <v>204</v>
      </c>
      <c r="I213" s="311" t="inlineStr">
        <is>
          <t>CMAU2006933</t>
        </is>
      </c>
      <c r="J213" s="311" t="inlineStr">
        <is>
          <t>20FT</t>
        </is>
      </c>
      <c r="K213" s="309" t="inlineStr">
        <is>
          <t>8IN GREEN TEA MF MATTRESS TX</t>
        </is>
      </c>
      <c r="L213" s="310" t="inlineStr">
        <is>
          <t>BPM-FMS-8TXL-IN</t>
        </is>
      </c>
      <c r="M213" s="311" t="inlineStr">
        <is>
          <t>46V6SOKQ</t>
        </is>
      </c>
      <c r="N213" s="309" t="inlineStr">
        <is>
          <t>F.MFM.08X.002.BD</t>
        </is>
      </c>
      <c r="O213" s="306" t="n">
        <v>4990.02</v>
      </c>
      <c r="P213" s="306" t="n">
        <v>4169.14</v>
      </c>
      <c r="Q213" s="312">
        <f>IFERROR(R213/H213, 0)</f>
        <v/>
      </c>
      <c r="R213" s="307" t="n">
        <v>9239.16</v>
      </c>
      <c r="S213" s="308" t="n">
        <v>18056</v>
      </c>
      <c r="T213" s="308">
        <f>IFERROR(S213*R213, 0)</f>
        <v/>
      </c>
      <c r="U213" s="313" t="inlineStr">
        <is>
          <t>040300/KPPBC</t>
        </is>
      </c>
      <c r="V213" s="315" t="inlineStr">
        <is>
          <t>TG. PRIOK</t>
        </is>
      </c>
      <c r="W213" s="316" t="inlineStr">
        <is>
          <t>LOS ANGELES</t>
        </is>
      </c>
      <c r="X213" s="311" t="inlineStr">
        <is>
          <t>AMAZON.COM SERVICES LLC</t>
        </is>
      </c>
      <c r="Y213" s="315" t="inlineStr">
        <is>
          <t>CMDUDJA1507884</t>
        </is>
      </c>
      <c r="Z213" s="317" t="n">
        <v>46232</v>
      </c>
    </row>
    <row r="214" ht="16.5" customHeight="1" s="223">
      <c r="A214" s="322" t="n"/>
      <c r="B214" s="324" t="n"/>
      <c r="C214" s="304" t="n"/>
      <c r="D214" s="304" t="n"/>
      <c r="E214" s="317" t="n"/>
      <c r="F214" s="320" t="n"/>
      <c r="G214" s="317" t="n"/>
      <c r="H214" s="311" t="n">
        <v>63</v>
      </c>
      <c r="I214" s="311" t="inlineStr"/>
      <c r="J214" s="311" t="inlineStr"/>
      <c r="K214" s="309" t="inlineStr">
        <is>
          <t>12IN GEL FOAM MATTRESS TW</t>
        </is>
      </c>
      <c r="L214" s="310" t="inlineStr">
        <is>
          <t>GFM-12T</t>
        </is>
      </c>
      <c r="M214" s="311" t="inlineStr">
        <is>
          <t>46V6SOKQ</t>
        </is>
      </c>
      <c r="N214" s="309" t="inlineStr">
        <is>
          <t>F.MFG.12T.000.BD</t>
        </is>
      </c>
      <c r="O214" s="306" t="n"/>
      <c r="P214" s="306" t="n"/>
      <c r="Q214" s="312">
        <f>IFERROR(R214/H214, 0)</f>
        <v/>
      </c>
      <c r="R214" s="307" t="n">
        <v>3259.62</v>
      </c>
      <c r="S214" s="308" t="n">
        <v>18056</v>
      </c>
      <c r="T214" s="308">
        <f>IFERROR(S214*R214, 0)</f>
        <v/>
      </c>
      <c r="U214" s="313" t="n"/>
      <c r="V214" s="315" t="n"/>
      <c r="W214" s="316" t="inlineStr">
        <is>
          <t>ETD : 27-07-2026</t>
        </is>
      </c>
      <c r="X214" s="311" t="n"/>
      <c r="Y214" s="315" t="n"/>
      <c r="Z214" s="317" t="n"/>
    </row>
    <row r="215" ht="16.5" customHeight="1" s="223">
      <c r="A215" s="322" t="n"/>
      <c r="B215" s="324" t="n"/>
      <c r="C215" s="304" t="n"/>
      <c r="D215" s="304" t="n"/>
      <c r="E215" s="317" t="n"/>
      <c r="F215" s="320" t="n"/>
      <c r="G215" s="317" t="n"/>
      <c r="H215" s="311" t="n">
        <v>25</v>
      </c>
      <c r="I215" s="311" t="inlineStr"/>
      <c r="J215" s="311" t="inlineStr"/>
      <c r="K215" s="309" t="inlineStr">
        <is>
          <t>10IN GREEN TEA MF MATTRESS TX</t>
        </is>
      </c>
      <c r="L215" s="310" t="inlineStr">
        <is>
          <t>OLC-FMS-1000TXL-IN</t>
        </is>
      </c>
      <c r="M215" s="311" t="inlineStr">
        <is>
          <t>46V6SOKQ</t>
        </is>
      </c>
      <c r="N215" s="309" t="inlineStr">
        <is>
          <t>F.MFM.10X.003.BD</t>
        </is>
      </c>
      <c r="O215" s="306" t="n"/>
      <c r="P215" s="306" t="n"/>
      <c r="Q215" s="312">
        <f>IFERROR(R215/H215, 0)</f>
        <v/>
      </c>
      <c r="R215" s="307" t="n">
        <v>1433.75</v>
      </c>
      <c r="S215" s="308" t="n">
        <v>18056</v>
      </c>
      <c r="T215" s="308">
        <f>IFERROR(S215*R215, 0)</f>
        <v/>
      </c>
      <c r="U215" s="313" t="n"/>
      <c r="V215" s="315" t="n"/>
      <c r="W215" s="316" t="n"/>
      <c r="X215" s="311" t="n"/>
      <c r="Y215" s="315" t="n"/>
      <c r="Z215" s="317" t="n"/>
    </row>
    <row r="216" ht="17.1" customHeight="1" s="223">
      <c r="A216" s="325" t="n"/>
      <c r="B216" s="326" t="n"/>
      <c r="C216" s="327" t="n"/>
      <c r="D216" s="327" t="n"/>
      <c r="E216" s="328" t="n"/>
      <c r="F216" s="328" t="n"/>
      <c r="G216" s="328" t="n"/>
      <c r="H216" s="329">
        <f>SUM(H213:H215)</f>
        <v/>
      </c>
      <c r="I216" s="330">
        <f>COUNTA(I213:I215)</f>
        <v/>
      </c>
      <c r="J216" s="329" t="n"/>
      <c r="K216" s="329" t="n"/>
      <c r="L216" s="331" t="n"/>
      <c r="M216" s="329" t="n"/>
      <c r="N216" s="329" t="n"/>
      <c r="O216" s="332">
        <f>SUM(O213:O215)</f>
        <v/>
      </c>
      <c r="P216" s="332">
        <f>SUM(P213:P215)</f>
        <v/>
      </c>
      <c r="Q216" s="333" t="n"/>
      <c r="R216" s="334">
        <f>SUM(R213:R215)</f>
        <v/>
      </c>
      <c r="S216" s="335" t="n"/>
      <c r="T216" s="335">
        <f>SUM(T213:T215)</f>
        <v/>
      </c>
      <c r="U216" s="329" t="n"/>
      <c r="V216" s="336" t="n"/>
      <c r="W216" s="337" t="n"/>
      <c r="X216" s="336" t="n"/>
      <c r="Y216" s="336" t="n"/>
      <c r="Z216" s="336" t="n"/>
    </row>
    <row r="217" ht="16.5" customHeight="1" s="223">
      <c r="A217" s="322" t="n">
        <v>32</v>
      </c>
      <c r="B217" s="324" t="inlineStr">
        <is>
          <t>000030ZIK48020260728000535</t>
        </is>
      </c>
      <c r="C217" s="304" t="n">
        <v>469504</v>
      </c>
      <c r="D217" s="304" t="n">
        <v>469465</v>
      </c>
      <c r="E217" s="317" t="n">
        <v>46232</v>
      </c>
      <c r="F217" s="320" t="inlineStr">
        <is>
          <t>ID2607-7919</t>
        </is>
      </c>
      <c r="G217" s="317" t="n">
        <v>46230</v>
      </c>
      <c r="H217" s="311" t="n">
        <v>288</v>
      </c>
      <c r="I217" s="311" t="inlineStr">
        <is>
          <t>CMAU9104295</t>
        </is>
      </c>
      <c r="J217" s="311" t="inlineStr">
        <is>
          <t>40FT</t>
        </is>
      </c>
      <c r="K217" s="309" t="inlineStr">
        <is>
          <t>8IN GREEN TEA MF MATTRESS TX</t>
        </is>
      </c>
      <c r="L217" s="310" t="inlineStr">
        <is>
          <t>BPM-FMS-8TXL-IN</t>
        </is>
      </c>
      <c r="M217" s="311" t="inlineStr">
        <is>
          <t>4S5UU9DI</t>
        </is>
      </c>
      <c r="N217" s="309" t="inlineStr">
        <is>
          <t>F.MFM.08X.002.BD</t>
        </is>
      </c>
      <c r="O217" s="306" t="n">
        <v>10803.6</v>
      </c>
      <c r="P217" s="306" t="n">
        <v>8718.280000000001</v>
      </c>
      <c r="Q217" s="312">
        <f>IFERROR(R217/H217, 0)</f>
        <v/>
      </c>
      <c r="R217" s="307" t="n">
        <v>13043.52</v>
      </c>
      <c r="S217" s="308" t="n">
        <v>18056</v>
      </c>
      <c r="T217" s="308">
        <f>IFERROR(S217*R217, 0)</f>
        <v/>
      </c>
      <c r="U217" s="313" t="inlineStr">
        <is>
          <t>040300/KPPBC</t>
        </is>
      </c>
      <c r="V217" s="315" t="inlineStr">
        <is>
          <t>TG. PRIOK</t>
        </is>
      </c>
      <c r="W217" s="316" t="inlineStr">
        <is>
          <t>SAVANNAH</t>
        </is>
      </c>
      <c r="X217" s="311" t="inlineStr">
        <is>
          <t>AMAZON.COM SERVICES LLC</t>
        </is>
      </c>
      <c r="Y217" s="315" t="inlineStr">
        <is>
          <t>CMDUDJA1515155</t>
        </is>
      </c>
      <c r="Z217" s="317" t="n">
        <v>46232</v>
      </c>
    </row>
    <row r="218" ht="16.5" customHeight="1" s="223">
      <c r="A218" s="322" t="n"/>
      <c r="B218" s="324" t="n"/>
      <c r="C218" s="304" t="n"/>
      <c r="D218" s="304" t="n"/>
      <c r="E218" s="317" t="n"/>
      <c r="F218" s="320" t="n"/>
      <c r="G218" s="317" t="n"/>
      <c r="H218" s="311" t="n">
        <v>84</v>
      </c>
      <c r="I218" s="311" t="inlineStr"/>
      <c r="J218" s="311" t="inlineStr"/>
      <c r="K218" s="309" t="inlineStr">
        <is>
          <t>12IN GEL FOAM MATTRESS TW</t>
        </is>
      </c>
      <c r="L218" s="310" t="inlineStr">
        <is>
          <t>GFM-12T</t>
        </is>
      </c>
      <c r="M218" s="311" t="inlineStr">
        <is>
          <t>4S5UU9DI</t>
        </is>
      </c>
      <c r="N218" s="309" t="inlineStr">
        <is>
          <t>F.MFG.12T.000.BD</t>
        </is>
      </c>
      <c r="O218" s="306" t="n"/>
      <c r="P218" s="306" t="n"/>
      <c r="Q218" s="312">
        <f>IFERROR(R218/H218, 0)</f>
        <v/>
      </c>
      <c r="R218" s="307" t="n">
        <v>4346.16</v>
      </c>
      <c r="S218" s="308" t="n">
        <v>18056</v>
      </c>
      <c r="T218" s="308">
        <f>IFERROR(S218*R218, 0)</f>
        <v/>
      </c>
      <c r="U218" s="313" t="n"/>
      <c r="V218" s="315" t="n"/>
      <c r="W218" s="316" t="inlineStr">
        <is>
          <t>ETD : 27-07-2026</t>
        </is>
      </c>
      <c r="X218" s="311" t="n"/>
      <c r="Y218" s="315" t="n"/>
      <c r="Z218" s="317" t="n"/>
    </row>
    <row r="219" ht="16.5" customHeight="1" s="223">
      <c r="A219" s="322" t="n"/>
      <c r="B219" s="324" t="n"/>
      <c r="C219" s="304" t="n"/>
      <c r="D219" s="304" t="n"/>
      <c r="E219" s="317" t="n"/>
      <c r="F219" s="320" t="n"/>
      <c r="G219" s="317" t="n"/>
      <c r="H219" s="311" t="n">
        <v>272</v>
      </c>
      <c r="I219" s="311" t="inlineStr"/>
      <c r="J219" s="311" t="inlineStr"/>
      <c r="K219" s="309" t="inlineStr">
        <is>
          <t>6IN GEL FOAM MATTRESS TW</t>
        </is>
      </c>
      <c r="L219" s="310" t="inlineStr">
        <is>
          <t>GFM-6T</t>
        </is>
      </c>
      <c r="M219" s="311" t="inlineStr">
        <is>
          <t>4S5UU9DI</t>
        </is>
      </c>
      <c r="N219" s="309" t="inlineStr">
        <is>
          <t>F.MFG.06T.000.BD</t>
        </is>
      </c>
      <c r="O219" s="306" t="n"/>
      <c r="P219" s="306" t="n"/>
      <c r="Q219" s="312">
        <f>IFERROR(R219/H219, 0)</f>
        <v/>
      </c>
      <c r="R219" s="307" t="n">
        <v>8864.48</v>
      </c>
      <c r="S219" s="308" t="n">
        <v>18056</v>
      </c>
      <c r="T219" s="308">
        <f>IFERROR(S219*R219, 0)</f>
        <v/>
      </c>
      <c r="U219" s="313" t="n"/>
      <c r="V219" s="315" t="n"/>
      <c r="W219" s="316" t="n"/>
      <c r="X219" s="311" t="n"/>
      <c r="Y219" s="315" t="n"/>
      <c r="Z219" s="317" t="n"/>
    </row>
    <row r="220" ht="16.5" customHeight="1" s="223">
      <c r="A220" s="322" t="n"/>
      <c r="B220" s="324" t="n"/>
      <c r="C220" s="304" t="n"/>
      <c r="D220" s="304" t="n"/>
      <c r="E220" s="317" t="n"/>
      <c r="F220" s="320" t="n"/>
      <c r="G220" s="317" t="n"/>
      <c r="H220" s="311" t="n">
        <v>48</v>
      </c>
      <c r="I220" s="311" t="inlineStr"/>
      <c r="J220" s="311" t="inlineStr"/>
      <c r="K220" s="309" t="inlineStr">
        <is>
          <t>10IN GREEN TEA MF MATTRESS TX</t>
        </is>
      </c>
      <c r="L220" s="310" t="inlineStr">
        <is>
          <t>OLC-FMS-1000TXL-IN</t>
        </is>
      </c>
      <c r="M220" s="311" t="inlineStr">
        <is>
          <t>4S5UU9DI</t>
        </is>
      </c>
      <c r="N220" s="309" t="inlineStr">
        <is>
          <t>F.MFM.10X.003.BD</t>
        </is>
      </c>
      <c r="O220" s="306" t="n"/>
      <c r="P220" s="306" t="n"/>
      <c r="Q220" s="312">
        <f>IFERROR(R220/H220, 0)</f>
        <v/>
      </c>
      <c r="R220" s="307" t="n">
        <v>2752.8</v>
      </c>
      <c r="S220" s="308" t="n">
        <v>18056</v>
      </c>
      <c r="T220" s="308">
        <f>IFERROR(S220*R220, 0)</f>
        <v/>
      </c>
      <c r="U220" s="313" t="n"/>
      <c r="V220" s="315" t="n"/>
      <c r="W220" s="316" t="n"/>
      <c r="X220" s="311" t="n"/>
      <c r="Y220" s="315" t="n"/>
      <c r="Z220" s="317" t="n"/>
    </row>
    <row r="221" ht="17.1" customHeight="1" s="223">
      <c r="A221" s="325" t="n"/>
      <c r="B221" s="326" t="n"/>
      <c r="C221" s="327" t="n"/>
      <c r="D221" s="327" t="n"/>
      <c r="E221" s="328" t="n"/>
      <c r="F221" s="328" t="n"/>
      <c r="G221" s="328" t="n"/>
      <c r="H221" s="329">
        <f>SUM(H217:H220)</f>
        <v/>
      </c>
      <c r="I221" s="330">
        <f>COUNTA(I217:I220)</f>
        <v/>
      </c>
      <c r="J221" s="329" t="n"/>
      <c r="K221" s="329" t="n"/>
      <c r="L221" s="331" t="n"/>
      <c r="M221" s="329" t="n"/>
      <c r="N221" s="329" t="n"/>
      <c r="O221" s="332">
        <f>SUM(O217:O220)</f>
        <v/>
      </c>
      <c r="P221" s="332">
        <f>SUM(P217:P220)</f>
        <v/>
      </c>
      <c r="Q221" s="333" t="n"/>
      <c r="R221" s="334">
        <f>SUM(R217:R220)</f>
        <v/>
      </c>
      <c r="S221" s="335" t="n"/>
      <c r="T221" s="335">
        <f>SUM(T217:T220)</f>
        <v/>
      </c>
      <c r="U221" s="329" t="n"/>
      <c r="V221" s="336" t="n"/>
      <c r="W221" s="337" t="n"/>
      <c r="X221" s="336" t="n"/>
      <c r="Y221" s="336" t="n"/>
      <c r="Z221" s="336" t="n"/>
    </row>
    <row r="222" ht="16.5" customHeight="1" s="223">
      <c r="A222" s="322" t="n">
        <v>33</v>
      </c>
      <c r="B222" s="324" t="inlineStr">
        <is>
          <t>000030ZIK48020260728000536</t>
        </is>
      </c>
      <c r="C222" s="304" t="n">
        <v>471120</v>
      </c>
      <c r="D222" s="304" t="n">
        <v>471081</v>
      </c>
      <c r="E222" s="317" t="n">
        <v>46232</v>
      </c>
      <c r="F222" s="320" t="inlineStr">
        <is>
          <t>ID2607-7943</t>
        </is>
      </c>
      <c r="G222" s="317" t="n">
        <v>46231</v>
      </c>
      <c r="H222" s="311" t="n">
        <v>1</v>
      </c>
      <c r="I222" s="311" t="inlineStr">
        <is>
          <t>CAIU9128890</t>
        </is>
      </c>
      <c r="J222" s="311" t="inlineStr">
        <is>
          <t>40FT</t>
        </is>
      </c>
      <c r="K222" s="309" t="inlineStr">
        <is>
          <t>8IN OPP HD QN</t>
        </is>
      </c>
      <c r="L222" s="310" t="inlineStr">
        <is>
          <t>ZU-MFMA1OZI-08Q</t>
        </is>
      </c>
      <c r="M222" s="311" t="inlineStr">
        <is>
          <t>2KET2VGO</t>
        </is>
      </c>
      <c r="N222" s="309" t="inlineStr">
        <is>
          <t>F.MFM.08Q.013.AD</t>
        </is>
      </c>
      <c r="O222" s="306" t="n">
        <v>35981.76</v>
      </c>
      <c r="P222" s="306" t="n">
        <v>31486.41</v>
      </c>
      <c r="Q222" s="312">
        <f>IFERROR(R222/H222, 0)</f>
        <v/>
      </c>
      <c r="R222" s="307" t="n">
        <v>56.14</v>
      </c>
      <c r="S222" s="308" t="n">
        <v>18056</v>
      </c>
      <c r="T222" s="308">
        <f>IFERROR(S222*R222, 0)</f>
        <v/>
      </c>
      <c r="U222" s="313" t="inlineStr">
        <is>
          <t>040300/KPPBC</t>
        </is>
      </c>
      <c r="V222" s="315" t="inlineStr">
        <is>
          <t>TG. PRIOK</t>
        </is>
      </c>
      <c r="W222" s="316" t="inlineStr">
        <is>
          <t>LOS ANGELES</t>
        </is>
      </c>
      <c r="X222" s="311" t="inlineStr">
        <is>
          <t>AMAZON.COM SERVICES LLC</t>
        </is>
      </c>
      <c r="Y222" s="315" t="inlineStr">
        <is>
          <t>CMDUDJA1507931</t>
        </is>
      </c>
      <c r="Z222" s="317" t="n">
        <v>46232</v>
      </c>
    </row>
    <row r="223" ht="16.5" customHeight="1" s="223">
      <c r="A223" s="322" t="n"/>
      <c r="B223" s="324" t="n"/>
      <c r="C223" s="304" t="n"/>
      <c r="D223" s="304" t="n"/>
      <c r="E223" s="317" t="n"/>
      <c r="F223" s="320" t="n"/>
      <c r="G223" s="317" t="n"/>
      <c r="H223" s="311" t="n">
        <v>28</v>
      </c>
      <c r="I223" s="311" t="inlineStr">
        <is>
          <t>FBLU0029080</t>
        </is>
      </c>
      <c r="J223" s="311" t="inlineStr">
        <is>
          <t>40FT</t>
        </is>
      </c>
      <c r="K223" s="309" t="inlineStr">
        <is>
          <t>10IN OPP HD FL</t>
        </is>
      </c>
      <c r="L223" s="310" t="inlineStr">
        <is>
          <t>ZU-MFMA1OZI-10F</t>
        </is>
      </c>
      <c r="M223" s="311" t="inlineStr">
        <is>
          <t>2KET2VGO</t>
        </is>
      </c>
      <c r="N223" s="309" t="inlineStr">
        <is>
          <t>F.MFM.10F.013.AD</t>
        </is>
      </c>
      <c r="O223" s="306" t="n"/>
      <c r="P223" s="306" t="n"/>
      <c r="Q223" s="312">
        <f>IFERROR(R223/H223, 0)</f>
        <v/>
      </c>
      <c r="R223" s="307" t="n">
        <v>1341.48</v>
      </c>
      <c r="S223" s="308" t="n">
        <v>18056</v>
      </c>
      <c r="T223" s="308">
        <f>IFERROR(S223*R223, 0)</f>
        <v/>
      </c>
      <c r="U223" s="313" t="n"/>
      <c r="V223" s="315" t="n"/>
      <c r="W223" s="316" t="inlineStr">
        <is>
          <t>ETD : 27-07-2026</t>
        </is>
      </c>
      <c r="X223" s="311" t="n"/>
      <c r="Y223" s="315" t="n"/>
      <c r="Z223" s="317" t="n"/>
    </row>
    <row r="224" ht="16.5" customHeight="1" s="223">
      <c r="A224" s="322" t="n"/>
      <c r="B224" s="324" t="n"/>
      <c r="C224" s="304" t="n"/>
      <c r="D224" s="304" t="n"/>
      <c r="E224" s="317" t="n"/>
      <c r="F224" s="320" t="n"/>
      <c r="G224" s="317" t="n"/>
      <c r="H224" s="311" t="n">
        <v>90</v>
      </c>
      <c r="I224" s="311" t="inlineStr">
        <is>
          <t>TCNU3417354</t>
        </is>
      </c>
      <c r="J224" s="311" t="inlineStr">
        <is>
          <t>40FT</t>
        </is>
      </c>
      <c r="K224" s="309" t="inlineStr">
        <is>
          <t>12IN AIRFLOW GEL FOAM MATT TW</t>
        </is>
      </c>
      <c r="L224" s="310" t="inlineStr">
        <is>
          <t>ZU-MFMA1RZI-12T</t>
        </is>
      </c>
      <c r="M224" s="311" t="inlineStr">
        <is>
          <t>2KET2VGO</t>
        </is>
      </c>
      <c r="N224" s="309" t="inlineStr">
        <is>
          <t>F.MFM.12T.011.AD</t>
        </is>
      </c>
      <c r="O224" s="306" t="n"/>
      <c r="P224" s="306" t="n"/>
      <c r="Q224" s="312">
        <f>IFERROR(R224/H224, 0)</f>
        <v/>
      </c>
      <c r="R224" s="307" t="n">
        <v>3772.8</v>
      </c>
      <c r="S224" s="308" t="n">
        <v>18056</v>
      </c>
      <c r="T224" s="308">
        <f>IFERROR(S224*R224, 0)</f>
        <v/>
      </c>
      <c r="U224" s="313" t="n"/>
      <c r="V224" s="315" t="n"/>
      <c r="W224" s="316" t="n"/>
      <c r="X224" s="311" t="n"/>
      <c r="Y224" s="315" t="n"/>
      <c r="Z224" s="317" t="n"/>
    </row>
    <row r="225" ht="16.5" customHeight="1" s="223">
      <c r="A225" s="322" t="n"/>
      <c r="B225" s="324" t="n"/>
      <c r="C225" s="304" t="n"/>
      <c r="D225" s="304" t="n"/>
      <c r="E225" s="317" t="n"/>
      <c r="F225" s="320" t="n"/>
      <c r="G225" s="317" t="n"/>
      <c r="H225" s="311" t="n">
        <v>130</v>
      </c>
      <c r="I225" s="311" t="inlineStr"/>
      <c r="J225" s="311" t="inlineStr"/>
      <c r="K225" s="309" t="inlineStr">
        <is>
          <t>6IN GREEN TEA MF MATTRESS TW</t>
        </is>
      </c>
      <c r="L225" s="310" t="inlineStr">
        <is>
          <t>ZU-MFMA1ZZI-06T</t>
        </is>
      </c>
      <c r="M225" s="311" t="inlineStr">
        <is>
          <t>2KET2VGO</t>
        </is>
      </c>
      <c r="N225" s="309" t="inlineStr">
        <is>
          <t>F.MFM.06T.007.AD</t>
        </is>
      </c>
      <c r="O225" s="306" t="n"/>
      <c r="P225" s="306" t="n"/>
      <c r="Q225" s="312">
        <f>IFERROR(R225/H225, 0)</f>
        <v/>
      </c>
      <c r="R225" s="307" t="n">
        <v>3966.3</v>
      </c>
      <c r="S225" s="308" t="n">
        <v>18056</v>
      </c>
      <c r="T225" s="308">
        <f>IFERROR(S225*R225, 0)</f>
        <v/>
      </c>
      <c r="U225" s="313" t="n"/>
      <c r="V225" s="315" t="n"/>
      <c r="W225" s="316" t="n"/>
      <c r="X225" s="311" t="n"/>
      <c r="Y225" s="315" t="n"/>
      <c r="Z225" s="317" t="n"/>
    </row>
    <row r="226" ht="16.5" customHeight="1" s="223">
      <c r="A226" s="322" t="n"/>
      <c r="B226" s="324" t="n"/>
      <c r="C226" s="304" t="n"/>
      <c r="D226" s="304" t="n"/>
      <c r="E226" s="317" t="n"/>
      <c r="F226" s="320" t="n"/>
      <c r="G226" s="317" t="n"/>
      <c r="H226" s="311" t="n">
        <v>1</v>
      </c>
      <c r="I226" s="311" t="inlineStr"/>
      <c r="J226" s="311" t="inlineStr"/>
      <c r="K226" s="309" t="inlineStr">
        <is>
          <t>10IN GREEN TEA MF MATTRESS EK</t>
        </is>
      </c>
      <c r="L226" s="310" t="inlineStr">
        <is>
          <t>ZU-MFMA1ZZI-10K</t>
        </is>
      </c>
      <c r="M226" s="311" t="inlineStr">
        <is>
          <t>2KET2VGO</t>
        </is>
      </c>
      <c r="N226" s="309" t="inlineStr">
        <is>
          <t>F.MFM.10K.007.AD</t>
        </is>
      </c>
      <c r="O226" s="306" t="n"/>
      <c r="P226" s="306" t="n"/>
      <c r="Q226" s="312">
        <f>IFERROR(R226/H226, 0)</f>
        <v/>
      </c>
      <c r="R226" s="307" t="n">
        <v>97.11</v>
      </c>
      <c r="S226" s="308" t="n">
        <v>18056</v>
      </c>
      <c r="T226" s="308">
        <f>IFERROR(S226*R226, 0)</f>
        <v/>
      </c>
      <c r="U226" s="313" t="n"/>
      <c r="V226" s="315" t="n"/>
      <c r="W226" s="316" t="n"/>
      <c r="X226" s="311" t="n"/>
      <c r="Y226" s="315" t="n"/>
      <c r="Z226" s="317" t="n"/>
    </row>
    <row r="227" ht="16.5" customHeight="1" s="223">
      <c r="A227" s="322" t="n"/>
      <c r="B227" s="324" t="n"/>
      <c r="C227" s="304" t="n"/>
      <c r="D227" s="304" t="n"/>
      <c r="E227" s="317" t="n"/>
      <c r="F227" s="320" t="n"/>
      <c r="G227" s="317" t="n"/>
      <c r="H227" s="311" t="n">
        <v>135</v>
      </c>
      <c r="I227" s="311" t="inlineStr"/>
      <c r="J227" s="311" t="inlineStr"/>
      <c r="K227" s="309" t="inlineStr">
        <is>
          <t>12IN GREEN TEA MF MATTRESS QN</t>
        </is>
      </c>
      <c r="L227" s="310" t="inlineStr">
        <is>
          <t>ZU-MFMA1ZZI-12Q</t>
        </is>
      </c>
      <c r="M227" s="311" t="inlineStr">
        <is>
          <t>2KET2VGO</t>
        </is>
      </c>
      <c r="N227" s="309" t="inlineStr">
        <is>
          <t>F.MFM.12Q.006.AD</t>
        </is>
      </c>
      <c r="O227" s="306" t="n"/>
      <c r="P227" s="306" t="n"/>
      <c r="Q227" s="312">
        <f>IFERROR(R227/H227, 0)</f>
        <v/>
      </c>
      <c r="R227" s="307" t="n">
        <v>11311.65</v>
      </c>
      <c r="S227" s="308" t="n">
        <v>18056</v>
      </c>
      <c r="T227" s="308">
        <f>IFERROR(S227*R227, 0)</f>
        <v/>
      </c>
      <c r="U227" s="313" t="n"/>
      <c r="V227" s="315" t="n"/>
      <c r="W227" s="316" t="n"/>
      <c r="X227" s="311" t="n"/>
      <c r="Y227" s="315" t="n"/>
      <c r="Z227" s="317" t="n"/>
    </row>
    <row r="228" ht="16.5" customHeight="1" s="223">
      <c r="A228" s="322" t="n"/>
      <c r="B228" s="324" t="n"/>
      <c r="C228" s="304" t="n"/>
      <c r="D228" s="304" t="n"/>
      <c r="E228" s="317" t="n"/>
      <c r="F228" s="320" t="n"/>
      <c r="G228" s="317" t="n"/>
      <c r="H228" s="311" t="n">
        <v>128</v>
      </c>
      <c r="I228" s="311" t="inlineStr"/>
      <c r="J228" s="311" t="inlineStr"/>
      <c r="K228" s="309" t="inlineStr">
        <is>
          <t>8IN GREEN TEA MF MATTRESS SQ</t>
        </is>
      </c>
      <c r="L228" s="310" t="inlineStr">
        <is>
          <t>ZU-MFMA1FZI-08S</t>
        </is>
      </c>
      <c r="M228" s="311" t="inlineStr">
        <is>
          <t>2XYOK8DV</t>
        </is>
      </c>
      <c r="N228" s="309" t="inlineStr">
        <is>
          <t>F.MFM.08S.012.AD</t>
        </is>
      </c>
      <c r="O228" s="306" t="n"/>
      <c r="P228" s="306" t="n"/>
      <c r="Q228" s="312">
        <f>IFERROR(R228/H228, 0)</f>
        <v/>
      </c>
      <c r="R228" s="307" t="n">
        <v>7955.2</v>
      </c>
      <c r="S228" s="308" t="n">
        <v>18056</v>
      </c>
      <c r="T228" s="308">
        <f>IFERROR(S228*R228, 0)</f>
        <v/>
      </c>
      <c r="U228" s="313" t="n"/>
      <c r="V228" s="315" t="n"/>
      <c r="W228" s="316" t="n"/>
      <c r="X228" s="311" t="n"/>
      <c r="Y228" s="315" t="n"/>
      <c r="Z228" s="317" t="n"/>
    </row>
    <row r="229" ht="16.5" customHeight="1" s="223">
      <c r="A229" s="322" t="n"/>
      <c r="B229" s="324" t="n"/>
      <c r="C229" s="304" t="n"/>
      <c r="D229" s="304" t="n"/>
      <c r="E229" s="317" t="n"/>
      <c r="F229" s="320" t="n"/>
      <c r="G229" s="317" t="n"/>
      <c r="H229" s="311" t="n">
        <v>29</v>
      </c>
      <c r="I229" s="311" t="inlineStr"/>
      <c r="J229" s="311" t="inlineStr"/>
      <c r="K229" s="309" t="inlineStr">
        <is>
          <t>10IN GREEN TEA MF MATTRESS FL</t>
        </is>
      </c>
      <c r="L229" s="310" t="inlineStr">
        <is>
          <t>ZU-MFMA1FZI-10F</t>
        </is>
      </c>
      <c r="M229" s="311" t="inlineStr">
        <is>
          <t>2XYOK8DV</t>
        </is>
      </c>
      <c r="N229" s="309" t="inlineStr">
        <is>
          <t>F.MFM.10F.009.AD</t>
        </is>
      </c>
      <c r="O229" s="306" t="n"/>
      <c r="P229" s="306" t="n"/>
      <c r="Q229" s="312">
        <f>IFERROR(R229/H229, 0)</f>
        <v/>
      </c>
      <c r="R229" s="307" t="n">
        <v>1892.25</v>
      </c>
      <c r="S229" s="308" t="n">
        <v>18056</v>
      </c>
      <c r="T229" s="308">
        <f>IFERROR(S229*R229, 0)</f>
        <v/>
      </c>
      <c r="U229" s="313" t="n"/>
      <c r="V229" s="315" t="n"/>
      <c r="W229" s="316" t="n"/>
      <c r="X229" s="311" t="n"/>
      <c r="Y229" s="315" t="n"/>
      <c r="Z229" s="317" t="n"/>
    </row>
    <row r="230" ht="16.5" customHeight="1" s="223">
      <c r="A230" s="322" t="n"/>
      <c r="B230" s="324" t="n"/>
      <c r="C230" s="304" t="n"/>
      <c r="D230" s="304" t="n"/>
      <c r="E230" s="317" t="n"/>
      <c r="F230" s="320" t="n"/>
      <c r="G230" s="317" t="n"/>
      <c r="H230" s="311" t="n">
        <v>66</v>
      </c>
      <c r="I230" s="311" t="inlineStr"/>
      <c r="J230" s="311" t="inlineStr"/>
      <c r="K230" s="309" t="inlineStr">
        <is>
          <t>12IN AIRFLOW GEL FOAM MATT TW</t>
        </is>
      </c>
      <c r="L230" s="310" t="inlineStr">
        <is>
          <t>ZU-MFMA1RZI-12T</t>
        </is>
      </c>
      <c r="M230" s="311" t="inlineStr">
        <is>
          <t>2XYOK8DV</t>
        </is>
      </c>
      <c r="N230" s="309" t="inlineStr">
        <is>
          <t>F.MFM.12T.011.AD</t>
        </is>
      </c>
      <c r="O230" s="306" t="n"/>
      <c r="P230" s="306" t="n"/>
      <c r="Q230" s="312">
        <f>IFERROR(R230/H230, 0)</f>
        <v/>
      </c>
      <c r="R230" s="307" t="n">
        <v>2766.72</v>
      </c>
      <c r="S230" s="308" t="n">
        <v>18056</v>
      </c>
      <c r="T230" s="308">
        <f>IFERROR(S230*R230, 0)</f>
        <v/>
      </c>
      <c r="U230" s="313" t="n"/>
      <c r="V230" s="315" t="n"/>
      <c r="W230" s="316" t="n"/>
      <c r="X230" s="311" t="n"/>
      <c r="Y230" s="315" t="n"/>
      <c r="Z230" s="317" t="n"/>
    </row>
    <row r="231" ht="16.5" customHeight="1" s="223">
      <c r="A231" s="322" t="n"/>
      <c r="B231" s="324" t="n"/>
      <c r="C231" s="304" t="n"/>
      <c r="D231" s="304" t="n"/>
      <c r="E231" s="317" t="n"/>
      <c r="F231" s="320" t="n"/>
      <c r="G231" s="317" t="n"/>
      <c r="H231" s="311" t="n">
        <v>47</v>
      </c>
      <c r="I231" s="311" t="inlineStr"/>
      <c r="J231" s="311" t="inlineStr"/>
      <c r="K231" s="309" t="inlineStr">
        <is>
          <t>8IN MYGEL FOAM MATTRESS TW</t>
        </is>
      </c>
      <c r="L231" s="310" t="inlineStr">
        <is>
          <t>ZU-MFGN1YZI-08T</t>
        </is>
      </c>
      <c r="M231" s="311" t="inlineStr">
        <is>
          <t>3C6UZ2QL</t>
        </is>
      </c>
      <c r="N231" s="309" t="inlineStr">
        <is>
          <t>F.MFG.08T.003.AD</t>
        </is>
      </c>
      <c r="O231" s="306" t="n"/>
      <c r="P231" s="306" t="n"/>
      <c r="Q231" s="312">
        <f>IFERROR(R231/H231, 0)</f>
        <v/>
      </c>
      <c r="R231" s="307" t="n">
        <v>1688.71</v>
      </c>
      <c r="S231" s="308" t="n">
        <v>18056</v>
      </c>
      <c r="T231" s="308">
        <f>IFERROR(S231*R231, 0)</f>
        <v/>
      </c>
      <c r="U231" s="313" t="n"/>
      <c r="V231" s="315" t="n"/>
      <c r="W231" s="316" t="n"/>
      <c r="X231" s="311" t="n"/>
      <c r="Y231" s="315" t="n"/>
      <c r="Z231" s="317" t="n"/>
    </row>
    <row r="232" ht="16.5" customHeight="1" s="223">
      <c r="A232" s="322" t="n"/>
      <c r="B232" s="324" t="n"/>
      <c r="C232" s="304" t="n"/>
      <c r="D232" s="304" t="n"/>
      <c r="E232" s="317" t="n"/>
      <c r="F232" s="320" t="n"/>
      <c r="G232" s="317" t="n"/>
      <c r="H232" s="311" t="n">
        <v>170</v>
      </c>
      <c r="I232" s="311" t="inlineStr"/>
      <c r="J232" s="311" t="inlineStr"/>
      <c r="K232" s="309" t="inlineStr">
        <is>
          <t>10IN OPP HD FL</t>
        </is>
      </c>
      <c r="L232" s="310" t="inlineStr">
        <is>
          <t>ZU-MFMA1OZI-10F</t>
        </is>
      </c>
      <c r="M232" s="311" t="inlineStr">
        <is>
          <t>3C6UZ2QL</t>
        </is>
      </c>
      <c r="N232" s="309" t="inlineStr">
        <is>
          <t>F.MFM.10F.013.AD</t>
        </is>
      </c>
      <c r="O232" s="306" t="n"/>
      <c r="P232" s="306" t="n"/>
      <c r="Q232" s="312">
        <f>IFERROR(R232/H232, 0)</f>
        <v/>
      </c>
      <c r="R232" s="307" t="n">
        <v>8144.7</v>
      </c>
      <c r="S232" s="308" t="n">
        <v>18056</v>
      </c>
      <c r="T232" s="308">
        <f>IFERROR(S232*R232, 0)</f>
        <v/>
      </c>
      <c r="U232" s="313" t="n"/>
      <c r="V232" s="315" t="n"/>
      <c r="W232" s="316" t="n"/>
      <c r="X232" s="311" t="n"/>
      <c r="Y232" s="315" t="n"/>
      <c r="Z232" s="317" t="n"/>
    </row>
    <row r="233" ht="16.5" customHeight="1" s="223">
      <c r="A233" s="322" t="n"/>
      <c r="B233" s="324" t="n"/>
      <c r="C233" s="304" t="n"/>
      <c r="D233" s="304" t="n"/>
      <c r="E233" s="317" t="n"/>
      <c r="F233" s="320" t="n"/>
      <c r="G233" s="317" t="n"/>
      <c r="H233" s="311" t="n">
        <v>13</v>
      </c>
      <c r="I233" s="311" t="inlineStr"/>
      <c r="J233" s="311" t="inlineStr"/>
      <c r="K233" s="309" t="inlineStr">
        <is>
          <t>10IN OPP HD TW</t>
        </is>
      </c>
      <c r="L233" s="310" t="inlineStr">
        <is>
          <t>ZU-MFMA1OZI-10T</t>
        </is>
      </c>
      <c r="M233" s="311" t="inlineStr">
        <is>
          <t>3C6UZ2QL</t>
        </is>
      </c>
      <c r="N233" s="309" t="inlineStr">
        <is>
          <t>F.MFM.10T.013.AD</t>
        </is>
      </c>
      <c r="O233" s="306" t="n"/>
      <c r="P233" s="306" t="n"/>
      <c r="Q233" s="312">
        <f>IFERROR(R233/H233, 0)</f>
        <v/>
      </c>
      <c r="R233" s="307" t="n">
        <v>506.09</v>
      </c>
      <c r="S233" s="308" t="n">
        <v>18056</v>
      </c>
      <c r="T233" s="308">
        <f>IFERROR(S233*R233, 0)</f>
        <v/>
      </c>
      <c r="U233" s="313" t="n"/>
      <c r="V233" s="315" t="n"/>
      <c r="W233" s="316" t="n"/>
      <c r="X233" s="311" t="n"/>
      <c r="Y233" s="315" t="n"/>
      <c r="Z233" s="317" t="n"/>
    </row>
    <row r="234" ht="16.5" customHeight="1" s="223">
      <c r="A234" s="322" t="n"/>
      <c r="B234" s="324" t="n"/>
      <c r="C234" s="304" t="n"/>
      <c r="D234" s="304" t="n"/>
      <c r="E234" s="317" t="n"/>
      <c r="F234" s="320" t="n"/>
      <c r="G234" s="317" t="n"/>
      <c r="H234" s="311" t="n">
        <v>46</v>
      </c>
      <c r="I234" s="311" t="inlineStr"/>
      <c r="J234" s="311" t="inlineStr"/>
      <c r="K234" s="309" t="inlineStr">
        <is>
          <t>12IN AIRFLOW GEL FOAM MATT TW</t>
        </is>
      </c>
      <c r="L234" s="310" t="inlineStr">
        <is>
          <t>ZU-MFMA1RZI-12T</t>
        </is>
      </c>
      <c r="M234" s="311" t="inlineStr">
        <is>
          <t>3C6UZ2QL</t>
        </is>
      </c>
      <c r="N234" s="309" t="inlineStr">
        <is>
          <t>F.MFM.12T.011.AD</t>
        </is>
      </c>
      <c r="O234" s="306" t="n"/>
      <c r="P234" s="306" t="n"/>
      <c r="Q234" s="312">
        <f>IFERROR(R234/H234, 0)</f>
        <v/>
      </c>
      <c r="R234" s="307" t="n">
        <v>1928.32</v>
      </c>
      <c r="S234" s="308" t="n">
        <v>18056</v>
      </c>
      <c r="T234" s="308">
        <f>IFERROR(S234*R234, 0)</f>
        <v/>
      </c>
      <c r="U234" s="313" t="n"/>
      <c r="V234" s="315" t="n"/>
      <c r="W234" s="316" t="n"/>
      <c r="X234" s="311" t="n"/>
      <c r="Y234" s="315" t="n"/>
      <c r="Z234" s="317" t="n"/>
    </row>
    <row r="235" ht="16.5" customHeight="1" s="223">
      <c r="A235" s="322" t="n"/>
      <c r="B235" s="324" t="n"/>
      <c r="C235" s="304" t="n"/>
      <c r="D235" s="304" t="n"/>
      <c r="E235" s="317" t="n"/>
      <c r="F235" s="320" t="n"/>
      <c r="G235" s="317" t="n"/>
      <c r="H235" s="311" t="n">
        <v>319</v>
      </c>
      <c r="I235" s="311" t="inlineStr"/>
      <c r="J235" s="311" t="inlineStr"/>
      <c r="K235" s="309" t="inlineStr">
        <is>
          <t>6IN GREEN TEA MF MATTRESS TW</t>
        </is>
      </c>
      <c r="L235" s="310" t="inlineStr">
        <is>
          <t>ZU-MFMA1ZZI-06T</t>
        </is>
      </c>
      <c r="M235" s="311" t="inlineStr">
        <is>
          <t>3C6UZ2QL</t>
        </is>
      </c>
      <c r="N235" s="309" t="inlineStr">
        <is>
          <t>F.MFM.06T.007.AD</t>
        </is>
      </c>
      <c r="O235" s="306" t="n"/>
      <c r="P235" s="306" t="n"/>
      <c r="Q235" s="312">
        <f>IFERROR(R235/H235, 0)</f>
        <v/>
      </c>
      <c r="R235" s="307" t="n">
        <v>9732.690000000001</v>
      </c>
      <c r="S235" s="308" t="n">
        <v>18056</v>
      </c>
      <c r="T235" s="308">
        <f>IFERROR(S235*R235, 0)</f>
        <v/>
      </c>
      <c r="U235" s="313" t="n"/>
      <c r="V235" s="315" t="n"/>
      <c r="W235" s="316" t="n"/>
      <c r="X235" s="311" t="n"/>
      <c r="Y235" s="315" t="n"/>
      <c r="Z235" s="317" t="n"/>
    </row>
    <row r="236" ht="16.5" customHeight="1" s="223">
      <c r="A236" s="322" t="n"/>
      <c r="B236" s="324" t="n"/>
      <c r="C236" s="304" t="n"/>
      <c r="D236" s="304" t="n"/>
      <c r="E236" s="317" t="n"/>
      <c r="F236" s="320" t="n"/>
      <c r="G236" s="317" t="n"/>
      <c r="H236" s="311" t="n">
        <v>70</v>
      </c>
      <c r="I236" s="311" t="inlineStr"/>
      <c r="J236" s="311" t="inlineStr"/>
      <c r="K236" s="309" t="inlineStr">
        <is>
          <t>12IN GREEN TEA MF MATTRESS FL</t>
        </is>
      </c>
      <c r="L236" s="310" t="inlineStr">
        <is>
          <t>ZU-MFMA1ZZI-12F</t>
        </is>
      </c>
      <c r="M236" s="311" t="inlineStr">
        <is>
          <t>3C6UZ2QL</t>
        </is>
      </c>
      <c r="N236" s="309" t="inlineStr">
        <is>
          <t>F.MFM.12F.006.AD</t>
        </is>
      </c>
      <c r="O236" s="306" t="n"/>
      <c r="P236" s="306" t="n"/>
      <c r="Q236" s="312">
        <f>IFERROR(R236/H236, 0)</f>
        <v/>
      </c>
      <c r="R236" s="307" t="n">
        <v>4967.2</v>
      </c>
      <c r="S236" s="308" t="n">
        <v>18056</v>
      </c>
      <c r="T236" s="308">
        <f>IFERROR(S236*R236, 0)</f>
        <v/>
      </c>
      <c r="U236" s="313" t="n"/>
      <c r="V236" s="315" t="n"/>
      <c r="W236" s="316" t="n"/>
      <c r="X236" s="311" t="n"/>
      <c r="Y236" s="315" t="n"/>
      <c r="Z236" s="317" t="n"/>
    </row>
    <row r="237" ht="16.5" customHeight="1" s="223">
      <c r="A237" s="322" t="n"/>
      <c r="B237" s="324" t="n"/>
      <c r="C237" s="304" t="n"/>
      <c r="D237" s="304" t="n"/>
      <c r="E237" s="317" t="n"/>
      <c r="F237" s="320" t="n"/>
      <c r="G237" s="317" t="n"/>
      <c r="H237" s="311" t="n">
        <v>1</v>
      </c>
      <c r="I237" s="311" t="inlineStr"/>
      <c r="J237" s="311" t="inlineStr"/>
      <c r="K237" s="309" t="inlineStr">
        <is>
          <t>12IN GREEN TEA MF MATTRESS TW</t>
        </is>
      </c>
      <c r="L237" s="310" t="inlineStr">
        <is>
          <t>ZU-MFMA1ZZI-12T</t>
        </is>
      </c>
      <c r="M237" s="311" t="inlineStr">
        <is>
          <t>3C6UZ2QL</t>
        </is>
      </c>
      <c r="N237" s="309" t="inlineStr">
        <is>
          <t>F.MFM.12T.006.AD</t>
        </is>
      </c>
      <c r="O237" s="306" t="n"/>
      <c r="P237" s="306" t="n"/>
      <c r="Q237" s="312">
        <f>IFERROR(R237/H237, 0)</f>
        <v/>
      </c>
      <c r="R237" s="307" t="n">
        <v>63.2</v>
      </c>
      <c r="S237" s="308" t="n">
        <v>18056</v>
      </c>
      <c r="T237" s="308">
        <f>IFERROR(S237*R237, 0)</f>
        <v/>
      </c>
      <c r="U237" s="313" t="n"/>
      <c r="V237" s="315" t="n"/>
      <c r="W237" s="316" t="n"/>
      <c r="X237" s="311" t="n"/>
      <c r="Y237" s="315" t="n"/>
      <c r="Z237" s="317" t="n"/>
    </row>
    <row r="238" ht="16.5" customHeight="1" s="223">
      <c r="A238" s="322" t="n"/>
      <c r="B238" s="324" t="n"/>
      <c r="C238" s="304" t="n"/>
      <c r="D238" s="304" t="n"/>
      <c r="E238" s="317" t="n"/>
      <c r="F238" s="320" t="n"/>
      <c r="G238" s="317" t="n"/>
      <c r="H238" s="311" t="n">
        <v>414</v>
      </c>
      <c r="I238" s="311" t="inlineStr"/>
      <c r="J238" s="311" t="inlineStr"/>
      <c r="K238" s="309" t="inlineStr">
        <is>
          <t>8IN MYGEL FOAM MATTRESS TW</t>
        </is>
      </c>
      <c r="L238" s="310" t="inlineStr">
        <is>
          <t>ZU-MFGN1YZI-08T</t>
        </is>
      </c>
      <c r="M238" s="311" t="inlineStr">
        <is>
          <t>3PFYCM7P</t>
        </is>
      </c>
      <c r="N238" s="309" t="inlineStr">
        <is>
          <t>F.MFG.08T.003.AD</t>
        </is>
      </c>
      <c r="O238" s="306" t="n"/>
      <c r="P238" s="306" t="n"/>
      <c r="Q238" s="312">
        <f>IFERROR(R238/H238, 0)</f>
        <v/>
      </c>
      <c r="R238" s="307" t="n">
        <v>14875.02</v>
      </c>
      <c r="S238" s="308" t="n">
        <v>18056</v>
      </c>
      <c r="T238" s="308">
        <f>IFERROR(S238*R238, 0)</f>
        <v/>
      </c>
      <c r="U238" s="313" t="n"/>
      <c r="V238" s="315" t="n"/>
      <c r="W238" s="316" t="n"/>
      <c r="X238" s="311" t="n"/>
      <c r="Y238" s="315" t="n"/>
      <c r="Z238" s="317" t="n"/>
    </row>
    <row r="239" ht="16.5" customHeight="1" s="223">
      <c r="A239" s="322" t="n"/>
      <c r="B239" s="324" t="n"/>
      <c r="C239" s="304" t="n"/>
      <c r="D239" s="304" t="n"/>
      <c r="E239" s="317" t="n"/>
      <c r="F239" s="320" t="n"/>
      <c r="G239" s="317" t="n"/>
      <c r="H239" s="311" t="n">
        <v>41</v>
      </c>
      <c r="I239" s="311" t="inlineStr"/>
      <c r="J239" s="311" t="inlineStr"/>
      <c r="K239" s="309" t="inlineStr">
        <is>
          <t>12IN MYGEL FOAM MATTRESS TW</t>
        </is>
      </c>
      <c r="L239" s="310" t="inlineStr">
        <is>
          <t>ZU-MFGN1YZI-12T</t>
        </is>
      </c>
      <c r="M239" s="311" t="inlineStr">
        <is>
          <t>3PFYCM7P</t>
        </is>
      </c>
      <c r="N239" s="309" t="inlineStr">
        <is>
          <t>F.MFG.12T.002.AD</t>
        </is>
      </c>
      <c r="O239" s="306" t="n"/>
      <c r="P239" s="306" t="n"/>
      <c r="Q239" s="312">
        <f>IFERROR(R239/H239, 0)</f>
        <v/>
      </c>
      <c r="R239" s="307" t="n">
        <v>2487.06</v>
      </c>
      <c r="S239" s="308" t="n">
        <v>18056</v>
      </c>
      <c r="T239" s="308">
        <f>IFERROR(S239*R239, 0)</f>
        <v/>
      </c>
      <c r="U239" s="313" t="n"/>
      <c r="V239" s="315" t="n"/>
      <c r="W239" s="316" t="n"/>
      <c r="X239" s="311" t="n"/>
      <c r="Y239" s="315" t="n"/>
      <c r="Z239" s="317" t="n"/>
    </row>
    <row r="240" ht="16.5" customHeight="1" s="223">
      <c r="A240" s="322" t="n"/>
      <c r="B240" s="324" t="n"/>
      <c r="C240" s="304" t="n"/>
      <c r="D240" s="304" t="n"/>
      <c r="E240" s="317" t="n"/>
      <c r="F240" s="320" t="n"/>
      <c r="G240" s="317" t="n"/>
      <c r="H240" s="311" t="n">
        <v>7</v>
      </c>
      <c r="I240" s="311" t="inlineStr"/>
      <c r="J240" s="311" t="inlineStr"/>
      <c r="K240" s="309" t="inlineStr">
        <is>
          <t>8IN GREEN TEA MF MATTRESS SQ</t>
        </is>
      </c>
      <c r="L240" s="310" t="inlineStr">
        <is>
          <t>ZU-MFMA1FZI-08S</t>
        </is>
      </c>
      <c r="M240" s="311" t="inlineStr">
        <is>
          <t>3PFYCM7P</t>
        </is>
      </c>
      <c r="N240" s="309" t="inlineStr">
        <is>
          <t>F.MFM.08S.012.AD</t>
        </is>
      </c>
      <c r="O240" s="306" t="n"/>
      <c r="P240" s="306" t="n"/>
      <c r="Q240" s="312">
        <f>IFERROR(R240/H240, 0)</f>
        <v/>
      </c>
      <c r="R240" s="307" t="n">
        <v>435.05</v>
      </c>
      <c r="S240" s="308" t="n">
        <v>18056</v>
      </c>
      <c r="T240" s="308">
        <f>IFERROR(S240*R240, 0)</f>
        <v/>
      </c>
      <c r="U240" s="313" t="n"/>
      <c r="V240" s="315" t="n"/>
      <c r="W240" s="316" t="n"/>
      <c r="X240" s="311" t="n"/>
      <c r="Y240" s="315" t="n"/>
      <c r="Z240" s="317" t="n"/>
    </row>
    <row r="241" ht="16.5" customHeight="1" s="223">
      <c r="A241" s="322" t="n"/>
      <c r="B241" s="324" t="n"/>
      <c r="C241" s="304" t="n"/>
      <c r="D241" s="304" t="n"/>
      <c r="E241" s="317" t="n"/>
      <c r="F241" s="320" t="n"/>
      <c r="G241" s="317" t="n"/>
      <c r="H241" s="311" t="n">
        <v>3</v>
      </c>
      <c r="I241" s="311" t="inlineStr"/>
      <c r="J241" s="311" t="inlineStr"/>
      <c r="K241" s="309" t="inlineStr">
        <is>
          <t>10IN GREEN TEA MF MATTRESS FL</t>
        </is>
      </c>
      <c r="L241" s="310" t="inlineStr">
        <is>
          <t>ZU-MFMA1FZI-10F</t>
        </is>
      </c>
      <c r="M241" s="311" t="inlineStr">
        <is>
          <t>3PFYCM7P</t>
        </is>
      </c>
      <c r="N241" s="309" t="inlineStr">
        <is>
          <t>F.MFM.10F.009.AD</t>
        </is>
      </c>
      <c r="O241" s="306" t="n"/>
      <c r="P241" s="306" t="n"/>
      <c r="Q241" s="312">
        <f>IFERROR(R241/H241, 0)</f>
        <v/>
      </c>
      <c r="R241" s="307" t="n">
        <v>195.75</v>
      </c>
      <c r="S241" s="308" t="n">
        <v>18056</v>
      </c>
      <c r="T241" s="308">
        <f>IFERROR(S241*R241, 0)</f>
        <v/>
      </c>
      <c r="U241" s="313" t="n"/>
      <c r="V241" s="315" t="n"/>
      <c r="W241" s="316" t="n"/>
      <c r="X241" s="311" t="n"/>
      <c r="Y241" s="315" t="n"/>
      <c r="Z241" s="317" t="n"/>
    </row>
    <row r="242" ht="16.5" customHeight="1" s="223">
      <c r="A242" s="322" t="n"/>
      <c r="B242" s="324" t="n"/>
      <c r="C242" s="304" t="n"/>
      <c r="D242" s="304" t="n"/>
      <c r="E242" s="317" t="n"/>
      <c r="F242" s="320" t="n"/>
      <c r="G242" s="317" t="n"/>
      <c r="H242" s="311" t="n">
        <v>80</v>
      </c>
      <c r="I242" s="311" t="inlineStr"/>
      <c r="J242" s="311" t="inlineStr"/>
      <c r="K242" s="309" t="inlineStr">
        <is>
          <t>10IN OPP HD FL</t>
        </is>
      </c>
      <c r="L242" s="310" t="inlineStr">
        <is>
          <t>ZU-MFMA1OZI-10F</t>
        </is>
      </c>
      <c r="M242" s="311" t="inlineStr">
        <is>
          <t>3PFYCM7P</t>
        </is>
      </c>
      <c r="N242" s="309" t="inlineStr">
        <is>
          <t>F.MFM.10F.013.AD</t>
        </is>
      </c>
      <c r="O242" s="306" t="n"/>
      <c r="P242" s="306" t="n"/>
      <c r="Q242" s="312">
        <f>IFERROR(R242/H242, 0)</f>
        <v/>
      </c>
      <c r="R242" s="307" t="n">
        <v>3832.8</v>
      </c>
      <c r="S242" s="308" t="n">
        <v>18056</v>
      </c>
      <c r="T242" s="308">
        <f>IFERROR(S242*R242, 0)</f>
        <v/>
      </c>
      <c r="U242" s="313" t="n"/>
      <c r="V242" s="315" t="n"/>
      <c r="W242" s="316" t="n"/>
      <c r="X242" s="311" t="n"/>
      <c r="Y242" s="315" t="n"/>
      <c r="Z242" s="317" t="n"/>
    </row>
    <row r="243" ht="16.5" customHeight="1" s="223">
      <c r="A243" s="322" t="n"/>
      <c r="B243" s="324" t="n"/>
      <c r="C243" s="304" t="n"/>
      <c r="D243" s="304" t="n"/>
      <c r="E243" s="317" t="n"/>
      <c r="F243" s="320" t="n"/>
      <c r="G243" s="317" t="n"/>
      <c r="H243" s="311" t="n">
        <v>9</v>
      </c>
      <c r="I243" s="311" t="inlineStr"/>
      <c r="J243" s="311" t="inlineStr"/>
      <c r="K243" s="309" t="inlineStr">
        <is>
          <t>10IN OPP HD QN</t>
        </is>
      </c>
      <c r="L243" s="310" t="inlineStr">
        <is>
          <t>ZU-MFMA1OZI-10Q</t>
        </is>
      </c>
      <c r="M243" s="311" t="inlineStr">
        <is>
          <t>3PFYCM7P</t>
        </is>
      </c>
      <c r="N243" s="309" t="inlineStr">
        <is>
          <t>F.MFM.10Q.013.AD</t>
        </is>
      </c>
      <c r="O243" s="306" t="n"/>
      <c r="P243" s="306" t="n"/>
      <c r="Q243" s="312">
        <f>IFERROR(R243/H243, 0)</f>
        <v/>
      </c>
      <c r="R243" s="307" t="n">
        <v>485.1</v>
      </c>
      <c r="S243" s="308" t="n">
        <v>18056</v>
      </c>
      <c r="T243" s="308">
        <f>IFERROR(S243*R243, 0)</f>
        <v/>
      </c>
      <c r="U243" s="313" t="n"/>
      <c r="V243" s="315" t="n"/>
      <c r="W243" s="316" t="n"/>
      <c r="X243" s="311" t="n"/>
      <c r="Y243" s="315" t="n"/>
      <c r="Z243" s="317" t="n"/>
    </row>
    <row r="244" ht="16.5" customHeight="1" s="223">
      <c r="A244" s="322" t="n"/>
      <c r="B244" s="324" t="n"/>
      <c r="C244" s="304" t="n"/>
      <c r="D244" s="304" t="n"/>
      <c r="E244" s="317" t="n"/>
      <c r="F244" s="320" t="n"/>
      <c r="G244" s="317" t="n"/>
      <c r="H244" s="311" t="n">
        <v>118</v>
      </c>
      <c r="I244" s="311" t="inlineStr"/>
      <c r="J244" s="311" t="inlineStr"/>
      <c r="K244" s="309" t="inlineStr">
        <is>
          <t>6IN GREEN TEA MF MATTRESS NT</t>
        </is>
      </c>
      <c r="L244" s="310" t="inlineStr">
        <is>
          <t>ZU-MFMA1ZZI-06N</t>
        </is>
      </c>
      <c r="M244" s="311" t="inlineStr">
        <is>
          <t>3PFYCM7P</t>
        </is>
      </c>
      <c r="N244" s="309" t="inlineStr">
        <is>
          <t>F.MFM.06N.007.AD</t>
        </is>
      </c>
      <c r="O244" s="306" t="n"/>
      <c r="P244" s="306" t="n"/>
      <c r="Q244" s="312">
        <f>IFERROR(R244/H244, 0)</f>
        <v/>
      </c>
      <c r="R244" s="307" t="n">
        <v>2960.62</v>
      </c>
      <c r="S244" s="308" t="n">
        <v>18056</v>
      </c>
      <c r="T244" s="308">
        <f>IFERROR(S244*R244, 0)</f>
        <v/>
      </c>
      <c r="U244" s="313" t="n"/>
      <c r="V244" s="315" t="n"/>
      <c r="W244" s="316" t="n"/>
      <c r="X244" s="311" t="n"/>
      <c r="Y244" s="315" t="n"/>
      <c r="Z244" s="317" t="n"/>
    </row>
    <row r="245" ht="16.5" customHeight="1" s="223">
      <c r="A245" s="322" t="n"/>
      <c r="B245" s="324" t="n"/>
      <c r="C245" s="304" t="n"/>
      <c r="D245" s="304" t="n"/>
      <c r="E245" s="317" t="n"/>
      <c r="F245" s="320" t="n"/>
      <c r="G245" s="317" t="n"/>
      <c r="H245" s="311" t="n">
        <v>74</v>
      </c>
      <c r="I245" s="311" t="inlineStr"/>
      <c r="J245" s="311" t="inlineStr"/>
      <c r="K245" s="309" t="inlineStr">
        <is>
          <t>10IN GREEN TEA MF MATTRESS TW</t>
        </is>
      </c>
      <c r="L245" s="310" t="inlineStr">
        <is>
          <t>ZU-MFMA1ZZI-10T</t>
        </is>
      </c>
      <c r="M245" s="311" t="inlineStr">
        <is>
          <t>3PFYCM7P</t>
        </is>
      </c>
      <c r="N245" s="309" t="inlineStr">
        <is>
          <t>F.MFM.10T.007.AD</t>
        </is>
      </c>
      <c r="O245" s="306" t="n"/>
      <c r="P245" s="306" t="n"/>
      <c r="Q245" s="312">
        <f>IFERROR(R245/H245, 0)</f>
        <v/>
      </c>
      <c r="R245" s="307" t="n">
        <v>4087.76</v>
      </c>
      <c r="S245" s="308" t="n">
        <v>18056</v>
      </c>
      <c r="T245" s="308">
        <f>IFERROR(S245*R245, 0)</f>
        <v/>
      </c>
      <c r="U245" s="313" t="n"/>
      <c r="V245" s="315" t="n"/>
      <c r="W245" s="316" t="n"/>
      <c r="X245" s="311" t="n"/>
      <c r="Y245" s="315" t="n"/>
      <c r="Z245" s="317" t="n"/>
    </row>
    <row r="246" ht="16.5" customHeight="1" s="223">
      <c r="A246" s="322" t="n"/>
      <c r="B246" s="324" t="n"/>
      <c r="C246" s="304" t="n"/>
      <c r="D246" s="304" t="n"/>
      <c r="E246" s="317" t="n"/>
      <c r="F246" s="320" t="n"/>
      <c r="G246" s="317" t="n"/>
      <c r="H246" s="311" t="n">
        <v>2</v>
      </c>
      <c r="I246" s="311" t="inlineStr"/>
      <c r="J246" s="311" t="inlineStr"/>
      <c r="K246" s="309" t="inlineStr">
        <is>
          <t>12IN GREEN TEA MF MATTRESS FL</t>
        </is>
      </c>
      <c r="L246" s="310" t="inlineStr">
        <is>
          <t>ZU-MFMA1ZZI-12F</t>
        </is>
      </c>
      <c r="M246" s="311" t="inlineStr">
        <is>
          <t>3PFYCM7P</t>
        </is>
      </c>
      <c r="N246" s="309" t="inlineStr">
        <is>
          <t>F.MFM.12F.006.AD</t>
        </is>
      </c>
      <c r="O246" s="306" t="n"/>
      <c r="P246" s="306" t="n"/>
      <c r="Q246" s="312">
        <f>IFERROR(R246/H246, 0)</f>
        <v/>
      </c>
      <c r="R246" s="307" t="n">
        <v>141.92</v>
      </c>
      <c r="S246" s="308" t="n">
        <v>18056</v>
      </c>
      <c r="T246" s="308">
        <f>IFERROR(S246*R246, 0)</f>
        <v/>
      </c>
      <c r="U246" s="313" t="n"/>
      <c r="V246" s="315" t="n"/>
      <c r="W246" s="316" t="n"/>
      <c r="X246" s="311" t="n"/>
      <c r="Y246" s="315" t="n"/>
      <c r="Z246" s="317" t="n"/>
    </row>
    <row r="247" ht="16.5" customHeight="1" s="223">
      <c r="A247" s="322" t="n"/>
      <c r="B247" s="324" t="n"/>
      <c r="C247" s="304" t="n"/>
      <c r="D247" s="304" t="n"/>
      <c r="E247" s="317" t="n"/>
      <c r="F247" s="320" t="n"/>
      <c r="G247" s="317" t="n"/>
      <c r="H247" s="311" t="n">
        <v>1</v>
      </c>
      <c r="I247" s="311" t="inlineStr"/>
      <c r="J247" s="311" t="inlineStr"/>
      <c r="K247" s="309" t="inlineStr">
        <is>
          <t>12IN GREEN TEA MF MATTRESS TX</t>
        </is>
      </c>
      <c r="L247" s="310" t="inlineStr">
        <is>
          <t>ZU-MFMA1ZZI-12X</t>
        </is>
      </c>
      <c r="M247" s="311" t="inlineStr">
        <is>
          <t>3PFYCM7P</t>
        </is>
      </c>
      <c r="N247" s="309" t="inlineStr">
        <is>
          <t>F.MFM.12X.006.AD</t>
        </is>
      </c>
      <c r="O247" s="306" t="n"/>
      <c r="P247" s="306" t="n"/>
      <c r="Q247" s="312">
        <f>IFERROR(R247/H247, 0)</f>
        <v/>
      </c>
      <c r="R247" s="307" t="n">
        <v>58.3</v>
      </c>
      <c r="S247" s="308" t="n">
        <v>18056</v>
      </c>
      <c r="T247" s="308">
        <f>IFERROR(S247*R247, 0)</f>
        <v/>
      </c>
      <c r="U247" s="313" t="n"/>
      <c r="V247" s="315" t="n"/>
      <c r="W247" s="316" t="n"/>
      <c r="X247" s="311" t="n"/>
      <c r="Y247" s="315" t="n"/>
      <c r="Z247" s="317" t="n"/>
    </row>
    <row r="248" ht="17.1" customHeight="1" s="223">
      <c r="A248" s="325" t="n"/>
      <c r="B248" s="326" t="n"/>
      <c r="C248" s="327" t="n"/>
      <c r="D248" s="327" t="n"/>
      <c r="E248" s="328" t="n"/>
      <c r="F248" s="328" t="n"/>
      <c r="G248" s="328" t="n"/>
      <c r="H248" s="329">
        <f>SUM(H222:H247)</f>
        <v/>
      </c>
      <c r="I248" s="330">
        <f>COUNTA(I222:I247)</f>
        <v/>
      </c>
      <c r="J248" s="329" t="n"/>
      <c r="K248" s="329" t="n"/>
      <c r="L248" s="331" t="n"/>
      <c r="M248" s="329" t="n"/>
      <c r="N248" s="329" t="n"/>
      <c r="O248" s="332">
        <f>SUM(O222:O247)</f>
        <v/>
      </c>
      <c r="P248" s="332">
        <f>SUM(P222:P247)</f>
        <v/>
      </c>
      <c r="Q248" s="333" t="n"/>
      <c r="R248" s="334">
        <f>SUM(R222:R247)</f>
        <v/>
      </c>
      <c r="S248" s="335" t="n"/>
      <c r="T248" s="335">
        <f>SUM(T222:T247)</f>
        <v/>
      </c>
      <c r="U248" s="329" t="n"/>
      <c r="V248" s="336" t="n"/>
      <c r="W248" s="337" t="n"/>
      <c r="X248" s="336" t="n"/>
      <c r="Y248" s="336" t="n"/>
      <c r="Z248" s="336" t="n"/>
    </row>
    <row r="249" ht="16.5" customHeight="1" s="223">
      <c r="A249" s="322" t="n">
        <v>34</v>
      </c>
      <c r="B249" s="324" t="inlineStr">
        <is>
          <t>000030ZIK48020260728000537</t>
        </is>
      </c>
      <c r="C249" s="304" t="n">
        <v>471140</v>
      </c>
      <c r="D249" s="304" t="n">
        <v>471101</v>
      </c>
      <c r="E249" s="317" t="n">
        <v>46232</v>
      </c>
      <c r="F249" s="320" t="inlineStr">
        <is>
          <t>ID2607-7945</t>
        </is>
      </c>
      <c r="G249" s="317" t="n">
        <v>46231</v>
      </c>
      <c r="H249" s="311" t="n">
        <v>358</v>
      </c>
      <c r="I249" s="311" t="inlineStr">
        <is>
          <t>CAIU8391217</t>
        </is>
      </c>
      <c r="J249" s="311" t="inlineStr">
        <is>
          <t>40FT</t>
        </is>
      </c>
      <c r="K249" s="309" t="inlineStr">
        <is>
          <t>6IN GREEN TEA MF MATTRESS FL</t>
        </is>
      </c>
      <c r="L249" s="310" t="inlineStr">
        <is>
          <t>ZU-MFMA1ZZI-06F</t>
        </is>
      </c>
      <c r="M249" s="311" t="inlineStr">
        <is>
          <t>13HKO7EV</t>
        </is>
      </c>
      <c r="N249" s="309" t="inlineStr">
        <is>
          <t>F.MFM.06F.007.AD</t>
        </is>
      </c>
      <c r="O249" s="306" t="n">
        <v>59263.89</v>
      </c>
      <c r="P249" s="306" t="n">
        <v>49957.67</v>
      </c>
      <c r="Q249" s="312">
        <f>IFERROR(R249/H249, 0)</f>
        <v/>
      </c>
      <c r="R249" s="307" t="n">
        <v>13722.14</v>
      </c>
      <c r="S249" s="308" t="n">
        <v>18056</v>
      </c>
      <c r="T249" s="308">
        <f>IFERROR(S249*R249, 0)</f>
        <v/>
      </c>
      <c r="U249" s="313" t="inlineStr">
        <is>
          <t>040300/KPPBC</t>
        </is>
      </c>
      <c r="V249" s="315" t="inlineStr">
        <is>
          <t>TG. PRIOK</t>
        </is>
      </c>
      <c r="W249" s="316" t="inlineStr">
        <is>
          <t>LOS ANGELES</t>
        </is>
      </c>
      <c r="X249" s="311" t="inlineStr">
        <is>
          <t>AMAZON.COM SERVICES LLC</t>
        </is>
      </c>
      <c r="Y249" s="315" t="inlineStr">
        <is>
          <t>CMDUDJA1507935</t>
        </is>
      </c>
      <c r="Z249" s="317" t="n">
        <v>46232</v>
      </c>
    </row>
    <row r="250" ht="16.5" customHeight="1" s="223">
      <c r="A250" s="322" t="n"/>
      <c r="B250" s="324" t="n"/>
      <c r="C250" s="304" t="n"/>
      <c r="D250" s="304" t="n"/>
      <c r="E250" s="317" t="n"/>
      <c r="F250" s="320" t="n"/>
      <c r="G250" s="317" t="n"/>
      <c r="H250" s="311" t="n">
        <v>600</v>
      </c>
      <c r="I250" s="311" t="inlineStr">
        <is>
          <t>CMAU7900457</t>
        </is>
      </c>
      <c r="J250" s="311" t="inlineStr">
        <is>
          <t>40FT</t>
        </is>
      </c>
      <c r="K250" s="309" t="inlineStr">
        <is>
          <t>6IN GREEN TEA MF MATTRESS TW</t>
        </is>
      </c>
      <c r="L250" s="310" t="inlineStr">
        <is>
          <t>ZU-MFMA1ZZI-06T</t>
        </is>
      </c>
      <c r="M250" s="311" t="inlineStr">
        <is>
          <t>13HKO7EV</t>
        </is>
      </c>
      <c r="N250" s="309" t="inlineStr">
        <is>
          <t>F.MFM.06T.007.AD</t>
        </is>
      </c>
      <c r="O250" s="306" t="n"/>
      <c r="P250" s="306" t="n"/>
      <c r="Q250" s="312">
        <f>IFERROR(R250/H250, 0)</f>
        <v/>
      </c>
      <c r="R250" s="307" t="n">
        <v>18306</v>
      </c>
      <c r="S250" s="308" t="n">
        <v>18056</v>
      </c>
      <c r="T250" s="308">
        <f>IFERROR(S250*R250, 0)</f>
        <v/>
      </c>
      <c r="U250" s="313" t="n"/>
      <c r="V250" s="315" t="n"/>
      <c r="W250" s="316" t="inlineStr">
        <is>
          <t>ETD : 27-07-2026</t>
        </is>
      </c>
      <c r="X250" s="311" t="n"/>
      <c r="Y250" s="315" t="n"/>
      <c r="Z250" s="317" t="n"/>
    </row>
    <row r="251" ht="16.5" customHeight="1" s="223">
      <c r="A251" s="322" t="n"/>
      <c r="B251" s="324" t="n"/>
      <c r="C251" s="304" t="n"/>
      <c r="D251" s="304" t="n"/>
      <c r="E251" s="317" t="n"/>
      <c r="F251" s="320" t="n"/>
      <c r="G251" s="317" t="n"/>
      <c r="H251" s="311" t="n">
        <v>15</v>
      </c>
      <c r="I251" s="311" t="inlineStr">
        <is>
          <t>CMAU9719113</t>
        </is>
      </c>
      <c r="J251" s="311" t="inlineStr">
        <is>
          <t>40FT</t>
        </is>
      </c>
      <c r="K251" s="309" t="inlineStr">
        <is>
          <t>10IN GREEN TEA MF MATTRESS EK</t>
        </is>
      </c>
      <c r="L251" s="310" t="inlineStr">
        <is>
          <t>ZU-MFMA1ZZI-10K</t>
        </is>
      </c>
      <c r="M251" s="311" t="inlineStr">
        <is>
          <t>13HKO7EV</t>
        </is>
      </c>
      <c r="N251" s="309" t="inlineStr">
        <is>
          <t>F.MFM.10K.007.AD</t>
        </is>
      </c>
      <c r="O251" s="306" t="n"/>
      <c r="P251" s="306" t="n"/>
      <c r="Q251" s="312">
        <f>IFERROR(R251/H251, 0)</f>
        <v/>
      </c>
      <c r="R251" s="307" t="n">
        <v>1456.65</v>
      </c>
      <c r="S251" s="308" t="n">
        <v>18056</v>
      </c>
      <c r="T251" s="308">
        <f>IFERROR(S251*R251, 0)</f>
        <v/>
      </c>
      <c r="U251" s="313" t="n"/>
      <c r="V251" s="315" t="n"/>
      <c r="W251" s="316" t="n"/>
      <c r="X251" s="311" t="n"/>
      <c r="Y251" s="315" t="n"/>
      <c r="Z251" s="317" t="n"/>
    </row>
    <row r="252" ht="16.5" customHeight="1" s="223">
      <c r="A252" s="322" t="n"/>
      <c r="B252" s="324" t="n"/>
      <c r="C252" s="304" t="n"/>
      <c r="D252" s="304" t="n"/>
      <c r="E252" s="317" t="n"/>
      <c r="F252" s="320" t="n"/>
      <c r="G252" s="317" t="n"/>
      <c r="H252" s="311" t="n">
        <v>183</v>
      </c>
      <c r="I252" s="311" t="inlineStr">
        <is>
          <t>CMAU4332409</t>
        </is>
      </c>
      <c r="J252" s="311" t="inlineStr">
        <is>
          <t>40FT</t>
        </is>
      </c>
      <c r="K252" s="309" t="inlineStr">
        <is>
          <t>6IN MYGEL FOAM MATTRESS FL</t>
        </is>
      </c>
      <c r="L252" s="310" t="inlineStr">
        <is>
          <t>ZU-MFGN1YZI-06F</t>
        </is>
      </c>
      <c r="M252" s="311" t="inlineStr">
        <is>
          <t>1KG78YKD</t>
        </is>
      </c>
      <c r="N252" s="309" t="inlineStr">
        <is>
          <t>F.MFG.06F.002.AD</t>
        </is>
      </c>
      <c r="O252" s="306" t="n"/>
      <c r="P252" s="306" t="n"/>
      <c r="Q252" s="312">
        <f>IFERROR(R252/H252, 0)</f>
        <v/>
      </c>
      <c r="R252" s="307" t="n">
        <v>7124.19</v>
      </c>
      <c r="S252" s="308" t="n">
        <v>18056</v>
      </c>
      <c r="T252" s="308">
        <f>IFERROR(S252*R252, 0)</f>
        <v/>
      </c>
      <c r="U252" s="313" t="n"/>
      <c r="V252" s="315" t="n"/>
      <c r="W252" s="316" t="n"/>
      <c r="X252" s="311" t="n"/>
      <c r="Y252" s="315" t="n"/>
      <c r="Z252" s="317" t="n"/>
    </row>
    <row r="253" ht="16.5" customHeight="1" s="223">
      <c r="A253" s="322" t="n"/>
      <c r="B253" s="324" t="n"/>
      <c r="C253" s="304" t="n"/>
      <c r="D253" s="304" t="n"/>
      <c r="E253" s="317" t="n"/>
      <c r="F253" s="320" t="n"/>
      <c r="G253" s="317" t="n"/>
      <c r="H253" s="311" t="n">
        <v>777</v>
      </c>
      <c r="I253" s="311" t="inlineStr">
        <is>
          <t>SEKU5730005</t>
        </is>
      </c>
      <c r="J253" s="311" t="inlineStr">
        <is>
          <t>40FT</t>
        </is>
      </c>
      <c r="K253" s="309" t="inlineStr">
        <is>
          <t>6IN GREEN TEA MF MATTRESS FL</t>
        </is>
      </c>
      <c r="L253" s="310" t="inlineStr">
        <is>
          <t>ZU-MFMA1ZZI-06F</t>
        </is>
      </c>
      <c r="M253" s="311" t="inlineStr">
        <is>
          <t>1KG78YKD</t>
        </is>
      </c>
      <c r="N253" s="309" t="inlineStr">
        <is>
          <t>F.MFM.06F.007.AD</t>
        </is>
      </c>
      <c r="O253" s="306" t="n"/>
      <c r="P253" s="306" t="n"/>
      <c r="Q253" s="312">
        <f>IFERROR(R253/H253, 0)</f>
        <v/>
      </c>
      <c r="R253" s="307" t="n">
        <v>29782.41</v>
      </c>
      <c r="S253" s="308" t="n">
        <v>18056</v>
      </c>
      <c r="T253" s="308">
        <f>IFERROR(S253*R253, 0)</f>
        <v/>
      </c>
      <c r="U253" s="313" t="n"/>
      <c r="V253" s="315" t="n"/>
      <c r="W253" s="316" t="n"/>
      <c r="X253" s="311" t="n"/>
      <c r="Y253" s="315" t="n"/>
      <c r="Z253" s="317" t="n"/>
    </row>
    <row r="254" ht="16.5" customHeight="1" s="223">
      <c r="A254" s="322" t="n"/>
      <c r="B254" s="324" t="n"/>
      <c r="C254" s="304" t="n"/>
      <c r="D254" s="304" t="n"/>
      <c r="E254" s="317" t="n"/>
      <c r="F254" s="320" t="n"/>
      <c r="G254" s="317" t="n"/>
      <c r="H254" s="311" t="n">
        <v>1</v>
      </c>
      <c r="I254" s="311" t="inlineStr"/>
      <c r="J254" s="311" t="inlineStr"/>
      <c r="K254" s="309" t="inlineStr">
        <is>
          <t>8IN OPP HD QN</t>
        </is>
      </c>
      <c r="L254" s="310" t="inlineStr">
        <is>
          <t>ZU-MFMA1OZI-08Q</t>
        </is>
      </c>
      <c r="M254" s="311" t="inlineStr">
        <is>
          <t>2HHALBXQ</t>
        </is>
      </c>
      <c r="N254" s="309" t="inlineStr">
        <is>
          <t>F.MFM.08Q.013.AD</t>
        </is>
      </c>
      <c r="O254" s="306" t="n"/>
      <c r="P254" s="306" t="n"/>
      <c r="Q254" s="312">
        <f>IFERROR(R254/H254, 0)</f>
        <v/>
      </c>
      <c r="R254" s="307" t="n">
        <v>56.14</v>
      </c>
      <c r="S254" s="308" t="n">
        <v>18056</v>
      </c>
      <c r="T254" s="308">
        <f>IFERROR(S254*R254, 0)</f>
        <v/>
      </c>
      <c r="U254" s="313" t="n"/>
      <c r="V254" s="315" t="n"/>
      <c r="W254" s="316" t="n"/>
      <c r="X254" s="311" t="n"/>
      <c r="Y254" s="315" t="n"/>
      <c r="Z254" s="317" t="n"/>
    </row>
    <row r="255" ht="16.5" customHeight="1" s="223">
      <c r="A255" s="322" t="n"/>
      <c r="B255" s="324" t="n"/>
      <c r="C255" s="304" t="n"/>
      <c r="D255" s="304" t="n"/>
      <c r="E255" s="317" t="n"/>
      <c r="F255" s="320" t="n"/>
      <c r="G255" s="317" t="n"/>
      <c r="H255" s="311" t="n">
        <v>917</v>
      </c>
      <c r="I255" s="311" t="inlineStr"/>
      <c r="J255" s="311" t="inlineStr"/>
      <c r="K255" s="309" t="inlineStr">
        <is>
          <t>6IN GREEN TEA MF MATTRESS FL</t>
        </is>
      </c>
      <c r="L255" s="310" t="inlineStr">
        <is>
          <t>ZU-MFMA1ZZI-06F</t>
        </is>
      </c>
      <c r="M255" s="311" t="inlineStr">
        <is>
          <t>2HHALBXQ</t>
        </is>
      </c>
      <c r="N255" s="309" t="inlineStr">
        <is>
          <t>F.MFM.06F.007.AD</t>
        </is>
      </c>
      <c r="O255" s="306" t="n"/>
      <c r="P255" s="306" t="n"/>
      <c r="Q255" s="312">
        <f>IFERROR(R255/H255, 0)</f>
        <v/>
      </c>
      <c r="R255" s="307" t="n">
        <v>35148.61</v>
      </c>
      <c r="S255" s="308" t="n">
        <v>18056</v>
      </c>
      <c r="T255" s="308">
        <f>IFERROR(S255*R255, 0)</f>
        <v/>
      </c>
      <c r="U255" s="313" t="n"/>
      <c r="V255" s="315" t="n"/>
      <c r="W255" s="316" t="n"/>
      <c r="X255" s="311" t="n"/>
      <c r="Y255" s="315" t="n"/>
      <c r="Z255" s="317" t="n"/>
    </row>
    <row r="256" ht="16.5" customHeight="1" s="223">
      <c r="A256" s="322" t="n"/>
      <c r="B256" s="324" t="n"/>
      <c r="C256" s="304" t="n"/>
      <c r="D256" s="304" t="n"/>
      <c r="E256" s="317" t="n"/>
      <c r="F256" s="320" t="n"/>
      <c r="G256" s="317" t="n"/>
      <c r="H256" s="311" t="n">
        <v>21</v>
      </c>
      <c r="I256" s="311" t="inlineStr"/>
      <c r="J256" s="311" t="inlineStr"/>
      <c r="K256" s="309" t="inlineStr">
        <is>
          <t>12IN GREEN TEA MF MATTRESS EK</t>
        </is>
      </c>
      <c r="L256" s="310" t="inlineStr">
        <is>
          <t>ZU-MFMA1ZZI-12K</t>
        </is>
      </c>
      <c r="M256" s="311" t="inlineStr">
        <is>
          <t>2HHALBXQ</t>
        </is>
      </c>
      <c r="N256" s="309" t="inlineStr">
        <is>
          <t>F.MFM.12K.006.AD</t>
        </is>
      </c>
      <c r="O256" s="306" t="n"/>
      <c r="P256" s="306" t="n"/>
      <c r="Q256" s="312">
        <f>IFERROR(R256/H256, 0)</f>
        <v/>
      </c>
      <c r="R256" s="307" t="n">
        <v>2141.37</v>
      </c>
      <c r="S256" s="308" t="n">
        <v>18056</v>
      </c>
      <c r="T256" s="308">
        <f>IFERROR(S256*R256, 0)</f>
        <v/>
      </c>
      <c r="U256" s="313" t="n"/>
      <c r="V256" s="315" t="n"/>
      <c r="W256" s="316" t="n"/>
      <c r="X256" s="311" t="n"/>
      <c r="Y256" s="315" t="n"/>
      <c r="Z256" s="317" t="n"/>
    </row>
    <row r="257" ht="16.5" customHeight="1" s="223">
      <c r="A257" s="322" t="n"/>
      <c r="B257" s="324" t="n"/>
      <c r="C257" s="304" t="n"/>
      <c r="D257" s="304" t="n"/>
      <c r="E257" s="317" t="n"/>
      <c r="F257" s="320" t="n"/>
      <c r="G257" s="317" t="n"/>
      <c r="H257" s="311" t="n">
        <v>34</v>
      </c>
      <c r="I257" s="311" t="inlineStr"/>
      <c r="J257" s="311" t="inlineStr"/>
      <c r="K257" s="309" t="inlineStr">
        <is>
          <t>10IN OPP HD QN</t>
        </is>
      </c>
      <c r="L257" s="310" t="inlineStr">
        <is>
          <t>ZU-MFMA1OZI-10Q</t>
        </is>
      </c>
      <c r="M257" s="311" t="inlineStr">
        <is>
          <t>2L1DCGDU</t>
        </is>
      </c>
      <c r="N257" s="309" t="inlineStr">
        <is>
          <t>F.MFM.10Q.013.AD</t>
        </is>
      </c>
      <c r="O257" s="306" t="n"/>
      <c r="P257" s="306" t="n"/>
      <c r="Q257" s="312">
        <f>IFERROR(R257/H257, 0)</f>
        <v/>
      </c>
      <c r="R257" s="307" t="n">
        <v>1832.6</v>
      </c>
      <c r="S257" s="308" t="n">
        <v>18056</v>
      </c>
      <c r="T257" s="308">
        <f>IFERROR(S257*R257, 0)</f>
        <v/>
      </c>
      <c r="U257" s="313" t="n"/>
      <c r="V257" s="315" t="n"/>
      <c r="W257" s="316" t="n"/>
      <c r="X257" s="311" t="n"/>
      <c r="Y257" s="315" t="n"/>
      <c r="Z257" s="317" t="n"/>
    </row>
    <row r="258" ht="16.5" customHeight="1" s="223">
      <c r="A258" s="322" t="n"/>
      <c r="B258" s="324" t="n"/>
      <c r="C258" s="304" t="n"/>
      <c r="D258" s="304" t="n"/>
      <c r="E258" s="317" t="n"/>
      <c r="F258" s="320" t="n"/>
      <c r="G258" s="317" t="n"/>
      <c r="H258" s="311" t="n">
        <v>40</v>
      </c>
      <c r="I258" s="311" t="inlineStr"/>
      <c r="J258" s="311" t="inlineStr"/>
      <c r="K258" s="309" t="inlineStr">
        <is>
          <t>12IN AIRFLOW GEL FOAM MATT EK</t>
        </is>
      </c>
      <c r="L258" s="310" t="inlineStr">
        <is>
          <t>ZU-MFMA1RZI-12K</t>
        </is>
      </c>
      <c r="M258" s="311" t="inlineStr">
        <is>
          <t>2L1DCGDU</t>
        </is>
      </c>
      <c r="N258" s="309" t="inlineStr">
        <is>
          <t>F.MFM.12K.011.AD</t>
        </is>
      </c>
      <c r="O258" s="306" t="n"/>
      <c r="P258" s="306" t="n"/>
      <c r="Q258" s="312">
        <f>IFERROR(R258/H258, 0)</f>
        <v/>
      </c>
      <c r="R258" s="307" t="n">
        <v>2994.4</v>
      </c>
      <c r="S258" s="308" t="n">
        <v>18056</v>
      </c>
      <c r="T258" s="308">
        <f>IFERROR(S258*R258, 0)</f>
        <v/>
      </c>
      <c r="U258" s="313" t="n"/>
      <c r="V258" s="315" t="n"/>
      <c r="W258" s="316" t="n"/>
      <c r="X258" s="311" t="n"/>
      <c r="Y258" s="315" t="n"/>
      <c r="Z258" s="317" t="n"/>
    </row>
    <row r="259" ht="16.5" customHeight="1" s="223">
      <c r="A259" s="322" t="n"/>
      <c r="B259" s="324" t="n"/>
      <c r="C259" s="304" t="n"/>
      <c r="D259" s="304" t="n"/>
      <c r="E259" s="317" t="n"/>
      <c r="F259" s="320" t="n"/>
      <c r="G259" s="317" t="n"/>
      <c r="H259" s="311" t="n">
        <v>80</v>
      </c>
      <c r="I259" s="311" t="inlineStr"/>
      <c r="J259" s="311" t="inlineStr"/>
      <c r="K259" s="309" t="inlineStr">
        <is>
          <t>12IN GREEN TEA MF MATTRESS FL</t>
        </is>
      </c>
      <c r="L259" s="310" t="inlineStr">
        <is>
          <t>ZU-MFMA1ZZI-12F</t>
        </is>
      </c>
      <c r="M259" s="311" t="inlineStr">
        <is>
          <t>2L1DCGDU</t>
        </is>
      </c>
      <c r="N259" s="309" t="inlineStr">
        <is>
          <t>F.MFM.12F.006.AD</t>
        </is>
      </c>
      <c r="O259" s="306" t="n"/>
      <c r="P259" s="306" t="n"/>
      <c r="Q259" s="312">
        <f>IFERROR(R259/H259, 0)</f>
        <v/>
      </c>
      <c r="R259" s="307" t="n">
        <v>5676.8</v>
      </c>
      <c r="S259" s="308" t="n">
        <v>18056</v>
      </c>
      <c r="T259" s="308">
        <f>IFERROR(S259*R259, 0)</f>
        <v/>
      </c>
      <c r="U259" s="313" t="n"/>
      <c r="V259" s="315" t="n"/>
      <c r="W259" s="316" t="n"/>
      <c r="X259" s="311" t="n"/>
      <c r="Y259" s="315" t="n"/>
      <c r="Z259" s="317" t="n"/>
    </row>
    <row r="260" ht="16.5" customHeight="1" s="223">
      <c r="A260" s="322" t="n"/>
      <c r="B260" s="324" t="n"/>
      <c r="C260" s="304" t="n"/>
      <c r="D260" s="304" t="n"/>
      <c r="E260" s="317" t="n"/>
      <c r="F260" s="320" t="n"/>
      <c r="G260" s="317" t="n"/>
      <c r="H260" s="311" t="n">
        <v>330</v>
      </c>
      <c r="I260" s="311" t="inlineStr"/>
      <c r="J260" s="311" t="inlineStr"/>
      <c r="K260" s="309" t="inlineStr">
        <is>
          <t>8IN MYGEL FOAM MATTRESS TW</t>
        </is>
      </c>
      <c r="L260" s="310" t="inlineStr">
        <is>
          <t>ZU-MFGN1YZI-08T</t>
        </is>
      </c>
      <c r="M260" s="311" t="inlineStr">
        <is>
          <t>33P2P6NU</t>
        </is>
      </c>
      <c r="N260" s="309" t="inlineStr">
        <is>
          <t>F.MFG.08T.003.AD</t>
        </is>
      </c>
      <c r="O260" s="306" t="n"/>
      <c r="P260" s="306" t="n"/>
      <c r="Q260" s="312">
        <f>IFERROR(R260/H260, 0)</f>
        <v/>
      </c>
      <c r="R260" s="307" t="n">
        <v>11856.9</v>
      </c>
      <c r="S260" s="308" t="n">
        <v>18056</v>
      </c>
      <c r="T260" s="308">
        <f>IFERROR(S260*R260, 0)</f>
        <v/>
      </c>
      <c r="U260" s="313" t="n"/>
      <c r="V260" s="315" t="n"/>
      <c r="W260" s="316" t="n"/>
      <c r="X260" s="311" t="n"/>
      <c r="Y260" s="315" t="n"/>
      <c r="Z260" s="317" t="n"/>
    </row>
    <row r="261" ht="16.5" customHeight="1" s="223">
      <c r="A261" s="322" t="n"/>
      <c r="B261" s="324" t="n"/>
      <c r="C261" s="304" t="n"/>
      <c r="D261" s="304" t="n"/>
      <c r="E261" s="317" t="n"/>
      <c r="F261" s="320" t="n"/>
      <c r="G261" s="317" t="n"/>
      <c r="H261" s="311" t="n">
        <v>247</v>
      </c>
      <c r="I261" s="311" t="inlineStr"/>
      <c r="J261" s="311" t="inlineStr"/>
      <c r="K261" s="309" t="inlineStr">
        <is>
          <t>6IN GREEN TEA MF MATTRESS NT</t>
        </is>
      </c>
      <c r="L261" s="310" t="inlineStr">
        <is>
          <t>ZU-MFMA1ZZI-06N</t>
        </is>
      </c>
      <c r="M261" s="311" t="inlineStr">
        <is>
          <t>33P2P6NU</t>
        </is>
      </c>
      <c r="N261" s="309" t="inlineStr">
        <is>
          <t>F.MFM.06N.007.AD</t>
        </is>
      </c>
      <c r="O261" s="306" t="n"/>
      <c r="P261" s="306" t="n"/>
      <c r="Q261" s="312">
        <f>IFERROR(R261/H261, 0)</f>
        <v/>
      </c>
      <c r="R261" s="307" t="n">
        <v>6197.23</v>
      </c>
      <c r="S261" s="308" t="n">
        <v>18056</v>
      </c>
      <c r="T261" s="308">
        <f>IFERROR(S261*R261, 0)</f>
        <v/>
      </c>
      <c r="U261" s="313" t="n"/>
      <c r="V261" s="315" t="n"/>
      <c r="W261" s="316" t="n"/>
      <c r="X261" s="311" t="n"/>
      <c r="Y261" s="315" t="n"/>
      <c r="Z261" s="317" t="n"/>
    </row>
    <row r="262" ht="16.5" customHeight="1" s="223">
      <c r="A262" s="322" t="n"/>
      <c r="B262" s="324" t="n"/>
      <c r="C262" s="304" t="n"/>
      <c r="D262" s="304" t="n"/>
      <c r="E262" s="317" t="n"/>
      <c r="F262" s="320" t="n"/>
      <c r="G262" s="317" t="n"/>
      <c r="H262" s="311" t="n">
        <v>465</v>
      </c>
      <c r="I262" s="311" t="inlineStr"/>
      <c r="J262" s="311" t="inlineStr"/>
      <c r="K262" s="309" t="inlineStr">
        <is>
          <t>6IN GREEN TEA MF MATTRESS TW</t>
        </is>
      </c>
      <c r="L262" s="310" t="inlineStr">
        <is>
          <t>ZU-MFMA1ZZI-06T</t>
        </is>
      </c>
      <c r="M262" s="311" t="inlineStr">
        <is>
          <t>33P2P6NU</t>
        </is>
      </c>
      <c r="N262" s="309" t="inlineStr">
        <is>
          <t>F.MFM.06T.007.AD</t>
        </is>
      </c>
      <c r="O262" s="306" t="n"/>
      <c r="P262" s="306" t="n"/>
      <c r="Q262" s="312">
        <f>IFERROR(R262/H262, 0)</f>
        <v/>
      </c>
      <c r="R262" s="307" t="n">
        <v>14187.15</v>
      </c>
      <c r="S262" s="308" t="n">
        <v>18056</v>
      </c>
      <c r="T262" s="308">
        <f>IFERROR(S262*R262, 0)</f>
        <v/>
      </c>
      <c r="U262" s="313" t="n"/>
      <c r="V262" s="315" t="n"/>
      <c r="W262" s="316" t="n"/>
      <c r="X262" s="311" t="n"/>
      <c r="Y262" s="315" t="n"/>
      <c r="Z262" s="317" t="n"/>
    </row>
    <row r="263" ht="17.1" customHeight="1" s="223">
      <c r="A263" s="325" t="n"/>
      <c r="B263" s="326" t="n"/>
      <c r="C263" s="327" t="n"/>
      <c r="D263" s="327" t="n"/>
      <c r="E263" s="328" t="n"/>
      <c r="F263" s="328" t="n"/>
      <c r="G263" s="328" t="n"/>
      <c r="H263" s="329">
        <f>SUM(H249:H262)</f>
        <v/>
      </c>
      <c r="I263" s="330">
        <f>COUNTA(I249:I262)</f>
        <v/>
      </c>
      <c r="J263" s="329" t="n"/>
      <c r="K263" s="329" t="n"/>
      <c r="L263" s="331" t="n"/>
      <c r="M263" s="329" t="n"/>
      <c r="N263" s="329" t="n"/>
      <c r="O263" s="332">
        <f>SUM(O249:O262)</f>
        <v/>
      </c>
      <c r="P263" s="332">
        <f>SUM(P249:P262)</f>
        <v/>
      </c>
      <c r="Q263" s="333" t="n"/>
      <c r="R263" s="334">
        <f>SUM(R249:R262)</f>
        <v/>
      </c>
      <c r="S263" s="335" t="n"/>
      <c r="T263" s="335">
        <f>SUM(T249:T262)</f>
        <v/>
      </c>
      <c r="U263" s="329" t="n"/>
      <c r="V263" s="336" t="n"/>
      <c r="W263" s="337" t="n"/>
      <c r="X263" s="336" t="n"/>
      <c r="Y263" s="336" t="n"/>
      <c r="Z263" s="336" t="n"/>
    </row>
    <row r="264" ht="16.5" customHeight="1" s="223">
      <c r="A264" s="322" t="n">
        <v>35</v>
      </c>
      <c r="B264" s="324" t="inlineStr">
        <is>
          <t>000030ZIK48020260729000538</t>
        </is>
      </c>
      <c r="C264" s="304" t="n">
        <v>381144</v>
      </c>
      <c r="D264" s="304" t="n">
        <v>380895</v>
      </c>
      <c r="E264" s="317" t="n">
        <v>46232</v>
      </c>
      <c r="F264" s="320" t="inlineStr">
        <is>
          <t>SAMPLE-ZIID26-0063-NCV</t>
        </is>
      </c>
      <c r="G264" s="317" t="n">
        <v>46231</v>
      </c>
      <c r="H264" s="311" t="n">
        <v>1</v>
      </c>
      <c r="I264" s="311" t="inlineStr"/>
      <c r="J264" s="311" t="inlineStr"/>
      <c r="K264" s="309" t="inlineStr">
        <is>
          <t>FOAM MATTRESS *SAMPLE*</t>
        </is>
      </c>
      <c r="L264" s="310" t="inlineStr">
        <is>
          <t>MFM.SAMP-Kemasan</t>
        </is>
      </c>
      <c r="M264" s="311" t="inlineStr"/>
      <c r="N264" s="309" t="inlineStr">
        <is>
          <t>F.MFM.SAMP</t>
        </is>
      </c>
      <c r="O264" s="306" t="n">
        <v>260.42</v>
      </c>
      <c r="P264" s="306" t="n">
        <v>241.43</v>
      </c>
      <c r="Q264" s="312">
        <f>IFERROR(R264/H264, 0)</f>
        <v/>
      </c>
      <c r="R264" s="307" t="n">
        <v>20</v>
      </c>
      <c r="S264" s="308" t="n">
        <v>18056</v>
      </c>
      <c r="T264" s="308">
        <f>IFERROR(S264*R264, 0)</f>
        <v/>
      </c>
      <c r="U264" s="313" t="inlineStr">
        <is>
          <t>050100/KPPBC</t>
        </is>
      </c>
      <c r="V264" s="315" t="inlineStr">
        <is>
          <t>S. HATTA</t>
        </is>
      </c>
      <c r="W264" s="316" t="inlineStr">
        <is>
          <t>OAKLAND</t>
        </is>
      </c>
      <c r="X264" s="311" t="inlineStr">
        <is>
          <t>ZINUS, INC. (TRACY)</t>
        </is>
      </c>
      <c r="Y264" s="315" t="inlineStr">
        <is>
          <t>875030352638</t>
        </is>
      </c>
      <c r="Z264" s="317" t="n">
        <v>46232</v>
      </c>
    </row>
    <row r="265" ht="16.5" customHeight="1" s="223">
      <c r="A265" s="322" t="n"/>
      <c r="B265" s="324" t="n"/>
      <c r="C265" s="304" t="n"/>
      <c r="D265" s="304" t="n"/>
      <c r="E265" s="317" t="n"/>
      <c r="F265" s="320" t="n"/>
      <c r="G265" s="317" t="n"/>
      <c r="H265" s="311" t="n">
        <v>1</v>
      </c>
      <c r="I265" s="311" t="inlineStr"/>
      <c r="J265" s="311" t="inlineStr"/>
      <c r="K265" s="309" t="inlineStr">
        <is>
          <t>FOAM MATTRESS *SAMPLE*</t>
        </is>
      </c>
      <c r="L265" s="310" t="inlineStr">
        <is>
          <t>MFM.SAMP-Kemasan</t>
        </is>
      </c>
      <c r="M265" s="311" t="inlineStr"/>
      <c r="N265" s="309" t="inlineStr">
        <is>
          <t>F.MFM.SAMP</t>
        </is>
      </c>
      <c r="O265" s="306" t="n"/>
      <c r="P265" s="306" t="n"/>
      <c r="Q265" s="312">
        <f>IFERROR(R265/H265, 0)</f>
        <v/>
      </c>
      <c r="R265" s="307" t="n">
        <v>20</v>
      </c>
      <c r="S265" s="308" t="n">
        <v>18056</v>
      </c>
      <c r="T265" s="308">
        <f>IFERROR(S265*R265, 0)</f>
        <v/>
      </c>
      <c r="U265" s="313" t="n"/>
      <c r="V265" s="315" t="n"/>
      <c r="W265" s="316" t="inlineStr">
        <is>
          <t>ETD : 27-07-2026</t>
        </is>
      </c>
      <c r="X265" s="311" t="n"/>
      <c r="Y265" s="315" t="n"/>
      <c r="Z265" s="317" t="n"/>
    </row>
    <row r="266" ht="16.5" customHeight="1" s="223">
      <c r="A266" s="322" t="n"/>
      <c r="B266" s="324" t="n"/>
      <c r="C266" s="304" t="n"/>
      <c r="D266" s="304" t="n"/>
      <c r="E266" s="317" t="n"/>
      <c r="F266" s="320" t="n"/>
      <c r="G266" s="317" t="n"/>
      <c r="H266" s="311" t="n">
        <v>1</v>
      </c>
      <c r="I266" s="311" t="inlineStr"/>
      <c r="J266" s="311" t="inlineStr"/>
      <c r="K266" s="309" t="inlineStr">
        <is>
          <t>FOAM MATTRESS *SAMPLE*</t>
        </is>
      </c>
      <c r="L266" s="310" t="inlineStr">
        <is>
          <t>MFM.SAMP-Kemasan</t>
        </is>
      </c>
      <c r="M266" s="311" t="inlineStr"/>
      <c r="N266" s="309" t="inlineStr">
        <is>
          <t>F.MFM.SAMP</t>
        </is>
      </c>
      <c r="O266" s="306" t="n"/>
      <c r="P266" s="306" t="n"/>
      <c r="Q266" s="312">
        <f>IFERROR(R266/H266, 0)</f>
        <v/>
      </c>
      <c r="R266" s="307" t="n">
        <v>20</v>
      </c>
      <c r="S266" s="308" t="n">
        <v>18056</v>
      </c>
      <c r="T266" s="308">
        <f>IFERROR(S266*R266, 0)</f>
        <v/>
      </c>
      <c r="U266" s="313" t="n"/>
      <c r="V266" s="315" t="n"/>
      <c r="W266" s="316" t="n"/>
      <c r="X266" s="311" t="n"/>
      <c r="Y266" s="315" t="n"/>
      <c r="Z266" s="317" t="n"/>
    </row>
    <row r="267" ht="16.5" customHeight="1" s="223">
      <c r="A267" s="322" t="n"/>
      <c r="B267" s="324" t="n"/>
      <c r="C267" s="304" t="n"/>
      <c r="D267" s="304" t="n"/>
      <c r="E267" s="317" t="n"/>
      <c r="F267" s="320" t="n"/>
      <c r="G267" s="317" t="n"/>
      <c r="H267" s="311" t="n">
        <v>1</v>
      </c>
      <c r="I267" s="311" t="inlineStr"/>
      <c r="J267" s="311" t="inlineStr"/>
      <c r="K267" s="309" t="inlineStr">
        <is>
          <t>FOAM MATTRESS *SAMPLE*</t>
        </is>
      </c>
      <c r="L267" s="310" t="inlineStr">
        <is>
          <t>MFM.SAMP-Kemasan</t>
        </is>
      </c>
      <c r="M267" s="311" t="inlineStr"/>
      <c r="N267" s="309" t="inlineStr">
        <is>
          <t>F.MFM.SAMP</t>
        </is>
      </c>
      <c r="O267" s="306" t="n"/>
      <c r="P267" s="306" t="n"/>
      <c r="Q267" s="312">
        <f>IFERROR(R267/H267, 0)</f>
        <v/>
      </c>
      <c r="R267" s="307" t="n">
        <v>20</v>
      </c>
      <c r="S267" s="308" t="n">
        <v>18056</v>
      </c>
      <c r="T267" s="308">
        <f>IFERROR(S267*R267, 0)</f>
        <v/>
      </c>
      <c r="U267" s="313" t="n"/>
      <c r="V267" s="315" t="n"/>
      <c r="W267" s="316" t="n"/>
      <c r="X267" s="311" t="n"/>
      <c r="Y267" s="315" t="n"/>
      <c r="Z267" s="317" t="n"/>
    </row>
    <row r="268" ht="16.5" customHeight="1" s="223">
      <c r="A268" s="322" t="n"/>
      <c r="B268" s="324" t="n"/>
      <c r="C268" s="304" t="n"/>
      <c r="D268" s="304" t="n"/>
      <c r="E268" s="317" t="n"/>
      <c r="F268" s="320" t="n"/>
      <c r="G268" s="317" t="n"/>
      <c r="H268" s="311" t="n">
        <v>1</v>
      </c>
      <c r="I268" s="311" t="inlineStr"/>
      <c r="J268" s="311" t="inlineStr"/>
      <c r="K268" s="309" t="inlineStr">
        <is>
          <t>FOAM MATTRESS *SAMPLE*</t>
        </is>
      </c>
      <c r="L268" s="310" t="inlineStr">
        <is>
          <t>MFM.SAMP-Kemasan</t>
        </is>
      </c>
      <c r="M268" s="311" t="inlineStr"/>
      <c r="N268" s="309" t="inlineStr">
        <is>
          <t>F.MFM.SAMP</t>
        </is>
      </c>
      <c r="O268" s="306" t="n"/>
      <c r="P268" s="306" t="n"/>
      <c r="Q268" s="312">
        <f>IFERROR(R268/H268, 0)</f>
        <v/>
      </c>
      <c r="R268" s="307" t="n">
        <v>20</v>
      </c>
      <c r="S268" s="308" t="n">
        <v>18056</v>
      </c>
      <c r="T268" s="308">
        <f>IFERROR(S268*R268, 0)</f>
        <v/>
      </c>
      <c r="U268" s="313" t="n"/>
      <c r="V268" s="315" t="n"/>
      <c r="W268" s="316" t="n"/>
      <c r="X268" s="311" t="n"/>
      <c r="Y268" s="315" t="n"/>
      <c r="Z268" s="317" t="n"/>
    </row>
    <row r="269" ht="16.5" customHeight="1" s="223">
      <c r="A269" s="322" t="n"/>
      <c r="B269" s="324" t="n"/>
      <c r="C269" s="304" t="n"/>
      <c r="D269" s="304" t="n"/>
      <c r="E269" s="317" t="n"/>
      <c r="F269" s="320" t="n"/>
      <c r="G269" s="317" t="n"/>
      <c r="H269" s="311" t="n">
        <v>1</v>
      </c>
      <c r="I269" s="311" t="inlineStr"/>
      <c r="J269" s="311" t="inlineStr"/>
      <c r="K269" s="309" t="inlineStr">
        <is>
          <t>FOAM MATTRESS *SAMPLE*</t>
        </is>
      </c>
      <c r="L269" s="310" t="inlineStr">
        <is>
          <t>MFM.SAMP-Kemasan</t>
        </is>
      </c>
      <c r="M269" s="311" t="inlineStr"/>
      <c r="N269" s="309" t="inlineStr">
        <is>
          <t>F.MFM.SAMP</t>
        </is>
      </c>
      <c r="O269" s="306" t="n"/>
      <c r="P269" s="306" t="n"/>
      <c r="Q269" s="312">
        <f>IFERROR(R269/H269, 0)</f>
        <v/>
      </c>
      <c r="R269" s="307" t="n">
        <v>20</v>
      </c>
      <c r="S269" s="308" t="n">
        <v>18056</v>
      </c>
      <c r="T269" s="308">
        <f>IFERROR(S269*R269, 0)</f>
        <v/>
      </c>
      <c r="U269" s="313" t="n"/>
      <c r="V269" s="315" t="n"/>
      <c r="W269" s="316" t="n"/>
      <c r="X269" s="311" t="n"/>
      <c r="Y269" s="315" t="n"/>
      <c r="Z269" s="317" t="n"/>
    </row>
    <row r="270" ht="16.5" customHeight="1" s="223">
      <c r="A270" s="322" t="n"/>
      <c r="B270" s="324" t="n"/>
      <c r="C270" s="304" t="n"/>
      <c r="D270" s="304" t="n"/>
      <c r="E270" s="317" t="n"/>
      <c r="F270" s="320" t="n"/>
      <c r="G270" s="317" t="n"/>
      <c r="H270" s="311" t="n">
        <v>1</v>
      </c>
      <c r="I270" s="311" t="inlineStr"/>
      <c r="J270" s="311" t="inlineStr"/>
      <c r="K270" s="309" t="inlineStr">
        <is>
          <t>FOAM MATTRESS *SAMPLE*</t>
        </is>
      </c>
      <c r="L270" s="310" t="inlineStr">
        <is>
          <t>MFM.SAMP-Kemasan</t>
        </is>
      </c>
      <c r="M270" s="311" t="inlineStr"/>
      <c r="N270" s="309" t="inlineStr">
        <is>
          <t>F.MFM.SAMP</t>
        </is>
      </c>
      <c r="O270" s="306" t="n"/>
      <c r="P270" s="306" t="n"/>
      <c r="Q270" s="312">
        <f>IFERROR(R270/H270, 0)</f>
        <v/>
      </c>
      <c r="R270" s="307" t="n">
        <v>20</v>
      </c>
      <c r="S270" s="308" t="n">
        <v>18056</v>
      </c>
      <c r="T270" s="308">
        <f>IFERROR(S270*R270, 0)</f>
        <v/>
      </c>
      <c r="U270" s="313" t="n"/>
      <c r="V270" s="315" t="n"/>
      <c r="W270" s="316" t="n"/>
      <c r="X270" s="311" t="n"/>
      <c r="Y270" s="315" t="n"/>
      <c r="Z270" s="317" t="n"/>
    </row>
    <row r="271" ht="16.5" customHeight="1" s="223">
      <c r="A271" s="322" t="n"/>
      <c r="B271" s="324" t="n"/>
      <c r="C271" s="304" t="n"/>
      <c r="D271" s="304" t="n"/>
      <c r="E271" s="317" t="n"/>
      <c r="F271" s="320" t="n"/>
      <c r="G271" s="317" t="n"/>
      <c r="H271" s="311" t="n">
        <v>1</v>
      </c>
      <c r="I271" s="311" t="inlineStr"/>
      <c r="J271" s="311" t="inlineStr"/>
      <c r="K271" s="309" t="inlineStr">
        <is>
          <t>FOAM MATTRESS *SAMPLE*</t>
        </is>
      </c>
      <c r="L271" s="310" t="inlineStr">
        <is>
          <t>MFM.SAMP-Kemasan</t>
        </is>
      </c>
      <c r="M271" s="311" t="inlineStr"/>
      <c r="N271" s="309" t="inlineStr">
        <is>
          <t>F.MFM.SAMP</t>
        </is>
      </c>
      <c r="O271" s="306" t="n"/>
      <c r="P271" s="306" t="n"/>
      <c r="Q271" s="312">
        <f>IFERROR(R271/H271, 0)</f>
        <v/>
      </c>
      <c r="R271" s="307" t="n">
        <v>20</v>
      </c>
      <c r="S271" s="308" t="n">
        <v>18056</v>
      </c>
      <c r="T271" s="308">
        <f>IFERROR(S271*R271, 0)</f>
        <v/>
      </c>
      <c r="U271" s="313" t="n"/>
      <c r="V271" s="315" t="n"/>
      <c r="W271" s="316" t="n"/>
      <c r="X271" s="311" t="n"/>
      <c r="Y271" s="315" t="n"/>
      <c r="Z271" s="317" t="n"/>
    </row>
    <row r="272" ht="16.5" customHeight="1" s="223">
      <c r="A272" s="322" t="n"/>
      <c r="B272" s="324" t="n"/>
      <c r="C272" s="304" t="n"/>
      <c r="D272" s="304" t="n"/>
      <c r="E272" s="317" t="n"/>
      <c r="F272" s="320" t="n"/>
      <c r="G272" s="317" t="n"/>
      <c r="H272" s="311" t="n">
        <v>1</v>
      </c>
      <c r="I272" s="311" t="inlineStr"/>
      <c r="J272" s="311" t="inlineStr"/>
      <c r="K272" s="309" t="inlineStr">
        <is>
          <t>FOAM MATTRESS *SAMPLE*</t>
        </is>
      </c>
      <c r="L272" s="310" t="inlineStr">
        <is>
          <t>MFM.SAMP-Kemasan</t>
        </is>
      </c>
      <c r="M272" s="311" t="inlineStr"/>
      <c r="N272" s="309" t="inlineStr">
        <is>
          <t>F.MFM.SAMP</t>
        </is>
      </c>
      <c r="O272" s="306" t="n"/>
      <c r="P272" s="306" t="n"/>
      <c r="Q272" s="312">
        <f>IFERROR(R272/H272, 0)</f>
        <v/>
      </c>
      <c r="R272" s="307" t="n">
        <v>20</v>
      </c>
      <c r="S272" s="308" t="n">
        <v>18056</v>
      </c>
      <c r="T272" s="308">
        <f>IFERROR(S272*R272, 0)</f>
        <v/>
      </c>
      <c r="U272" s="313" t="n"/>
      <c r="V272" s="315" t="n"/>
      <c r="W272" s="316" t="n"/>
      <c r="X272" s="311" t="n"/>
      <c r="Y272" s="315" t="n"/>
      <c r="Z272" s="317" t="n"/>
    </row>
    <row r="273" ht="16.5" customHeight="1" s="223">
      <c r="A273" s="322" t="n"/>
      <c r="B273" s="324" t="n"/>
      <c r="C273" s="304" t="n"/>
      <c r="D273" s="304" t="n"/>
      <c r="E273" s="317" t="n"/>
      <c r="F273" s="320" t="n"/>
      <c r="G273" s="317" t="n"/>
      <c r="H273" s="311" t="n">
        <v>1</v>
      </c>
      <c r="I273" s="311" t="inlineStr"/>
      <c r="J273" s="311" t="inlineStr"/>
      <c r="K273" s="309" t="inlineStr">
        <is>
          <t>FOAM MATTRESS *SAMPLE*</t>
        </is>
      </c>
      <c r="L273" s="310" t="inlineStr">
        <is>
          <t>MFM.SAMP-Kemasan</t>
        </is>
      </c>
      <c r="M273" s="311" t="inlineStr"/>
      <c r="N273" s="309" t="inlineStr">
        <is>
          <t>F.MFM.SAMP</t>
        </is>
      </c>
      <c r="O273" s="306" t="n"/>
      <c r="P273" s="306" t="n"/>
      <c r="Q273" s="312">
        <f>IFERROR(R273/H273, 0)</f>
        <v/>
      </c>
      <c r="R273" s="307" t="n">
        <v>20</v>
      </c>
      <c r="S273" s="308" t="n">
        <v>18056</v>
      </c>
      <c r="T273" s="308">
        <f>IFERROR(S273*R273, 0)</f>
        <v/>
      </c>
      <c r="U273" s="313" t="n"/>
      <c r="V273" s="315" t="n"/>
      <c r="W273" s="316" t="n"/>
      <c r="X273" s="311" t="n"/>
      <c r="Y273" s="315" t="n"/>
      <c r="Z273" s="317" t="n"/>
    </row>
    <row r="274" ht="16.5" customHeight="1" s="223">
      <c r="A274" s="322" t="n"/>
      <c r="B274" s="324" t="n"/>
      <c r="C274" s="304" t="n"/>
      <c r="D274" s="304" t="n"/>
      <c r="E274" s="317" t="n"/>
      <c r="F274" s="320" t="n"/>
      <c r="G274" s="317" t="n"/>
      <c r="H274" s="311" t="n">
        <v>1</v>
      </c>
      <c r="I274" s="311" t="inlineStr"/>
      <c r="J274" s="311" t="inlineStr"/>
      <c r="K274" s="309" t="inlineStr">
        <is>
          <t>FOAM MATTRESS *SAMPLE*</t>
        </is>
      </c>
      <c r="L274" s="310" t="inlineStr">
        <is>
          <t>MFM.SAMP-Kemasan</t>
        </is>
      </c>
      <c r="M274" s="311" t="inlineStr"/>
      <c r="N274" s="309" t="inlineStr">
        <is>
          <t>F.MFM.SAMP</t>
        </is>
      </c>
      <c r="O274" s="306" t="n"/>
      <c r="P274" s="306" t="n"/>
      <c r="Q274" s="312">
        <f>IFERROR(R274/H274, 0)</f>
        <v/>
      </c>
      <c r="R274" s="307" t="n">
        <v>20</v>
      </c>
      <c r="S274" s="308" t="n">
        <v>18056</v>
      </c>
      <c r="T274" s="308">
        <f>IFERROR(S274*R274, 0)</f>
        <v/>
      </c>
      <c r="U274" s="313" t="n"/>
      <c r="V274" s="315" t="n"/>
      <c r="W274" s="316" t="n"/>
      <c r="X274" s="311" t="n"/>
      <c r="Y274" s="315" t="n"/>
      <c r="Z274" s="317" t="n"/>
    </row>
    <row r="275" ht="17.1" customHeight="1" s="223">
      <c r="A275" s="325" t="n"/>
      <c r="B275" s="326" t="n"/>
      <c r="C275" s="327" t="n"/>
      <c r="D275" s="327" t="n"/>
      <c r="E275" s="328" t="n"/>
      <c r="F275" s="328" t="n"/>
      <c r="G275" s="328" t="n"/>
      <c r="H275" s="329">
        <f>SUM(H264:H274)</f>
        <v/>
      </c>
      <c r="I275" s="330">
        <f>COUNTA(I264:I274)</f>
        <v/>
      </c>
      <c r="J275" s="329" t="n"/>
      <c r="K275" s="329" t="n"/>
      <c r="L275" s="331" t="n"/>
      <c r="M275" s="329" t="n"/>
      <c r="N275" s="329" t="n"/>
      <c r="O275" s="332">
        <f>SUM(O264:O274)</f>
        <v/>
      </c>
      <c r="P275" s="332">
        <f>SUM(P264:P274)</f>
        <v/>
      </c>
      <c r="Q275" s="333" t="n"/>
      <c r="R275" s="334">
        <f>SUM(R264:R274)</f>
        <v/>
      </c>
      <c r="S275" s="335" t="n"/>
      <c r="T275" s="335">
        <f>SUM(T264:T274)</f>
        <v/>
      </c>
      <c r="U275" s="329" t="n"/>
      <c r="V275" s="336" t="n"/>
      <c r="W275" s="337" t="n"/>
      <c r="X275" s="336" t="n"/>
      <c r="Y275" s="336" t="n"/>
      <c r="Z275" s="336" t="n"/>
    </row>
    <row r="276" ht="16.5" customHeight="1" s="223">
      <c r="A276" s="322" t="n">
        <v>36</v>
      </c>
      <c r="B276" s="324" t="inlineStr">
        <is>
          <t>000030ZIK48020260729000539</t>
        </is>
      </c>
      <c r="C276" s="304" t="n">
        <v>472182</v>
      </c>
      <c r="D276" s="304" t="n">
        <v>472145</v>
      </c>
      <c r="E276" s="317" t="n">
        <v>46233</v>
      </c>
      <c r="F276" s="320" t="inlineStr">
        <is>
          <t>ID2607-7961</t>
        </is>
      </c>
      <c r="G276" s="317" t="n">
        <v>46232</v>
      </c>
      <c r="H276" s="311" t="n">
        <v>520</v>
      </c>
      <c r="I276" s="311" t="inlineStr">
        <is>
          <t>KOCU5135134</t>
        </is>
      </c>
      <c r="J276" s="311" t="inlineStr">
        <is>
          <t>40FT</t>
        </is>
      </c>
      <c r="K276" s="309" t="inlineStr">
        <is>
          <t>8IN GREEN TEA MF MATTRESS FL</t>
        </is>
      </c>
      <c r="L276" s="310" t="inlineStr">
        <is>
          <t>SCF-STR-800F</t>
        </is>
      </c>
      <c r="M276" s="311" t="inlineStr">
        <is>
          <t>0993630679</t>
        </is>
      </c>
      <c r="N276" s="309" t="inlineStr">
        <is>
          <t>F.MFM.08F.000.WS</t>
        </is>
      </c>
      <c r="O276" s="306" t="n">
        <v>10618.4</v>
      </c>
      <c r="P276" s="306" t="n">
        <v>9370.4</v>
      </c>
      <c r="Q276" s="312">
        <f>IFERROR(R276/H276, 0)</f>
        <v/>
      </c>
      <c r="R276" s="307" t="n">
        <v>41480.4</v>
      </c>
      <c r="S276" s="308" t="n">
        <v>18056</v>
      </c>
      <c r="T276" s="308">
        <f>IFERROR(S276*R276, 0)</f>
        <v/>
      </c>
      <c r="U276" s="313" t="inlineStr">
        <is>
          <t>040300/KPPBC</t>
        </is>
      </c>
      <c r="V276" s="315" t="inlineStr">
        <is>
          <t>TG. PRIOK</t>
        </is>
      </c>
      <c r="W276" s="316" t="inlineStr">
        <is>
          <t>MOBILE</t>
        </is>
      </c>
      <c r="X276" s="311" t="inlineStr">
        <is>
          <t>WALMART, INC.</t>
        </is>
      </c>
      <c r="Y276" s="315" t="inlineStr">
        <is>
          <t>HDMUJKTM86943402</t>
        </is>
      </c>
      <c r="Z276" s="317" t="n">
        <v>46233</v>
      </c>
    </row>
    <row r="277" ht="16.5" customHeight="1" s="223">
      <c r="A277" s="322" t="n"/>
      <c r="B277" s="324" t="n"/>
      <c r="C277" s="304" t="n"/>
      <c r="D277" s="304" t="n"/>
      <c r="E277" s="317" t="n"/>
      <c r="F277" s="320" t="n"/>
      <c r="G277" s="317" t="n"/>
      <c r="H277" s="311" t="n"/>
      <c r="I277" s="311" t="n"/>
      <c r="J277" s="311" t="n"/>
      <c r="K277" s="309" t="n"/>
      <c r="L277" s="310" t="n"/>
      <c r="M277" s="311" t="n"/>
      <c r="N277" s="309" t="n"/>
      <c r="O277" s="306" t="n"/>
      <c r="P277" s="306" t="n"/>
      <c r="Q277" s="312" t="n"/>
      <c r="R277" s="307" t="n"/>
      <c r="S277" s="308" t="n"/>
      <c r="T277" s="308" t="n"/>
      <c r="U277" s="313" t="n"/>
      <c r="V277" s="315" t="n"/>
      <c r="W277" s="316" t="inlineStr">
        <is>
          <t>ETD : 27-07-2026</t>
        </is>
      </c>
      <c r="X277" s="311" t="n"/>
      <c r="Y277" s="315" t="n"/>
      <c r="Z277" s="317" t="n"/>
    </row>
    <row r="278" ht="17.1" customHeight="1" s="223">
      <c r="A278" s="325" t="n"/>
      <c r="B278" s="326" t="n"/>
      <c r="C278" s="327" t="n"/>
      <c r="D278" s="327" t="n"/>
      <c r="E278" s="328" t="n"/>
      <c r="F278" s="328" t="n"/>
      <c r="G278" s="328" t="n"/>
      <c r="H278" s="329">
        <f>SUM(H276:H277)</f>
        <v/>
      </c>
      <c r="I278" s="330">
        <f>COUNTA(I276:I277)</f>
        <v/>
      </c>
      <c r="J278" s="329" t="n"/>
      <c r="K278" s="329" t="n"/>
      <c r="L278" s="331" t="n"/>
      <c r="M278" s="329" t="n"/>
      <c r="N278" s="329" t="n"/>
      <c r="O278" s="332">
        <f>SUM(O276:O277)</f>
        <v/>
      </c>
      <c r="P278" s="332">
        <f>SUM(P276:P277)</f>
        <v/>
      </c>
      <c r="Q278" s="333" t="n"/>
      <c r="R278" s="334">
        <f>SUM(R276:R277)</f>
        <v/>
      </c>
      <c r="S278" s="335" t="n"/>
      <c r="T278" s="335">
        <f>SUM(T276:T277)</f>
        <v/>
      </c>
      <c r="U278" s="329" t="n"/>
      <c r="V278" s="336" t="n"/>
      <c r="W278" s="337" t="n"/>
      <c r="X278" s="336" t="n"/>
      <c r="Y278" s="336" t="n"/>
      <c r="Z278" s="336" t="n"/>
    </row>
    <row r="279" ht="16.5" customHeight="1" s="223">
      <c r="A279" s="322" t="n">
        <v>37</v>
      </c>
      <c r="B279" s="324" t="inlineStr">
        <is>
          <t>000030ZIK48020260729000540</t>
        </is>
      </c>
      <c r="C279" s="304" t="n">
        <v>472148</v>
      </c>
      <c r="D279" s="304" t="n">
        <v>472112</v>
      </c>
      <c r="E279" s="317" t="n">
        <v>46233</v>
      </c>
      <c r="F279" s="320" t="inlineStr">
        <is>
          <t>ID2607-7960</t>
        </is>
      </c>
      <c r="G279" s="317" t="n">
        <v>46232</v>
      </c>
      <c r="H279" s="311" t="n">
        <v>450</v>
      </c>
      <c r="I279" s="311" t="inlineStr">
        <is>
          <t>HMMU4768363</t>
        </is>
      </c>
      <c r="J279" s="311" t="inlineStr">
        <is>
          <t>40FT</t>
        </is>
      </c>
      <c r="K279" s="309" t="inlineStr">
        <is>
          <t>8IN GREEN TEA MF MATTRESS QN</t>
        </is>
      </c>
      <c r="L279" s="310" t="inlineStr">
        <is>
          <t>SCF-STR</t>
        </is>
      </c>
      <c r="M279" s="311" t="inlineStr">
        <is>
          <t>0993631069</t>
        </is>
      </c>
      <c r="N279" s="309" t="inlineStr">
        <is>
          <t>F.MFM.08Q.000.WS</t>
        </is>
      </c>
      <c r="O279" s="306" t="n">
        <v>10755</v>
      </c>
      <c r="P279" s="306" t="n">
        <v>9594</v>
      </c>
      <c r="Q279" s="312">
        <f>IFERROR(R279/H279, 0)</f>
        <v/>
      </c>
      <c r="R279" s="307" t="n">
        <v>42286.5</v>
      </c>
      <c r="S279" s="308" t="n">
        <v>18056</v>
      </c>
      <c r="T279" s="308">
        <f>IFERROR(S279*R279, 0)</f>
        <v/>
      </c>
      <c r="U279" s="313" t="inlineStr">
        <is>
          <t>040300/KPPBC</t>
        </is>
      </c>
      <c r="V279" s="315" t="inlineStr">
        <is>
          <t>TG. PRIOK</t>
        </is>
      </c>
      <c r="W279" s="316" t="inlineStr">
        <is>
          <t>MOBILE</t>
        </is>
      </c>
      <c r="X279" s="311" t="inlineStr">
        <is>
          <t>WALMART, INC.</t>
        </is>
      </c>
      <c r="Y279" s="315" t="inlineStr">
        <is>
          <t>HDMUJKTM86943401</t>
        </is>
      </c>
      <c r="Z279" s="317" t="n">
        <v>46233</v>
      </c>
    </row>
    <row r="280" ht="16.5" customHeight="1" s="223">
      <c r="A280" s="322" t="n"/>
      <c r="B280" s="324" t="n"/>
      <c r="C280" s="304" t="n"/>
      <c r="D280" s="304" t="n"/>
      <c r="E280" s="317" t="n"/>
      <c r="F280" s="320" t="n"/>
      <c r="G280" s="317" t="n"/>
      <c r="H280" s="311" t="n"/>
      <c r="I280" s="311" t="n"/>
      <c r="J280" s="311" t="n"/>
      <c r="K280" s="309" t="n"/>
      <c r="L280" s="310" t="n"/>
      <c r="M280" s="311" t="n"/>
      <c r="N280" s="309" t="n"/>
      <c r="O280" s="306" t="n"/>
      <c r="P280" s="306" t="n"/>
      <c r="Q280" s="312" t="n"/>
      <c r="R280" s="307" t="n"/>
      <c r="S280" s="308" t="n"/>
      <c r="T280" s="308" t="n"/>
      <c r="U280" s="313" t="n"/>
      <c r="V280" s="315" t="n"/>
      <c r="W280" s="316" t="inlineStr">
        <is>
          <t>ETD : 27-07-2026</t>
        </is>
      </c>
      <c r="X280" s="311" t="n"/>
      <c r="Y280" s="315" t="n"/>
      <c r="Z280" s="317" t="n"/>
    </row>
    <row r="281" ht="17.1" customHeight="1" s="223">
      <c r="A281" s="325" t="n"/>
      <c r="B281" s="326" t="n"/>
      <c r="C281" s="327" t="n"/>
      <c r="D281" s="327" t="n"/>
      <c r="E281" s="328" t="n"/>
      <c r="F281" s="328" t="n"/>
      <c r="G281" s="328" t="n"/>
      <c r="H281" s="329">
        <f>SUM(H279:H280)</f>
        <v/>
      </c>
      <c r="I281" s="330">
        <f>COUNTA(I279:I280)</f>
        <v/>
      </c>
      <c r="J281" s="329" t="n"/>
      <c r="K281" s="329" t="n"/>
      <c r="L281" s="331" t="n"/>
      <c r="M281" s="329" t="n"/>
      <c r="N281" s="329" t="n"/>
      <c r="O281" s="332">
        <f>SUM(O279:O280)</f>
        <v/>
      </c>
      <c r="P281" s="332">
        <f>SUM(P279:P280)</f>
        <v/>
      </c>
      <c r="Q281" s="333" t="n"/>
      <c r="R281" s="334">
        <f>SUM(R279:R280)</f>
        <v/>
      </c>
      <c r="S281" s="335" t="n"/>
      <c r="T281" s="335">
        <f>SUM(T279:T280)</f>
        <v/>
      </c>
      <c r="U281" s="329" t="n"/>
      <c r="V281" s="336" t="n"/>
      <c r="W281" s="337" t="n"/>
      <c r="X281" s="336" t="n"/>
      <c r="Y281" s="336" t="n"/>
      <c r="Z281" s="336" t="n"/>
    </row>
    <row r="282" ht="16.5" customHeight="1" s="223">
      <c r="A282" s="322" t="n">
        <v>38</v>
      </c>
      <c r="B282" s="324" t="inlineStr">
        <is>
          <t>000030ZIK48020260729000541</t>
        </is>
      </c>
      <c r="C282" s="304" t="n">
        <v>472102</v>
      </c>
      <c r="D282" s="304" t="n">
        <v>472066</v>
      </c>
      <c r="E282" s="317" t="n">
        <v>46233</v>
      </c>
      <c r="F282" s="320" t="inlineStr">
        <is>
          <t>ID2607-7959</t>
        </is>
      </c>
      <c r="G282" s="317" t="n">
        <v>46232</v>
      </c>
      <c r="H282" s="311" t="n">
        <v>693</v>
      </c>
      <c r="I282" s="311" t="inlineStr">
        <is>
          <t>HMMU7054400</t>
        </is>
      </c>
      <c r="J282" s="311" t="inlineStr">
        <is>
          <t>40FT</t>
        </is>
      </c>
      <c r="K282" s="309" t="inlineStr">
        <is>
          <t>8IN GREEN TEA MF MATTRESS TW</t>
        </is>
      </c>
      <c r="L282" s="310" t="inlineStr">
        <is>
          <t>SCF-STR-800T</t>
        </is>
      </c>
      <c r="M282" s="311" t="inlineStr">
        <is>
          <t>0993631223</t>
        </is>
      </c>
      <c r="N282" s="309" t="inlineStr">
        <is>
          <t>F.MFM.08T.000.WS</t>
        </is>
      </c>
      <c r="O282" s="306" t="n">
        <v>10526.67</v>
      </c>
      <c r="P282" s="306" t="n">
        <v>9140.67</v>
      </c>
      <c r="Q282" s="312">
        <f>IFERROR(R282/H282, 0)</f>
        <v/>
      </c>
      <c r="R282" s="307" t="n">
        <v>42619.5</v>
      </c>
      <c r="S282" s="308" t="n">
        <v>18056</v>
      </c>
      <c r="T282" s="308">
        <f>IFERROR(S282*R282, 0)</f>
        <v/>
      </c>
      <c r="U282" s="313" t="inlineStr">
        <is>
          <t>040300/KPPBC</t>
        </is>
      </c>
      <c r="V282" s="315" t="inlineStr">
        <is>
          <t>TG. PRIOK</t>
        </is>
      </c>
      <c r="W282" s="316" t="inlineStr">
        <is>
          <t>MOBILE</t>
        </is>
      </c>
      <c r="X282" s="311" t="inlineStr">
        <is>
          <t>WALMART, INC.</t>
        </is>
      </c>
      <c r="Y282" s="315" t="inlineStr">
        <is>
          <t>HDMUJKTM86943400</t>
        </is>
      </c>
      <c r="Z282" s="317" t="n">
        <v>46233</v>
      </c>
    </row>
    <row r="283" ht="16.5" customHeight="1" s="223">
      <c r="A283" s="322" t="n"/>
      <c r="B283" s="324" t="n"/>
      <c r="C283" s="304" t="n"/>
      <c r="D283" s="304" t="n"/>
      <c r="E283" s="317" t="n"/>
      <c r="F283" s="320" t="n"/>
      <c r="G283" s="317" t="n"/>
      <c r="H283" s="311" t="n"/>
      <c r="I283" s="311" t="n"/>
      <c r="J283" s="311" t="n"/>
      <c r="K283" s="309" t="n"/>
      <c r="L283" s="310" t="n"/>
      <c r="M283" s="311" t="n"/>
      <c r="N283" s="309" t="n"/>
      <c r="O283" s="306" t="n"/>
      <c r="P283" s="306" t="n"/>
      <c r="Q283" s="312" t="n"/>
      <c r="R283" s="307" t="n"/>
      <c r="S283" s="308" t="n"/>
      <c r="T283" s="308" t="n"/>
      <c r="U283" s="313" t="n"/>
      <c r="V283" s="315" t="n"/>
      <c r="W283" s="316" t="inlineStr">
        <is>
          <t>ETD : 27-07-2026</t>
        </is>
      </c>
      <c r="X283" s="311" t="n"/>
      <c r="Y283" s="315" t="n"/>
      <c r="Z283" s="317" t="n"/>
    </row>
    <row r="284" ht="17.1" customHeight="1" s="223">
      <c r="A284" s="325" t="n"/>
      <c r="B284" s="326" t="n"/>
      <c r="C284" s="327" t="n"/>
      <c r="D284" s="327" t="n"/>
      <c r="E284" s="328" t="n"/>
      <c r="F284" s="328" t="n"/>
      <c r="G284" s="328" t="n"/>
      <c r="H284" s="329">
        <f>SUM(H282:H283)</f>
        <v/>
      </c>
      <c r="I284" s="330">
        <f>COUNTA(I282:I283)</f>
        <v/>
      </c>
      <c r="J284" s="329" t="n"/>
      <c r="K284" s="329" t="n"/>
      <c r="L284" s="331" t="n"/>
      <c r="M284" s="329" t="n"/>
      <c r="N284" s="329" t="n"/>
      <c r="O284" s="332">
        <f>SUM(O282:O283)</f>
        <v/>
      </c>
      <c r="P284" s="332">
        <f>SUM(P282:P283)</f>
        <v/>
      </c>
      <c r="Q284" s="333" t="n"/>
      <c r="R284" s="334">
        <f>SUM(R282:R283)</f>
        <v/>
      </c>
      <c r="S284" s="335" t="n"/>
      <c r="T284" s="335">
        <f>SUM(T282:T283)</f>
        <v/>
      </c>
      <c r="U284" s="329" t="n"/>
      <c r="V284" s="336" t="n"/>
      <c r="W284" s="337" t="n"/>
      <c r="X284" s="336" t="n"/>
      <c r="Y284" s="336" t="n"/>
      <c r="Z284" s="336" t="n"/>
    </row>
    <row r="285" ht="16.5" customHeight="1" s="223">
      <c r="A285" s="322" t="n">
        <v>39</v>
      </c>
      <c r="B285" s="324" t="inlineStr">
        <is>
          <t>000030ZIK48020260729000542</t>
        </is>
      </c>
      <c r="C285" s="304" t="n">
        <v>472028</v>
      </c>
      <c r="D285" s="304" t="n">
        <v>471992</v>
      </c>
      <c r="E285" s="317" t="n">
        <v>46233</v>
      </c>
      <c r="F285" s="320" t="inlineStr">
        <is>
          <t>ID2607-7962</t>
        </is>
      </c>
      <c r="G285" s="317" t="n">
        <v>46232</v>
      </c>
      <c r="H285" s="311" t="n">
        <v>693</v>
      </c>
      <c r="I285" s="311" t="inlineStr">
        <is>
          <t>TLLU5275270</t>
        </is>
      </c>
      <c r="J285" s="311" t="inlineStr">
        <is>
          <t>40FT</t>
        </is>
      </c>
      <c r="K285" s="309" t="inlineStr">
        <is>
          <t>8IN GREEN TEA MF MATTRESS TW</t>
        </is>
      </c>
      <c r="L285" s="310" t="inlineStr">
        <is>
          <t>SCF-STR-800T</t>
        </is>
      </c>
      <c r="M285" s="311" t="inlineStr">
        <is>
          <t>0993631128</t>
        </is>
      </c>
      <c r="N285" s="309" t="inlineStr">
        <is>
          <t>F.MFM.08T.000.WS</t>
        </is>
      </c>
      <c r="O285" s="306" t="n">
        <v>10526.67</v>
      </c>
      <c r="P285" s="306" t="n">
        <v>9140.67</v>
      </c>
      <c r="Q285" s="312">
        <f>IFERROR(R285/H285, 0)</f>
        <v/>
      </c>
      <c r="R285" s="307" t="n">
        <v>42619.5</v>
      </c>
      <c r="S285" s="308" t="n">
        <v>18056</v>
      </c>
      <c r="T285" s="308">
        <f>IFERROR(S285*R285, 0)</f>
        <v/>
      </c>
      <c r="U285" s="313" t="inlineStr">
        <is>
          <t>040300/KPPBC</t>
        </is>
      </c>
      <c r="V285" s="315" t="inlineStr">
        <is>
          <t>TG. PRIOK</t>
        </is>
      </c>
      <c r="W285" s="316" t="inlineStr">
        <is>
          <t>NORFOLK</t>
        </is>
      </c>
      <c r="X285" s="311" t="inlineStr">
        <is>
          <t>WALMART, INC.</t>
        </is>
      </c>
      <c r="Y285" s="315" t="inlineStr">
        <is>
          <t>HLCUJK1260743840</t>
        </is>
      </c>
      <c r="Z285" s="317" t="n">
        <v>46233</v>
      </c>
    </row>
    <row r="286" ht="16.5" customHeight="1" s="223">
      <c r="A286" s="322" t="n"/>
      <c r="B286" s="324" t="n"/>
      <c r="C286" s="304" t="n"/>
      <c r="D286" s="304" t="n"/>
      <c r="E286" s="317" t="n"/>
      <c r="F286" s="320" t="n"/>
      <c r="G286" s="317" t="n"/>
      <c r="H286" s="311" t="n"/>
      <c r="I286" s="311" t="n"/>
      <c r="J286" s="311" t="n"/>
      <c r="K286" s="309" t="n"/>
      <c r="L286" s="310" t="n"/>
      <c r="M286" s="311" t="n"/>
      <c r="N286" s="309" t="n"/>
      <c r="O286" s="306" t="n"/>
      <c r="P286" s="306" t="n"/>
      <c r="Q286" s="312" t="n"/>
      <c r="R286" s="307" t="n"/>
      <c r="S286" s="308" t="n"/>
      <c r="T286" s="308" t="n"/>
      <c r="U286" s="313" t="n"/>
      <c r="V286" s="315" t="n"/>
      <c r="W286" s="316" t="inlineStr">
        <is>
          <t>ETD : 27-07-2026</t>
        </is>
      </c>
      <c r="X286" s="311" t="n"/>
      <c r="Y286" s="315" t="n"/>
      <c r="Z286" s="317" t="n"/>
    </row>
    <row r="287" ht="17.1" customHeight="1" s="223">
      <c r="A287" s="325" t="n"/>
      <c r="B287" s="326" t="n"/>
      <c r="C287" s="327" t="n"/>
      <c r="D287" s="327" t="n"/>
      <c r="E287" s="328" t="n"/>
      <c r="F287" s="328" t="n"/>
      <c r="G287" s="328" t="n"/>
      <c r="H287" s="329">
        <f>SUM(H285:H286)</f>
        <v/>
      </c>
      <c r="I287" s="330">
        <f>COUNTA(I285:I286)</f>
        <v/>
      </c>
      <c r="J287" s="329" t="n"/>
      <c r="K287" s="329" t="n"/>
      <c r="L287" s="331" t="n"/>
      <c r="M287" s="329" t="n"/>
      <c r="N287" s="329" t="n"/>
      <c r="O287" s="332">
        <f>SUM(O285:O286)</f>
        <v/>
      </c>
      <c r="P287" s="332">
        <f>SUM(P285:P286)</f>
        <v/>
      </c>
      <c r="Q287" s="333" t="n"/>
      <c r="R287" s="334">
        <f>SUM(R285:R286)</f>
        <v/>
      </c>
      <c r="S287" s="335" t="n"/>
      <c r="T287" s="335">
        <f>SUM(T285:T286)</f>
        <v/>
      </c>
      <c r="U287" s="329" t="n"/>
      <c r="V287" s="336" t="n"/>
      <c r="W287" s="337" t="n"/>
      <c r="X287" s="336" t="n"/>
      <c r="Y287" s="336" t="n"/>
      <c r="Z287" s="336" t="n"/>
    </row>
    <row r="288" ht="16.5" customHeight="1" s="223">
      <c r="A288" s="322" t="n">
        <v>40</v>
      </c>
      <c r="B288" s="324" t="inlineStr">
        <is>
          <t>000030ZIK48020260729000543</t>
        </is>
      </c>
      <c r="C288" s="304" t="n">
        <v>474106</v>
      </c>
      <c r="D288" s="304" t="n">
        <v>474066</v>
      </c>
      <c r="E288" s="317" t="n">
        <v>46233</v>
      </c>
      <c r="F288" s="320" t="inlineStr">
        <is>
          <t>ID2607-7925</t>
        </is>
      </c>
      <c r="G288" s="317" t="n">
        <v>46230</v>
      </c>
      <c r="H288" s="311" t="n">
        <v>2080</v>
      </c>
      <c r="I288" s="311" t="inlineStr">
        <is>
          <t>CMAU6824516</t>
        </is>
      </c>
      <c r="J288" s="311" t="inlineStr">
        <is>
          <t>40FT</t>
        </is>
      </c>
      <c r="K288" s="309" t="inlineStr">
        <is>
          <t>8IN GREEN TEA MF MATTRESS FL</t>
        </is>
      </c>
      <c r="L288" s="310" t="inlineStr">
        <is>
          <t>SCF-STR-800F</t>
        </is>
      </c>
      <c r="M288" s="311" t="inlineStr">
        <is>
          <t>0993630570</t>
        </is>
      </c>
      <c r="N288" s="309" t="inlineStr">
        <is>
          <t>F.MFM.08F.000.WS</t>
        </is>
      </c>
      <c r="O288" s="306" t="n">
        <v>42473.6</v>
      </c>
      <c r="P288" s="306" t="n">
        <v>37481.6</v>
      </c>
      <c r="Q288" s="312">
        <f>IFERROR(R288/H288, 0)</f>
        <v/>
      </c>
      <c r="R288" s="307" t="n">
        <v>165921.6</v>
      </c>
      <c r="S288" s="308" t="n">
        <v>18056</v>
      </c>
      <c r="T288" s="308">
        <f>IFERROR(S288*R288, 0)</f>
        <v/>
      </c>
      <c r="U288" s="313" t="inlineStr">
        <is>
          <t>040300/KPPBC</t>
        </is>
      </c>
      <c r="V288" s="315" t="inlineStr">
        <is>
          <t>TG. PRIOK</t>
        </is>
      </c>
      <c r="W288" s="316" t="inlineStr">
        <is>
          <t>LOS ANGELES</t>
        </is>
      </c>
      <c r="X288" s="311" t="inlineStr">
        <is>
          <t>WALMART, INC.</t>
        </is>
      </c>
      <c r="Y288" s="315" t="inlineStr">
        <is>
          <t>CMDUDJA1502419</t>
        </is>
      </c>
      <c r="Z288" s="317" t="n">
        <v>46233</v>
      </c>
    </row>
    <row r="289" ht="16.5" customHeight="1" s="223">
      <c r="A289" s="322" t="n"/>
      <c r="B289" s="324" t="n"/>
      <c r="C289" s="304" t="n"/>
      <c r="D289" s="304" t="n"/>
      <c r="E289" s="317" t="n"/>
      <c r="F289" s="320" t="n"/>
      <c r="G289" s="317" t="n"/>
      <c r="H289" s="311" t="n"/>
      <c r="I289" s="311" t="n"/>
      <c r="J289" s="311" t="n"/>
      <c r="K289" s="309" t="n"/>
      <c r="L289" s="310" t="n"/>
      <c r="M289" s="311" t="n"/>
      <c r="N289" s="309" t="n"/>
      <c r="O289" s="306" t="n"/>
      <c r="P289" s="306" t="n"/>
      <c r="Q289" s="312" t="n"/>
      <c r="R289" s="307" t="n"/>
      <c r="S289" s="308" t="n"/>
      <c r="T289" s="308" t="n"/>
      <c r="U289" s="313" t="n"/>
      <c r="V289" s="315" t="n"/>
      <c r="W289" s="316" t="inlineStr">
        <is>
          <t>ETD : 27-07-2026</t>
        </is>
      </c>
      <c r="X289" s="311" t="n"/>
      <c r="Y289" s="315" t="n"/>
      <c r="Z289" s="317" t="n"/>
    </row>
    <row r="290" ht="17.1" customHeight="1" s="223">
      <c r="A290" s="325" t="n"/>
      <c r="B290" s="326" t="n"/>
      <c r="C290" s="327" t="n"/>
      <c r="D290" s="327" t="n"/>
      <c r="E290" s="328" t="n"/>
      <c r="F290" s="328" t="n"/>
      <c r="G290" s="328" t="n"/>
      <c r="H290" s="329">
        <f>SUM(H288:H289)</f>
        <v/>
      </c>
      <c r="I290" s="330">
        <f>COUNTA(I288:I289)</f>
        <v/>
      </c>
      <c r="J290" s="329" t="n"/>
      <c r="K290" s="329" t="n"/>
      <c r="L290" s="331" t="n"/>
      <c r="M290" s="329" t="n"/>
      <c r="N290" s="329" t="n"/>
      <c r="O290" s="332">
        <f>SUM(O288:O289)</f>
        <v/>
      </c>
      <c r="P290" s="332">
        <f>SUM(P288:P289)</f>
        <v/>
      </c>
      <c r="Q290" s="333" t="n"/>
      <c r="R290" s="334">
        <f>SUM(R288:R289)</f>
        <v/>
      </c>
      <c r="S290" s="335" t="n"/>
      <c r="T290" s="335">
        <f>SUM(T288:T289)</f>
        <v/>
      </c>
      <c r="U290" s="329" t="n"/>
      <c r="V290" s="336" t="n"/>
      <c r="W290" s="337" t="n"/>
      <c r="X290" s="336" t="n"/>
      <c r="Y290" s="336" t="n"/>
      <c r="Z290" s="336" t="n"/>
    </row>
    <row r="291" ht="16.5" customHeight="1" s="223">
      <c r="A291" s="322" t="n">
        <v>41</v>
      </c>
      <c r="B291" s="324" t="inlineStr">
        <is>
          <t>000030ZIK48020260729000544</t>
        </is>
      </c>
      <c r="C291" s="304" t="n">
        <v>472824</v>
      </c>
      <c r="D291" s="304" t="n">
        <v>472787</v>
      </c>
      <c r="E291" s="317" t="n">
        <v>46233</v>
      </c>
      <c r="F291" s="320" t="inlineStr">
        <is>
          <t>ID2607-7942</t>
        </is>
      </c>
      <c r="G291" s="317" t="n">
        <v>46231</v>
      </c>
      <c r="H291" s="311" t="n">
        <v>90</v>
      </c>
      <c r="I291" s="311" t="inlineStr">
        <is>
          <t>TGHU6330809</t>
        </is>
      </c>
      <c r="J291" s="311" t="inlineStr">
        <is>
          <t>40FT</t>
        </is>
      </c>
      <c r="K291" s="309" t="inlineStr">
        <is>
          <t>6IN MYGEL FOAM MATTRESS QN</t>
        </is>
      </c>
      <c r="L291" s="310" t="inlineStr">
        <is>
          <t>ZU-MFGN1YZI-06Q</t>
        </is>
      </c>
      <c r="M291" s="311" t="inlineStr">
        <is>
          <t>1773VF4Z</t>
        </is>
      </c>
      <c r="N291" s="309" t="inlineStr">
        <is>
          <t>F.MFG.06Q.002.AD</t>
        </is>
      </c>
      <c r="O291" s="306" t="n">
        <v>62226.65</v>
      </c>
      <c r="P291" s="306" t="n">
        <v>54371.08</v>
      </c>
      <c r="Q291" s="312">
        <f>IFERROR(R291/H291, 0)</f>
        <v/>
      </c>
      <c r="R291" s="307" t="n">
        <v>4311.9</v>
      </c>
      <c r="S291" s="308" t="n">
        <v>18056</v>
      </c>
      <c r="T291" s="308">
        <f>IFERROR(S291*R291, 0)</f>
        <v/>
      </c>
      <c r="U291" s="313" t="inlineStr">
        <is>
          <t>040300/KPPBC</t>
        </is>
      </c>
      <c r="V291" s="315" t="inlineStr">
        <is>
          <t>TG. PRIOK</t>
        </is>
      </c>
      <c r="W291" s="316" t="inlineStr">
        <is>
          <t>LOS ANGELES</t>
        </is>
      </c>
      <c r="X291" s="311" t="inlineStr">
        <is>
          <t>AMAZON.COM SERVICES LLC</t>
        </is>
      </c>
      <c r="Y291" s="315" t="inlineStr">
        <is>
          <t>CMDUDJA1507934</t>
        </is>
      </c>
      <c r="Z291" s="317" t="n">
        <v>46233</v>
      </c>
    </row>
    <row r="292" ht="16.5" customHeight="1" s="223">
      <c r="A292" s="322" t="n"/>
      <c r="B292" s="324" t="n"/>
      <c r="C292" s="304" t="n"/>
      <c r="D292" s="304" t="n"/>
      <c r="E292" s="317" t="n"/>
      <c r="F292" s="320" t="n"/>
      <c r="G292" s="317" t="n"/>
      <c r="H292" s="311" t="n">
        <v>14</v>
      </c>
      <c r="I292" s="311" t="inlineStr">
        <is>
          <t>BMOU6419254</t>
        </is>
      </c>
      <c r="J292" s="311" t="inlineStr">
        <is>
          <t>40FT</t>
        </is>
      </c>
      <c r="K292" s="309" t="inlineStr">
        <is>
          <t>12IN OPP HD QN</t>
        </is>
      </c>
      <c r="L292" s="310" t="inlineStr">
        <is>
          <t>ZU-MFMA1OZI-12Q</t>
        </is>
      </c>
      <c r="M292" s="311" t="inlineStr">
        <is>
          <t>1773VF4Z</t>
        </is>
      </c>
      <c r="N292" s="309" t="inlineStr">
        <is>
          <t>F.MFM.12Q.010.AD</t>
        </is>
      </c>
      <c r="O292" s="306" t="n"/>
      <c r="P292" s="306" t="n"/>
      <c r="Q292" s="312">
        <f>IFERROR(R292/H292, 0)</f>
        <v/>
      </c>
      <c r="R292" s="307" t="n">
        <v>945.98</v>
      </c>
      <c r="S292" s="308" t="n">
        <v>18056</v>
      </c>
      <c r="T292" s="308">
        <f>IFERROR(S292*R292, 0)</f>
        <v/>
      </c>
      <c r="U292" s="313" t="n"/>
      <c r="V292" s="315" t="n"/>
      <c r="W292" s="316" t="inlineStr">
        <is>
          <t>ETD : 27-07-2026</t>
        </is>
      </c>
      <c r="X292" s="311" t="n"/>
      <c r="Y292" s="315" t="n"/>
      <c r="Z292" s="317" t="n"/>
    </row>
    <row r="293" ht="16.5" customHeight="1" s="223">
      <c r="A293" s="322" t="n"/>
      <c r="B293" s="324" t="n"/>
      <c r="C293" s="304" t="n"/>
      <c r="D293" s="304" t="n"/>
      <c r="E293" s="317" t="n"/>
      <c r="F293" s="320" t="n"/>
      <c r="G293" s="317" t="n"/>
      <c r="H293" s="311" t="n">
        <v>28</v>
      </c>
      <c r="I293" s="311" t="inlineStr">
        <is>
          <t>CAIU9274977</t>
        </is>
      </c>
      <c r="J293" s="311" t="inlineStr">
        <is>
          <t>40FT</t>
        </is>
      </c>
      <c r="K293" s="309" t="inlineStr">
        <is>
          <t>8IN GREEN TEA MF MATTRESS SQ</t>
        </is>
      </c>
      <c r="L293" s="310" t="inlineStr">
        <is>
          <t>ZU-MFMA1ZZI-08S</t>
        </is>
      </c>
      <c r="M293" s="311" t="inlineStr">
        <is>
          <t>1773VF4Z</t>
        </is>
      </c>
      <c r="N293" s="309" t="inlineStr">
        <is>
          <t>F.MFM.08S.011.AD</t>
        </is>
      </c>
      <c r="O293" s="306" t="n"/>
      <c r="P293" s="306" t="n"/>
      <c r="Q293" s="312">
        <f>IFERROR(R293/H293, 0)</f>
        <v/>
      </c>
      <c r="R293" s="307" t="n">
        <v>1654.8</v>
      </c>
      <c r="S293" s="308" t="n">
        <v>18056</v>
      </c>
      <c r="T293" s="308">
        <f>IFERROR(S293*R293, 0)</f>
        <v/>
      </c>
      <c r="U293" s="313" t="n"/>
      <c r="V293" s="315" t="n"/>
      <c r="W293" s="316" t="n"/>
      <c r="X293" s="311" t="n"/>
      <c r="Y293" s="315" t="n"/>
      <c r="Z293" s="317" t="n"/>
    </row>
    <row r="294" ht="16.5" customHeight="1" s="223">
      <c r="A294" s="322" t="n"/>
      <c r="B294" s="324" t="n"/>
      <c r="C294" s="304" t="n"/>
      <c r="D294" s="304" t="n"/>
      <c r="E294" s="317" t="n"/>
      <c r="F294" s="320" t="n"/>
      <c r="G294" s="317" t="n"/>
      <c r="H294" s="311" t="n">
        <v>522</v>
      </c>
      <c r="I294" s="311" t="inlineStr">
        <is>
          <t>TCLU6540730</t>
        </is>
      </c>
      <c r="J294" s="311" t="inlineStr">
        <is>
          <t>40FT</t>
        </is>
      </c>
      <c r="K294" s="309" t="inlineStr">
        <is>
          <t>8IN GREEN TEA MF MATTRESS TW</t>
        </is>
      </c>
      <c r="L294" s="310" t="inlineStr">
        <is>
          <t>ZU-MFMA1ZZI-08T</t>
        </is>
      </c>
      <c r="M294" s="311" t="inlineStr">
        <is>
          <t>1773VF4Z</t>
        </is>
      </c>
      <c r="N294" s="309" t="inlineStr">
        <is>
          <t>F.MFM.08T.008.AD</t>
        </is>
      </c>
      <c r="O294" s="306" t="n"/>
      <c r="P294" s="306" t="n"/>
      <c r="Q294" s="312">
        <f>IFERROR(R294/H294, 0)</f>
        <v/>
      </c>
      <c r="R294" s="307" t="n">
        <v>18755.46</v>
      </c>
      <c r="S294" s="308" t="n">
        <v>18056</v>
      </c>
      <c r="T294" s="308">
        <f>IFERROR(S294*R294, 0)</f>
        <v/>
      </c>
      <c r="U294" s="313" t="n"/>
      <c r="V294" s="315" t="n"/>
      <c r="W294" s="316" t="n"/>
      <c r="X294" s="311" t="n"/>
      <c r="Y294" s="315" t="n"/>
      <c r="Z294" s="317" t="n"/>
    </row>
    <row r="295" ht="16.5" customHeight="1" s="223">
      <c r="A295" s="322" t="n"/>
      <c r="B295" s="324" t="n"/>
      <c r="C295" s="304" t="n"/>
      <c r="D295" s="304" t="n"/>
      <c r="E295" s="317" t="n"/>
      <c r="F295" s="320" t="n"/>
      <c r="G295" s="317" t="n"/>
      <c r="H295" s="311" t="n">
        <v>53</v>
      </c>
      <c r="I295" s="311" t="inlineStr">
        <is>
          <t>UETU8785524</t>
        </is>
      </c>
      <c r="J295" s="311" t="inlineStr">
        <is>
          <t>40FT</t>
        </is>
      </c>
      <c r="K295" s="309" t="inlineStr">
        <is>
          <t>12IN GREEN TEA MF MATTRESS FL</t>
        </is>
      </c>
      <c r="L295" s="310" t="inlineStr">
        <is>
          <t>ZU-MFMA1ZZI-12F</t>
        </is>
      </c>
      <c r="M295" s="311" t="inlineStr">
        <is>
          <t>1773VF4Z</t>
        </is>
      </c>
      <c r="N295" s="309" t="inlineStr">
        <is>
          <t>F.MFM.12F.006.AD</t>
        </is>
      </c>
      <c r="O295" s="306" t="n"/>
      <c r="P295" s="306" t="n"/>
      <c r="Q295" s="312">
        <f>IFERROR(R295/H295, 0)</f>
        <v/>
      </c>
      <c r="R295" s="307" t="n">
        <v>3760.88</v>
      </c>
      <c r="S295" s="308" t="n">
        <v>18056</v>
      </c>
      <c r="T295" s="308">
        <f>IFERROR(S295*R295, 0)</f>
        <v/>
      </c>
      <c r="U295" s="313" t="n"/>
      <c r="V295" s="315" t="n"/>
      <c r="W295" s="316" t="n"/>
      <c r="X295" s="311" t="n"/>
      <c r="Y295" s="315" t="n"/>
      <c r="Z295" s="317" t="n"/>
    </row>
    <row r="296" ht="16.5" customHeight="1" s="223">
      <c r="A296" s="322" t="n"/>
      <c r="B296" s="324" t="n"/>
      <c r="C296" s="304" t="n"/>
      <c r="D296" s="304" t="n"/>
      <c r="E296" s="317" t="n"/>
      <c r="F296" s="320" t="n"/>
      <c r="G296" s="317" t="n"/>
      <c r="H296" s="311" t="n">
        <v>67</v>
      </c>
      <c r="I296" s="311" t="inlineStr"/>
      <c r="J296" s="311" t="inlineStr"/>
      <c r="K296" s="309" t="inlineStr">
        <is>
          <t>8IN MYGEL FOAM MATTRESS TW</t>
        </is>
      </c>
      <c r="L296" s="310" t="inlineStr">
        <is>
          <t>ZU-MFGN1YZI-08T</t>
        </is>
      </c>
      <c r="M296" s="311" t="inlineStr">
        <is>
          <t>21W81RVU</t>
        </is>
      </c>
      <c r="N296" s="309" t="inlineStr">
        <is>
          <t>F.MFG.08T.003.AD</t>
        </is>
      </c>
      <c r="O296" s="306" t="n"/>
      <c r="P296" s="306" t="n"/>
      <c r="Q296" s="312">
        <f>IFERROR(R296/H296, 0)</f>
        <v/>
      </c>
      <c r="R296" s="307" t="n">
        <v>2407.31</v>
      </c>
      <c r="S296" s="308" t="n">
        <v>18056</v>
      </c>
      <c r="T296" s="308">
        <f>IFERROR(S296*R296, 0)</f>
        <v/>
      </c>
      <c r="U296" s="313" t="n"/>
      <c r="V296" s="315" t="n"/>
      <c r="W296" s="316" t="n"/>
      <c r="X296" s="311" t="n"/>
      <c r="Y296" s="315" t="n"/>
      <c r="Z296" s="317" t="n"/>
    </row>
    <row r="297" ht="16.5" customHeight="1" s="223">
      <c r="A297" s="322" t="n"/>
      <c r="B297" s="324" t="n"/>
      <c r="C297" s="304" t="n"/>
      <c r="D297" s="304" t="n"/>
      <c r="E297" s="317" t="n"/>
      <c r="F297" s="320" t="n"/>
      <c r="G297" s="317" t="n"/>
      <c r="H297" s="311" t="n">
        <v>120</v>
      </c>
      <c r="I297" s="311" t="inlineStr"/>
      <c r="J297" s="311" t="inlineStr"/>
      <c r="K297" s="309" t="inlineStr">
        <is>
          <t>12IN MYGEL FOAM MATTRESS TW</t>
        </is>
      </c>
      <c r="L297" s="310" t="inlineStr">
        <is>
          <t>ZU-MFGN1YZI-12T</t>
        </is>
      </c>
      <c r="M297" s="311" t="inlineStr">
        <is>
          <t>21W81RVU</t>
        </is>
      </c>
      <c r="N297" s="309" t="inlineStr">
        <is>
          <t>F.MFG.12T.002.AD</t>
        </is>
      </c>
      <c r="O297" s="306" t="n"/>
      <c r="P297" s="306" t="n"/>
      <c r="Q297" s="312">
        <f>IFERROR(R297/H297, 0)</f>
        <v/>
      </c>
      <c r="R297" s="307" t="n">
        <v>7279.2</v>
      </c>
      <c r="S297" s="308" t="n">
        <v>18056</v>
      </c>
      <c r="T297" s="308">
        <f>IFERROR(S297*R297, 0)</f>
        <v/>
      </c>
      <c r="U297" s="313" t="n"/>
      <c r="V297" s="315" t="n"/>
      <c r="W297" s="316" t="n"/>
      <c r="X297" s="311" t="n"/>
      <c r="Y297" s="315" t="n"/>
      <c r="Z297" s="317" t="n"/>
    </row>
    <row r="298" ht="16.5" customHeight="1" s="223">
      <c r="A298" s="322" t="n"/>
      <c r="B298" s="324" t="n"/>
      <c r="C298" s="304" t="n"/>
      <c r="D298" s="304" t="n"/>
      <c r="E298" s="317" t="n"/>
      <c r="F298" s="320" t="n"/>
      <c r="G298" s="317" t="n"/>
      <c r="H298" s="311" t="n">
        <v>16</v>
      </c>
      <c r="I298" s="311" t="inlineStr"/>
      <c r="J298" s="311" t="inlineStr"/>
      <c r="K298" s="309" t="inlineStr">
        <is>
          <t>10IN GREEN TEA MF MATTRESS FL</t>
        </is>
      </c>
      <c r="L298" s="310" t="inlineStr">
        <is>
          <t>ZU-MFMA1FZI-10F</t>
        </is>
      </c>
      <c r="M298" s="311" t="inlineStr">
        <is>
          <t>21W81RVU</t>
        </is>
      </c>
      <c r="N298" s="309" t="inlineStr">
        <is>
          <t>F.MFM.10F.009.AD</t>
        </is>
      </c>
      <c r="O298" s="306" t="n"/>
      <c r="P298" s="306" t="n"/>
      <c r="Q298" s="312">
        <f>IFERROR(R298/H298, 0)</f>
        <v/>
      </c>
      <c r="R298" s="307" t="n">
        <v>1044</v>
      </c>
      <c r="S298" s="308" t="n">
        <v>18056</v>
      </c>
      <c r="T298" s="308">
        <f>IFERROR(S298*R298, 0)</f>
        <v/>
      </c>
      <c r="U298" s="313" t="n"/>
      <c r="V298" s="315" t="n"/>
      <c r="W298" s="316" t="n"/>
      <c r="X298" s="311" t="n"/>
      <c r="Y298" s="315" t="n"/>
      <c r="Z298" s="317" t="n"/>
    </row>
    <row r="299" ht="16.5" customHeight="1" s="223">
      <c r="A299" s="322" t="n"/>
      <c r="B299" s="324" t="n"/>
      <c r="C299" s="304" t="n"/>
      <c r="D299" s="304" t="n"/>
      <c r="E299" s="317" t="n"/>
      <c r="F299" s="320" t="n"/>
      <c r="G299" s="317" t="n"/>
      <c r="H299" s="311" t="n">
        <v>2</v>
      </c>
      <c r="I299" s="311" t="inlineStr"/>
      <c r="J299" s="311" t="inlineStr"/>
      <c r="K299" s="309" t="inlineStr">
        <is>
          <t>8IN AIRFLOW GEL FOAM MATT QN</t>
        </is>
      </c>
      <c r="L299" s="310" t="inlineStr">
        <is>
          <t>ZU-MFMA1RZI-08Q</t>
        </is>
      </c>
      <c r="M299" s="311" t="inlineStr">
        <is>
          <t>21W81RVU</t>
        </is>
      </c>
      <c r="N299" s="309" t="inlineStr">
        <is>
          <t>F.MFM.08Q.014.AD</t>
        </is>
      </c>
      <c r="O299" s="306" t="n"/>
      <c r="P299" s="306" t="n"/>
      <c r="Q299" s="312">
        <f>IFERROR(R299/H299, 0)</f>
        <v/>
      </c>
      <c r="R299" s="307" t="n">
        <v>89.81999999999999</v>
      </c>
      <c r="S299" s="308" t="n">
        <v>18056</v>
      </c>
      <c r="T299" s="308">
        <f>IFERROR(S299*R299, 0)</f>
        <v/>
      </c>
      <c r="U299" s="313" t="n"/>
      <c r="V299" s="315" t="n"/>
      <c r="W299" s="316" t="n"/>
      <c r="X299" s="311" t="n"/>
      <c r="Y299" s="315" t="n"/>
      <c r="Z299" s="317" t="n"/>
    </row>
    <row r="300" ht="16.5" customHeight="1" s="223">
      <c r="A300" s="322" t="n"/>
      <c r="B300" s="324" t="n"/>
      <c r="C300" s="304" t="n"/>
      <c r="D300" s="304" t="n"/>
      <c r="E300" s="317" t="n"/>
      <c r="F300" s="320" t="n"/>
      <c r="G300" s="317" t="n"/>
      <c r="H300" s="311" t="n">
        <v>49</v>
      </c>
      <c r="I300" s="311" t="inlineStr"/>
      <c r="J300" s="311" t="inlineStr"/>
      <c r="K300" s="309" t="inlineStr">
        <is>
          <t>10IN GREEN TEA MF MATTRESS TX</t>
        </is>
      </c>
      <c r="L300" s="310" t="inlineStr">
        <is>
          <t>ZU-MFMA1ZZI-10X</t>
        </is>
      </c>
      <c r="M300" s="311" t="inlineStr">
        <is>
          <t>21W81RVU</t>
        </is>
      </c>
      <c r="N300" s="309" t="inlineStr">
        <is>
          <t>F.MFM.10X.007.AD</t>
        </is>
      </c>
      <c r="O300" s="306" t="n"/>
      <c r="P300" s="306" t="n"/>
      <c r="Q300" s="312">
        <f>IFERROR(R300/H300, 0)</f>
        <v/>
      </c>
      <c r="R300" s="307" t="n">
        <v>2467.15</v>
      </c>
      <c r="S300" s="308" t="n">
        <v>18056</v>
      </c>
      <c r="T300" s="308">
        <f>IFERROR(S300*R300, 0)</f>
        <v/>
      </c>
      <c r="U300" s="313" t="n"/>
      <c r="V300" s="315" t="n"/>
      <c r="W300" s="316" t="n"/>
      <c r="X300" s="311" t="n"/>
      <c r="Y300" s="315" t="n"/>
      <c r="Z300" s="317" t="n"/>
    </row>
    <row r="301" ht="16.5" customHeight="1" s="223">
      <c r="A301" s="322" t="n"/>
      <c r="B301" s="324" t="n"/>
      <c r="C301" s="304" t="n"/>
      <c r="D301" s="304" t="n"/>
      <c r="E301" s="317" t="n"/>
      <c r="F301" s="320" t="n"/>
      <c r="G301" s="317" t="n"/>
      <c r="H301" s="311" t="n">
        <v>144</v>
      </c>
      <c r="I301" s="311" t="inlineStr"/>
      <c r="J301" s="311" t="inlineStr"/>
      <c r="K301" s="309" t="inlineStr">
        <is>
          <t>6IN MYGEL FOAM MATTRESS FL</t>
        </is>
      </c>
      <c r="L301" s="310" t="inlineStr">
        <is>
          <t>ZU-MFGN1YZI-06F</t>
        </is>
      </c>
      <c r="M301" s="311" t="inlineStr">
        <is>
          <t>2MEWCOHG</t>
        </is>
      </c>
      <c r="N301" s="309" t="inlineStr">
        <is>
          <t>F.MFG.06F.002.AD</t>
        </is>
      </c>
      <c r="O301" s="306" t="n"/>
      <c r="P301" s="306" t="n"/>
      <c r="Q301" s="312">
        <f>IFERROR(R301/H301, 0)</f>
        <v/>
      </c>
      <c r="R301" s="307" t="n">
        <v>5605.92</v>
      </c>
      <c r="S301" s="308" t="n">
        <v>18056</v>
      </c>
      <c r="T301" s="308">
        <f>IFERROR(S301*R301, 0)</f>
        <v/>
      </c>
      <c r="U301" s="313" t="n"/>
      <c r="V301" s="315" t="n"/>
      <c r="W301" s="316" t="n"/>
      <c r="X301" s="311" t="n"/>
      <c r="Y301" s="315" t="n"/>
      <c r="Z301" s="317" t="n"/>
    </row>
    <row r="302" ht="16.5" customHeight="1" s="223">
      <c r="A302" s="322" t="n"/>
      <c r="B302" s="324" t="n"/>
      <c r="C302" s="304" t="n"/>
      <c r="D302" s="304" t="n"/>
      <c r="E302" s="317" t="n"/>
      <c r="F302" s="320" t="n"/>
      <c r="G302" s="317" t="n"/>
      <c r="H302" s="311" t="n">
        <v>12</v>
      </c>
      <c r="I302" s="311" t="inlineStr"/>
      <c r="J302" s="311" t="inlineStr"/>
      <c r="K302" s="309" t="inlineStr">
        <is>
          <t>6IN MYGEL FOAM MATTRESS QN</t>
        </is>
      </c>
      <c r="L302" s="310" t="inlineStr">
        <is>
          <t>ZU-MFGN1YZI-06Q</t>
        </is>
      </c>
      <c r="M302" s="311" t="inlineStr">
        <is>
          <t>2MEWCOHG</t>
        </is>
      </c>
      <c r="N302" s="309" t="inlineStr">
        <is>
          <t>F.MFG.06Q.002.AD</t>
        </is>
      </c>
      <c r="O302" s="306" t="n"/>
      <c r="P302" s="306" t="n"/>
      <c r="Q302" s="312">
        <f>IFERROR(R302/H302, 0)</f>
        <v/>
      </c>
      <c r="R302" s="307" t="n">
        <v>574.92</v>
      </c>
      <c r="S302" s="308" t="n">
        <v>18056</v>
      </c>
      <c r="T302" s="308">
        <f>IFERROR(S302*R302, 0)</f>
        <v/>
      </c>
      <c r="U302" s="313" t="n"/>
      <c r="V302" s="315" t="n"/>
      <c r="W302" s="316" t="n"/>
      <c r="X302" s="311" t="n"/>
      <c r="Y302" s="315" t="n"/>
      <c r="Z302" s="317" t="n"/>
    </row>
    <row r="303" ht="16.5" customHeight="1" s="223">
      <c r="A303" s="322" t="n"/>
      <c r="B303" s="324" t="n"/>
      <c r="C303" s="304" t="n"/>
      <c r="D303" s="304" t="n"/>
      <c r="E303" s="317" t="n"/>
      <c r="F303" s="320" t="n"/>
      <c r="G303" s="317" t="n"/>
      <c r="H303" s="311" t="n">
        <v>13</v>
      </c>
      <c r="I303" s="311" t="inlineStr"/>
      <c r="J303" s="311" t="inlineStr"/>
      <c r="K303" s="309" t="inlineStr">
        <is>
          <t>8IN OPP HD QN</t>
        </is>
      </c>
      <c r="L303" s="310" t="inlineStr">
        <is>
          <t>ZU-MFMA1OZI-08Q</t>
        </is>
      </c>
      <c r="M303" s="311" t="inlineStr">
        <is>
          <t>2MEWCOHG</t>
        </is>
      </c>
      <c r="N303" s="309" t="inlineStr">
        <is>
          <t>F.MFM.08Q.013.AD</t>
        </is>
      </c>
      <c r="O303" s="306" t="n"/>
      <c r="P303" s="306" t="n"/>
      <c r="Q303" s="312">
        <f>IFERROR(R303/H303, 0)</f>
        <v/>
      </c>
      <c r="R303" s="307" t="n">
        <v>729.8200000000001</v>
      </c>
      <c r="S303" s="308" t="n">
        <v>18056</v>
      </c>
      <c r="T303" s="308">
        <f>IFERROR(S303*R303, 0)</f>
        <v/>
      </c>
      <c r="U303" s="313" t="n"/>
      <c r="V303" s="315" t="n"/>
      <c r="W303" s="316" t="n"/>
      <c r="X303" s="311" t="n"/>
      <c r="Y303" s="315" t="n"/>
      <c r="Z303" s="317" t="n"/>
    </row>
    <row r="304" ht="16.5" customHeight="1" s="223">
      <c r="A304" s="322" t="n"/>
      <c r="B304" s="324" t="n"/>
      <c r="C304" s="304" t="n"/>
      <c r="D304" s="304" t="n"/>
      <c r="E304" s="317" t="n"/>
      <c r="F304" s="320" t="n"/>
      <c r="G304" s="317" t="n"/>
      <c r="H304" s="311" t="n">
        <v>53</v>
      </c>
      <c r="I304" s="311" t="inlineStr"/>
      <c r="J304" s="311" t="inlineStr"/>
      <c r="K304" s="309" t="inlineStr">
        <is>
          <t>12IN AIRFLOW GEL FOAM MATT TW</t>
        </is>
      </c>
      <c r="L304" s="310" t="inlineStr">
        <is>
          <t>ZU-MFMA1RZI-12T</t>
        </is>
      </c>
      <c r="M304" s="311" t="inlineStr">
        <is>
          <t>2MEWCOHG</t>
        </is>
      </c>
      <c r="N304" s="309" t="inlineStr">
        <is>
          <t>F.MFM.12T.011.AD</t>
        </is>
      </c>
      <c r="O304" s="306" t="n"/>
      <c r="P304" s="306" t="n"/>
      <c r="Q304" s="312">
        <f>IFERROR(R304/H304, 0)</f>
        <v/>
      </c>
      <c r="R304" s="307" t="n">
        <v>2221.76</v>
      </c>
      <c r="S304" s="308" t="n">
        <v>18056</v>
      </c>
      <c r="T304" s="308">
        <f>IFERROR(S304*R304, 0)</f>
        <v/>
      </c>
      <c r="U304" s="313" t="n"/>
      <c r="V304" s="315" t="n"/>
      <c r="W304" s="316" t="n"/>
      <c r="X304" s="311" t="n"/>
      <c r="Y304" s="315" t="n"/>
      <c r="Z304" s="317" t="n"/>
    </row>
    <row r="305" ht="16.5" customHeight="1" s="223">
      <c r="A305" s="322" t="n"/>
      <c r="B305" s="324" t="n"/>
      <c r="C305" s="304" t="n"/>
      <c r="D305" s="304" t="n"/>
      <c r="E305" s="317" t="n"/>
      <c r="F305" s="320" t="n"/>
      <c r="G305" s="317" t="n"/>
      <c r="H305" s="311" t="n">
        <v>190</v>
      </c>
      <c r="I305" s="311" t="inlineStr"/>
      <c r="J305" s="311" t="inlineStr"/>
      <c r="K305" s="309" t="inlineStr">
        <is>
          <t>6IN GREEN TEA MF MATTRESS QN</t>
        </is>
      </c>
      <c r="L305" s="310" t="inlineStr">
        <is>
          <t>ZU-MFMA1ZZI-06Q</t>
        </is>
      </c>
      <c r="M305" s="311" t="inlineStr">
        <is>
          <t>2MEWCOHG</t>
        </is>
      </c>
      <c r="N305" s="309" t="inlineStr">
        <is>
          <t>F.MFM.06Q.007.AD</t>
        </is>
      </c>
      <c r="O305" s="306" t="n"/>
      <c r="P305" s="306" t="n"/>
      <c r="Q305" s="312">
        <f>IFERROR(R305/H305, 0)</f>
        <v/>
      </c>
      <c r="R305" s="307" t="n">
        <v>8646.9</v>
      </c>
      <c r="S305" s="308" t="n">
        <v>18056</v>
      </c>
      <c r="T305" s="308">
        <f>IFERROR(S305*R305, 0)</f>
        <v/>
      </c>
      <c r="U305" s="313" t="n"/>
      <c r="V305" s="315" t="n"/>
      <c r="W305" s="316" t="n"/>
      <c r="X305" s="311" t="n"/>
      <c r="Y305" s="315" t="n"/>
      <c r="Z305" s="317" t="n"/>
    </row>
    <row r="306" ht="16.5" customHeight="1" s="223">
      <c r="A306" s="322" t="n"/>
      <c r="B306" s="324" t="n"/>
      <c r="C306" s="304" t="n"/>
      <c r="D306" s="304" t="n"/>
      <c r="E306" s="317" t="n"/>
      <c r="F306" s="320" t="n"/>
      <c r="G306" s="317" t="n"/>
      <c r="H306" s="311" t="n">
        <v>2</v>
      </c>
      <c r="I306" s="311" t="inlineStr"/>
      <c r="J306" s="311" t="inlineStr"/>
      <c r="K306" s="309" t="inlineStr">
        <is>
          <t>12IN GREEN TEA MF MATTRESS EK</t>
        </is>
      </c>
      <c r="L306" s="310" t="inlineStr">
        <is>
          <t>ZU-MFMA1ZZI-12K</t>
        </is>
      </c>
      <c r="M306" s="311" t="inlineStr">
        <is>
          <t>2MEWCOHG</t>
        </is>
      </c>
      <c r="N306" s="309" t="inlineStr">
        <is>
          <t>F.MFM.12K.006.AD</t>
        </is>
      </c>
      <c r="O306" s="306" t="n"/>
      <c r="P306" s="306" t="n"/>
      <c r="Q306" s="312">
        <f>IFERROR(R306/H306, 0)</f>
        <v/>
      </c>
      <c r="R306" s="307" t="n">
        <v>203.94</v>
      </c>
      <c r="S306" s="308" t="n">
        <v>18056</v>
      </c>
      <c r="T306" s="308">
        <f>IFERROR(S306*R306, 0)</f>
        <v/>
      </c>
      <c r="U306" s="313" t="n"/>
      <c r="V306" s="315" t="n"/>
      <c r="W306" s="316" t="n"/>
      <c r="X306" s="311" t="n"/>
      <c r="Y306" s="315" t="n"/>
      <c r="Z306" s="317" t="n"/>
    </row>
    <row r="307" ht="16.5" customHeight="1" s="223">
      <c r="A307" s="322" t="n"/>
      <c r="B307" s="324" t="n"/>
      <c r="C307" s="304" t="n"/>
      <c r="D307" s="304" t="n"/>
      <c r="E307" s="317" t="n"/>
      <c r="F307" s="320" t="n"/>
      <c r="G307" s="317" t="n"/>
      <c r="H307" s="311" t="n">
        <v>37</v>
      </c>
      <c r="I307" s="311" t="inlineStr"/>
      <c r="J307" s="311" t="inlineStr"/>
      <c r="K307" s="309" t="inlineStr">
        <is>
          <t>12IN GREEN TEA MF MATTRESS TW</t>
        </is>
      </c>
      <c r="L307" s="310" t="inlineStr">
        <is>
          <t>ZU-MFMA1ZZI-12T</t>
        </is>
      </c>
      <c r="M307" s="311" t="inlineStr">
        <is>
          <t>2MEWCOHG</t>
        </is>
      </c>
      <c r="N307" s="309" t="inlineStr">
        <is>
          <t>F.MFM.12T.006.AD</t>
        </is>
      </c>
      <c r="O307" s="306" t="n"/>
      <c r="P307" s="306" t="n"/>
      <c r="Q307" s="312">
        <f>IFERROR(R307/H307, 0)</f>
        <v/>
      </c>
      <c r="R307" s="307" t="n">
        <v>2338.4</v>
      </c>
      <c r="S307" s="308" t="n">
        <v>18056</v>
      </c>
      <c r="T307" s="308">
        <f>IFERROR(S307*R307, 0)</f>
        <v/>
      </c>
      <c r="U307" s="313" t="n"/>
      <c r="V307" s="315" t="n"/>
      <c r="W307" s="316" t="n"/>
      <c r="X307" s="311" t="n"/>
      <c r="Y307" s="315" t="n"/>
      <c r="Z307" s="317" t="n"/>
    </row>
    <row r="308" ht="16.5" customHeight="1" s="223">
      <c r="A308" s="322" t="n"/>
      <c r="B308" s="324" t="n"/>
      <c r="C308" s="304" t="n"/>
      <c r="D308" s="304" t="n"/>
      <c r="E308" s="317" t="n"/>
      <c r="F308" s="320" t="n"/>
      <c r="G308" s="317" t="n"/>
      <c r="H308" s="311" t="n">
        <v>9</v>
      </c>
      <c r="I308" s="311" t="inlineStr"/>
      <c r="J308" s="311" t="inlineStr"/>
      <c r="K308" s="309" t="inlineStr">
        <is>
          <t>10IN GREEN TEA MF MATTRESS SQ</t>
        </is>
      </c>
      <c r="L308" s="310" t="inlineStr">
        <is>
          <t>ZU-MFMA1FZI-10S</t>
        </is>
      </c>
      <c r="M308" s="311" t="inlineStr">
        <is>
          <t>2NXVSZVS</t>
        </is>
      </c>
      <c r="N308" s="309" t="inlineStr">
        <is>
          <t>F.MFM.10S.009.AD</t>
        </is>
      </c>
      <c r="O308" s="306" t="n"/>
      <c r="P308" s="306" t="n"/>
      <c r="Q308" s="312">
        <f>IFERROR(R308/H308, 0)</f>
        <v/>
      </c>
      <c r="R308" s="307" t="n">
        <v>657.1799999999999</v>
      </c>
      <c r="S308" s="308" t="n">
        <v>18056</v>
      </c>
      <c r="T308" s="308">
        <f>IFERROR(S308*R308, 0)</f>
        <v/>
      </c>
      <c r="U308" s="313" t="n"/>
      <c r="V308" s="315" t="n"/>
      <c r="W308" s="316" t="n"/>
      <c r="X308" s="311" t="n"/>
      <c r="Y308" s="315" t="n"/>
      <c r="Z308" s="317" t="n"/>
    </row>
    <row r="309" ht="16.5" customHeight="1" s="223">
      <c r="A309" s="322" t="n"/>
      <c r="B309" s="324" t="n"/>
      <c r="C309" s="304" t="n"/>
      <c r="D309" s="304" t="n"/>
      <c r="E309" s="317" t="n"/>
      <c r="F309" s="320" t="n"/>
      <c r="G309" s="317" t="n"/>
      <c r="H309" s="311" t="n">
        <v>5</v>
      </c>
      <c r="I309" s="311" t="inlineStr"/>
      <c r="J309" s="311" t="inlineStr"/>
      <c r="K309" s="309" t="inlineStr">
        <is>
          <t>10IN OPP HD QN</t>
        </is>
      </c>
      <c r="L309" s="310" t="inlineStr">
        <is>
          <t>ZU-MFMA1OZI-10Q</t>
        </is>
      </c>
      <c r="M309" s="311" t="inlineStr">
        <is>
          <t>2NXVSZVS</t>
        </is>
      </c>
      <c r="N309" s="309" t="inlineStr">
        <is>
          <t>F.MFM.10Q.013.AD</t>
        </is>
      </c>
      <c r="O309" s="306" t="n"/>
      <c r="P309" s="306" t="n"/>
      <c r="Q309" s="312">
        <f>IFERROR(R309/H309, 0)</f>
        <v/>
      </c>
      <c r="R309" s="307" t="n">
        <v>269.5</v>
      </c>
      <c r="S309" s="308" t="n">
        <v>18056</v>
      </c>
      <c r="T309" s="308">
        <f>IFERROR(S309*R309, 0)</f>
        <v/>
      </c>
      <c r="U309" s="313" t="n"/>
      <c r="V309" s="315" t="n"/>
      <c r="W309" s="316" t="n"/>
      <c r="X309" s="311" t="n"/>
      <c r="Y309" s="315" t="n"/>
      <c r="Z309" s="317" t="n"/>
    </row>
    <row r="310" ht="16.5" customHeight="1" s="223">
      <c r="A310" s="322" t="n"/>
      <c r="B310" s="324" t="n"/>
      <c r="C310" s="304" t="n"/>
      <c r="D310" s="304" t="n"/>
      <c r="E310" s="317" t="n"/>
      <c r="F310" s="320" t="n"/>
      <c r="G310" s="317" t="n"/>
      <c r="H310" s="311" t="n">
        <v>14</v>
      </c>
      <c r="I310" s="311" t="inlineStr"/>
      <c r="J310" s="311" t="inlineStr"/>
      <c r="K310" s="309" t="inlineStr">
        <is>
          <t>6IN GREEN TEA MF MATTRESS NT</t>
        </is>
      </c>
      <c r="L310" s="310" t="inlineStr">
        <is>
          <t>ZU-MFMA1ZZI-06N</t>
        </is>
      </c>
      <c r="M310" s="311" t="inlineStr">
        <is>
          <t>2NXVSZVS</t>
        </is>
      </c>
      <c r="N310" s="309" t="inlineStr">
        <is>
          <t>F.MFM.06N.007.AD</t>
        </is>
      </c>
      <c r="O310" s="306" t="n"/>
      <c r="P310" s="306" t="n"/>
      <c r="Q310" s="312">
        <f>IFERROR(R310/H310, 0)</f>
        <v/>
      </c>
      <c r="R310" s="307" t="n">
        <v>351.26</v>
      </c>
      <c r="S310" s="308" t="n">
        <v>18056</v>
      </c>
      <c r="T310" s="308">
        <f>IFERROR(S310*R310, 0)</f>
        <v/>
      </c>
      <c r="U310" s="313" t="n"/>
      <c r="V310" s="315" t="n"/>
      <c r="W310" s="316" t="n"/>
      <c r="X310" s="311" t="n"/>
      <c r="Y310" s="315" t="n"/>
      <c r="Z310" s="317" t="n"/>
    </row>
    <row r="311" ht="16.5" customHeight="1" s="223">
      <c r="A311" s="322" t="n"/>
      <c r="B311" s="324" t="n"/>
      <c r="C311" s="304" t="n"/>
      <c r="D311" s="304" t="n"/>
      <c r="E311" s="317" t="n"/>
      <c r="F311" s="320" t="n"/>
      <c r="G311" s="317" t="n"/>
      <c r="H311" s="311" t="n">
        <v>19</v>
      </c>
      <c r="I311" s="311" t="inlineStr"/>
      <c r="J311" s="311" t="inlineStr"/>
      <c r="K311" s="309" t="inlineStr">
        <is>
          <t>8IN GREEN TEA MF MATTRESS SQ</t>
        </is>
      </c>
      <c r="L311" s="310" t="inlineStr">
        <is>
          <t>ZU-MFMA1ZZI-08S</t>
        </is>
      </c>
      <c r="M311" s="311" t="inlineStr">
        <is>
          <t>2NXVSZVS</t>
        </is>
      </c>
      <c r="N311" s="309" t="inlineStr">
        <is>
          <t>F.MFM.08S.011.AD</t>
        </is>
      </c>
      <c r="O311" s="306" t="n"/>
      <c r="P311" s="306" t="n"/>
      <c r="Q311" s="312">
        <f>IFERROR(R311/H311, 0)</f>
        <v/>
      </c>
      <c r="R311" s="307" t="n">
        <v>1122.9</v>
      </c>
      <c r="S311" s="308" t="n">
        <v>18056</v>
      </c>
      <c r="T311" s="308">
        <f>IFERROR(S311*R311, 0)</f>
        <v/>
      </c>
      <c r="U311" s="313" t="n"/>
      <c r="V311" s="315" t="n"/>
      <c r="W311" s="316" t="n"/>
      <c r="X311" s="311" t="n"/>
      <c r="Y311" s="315" t="n"/>
      <c r="Z311" s="317" t="n"/>
    </row>
    <row r="312" ht="16.5" customHeight="1" s="223">
      <c r="A312" s="322" t="n"/>
      <c r="B312" s="324" t="n"/>
      <c r="C312" s="304" t="n"/>
      <c r="D312" s="304" t="n"/>
      <c r="E312" s="317" t="n"/>
      <c r="F312" s="320" t="n"/>
      <c r="G312" s="317" t="n"/>
      <c r="H312" s="311" t="n">
        <v>109</v>
      </c>
      <c r="I312" s="311" t="inlineStr"/>
      <c r="J312" s="311" t="inlineStr"/>
      <c r="K312" s="309" t="inlineStr">
        <is>
          <t>10IN GREEN TEA MF MATTRESS FL</t>
        </is>
      </c>
      <c r="L312" s="310" t="inlineStr">
        <is>
          <t>ZU-MFMA1ZZI-10F</t>
        </is>
      </c>
      <c r="M312" s="311" t="inlineStr">
        <is>
          <t>2NXVSZVS</t>
        </is>
      </c>
      <c r="N312" s="309" t="inlineStr">
        <is>
          <t>F.MFM.10F.007.AD</t>
        </is>
      </c>
      <c r="O312" s="306" t="n"/>
      <c r="P312" s="306" t="n"/>
      <c r="Q312" s="312">
        <f>IFERROR(R312/H312, 0)</f>
        <v/>
      </c>
      <c r="R312" s="307" t="n">
        <v>6764.54</v>
      </c>
      <c r="S312" s="308" t="n">
        <v>18056</v>
      </c>
      <c r="T312" s="308">
        <f>IFERROR(S312*R312, 0)</f>
        <v/>
      </c>
      <c r="U312" s="313" t="n"/>
      <c r="V312" s="315" t="n"/>
      <c r="W312" s="316" t="n"/>
      <c r="X312" s="311" t="n"/>
      <c r="Y312" s="315" t="n"/>
      <c r="Z312" s="317" t="n"/>
    </row>
    <row r="313" ht="16.5" customHeight="1" s="223">
      <c r="A313" s="322" t="n"/>
      <c r="B313" s="324" t="n"/>
      <c r="C313" s="304" t="n"/>
      <c r="D313" s="304" t="n"/>
      <c r="E313" s="317" t="n"/>
      <c r="F313" s="320" t="n"/>
      <c r="G313" s="317" t="n"/>
      <c r="H313" s="311" t="n">
        <v>10</v>
      </c>
      <c r="I313" s="311" t="inlineStr"/>
      <c r="J313" s="311" t="inlineStr"/>
      <c r="K313" s="309" t="inlineStr">
        <is>
          <t>10IN OPP HD TW</t>
        </is>
      </c>
      <c r="L313" s="310" t="inlineStr">
        <is>
          <t>ZU-MFMA1OZI-10T</t>
        </is>
      </c>
      <c r="M313" s="311" t="inlineStr">
        <is>
          <t>2U4PVWDR</t>
        </is>
      </c>
      <c r="N313" s="309" t="inlineStr">
        <is>
          <t>F.MFM.10T.013.AD</t>
        </is>
      </c>
      <c r="O313" s="306" t="n"/>
      <c r="P313" s="306" t="n"/>
      <c r="Q313" s="312">
        <f>IFERROR(R313/H313, 0)</f>
        <v/>
      </c>
      <c r="R313" s="307" t="n">
        <v>389.3</v>
      </c>
      <c r="S313" s="308" t="n">
        <v>18056</v>
      </c>
      <c r="T313" s="308">
        <f>IFERROR(S313*R313, 0)</f>
        <v/>
      </c>
      <c r="U313" s="313" t="n"/>
      <c r="V313" s="315" t="n"/>
      <c r="W313" s="316" t="n"/>
      <c r="X313" s="311" t="n"/>
      <c r="Y313" s="315" t="n"/>
      <c r="Z313" s="317" t="n"/>
    </row>
    <row r="314" ht="16.5" customHeight="1" s="223">
      <c r="A314" s="322" t="n"/>
      <c r="B314" s="324" t="n"/>
      <c r="C314" s="304" t="n"/>
      <c r="D314" s="304" t="n"/>
      <c r="E314" s="317" t="n"/>
      <c r="F314" s="320" t="n"/>
      <c r="G314" s="317" t="n"/>
      <c r="H314" s="311" t="n">
        <v>355</v>
      </c>
      <c r="I314" s="311" t="inlineStr"/>
      <c r="J314" s="311" t="inlineStr"/>
      <c r="K314" s="309" t="inlineStr">
        <is>
          <t>10IN GREEN TEA MF MATTRESS FL</t>
        </is>
      </c>
      <c r="L314" s="310" t="inlineStr">
        <is>
          <t>ZU-MFMA1ZZI-10F</t>
        </is>
      </c>
      <c r="M314" s="311" t="inlineStr">
        <is>
          <t>2U4PVWDR</t>
        </is>
      </c>
      <c r="N314" s="309" t="inlineStr">
        <is>
          <t>F.MFM.10F.007.AD</t>
        </is>
      </c>
      <c r="O314" s="306" t="n"/>
      <c r="P314" s="306" t="n"/>
      <c r="Q314" s="312">
        <f>IFERROR(R314/H314, 0)</f>
        <v/>
      </c>
      <c r="R314" s="307" t="n">
        <v>22031.3</v>
      </c>
      <c r="S314" s="308" t="n">
        <v>18056</v>
      </c>
      <c r="T314" s="308">
        <f>IFERROR(S314*R314, 0)</f>
        <v/>
      </c>
      <c r="U314" s="313" t="n"/>
      <c r="V314" s="315" t="n"/>
      <c r="W314" s="316" t="n"/>
      <c r="X314" s="311" t="n"/>
      <c r="Y314" s="315" t="n"/>
      <c r="Z314" s="317" t="n"/>
    </row>
    <row r="315" ht="16.5" customHeight="1" s="223">
      <c r="A315" s="322" t="n"/>
      <c r="B315" s="324" t="n"/>
      <c r="C315" s="304" t="n"/>
      <c r="D315" s="304" t="n"/>
      <c r="E315" s="317" t="n"/>
      <c r="F315" s="320" t="n"/>
      <c r="G315" s="317" t="n"/>
      <c r="H315" s="311" t="n">
        <v>54</v>
      </c>
      <c r="I315" s="311" t="inlineStr"/>
      <c r="J315" s="311" t="inlineStr"/>
      <c r="K315" s="309" t="inlineStr">
        <is>
          <t>10IN GREEN TEA MF MATTRESS QN</t>
        </is>
      </c>
      <c r="L315" s="310" t="inlineStr">
        <is>
          <t>ZU-MFMA1ZZI-10Q</t>
        </is>
      </c>
      <c r="M315" s="311" t="inlineStr">
        <is>
          <t>2U4PVWDR</t>
        </is>
      </c>
      <c r="N315" s="309" t="inlineStr">
        <is>
          <t>F.MFM.10Q.007.AD</t>
        </is>
      </c>
      <c r="O315" s="306" t="n"/>
      <c r="P315" s="306" t="n"/>
      <c r="Q315" s="312">
        <f>IFERROR(R315/H315, 0)</f>
        <v/>
      </c>
      <c r="R315" s="307" t="n">
        <v>3557.52</v>
      </c>
      <c r="S315" s="308" t="n">
        <v>18056</v>
      </c>
      <c r="T315" s="308">
        <f>IFERROR(S315*R315, 0)</f>
        <v/>
      </c>
      <c r="U315" s="313" t="n"/>
      <c r="V315" s="315" t="n"/>
      <c r="W315" s="316" t="n"/>
      <c r="X315" s="311" t="n"/>
      <c r="Y315" s="315" t="n"/>
      <c r="Z315" s="317" t="n"/>
    </row>
    <row r="316" ht="16.5" customHeight="1" s="223">
      <c r="A316" s="322" t="n"/>
      <c r="B316" s="324" t="n"/>
      <c r="C316" s="304" t="n"/>
      <c r="D316" s="304" t="n"/>
      <c r="E316" s="317" t="n"/>
      <c r="F316" s="320" t="n"/>
      <c r="G316" s="317" t="n"/>
      <c r="H316" s="311" t="n">
        <v>252</v>
      </c>
      <c r="I316" s="311" t="inlineStr"/>
      <c r="J316" s="311" t="inlineStr"/>
      <c r="K316" s="309" t="inlineStr">
        <is>
          <t>12IN GREEN TEA MF MATTRESS TW</t>
        </is>
      </c>
      <c r="L316" s="310" t="inlineStr">
        <is>
          <t>ZU-MFMA1ZZI-12T</t>
        </is>
      </c>
      <c r="M316" s="311" t="inlineStr">
        <is>
          <t>2U4PVWDR</t>
        </is>
      </c>
      <c r="N316" s="309" t="inlineStr">
        <is>
          <t>F.MFM.12T.006.AD</t>
        </is>
      </c>
      <c r="O316" s="306" t="n"/>
      <c r="P316" s="306" t="n"/>
      <c r="Q316" s="312">
        <f>IFERROR(R316/H316, 0)</f>
        <v/>
      </c>
      <c r="R316" s="307" t="n">
        <v>15926.4</v>
      </c>
      <c r="S316" s="308" t="n">
        <v>18056</v>
      </c>
      <c r="T316" s="308">
        <f>IFERROR(S316*R316, 0)</f>
        <v/>
      </c>
      <c r="U316" s="313" t="n"/>
      <c r="V316" s="315" t="n"/>
      <c r="W316" s="316" t="n"/>
      <c r="X316" s="311" t="n"/>
      <c r="Y316" s="315" t="n"/>
      <c r="Z316" s="317" t="n"/>
    </row>
    <row r="317" ht="16.5" customHeight="1" s="223">
      <c r="A317" s="322" t="n"/>
      <c r="B317" s="324" t="n"/>
      <c r="C317" s="304" t="n"/>
      <c r="D317" s="304" t="n"/>
      <c r="E317" s="317" t="n"/>
      <c r="F317" s="320" t="n"/>
      <c r="G317" s="317" t="n"/>
      <c r="H317" s="311" t="n">
        <v>38</v>
      </c>
      <c r="I317" s="311" t="inlineStr"/>
      <c r="J317" s="311" t="inlineStr"/>
      <c r="K317" s="309" t="inlineStr">
        <is>
          <t>6IN MYGEL FOAM MATTRESS QN</t>
        </is>
      </c>
      <c r="L317" s="310" t="inlineStr">
        <is>
          <t>ZU-MFGN1YZI-06Q</t>
        </is>
      </c>
      <c r="M317" s="311" t="inlineStr">
        <is>
          <t>3YZJHXXP</t>
        </is>
      </c>
      <c r="N317" s="309" t="inlineStr">
        <is>
          <t>F.MFG.06Q.002.AD</t>
        </is>
      </c>
      <c r="O317" s="306" t="n"/>
      <c r="P317" s="306" t="n"/>
      <c r="Q317" s="312">
        <f>IFERROR(R317/H317, 0)</f>
        <v/>
      </c>
      <c r="R317" s="307" t="n">
        <v>1820.58</v>
      </c>
      <c r="S317" s="308" t="n">
        <v>18056</v>
      </c>
      <c r="T317" s="308">
        <f>IFERROR(S317*R317, 0)</f>
        <v/>
      </c>
      <c r="U317" s="313" t="n"/>
      <c r="V317" s="315" t="n"/>
      <c r="W317" s="316" t="n"/>
      <c r="X317" s="311" t="n"/>
      <c r="Y317" s="315" t="n"/>
      <c r="Z317" s="317" t="n"/>
    </row>
    <row r="318" ht="16.5" customHeight="1" s="223">
      <c r="A318" s="322" t="n"/>
      <c r="B318" s="324" t="n"/>
      <c r="C318" s="304" t="n"/>
      <c r="D318" s="304" t="n"/>
      <c r="E318" s="317" t="n"/>
      <c r="F318" s="320" t="n"/>
      <c r="G318" s="317" t="n"/>
      <c r="H318" s="311" t="n">
        <v>310</v>
      </c>
      <c r="I318" s="311" t="inlineStr"/>
      <c r="J318" s="311" t="inlineStr"/>
      <c r="K318" s="309" t="inlineStr">
        <is>
          <t>8IN GREEN TEA MF MATTRESS TW</t>
        </is>
      </c>
      <c r="L318" s="310" t="inlineStr">
        <is>
          <t>ZU-MFMA1ZZI-08T</t>
        </is>
      </c>
      <c r="M318" s="311" t="inlineStr">
        <is>
          <t>3YZJHXXP</t>
        </is>
      </c>
      <c r="N318" s="309" t="inlineStr">
        <is>
          <t>F.MFM.08T.008.AD</t>
        </is>
      </c>
      <c r="O318" s="306" t="n"/>
      <c r="P318" s="306" t="n"/>
      <c r="Q318" s="312">
        <f>IFERROR(R318/H318, 0)</f>
        <v/>
      </c>
      <c r="R318" s="307" t="n">
        <v>11138.3</v>
      </c>
      <c r="S318" s="308" t="n">
        <v>18056</v>
      </c>
      <c r="T318" s="308">
        <f>IFERROR(S318*R318, 0)</f>
        <v/>
      </c>
      <c r="U318" s="313" t="n"/>
      <c r="V318" s="315" t="n"/>
      <c r="W318" s="316" t="n"/>
      <c r="X318" s="311" t="n"/>
      <c r="Y318" s="315" t="n"/>
      <c r="Z318" s="317" t="n"/>
    </row>
    <row r="319" ht="16.5" customHeight="1" s="223">
      <c r="A319" s="322" t="n"/>
      <c r="B319" s="324" t="n"/>
      <c r="C319" s="304" t="n"/>
      <c r="D319" s="304" t="n"/>
      <c r="E319" s="317" t="n"/>
      <c r="F319" s="320" t="n"/>
      <c r="G319" s="317" t="n"/>
      <c r="H319" s="311" t="n">
        <v>177</v>
      </c>
      <c r="I319" s="311" t="inlineStr"/>
      <c r="J319" s="311" t="inlineStr"/>
      <c r="K319" s="309" t="inlineStr">
        <is>
          <t>12IN GREEN TEA MF MATTRESS FL</t>
        </is>
      </c>
      <c r="L319" s="310" t="inlineStr">
        <is>
          <t>ZU-MFMA1ZZI-12F</t>
        </is>
      </c>
      <c r="M319" s="311" t="inlineStr">
        <is>
          <t>3YZJHXXP</t>
        </is>
      </c>
      <c r="N319" s="309" t="inlineStr">
        <is>
          <t>F.MFM.12F.006.AD</t>
        </is>
      </c>
      <c r="O319" s="306" t="n"/>
      <c r="P319" s="306" t="n"/>
      <c r="Q319" s="312">
        <f>IFERROR(R319/H319, 0)</f>
        <v/>
      </c>
      <c r="R319" s="307" t="n">
        <v>12559.92</v>
      </c>
      <c r="S319" s="308" t="n">
        <v>18056</v>
      </c>
      <c r="T319" s="308">
        <f>IFERROR(S319*R319, 0)</f>
        <v/>
      </c>
      <c r="U319" s="313" t="n"/>
      <c r="V319" s="315" t="n"/>
      <c r="W319" s="316" t="n"/>
      <c r="X319" s="311" t="n"/>
      <c r="Y319" s="315" t="n"/>
      <c r="Z319" s="317" t="n"/>
    </row>
    <row r="320" ht="16.5" customHeight="1" s="223">
      <c r="A320" s="322" t="n"/>
      <c r="B320" s="324" t="n"/>
      <c r="C320" s="304" t="n"/>
      <c r="D320" s="304" t="n"/>
      <c r="E320" s="317" t="n"/>
      <c r="F320" s="320" t="n"/>
      <c r="G320" s="317" t="n"/>
      <c r="H320" s="311" t="n">
        <v>237</v>
      </c>
      <c r="I320" s="311" t="inlineStr"/>
      <c r="J320" s="311" t="inlineStr"/>
      <c r="K320" s="309" t="inlineStr">
        <is>
          <t>6IN MYGEL FOAM MATTRESS FL</t>
        </is>
      </c>
      <c r="L320" s="310" t="inlineStr">
        <is>
          <t>ZU-MFGN1YZI-06F</t>
        </is>
      </c>
      <c r="M320" s="311" t="inlineStr">
        <is>
          <t>8YEYA12I</t>
        </is>
      </c>
      <c r="N320" s="309" t="inlineStr">
        <is>
          <t>F.MFG.06F.002.AD</t>
        </is>
      </c>
      <c r="O320" s="306" t="n"/>
      <c r="P320" s="306" t="n"/>
      <c r="Q320" s="312">
        <f>IFERROR(R320/H320, 0)</f>
        <v/>
      </c>
      <c r="R320" s="307" t="n">
        <v>9226.41</v>
      </c>
      <c r="S320" s="308" t="n">
        <v>18056</v>
      </c>
      <c r="T320" s="308">
        <f>IFERROR(S320*R320, 0)</f>
        <v/>
      </c>
      <c r="U320" s="313" t="n"/>
      <c r="V320" s="315" t="n"/>
      <c r="W320" s="316" t="n"/>
      <c r="X320" s="311" t="n"/>
      <c r="Y320" s="315" t="n"/>
      <c r="Z320" s="317" t="n"/>
    </row>
    <row r="321" ht="16.5" customHeight="1" s="223">
      <c r="A321" s="322" t="n"/>
      <c r="B321" s="324" t="n"/>
      <c r="C321" s="304" t="n"/>
      <c r="D321" s="304" t="n"/>
      <c r="E321" s="317" t="n"/>
      <c r="F321" s="320" t="n"/>
      <c r="G321" s="317" t="n"/>
      <c r="H321" s="311" t="n">
        <v>58</v>
      </c>
      <c r="I321" s="311" t="inlineStr"/>
      <c r="J321" s="311" t="inlineStr"/>
      <c r="K321" s="309" t="inlineStr">
        <is>
          <t>12IN MYGEL FOAM MATTRESS FL</t>
        </is>
      </c>
      <c r="L321" s="310" t="inlineStr">
        <is>
          <t>ZU-MFGN1YZI-12F</t>
        </is>
      </c>
      <c r="M321" s="311" t="inlineStr">
        <is>
          <t>8YEYA12I</t>
        </is>
      </c>
      <c r="N321" s="309" t="inlineStr">
        <is>
          <t>F.MFG.12F.002.AD</t>
        </is>
      </c>
      <c r="O321" s="306" t="n"/>
      <c r="P321" s="306" t="n"/>
      <c r="Q321" s="312">
        <f>IFERROR(R321/H321, 0)</f>
        <v/>
      </c>
      <c r="R321" s="307" t="n">
        <v>4106.98</v>
      </c>
      <c r="S321" s="308" t="n">
        <v>18056</v>
      </c>
      <c r="T321" s="308">
        <f>IFERROR(S321*R321, 0)</f>
        <v/>
      </c>
      <c r="U321" s="313" t="n"/>
      <c r="V321" s="315" t="n"/>
      <c r="W321" s="316" t="n"/>
      <c r="X321" s="311" t="n"/>
      <c r="Y321" s="315" t="n"/>
      <c r="Z321" s="317" t="n"/>
    </row>
    <row r="322" ht="16.5" customHeight="1" s="223">
      <c r="A322" s="322" t="n"/>
      <c r="B322" s="324" t="n"/>
      <c r="C322" s="304" t="n"/>
      <c r="D322" s="304" t="n"/>
      <c r="E322" s="317" t="n"/>
      <c r="F322" s="320" t="n"/>
      <c r="G322" s="317" t="n"/>
      <c r="H322" s="311" t="n">
        <v>107</v>
      </c>
      <c r="I322" s="311" t="inlineStr"/>
      <c r="J322" s="311" t="inlineStr"/>
      <c r="K322" s="309" t="inlineStr">
        <is>
          <t>12IN GREEN TEA MF MATTRESS EK</t>
        </is>
      </c>
      <c r="L322" s="310" t="inlineStr">
        <is>
          <t>ZU-MFMA1ZZI-12K</t>
        </is>
      </c>
      <c r="M322" s="311" t="inlineStr">
        <is>
          <t>8YEYA12I</t>
        </is>
      </c>
      <c r="N322" s="309" t="inlineStr">
        <is>
          <t>F.MFM.12K.006.AD</t>
        </is>
      </c>
      <c r="O322" s="306" t="n"/>
      <c r="P322" s="306" t="n"/>
      <c r="Q322" s="312">
        <f>IFERROR(R322/H322, 0)</f>
        <v/>
      </c>
      <c r="R322" s="307" t="n">
        <v>10910.79</v>
      </c>
      <c r="S322" s="308" t="n">
        <v>18056</v>
      </c>
      <c r="T322" s="308">
        <f>IFERROR(S322*R322, 0)</f>
        <v/>
      </c>
      <c r="U322" s="313" t="n"/>
      <c r="V322" s="315" t="n"/>
      <c r="W322" s="316" t="n"/>
      <c r="X322" s="311" t="n"/>
      <c r="Y322" s="315" t="n"/>
      <c r="Z322" s="317" t="n"/>
    </row>
    <row r="323" ht="17.1" customHeight="1" s="223">
      <c r="A323" s="325" t="n"/>
      <c r="B323" s="326" t="n"/>
      <c r="C323" s="327" t="n"/>
      <c r="D323" s="327" t="n"/>
      <c r="E323" s="328" t="n"/>
      <c r="F323" s="328" t="n"/>
      <c r="G323" s="328" t="n"/>
      <c r="H323" s="329">
        <f>SUM(H291:H322)</f>
        <v/>
      </c>
      <c r="I323" s="330">
        <f>COUNTA(I291:I322)</f>
        <v/>
      </c>
      <c r="J323" s="329" t="n"/>
      <c r="K323" s="329" t="n"/>
      <c r="L323" s="331" t="n"/>
      <c r="M323" s="329" t="n"/>
      <c r="N323" s="329" t="n"/>
      <c r="O323" s="332">
        <f>SUM(O291:O322)</f>
        <v/>
      </c>
      <c r="P323" s="332">
        <f>SUM(P291:P322)</f>
        <v/>
      </c>
      <c r="Q323" s="333" t="n"/>
      <c r="R323" s="334">
        <f>SUM(R291:R322)</f>
        <v/>
      </c>
      <c r="S323" s="335" t="n"/>
      <c r="T323" s="335">
        <f>SUM(T291:T322)</f>
        <v/>
      </c>
      <c r="U323" s="329" t="n"/>
      <c r="V323" s="336" t="n"/>
      <c r="W323" s="337" t="n"/>
      <c r="X323" s="336" t="n"/>
      <c r="Y323" s="336" t="n"/>
      <c r="Z323" s="336" t="n"/>
    </row>
    <row r="324" ht="16.5" customHeight="1" s="223">
      <c r="A324" s="322" t="n">
        <v>42</v>
      </c>
      <c r="B324" s="324" t="inlineStr">
        <is>
          <t>000030ZIK48020260729000545</t>
        </is>
      </c>
      <c r="C324" s="304" t="n">
        <v>474193</v>
      </c>
      <c r="D324" s="304" t="n">
        <v>474153</v>
      </c>
      <c r="E324" s="317" t="n">
        <v>46233</v>
      </c>
      <c r="F324" s="320" t="inlineStr">
        <is>
          <t>ID2607-7944</t>
        </is>
      </c>
      <c r="G324" s="317" t="n">
        <v>46231</v>
      </c>
      <c r="H324" s="311" t="n">
        <v>2</v>
      </c>
      <c r="I324" s="311" t="inlineStr">
        <is>
          <t>SEGU6357822</t>
        </is>
      </c>
      <c r="J324" s="311" t="inlineStr">
        <is>
          <t>40FT</t>
        </is>
      </c>
      <c r="K324" s="309" t="inlineStr">
        <is>
          <t>10IN GREEN TEA MF MATTRESS TW</t>
        </is>
      </c>
      <c r="L324" s="310" t="inlineStr">
        <is>
          <t>ZU-MFMA1ZZI-10T</t>
        </is>
      </c>
      <c r="M324" s="311" t="inlineStr">
        <is>
          <t>12PKXJ7P</t>
        </is>
      </c>
      <c r="N324" s="309" t="inlineStr">
        <is>
          <t>F.MFM.10T.007.AD</t>
        </is>
      </c>
      <c r="O324" s="306" t="n">
        <v>67790.33</v>
      </c>
      <c r="P324" s="306" t="n">
        <v>55726.63</v>
      </c>
      <c r="Q324" s="312">
        <f>IFERROR(R324/H324, 0)</f>
        <v/>
      </c>
      <c r="R324" s="307" t="n">
        <v>110.48</v>
      </c>
      <c r="S324" s="308" t="n">
        <v>18056</v>
      </c>
      <c r="T324" s="308">
        <f>IFERROR(S324*R324, 0)</f>
        <v/>
      </c>
      <c r="U324" s="313" t="inlineStr">
        <is>
          <t>040300/KPPBC</t>
        </is>
      </c>
      <c r="V324" s="315" t="inlineStr">
        <is>
          <t>TG. PRIOK</t>
        </is>
      </c>
      <c r="W324" s="316" t="inlineStr">
        <is>
          <t>LOS ANGELES</t>
        </is>
      </c>
      <c r="X324" s="311" t="inlineStr">
        <is>
          <t>AMAZON.COM SERVICES LLC</t>
        </is>
      </c>
      <c r="Y324" s="315" t="inlineStr">
        <is>
          <t>CMDUDJA1507203</t>
        </is>
      </c>
      <c r="Z324" s="317" t="n">
        <v>46233</v>
      </c>
    </row>
    <row r="325" ht="16.5" customHeight="1" s="223">
      <c r="A325" s="322" t="n"/>
      <c r="B325" s="324" t="n"/>
      <c r="C325" s="304" t="n"/>
      <c r="D325" s="304" t="n"/>
      <c r="E325" s="317" t="n"/>
      <c r="F325" s="320" t="n"/>
      <c r="G325" s="317" t="n"/>
      <c r="H325" s="311" t="n">
        <v>218</v>
      </c>
      <c r="I325" s="311" t="inlineStr">
        <is>
          <t>SEKU5494701</t>
        </is>
      </c>
      <c r="J325" s="311" t="inlineStr">
        <is>
          <t>40FT</t>
        </is>
      </c>
      <c r="K325" s="309" t="inlineStr">
        <is>
          <t>10IN GREEN TEA MF MATTRESS TW</t>
        </is>
      </c>
      <c r="L325" s="310" t="inlineStr">
        <is>
          <t>ZU-MFMA1ZZI-10T</t>
        </is>
      </c>
      <c r="M325" s="311" t="inlineStr">
        <is>
          <t>191UHIYO</t>
        </is>
      </c>
      <c r="N325" s="309" t="inlineStr">
        <is>
          <t>F.MFM.10T.007.AD</t>
        </is>
      </c>
      <c r="O325" s="306" t="n"/>
      <c r="P325" s="306" t="n"/>
      <c r="Q325" s="312">
        <f>IFERROR(R325/H325, 0)</f>
        <v/>
      </c>
      <c r="R325" s="307" t="n">
        <v>12042.32</v>
      </c>
      <c r="S325" s="308" t="n">
        <v>18056</v>
      </c>
      <c r="T325" s="308">
        <f>IFERROR(S325*R325, 0)</f>
        <v/>
      </c>
      <c r="U325" s="313" t="n"/>
      <c r="V325" s="315" t="n"/>
      <c r="W325" s="316" t="inlineStr">
        <is>
          <t>ETD : 27-07-2026</t>
        </is>
      </c>
      <c r="X325" s="311" t="n"/>
      <c r="Y325" s="315" t="n"/>
      <c r="Z325" s="317" t="n"/>
    </row>
    <row r="326" ht="16.5" customHeight="1" s="223">
      <c r="A326" s="322" t="n"/>
      <c r="B326" s="324" t="n"/>
      <c r="C326" s="304" t="n"/>
      <c r="D326" s="304" t="n"/>
      <c r="E326" s="317" t="n"/>
      <c r="F326" s="320" t="n"/>
      <c r="G326" s="317" t="n"/>
      <c r="H326" s="311" t="n">
        <v>1096</v>
      </c>
      <c r="I326" s="311" t="inlineStr">
        <is>
          <t>CXDU1716623</t>
        </is>
      </c>
      <c r="J326" s="311" t="inlineStr">
        <is>
          <t>40FT</t>
        </is>
      </c>
      <c r="K326" s="309" t="inlineStr">
        <is>
          <t>6IN GREEN TEA MF MATTRESS TW</t>
        </is>
      </c>
      <c r="L326" s="310" t="inlineStr">
        <is>
          <t>ZU-MFMA1ZZI-06T</t>
        </is>
      </c>
      <c r="M326" s="311" t="inlineStr">
        <is>
          <t>1E4WOYSE</t>
        </is>
      </c>
      <c r="N326" s="309" t="inlineStr">
        <is>
          <t>F.MFM.06T.007.AD</t>
        </is>
      </c>
      <c r="O326" s="306" t="n"/>
      <c r="P326" s="306" t="n"/>
      <c r="Q326" s="312">
        <f>IFERROR(R326/H326, 0)</f>
        <v/>
      </c>
      <c r="R326" s="307" t="n">
        <v>33438.96</v>
      </c>
      <c r="S326" s="308" t="n">
        <v>18056</v>
      </c>
      <c r="T326" s="308">
        <f>IFERROR(S326*R326, 0)</f>
        <v/>
      </c>
      <c r="U326" s="313" t="n"/>
      <c r="V326" s="315" t="n"/>
      <c r="W326" s="316" t="n"/>
      <c r="X326" s="311" t="n"/>
      <c r="Y326" s="315" t="n"/>
      <c r="Z326" s="317" t="n"/>
    </row>
    <row r="327" ht="16.5" customHeight="1" s="223">
      <c r="A327" s="322" t="n"/>
      <c r="B327" s="324" t="n"/>
      <c r="C327" s="304" t="n"/>
      <c r="D327" s="304" t="n"/>
      <c r="E327" s="317" t="n"/>
      <c r="F327" s="320" t="n"/>
      <c r="G327" s="317" t="n"/>
      <c r="H327" s="311" t="n">
        <v>1085</v>
      </c>
      <c r="I327" s="311" t="inlineStr">
        <is>
          <t>TLLU4494926</t>
        </is>
      </c>
      <c r="J327" s="311" t="inlineStr">
        <is>
          <t>40FT</t>
        </is>
      </c>
      <c r="K327" s="309" t="inlineStr">
        <is>
          <t>6IN GREEN TEA MF MATTRESS TW</t>
        </is>
      </c>
      <c r="L327" s="310" t="inlineStr">
        <is>
          <t>ZU-MFMA1ZZI-06T</t>
        </is>
      </c>
      <c r="M327" s="311" t="inlineStr">
        <is>
          <t>2C8RWRTA</t>
        </is>
      </c>
      <c r="N327" s="309" t="inlineStr">
        <is>
          <t>F.MFM.06T.007.AD</t>
        </is>
      </c>
      <c r="O327" s="306" t="n"/>
      <c r="P327" s="306" t="n"/>
      <c r="Q327" s="312">
        <f>IFERROR(R327/H327, 0)</f>
        <v/>
      </c>
      <c r="R327" s="307" t="n">
        <v>33103.35</v>
      </c>
      <c r="S327" s="308" t="n">
        <v>18056</v>
      </c>
      <c r="T327" s="308">
        <f>IFERROR(S327*R327, 0)</f>
        <v/>
      </c>
      <c r="U327" s="313" t="n"/>
      <c r="V327" s="315" t="n"/>
      <c r="W327" s="316" t="n"/>
      <c r="X327" s="311" t="n"/>
      <c r="Y327" s="315" t="n"/>
      <c r="Z327" s="317" t="n"/>
    </row>
    <row r="328" ht="16.5" customHeight="1" s="223">
      <c r="A328" s="322" t="n"/>
      <c r="B328" s="324" t="n"/>
      <c r="C328" s="304" t="n"/>
      <c r="D328" s="304" t="n"/>
      <c r="E328" s="317" t="n"/>
      <c r="F328" s="320" t="n"/>
      <c r="G328" s="317" t="n"/>
      <c r="H328" s="311" t="n">
        <v>924</v>
      </c>
      <c r="I328" s="311" t="inlineStr">
        <is>
          <t>CMAU7341702</t>
        </is>
      </c>
      <c r="J328" s="311" t="inlineStr">
        <is>
          <t>40FT</t>
        </is>
      </c>
      <c r="K328" s="309" t="inlineStr">
        <is>
          <t>6IN GREEN TEA MF MATTRESS FL</t>
        </is>
      </c>
      <c r="L328" s="310" t="inlineStr">
        <is>
          <t>ZU-MFMA1ZZI-06F</t>
        </is>
      </c>
      <c r="M328" s="311" t="inlineStr">
        <is>
          <t>2SQ6VO9F</t>
        </is>
      </c>
      <c r="N328" s="309" t="inlineStr">
        <is>
          <t>F.MFM.06F.007.AD</t>
        </is>
      </c>
      <c r="O328" s="306" t="n"/>
      <c r="P328" s="306" t="n"/>
      <c r="Q328" s="312">
        <f>IFERROR(R328/H328, 0)</f>
        <v/>
      </c>
      <c r="R328" s="307" t="n">
        <v>35416.92</v>
      </c>
      <c r="S328" s="308" t="n">
        <v>18056</v>
      </c>
      <c r="T328" s="308">
        <f>IFERROR(S328*R328, 0)</f>
        <v/>
      </c>
      <c r="U328" s="313" t="n"/>
      <c r="V328" s="315" t="n"/>
      <c r="W328" s="316" t="n"/>
      <c r="X328" s="311" t="n"/>
      <c r="Y328" s="315" t="n"/>
      <c r="Z328" s="317" t="n"/>
    </row>
    <row r="329" ht="16.5" customHeight="1" s="223">
      <c r="A329" s="322" t="n"/>
      <c r="B329" s="324" t="n"/>
      <c r="C329" s="304" t="n"/>
      <c r="D329" s="304" t="n"/>
      <c r="E329" s="317" t="n"/>
      <c r="F329" s="320" t="n"/>
      <c r="G329" s="317" t="n"/>
      <c r="H329" s="311" t="n">
        <v>1053</v>
      </c>
      <c r="I329" s="311" t="inlineStr">
        <is>
          <t>BEAU4667241</t>
        </is>
      </c>
      <c r="J329" s="311" t="inlineStr">
        <is>
          <t>40FT</t>
        </is>
      </c>
      <c r="K329" s="309" t="inlineStr">
        <is>
          <t>6IN GREEN TEA MF MATTRESS TW</t>
        </is>
      </c>
      <c r="L329" s="310" t="inlineStr">
        <is>
          <t>ZU-MFMA1ZZI-06T</t>
        </is>
      </c>
      <c r="M329" s="311" t="inlineStr">
        <is>
          <t>2WVWORPM</t>
        </is>
      </c>
      <c r="N329" s="309" t="inlineStr">
        <is>
          <t>F.MFM.06T.007.AD</t>
        </is>
      </c>
      <c r="O329" s="306" t="n"/>
      <c r="P329" s="306" t="n"/>
      <c r="Q329" s="312">
        <f>IFERROR(R329/H329, 0)</f>
        <v/>
      </c>
      <c r="R329" s="307" t="n">
        <v>32127.03</v>
      </c>
      <c r="S329" s="308" t="n">
        <v>18056</v>
      </c>
      <c r="T329" s="308">
        <f>IFERROR(S329*R329, 0)</f>
        <v/>
      </c>
      <c r="U329" s="313" t="n"/>
      <c r="V329" s="315" t="n"/>
      <c r="W329" s="316" t="n"/>
      <c r="X329" s="311" t="n"/>
      <c r="Y329" s="315" t="n"/>
      <c r="Z329" s="317" t="n"/>
    </row>
    <row r="330" ht="16.5" customHeight="1" s="223">
      <c r="A330" s="322" t="n"/>
      <c r="B330" s="324" t="n"/>
      <c r="C330" s="304" t="n"/>
      <c r="D330" s="304" t="n"/>
      <c r="E330" s="317" t="n"/>
      <c r="F330" s="320" t="n"/>
      <c r="G330" s="317" t="n"/>
      <c r="H330" s="311" t="n">
        <v>1</v>
      </c>
      <c r="I330" s="311" t="inlineStr"/>
      <c r="J330" s="311" t="inlineStr"/>
      <c r="K330" s="309" t="inlineStr">
        <is>
          <t>12IN GREEN TEA MF MATTRESS EK</t>
        </is>
      </c>
      <c r="L330" s="310" t="inlineStr">
        <is>
          <t>ZU-MFMA1ZZI-12K</t>
        </is>
      </c>
      <c r="M330" s="311" t="inlineStr">
        <is>
          <t>2WVWORPM</t>
        </is>
      </c>
      <c r="N330" s="309" t="inlineStr">
        <is>
          <t>F.MFM.12K.006.AD</t>
        </is>
      </c>
      <c r="O330" s="306" t="n"/>
      <c r="P330" s="306" t="n"/>
      <c r="Q330" s="312">
        <f>IFERROR(R330/H330, 0)</f>
        <v/>
      </c>
      <c r="R330" s="307" t="n">
        <v>101.97</v>
      </c>
      <c r="S330" s="308" t="n">
        <v>18056</v>
      </c>
      <c r="T330" s="308">
        <f>IFERROR(S330*R330, 0)</f>
        <v/>
      </c>
      <c r="U330" s="313" t="n"/>
      <c r="V330" s="315" t="n"/>
      <c r="W330" s="316" t="n"/>
      <c r="X330" s="311" t="n"/>
      <c r="Y330" s="315" t="n"/>
      <c r="Z330" s="317" t="n"/>
    </row>
    <row r="331" ht="16.5" customHeight="1" s="223">
      <c r="A331" s="322" t="n"/>
      <c r="B331" s="324" t="n"/>
      <c r="C331" s="304" t="n"/>
      <c r="D331" s="304" t="n"/>
      <c r="E331" s="317" t="n"/>
      <c r="F331" s="320" t="n"/>
      <c r="G331" s="317" t="n"/>
      <c r="H331" s="311" t="n">
        <v>1130</v>
      </c>
      <c r="I331" s="311" t="inlineStr"/>
      <c r="J331" s="311" t="inlineStr"/>
      <c r="K331" s="309" t="inlineStr">
        <is>
          <t>6IN GREEN TEA MF MATTRESS TW</t>
        </is>
      </c>
      <c r="L331" s="310" t="inlineStr">
        <is>
          <t>ZU-MFMA1ZZI-06T</t>
        </is>
      </c>
      <c r="M331" s="311" t="inlineStr">
        <is>
          <t>8PX5Z4YR</t>
        </is>
      </c>
      <c r="N331" s="309" t="inlineStr">
        <is>
          <t>F.MFM.06T.007.AD</t>
        </is>
      </c>
      <c r="O331" s="306" t="n"/>
      <c r="P331" s="306" t="n"/>
      <c r="Q331" s="312">
        <f>IFERROR(R331/H331, 0)</f>
        <v/>
      </c>
      <c r="R331" s="307" t="n">
        <v>34476.3</v>
      </c>
      <c r="S331" s="308" t="n">
        <v>18056</v>
      </c>
      <c r="T331" s="308">
        <f>IFERROR(S331*R331, 0)</f>
        <v/>
      </c>
      <c r="U331" s="313" t="n"/>
      <c r="V331" s="315" t="n"/>
      <c r="W331" s="316" t="n"/>
      <c r="X331" s="311" t="n"/>
      <c r="Y331" s="315" t="n"/>
      <c r="Z331" s="317" t="n"/>
    </row>
    <row r="332" ht="17.1" customHeight="1" s="223">
      <c r="A332" s="325" t="n"/>
      <c r="B332" s="326" t="n"/>
      <c r="C332" s="327" t="n"/>
      <c r="D332" s="327" t="n"/>
      <c r="E332" s="328" t="n"/>
      <c r="F332" s="328" t="n"/>
      <c r="G332" s="328" t="n"/>
      <c r="H332" s="329">
        <f>SUM(H324:H331)</f>
        <v/>
      </c>
      <c r="I332" s="330">
        <f>COUNTA(I324:I331)</f>
        <v/>
      </c>
      <c r="J332" s="329" t="n"/>
      <c r="K332" s="329" t="n"/>
      <c r="L332" s="331" t="n"/>
      <c r="M332" s="329" t="n"/>
      <c r="N332" s="329" t="n"/>
      <c r="O332" s="332">
        <f>SUM(O324:O331)</f>
        <v/>
      </c>
      <c r="P332" s="332">
        <f>SUM(P324:P331)</f>
        <v/>
      </c>
      <c r="Q332" s="333" t="n"/>
      <c r="R332" s="334">
        <f>SUM(R324:R331)</f>
        <v/>
      </c>
      <c r="S332" s="335" t="n"/>
      <c r="T332" s="335">
        <f>SUM(T324:T331)</f>
        <v/>
      </c>
      <c r="U332" s="329" t="n"/>
      <c r="V332" s="336" t="n"/>
      <c r="W332" s="337" t="n"/>
      <c r="X332" s="336" t="n"/>
      <c r="Y332" s="336" t="n"/>
      <c r="Z332" s="336" t="n"/>
    </row>
    <row r="333" ht="16.5" customFormat="1" customHeight="1" s="338">
      <c r="A333" s="319">
        <f>COUNT(A12:A332)</f>
        <v/>
      </c>
      <c r="B333" s="321" t="n"/>
      <c r="C333" s="295" t="n"/>
      <c r="D333" s="295" t="n"/>
      <c r="E333" s="268" t="n"/>
      <c r="F333" s="296" t="n"/>
      <c r="G333" s="268" t="n"/>
      <c r="H333" s="51">
        <f>SUM(H22,H50,H79,H82,H85,H88,H97,H100,H103,H106,H109,H112,H115,H118,H121,H124,H173,H176,H179,H182,H185,H188,H191,H194,H197,H200,H203,H206,H209,H212,H216,H221,H248,H263,H275,H278,H281,H284,H287,H290,H323,H332)</f>
        <v/>
      </c>
      <c r="I333" s="51">
        <f>SUM(I22,I50,I79,I82,I85,I88,I97,I100,I103,I106,I109,I112,I115,I118,I121,I124,I173,I176,I179,I182,I185,I188,I191,I194,I197,I200,I203,I206,I209,I212,I216,I221,I248,I263,I275,I278,I281,I284,I287,I290,I323,I332)</f>
        <v/>
      </c>
      <c r="J333" s="51" t="n"/>
      <c r="K333" s="284" t="n"/>
      <c r="L333" s="285" t="n"/>
      <c r="M333" s="51" t="n"/>
      <c r="N333" s="284" t="n"/>
      <c r="O333" s="86">
        <f>SUM(O22,O50,O79,O82,O85,O88,O97,O100,O103,O106,O109,O112,O115,O118,O121,O124,O173,O176,O179,O182,O185,O188,O191,O194,O197,O200,O203,O206,O209,O212,O216,O221,O248,O263,O275,O278,O281,O284,O287,O290,O323,O332)</f>
        <v/>
      </c>
      <c r="P333" s="86">
        <f>SUM(P22,P50,P79,P82,P85,P88,P97,P100,P103,P106,P109,P112,P115,P118,P121,P124,P173,P176,P179,P182,P185,P188,P191,P194,P197,P200,P203,P206,P209,P212,P216,P221,P248,P263,P275,P278,P281,P284,P287,P290,P323,P332)</f>
        <v/>
      </c>
      <c r="Q333" s="318" t="n"/>
      <c r="R333" s="260">
        <f>SUM(R22,R50,R79,R82,R85,R88,R97,R100,R103,R106,R109,R112,R115,R118,R121,R124,R173,R176,R179,R182,R185,R188,R191,R194,R197,R200,R203,R206,R209,R212,R216,R221,R248,R263,R275,R278,R281,R284,R287,R290,R323,R332)</f>
        <v/>
      </c>
      <c r="S333" s="261" t="n"/>
      <c r="T333" s="261">
        <f>SUM(T22,T50,T79,T82,T85,T88,T97,T100,T103,T106,T109,T112,T115,T118,T121,T124,T173,T176,T179,T182,T185,T188,T191,T194,T197,T200,T203,T206,T209,T212,T216,T221,T248,T263,T275,T278,T281,T284,T287,T290,T323,T332)</f>
        <v/>
      </c>
      <c r="U333" s="314" t="n"/>
      <c r="V333" s="267" t="n"/>
      <c r="W333" s="323" t="n"/>
      <c r="X333" s="51" t="n"/>
      <c r="Y333" s="267" t="n"/>
      <c r="Z333" s="268" t="n"/>
    </row>
    <row r="335" ht="20" customHeight="1" s="223">
      <c r="B335" s="339" t="inlineStr">
        <is>
          <t>Total Qty Export :</t>
        </is>
      </c>
      <c r="C335" s="340">
        <f>H333-C336</f>
        <v/>
      </c>
    </row>
    <row r="336" ht="20" customHeight="1" s="223">
      <c r="B336" s="341" t="inlineStr">
        <is>
          <t>Total Qty Export Sample :</t>
        </is>
      </c>
      <c r="C336" s="342" t="n">
        <v>0</v>
      </c>
    </row>
    <row r="338" ht="20" customHeight="1" s="223">
      <c r="U338" s="341" t="inlineStr">
        <is>
          <t>Tangerang, 30 July 2026</t>
        </is>
      </c>
    </row>
    <row r="339" ht="20" customHeight="1" s="223">
      <c r="A339" s="343" t="inlineStr">
        <is>
          <t>Total Document</t>
        </is>
      </c>
      <c r="C339" s="343">
        <f>A333</f>
        <v/>
      </c>
      <c r="U339" s="341" t="inlineStr">
        <is>
          <t>Kasubsi Hanggar Pabean dan Cukai</t>
        </is>
      </c>
    </row>
    <row r="340" ht="20" customHeight="1" s="223">
      <c r="A340" s="343" t="inlineStr">
        <is>
          <t>Gross Weight</t>
        </is>
      </c>
      <c r="C340" s="343">
        <f>O333</f>
        <v/>
      </c>
    </row>
    <row r="341" ht="20" customHeight="1" s="223">
      <c r="A341" s="343" t="inlineStr">
        <is>
          <t>Nett Weight</t>
        </is>
      </c>
      <c r="C341" s="343">
        <f>P333</f>
        <v/>
      </c>
    </row>
    <row r="342" ht="20" customHeight="1" s="223">
      <c r="A342" s="343" t="inlineStr">
        <is>
          <t>Amount</t>
        </is>
      </c>
      <c r="C342" s="343">
        <f>R333</f>
        <v/>
      </c>
    </row>
    <row r="343" ht="20" customHeight="1" s="223">
      <c r="A343" s="343" t="inlineStr">
        <is>
          <t>Jumlah Container</t>
        </is>
      </c>
      <c r="C343" s="343">
        <f>I333</f>
        <v/>
      </c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A6:Z6"/>
    <mergeCell ref="I10:J11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2026-07-30T12:12:56Z</dcterms:modified>
  <cp:lastModifiedBy>Chiswa Dian Hermansyah(ZINUS ZDI)</cp:lastModifiedBy>
</cp:coreProperties>
</file>