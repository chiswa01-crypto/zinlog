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2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9" fillId="0" borderId="0" applyAlignment="1" pivotButton="0" quotePrefix="0" xfId="4">
      <alignment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63.44140625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258" t="n">
        <v>1</v>
      </c>
      <c r="B12" s="259" t="inlineStr">
        <is>
          <t>000030ZIK4802026072100494</t>
        </is>
      </c>
      <c r="C12" s="260" t="n">
        <v>450515</v>
      </c>
      <c r="D12" s="260" t="n">
        <v>450465</v>
      </c>
      <c r="E12" s="261" t="n">
        <v>46225</v>
      </c>
      <c r="F12" s="262" t="inlineStr">
        <is>
          <t>No</t>
        </is>
      </c>
      <c r="G12" s="261" t="n">
        <v>46223</v>
      </c>
      <c r="H12" s="263" t="n">
        <v>850</v>
      </c>
      <c r="I12" s="263" t="inlineStr">
        <is>
          <t>TXGU583961</t>
        </is>
      </c>
      <c r="J12" s="263" t="inlineStr">
        <is>
          <t>40FT</t>
        </is>
      </c>
      <c r="K12" s="264" t="inlineStr">
        <is>
          <t>6IN GREEN TEA MF MATTRESS FL</t>
        </is>
      </c>
      <c r="L12" s="265" t="inlineStr">
        <is>
          <t>EB-FMS-0600F-IN</t>
        </is>
      </c>
      <c r="M12" s="263" t="inlineStr">
        <is>
          <t>66X4TV01</t>
        </is>
      </c>
      <c r="N12" s="264" t="inlineStr">
        <is>
          <t>F.MFM.06F.001.BD</t>
        </is>
      </c>
      <c r="O12" s="266" t="n">
        <v>12962.5</v>
      </c>
      <c r="P12" s="266" t="n">
        <v>11730</v>
      </c>
      <c r="Q12" s="267">
        <f>IFERROR(R12/H12, 0)</f>
        <v/>
      </c>
      <c r="R12" s="268" t="n">
        <v>40018</v>
      </c>
      <c r="S12" s="269" t="n">
        <v>18056</v>
      </c>
      <c r="T12" s="269">
        <f>IFERROR(S12*R12, 0)</f>
        <v/>
      </c>
      <c r="U12" s="270" t="inlineStr">
        <is>
          <t>PEMUATAN</t>
        </is>
      </c>
      <c r="V12" s="271" t="inlineStr">
        <is>
          <t>CENGKARENG / SOEKARNO</t>
        </is>
      </c>
      <c r="W12" s="272" t="inlineStr">
        <is>
          <t>Ekspor</t>
        </is>
      </c>
      <c r="X12" s="263" t="inlineStr"/>
      <c r="Y12" s="271" t="inlineStr">
        <is>
          <t>EGLV080600441901</t>
        </is>
      </c>
      <c r="Z12" s="261" t="n">
        <v>46225</v>
      </c>
    </row>
    <row r="13" ht="16.5" customFormat="1" customHeight="1" s="257">
      <c r="A13" s="273" t="n"/>
      <c r="B13" s="274" t="n"/>
      <c r="C13" s="275" t="n"/>
      <c r="D13" s="275" t="n"/>
      <c r="E13" s="276" t="n"/>
      <c r="F13" s="276" t="n"/>
      <c r="G13" s="276" t="n"/>
      <c r="H13" s="277">
        <f>SUM(H12:H12)</f>
        <v/>
      </c>
      <c r="I13" s="278">
        <f>COUNTA(I12:I12)</f>
        <v/>
      </c>
      <c r="J13" s="277" t="n"/>
      <c r="K13" s="277" t="n"/>
      <c r="L13" s="279" t="n"/>
      <c r="M13" s="277" t="n"/>
      <c r="N13" s="277" t="n"/>
      <c r="O13" s="280">
        <f>SUM(O12:O12)</f>
        <v/>
      </c>
      <c r="P13" s="280">
        <f>SUM(P12:P12)</f>
        <v/>
      </c>
      <c r="Q13" s="281" t="n"/>
      <c r="R13" s="282">
        <f>SUM(R12:R12)</f>
        <v/>
      </c>
      <c r="S13" s="283" t="n"/>
      <c r="T13" s="283">
        <f>SUM(T12:T12)</f>
        <v/>
      </c>
      <c r="U13" s="277" t="n"/>
      <c r="V13" s="284" t="n"/>
      <c r="W13" s="285" t="n"/>
      <c r="X13" s="284" t="n"/>
      <c r="Y13" s="284" t="n"/>
      <c r="Z13" s="284" t="n"/>
    </row>
    <row r="14" ht="16.5" customFormat="1" customHeight="1" s="257">
      <c r="A14" s="258" t="n">
        <v>2</v>
      </c>
      <c r="B14" s="259" t="inlineStr">
        <is>
          <t>000030ZIK4802026072100495</t>
        </is>
      </c>
      <c r="C14" s="260" t="n">
        <v>450530</v>
      </c>
      <c r="D14" s="260" t="n">
        <v>450480</v>
      </c>
      <c r="E14" s="261" t="n">
        <v>46225</v>
      </c>
      <c r="F14" s="262" t="inlineStr">
        <is>
          <t>No</t>
        </is>
      </c>
      <c r="G14" s="261" t="n">
        <v>46223</v>
      </c>
      <c r="H14" s="263" t="n">
        <v>352</v>
      </c>
      <c r="I14" s="263" t="inlineStr">
        <is>
          <t>TXGU583972</t>
        </is>
      </c>
      <c r="J14" s="263" t="inlineStr">
        <is>
          <t>40FT</t>
        </is>
      </c>
      <c r="K14" s="264" t="inlineStr">
        <is>
          <t>14IN GREEN TEA FOAM MATTRESS Q</t>
        </is>
      </c>
      <c r="L14" s="265" t="inlineStr">
        <is>
          <t>ZU-MFMA1ZZI-14Q</t>
        </is>
      </c>
      <c r="M14" s="263" t="inlineStr">
        <is>
          <t>66X4TV02</t>
        </is>
      </c>
      <c r="N14" s="264" t="inlineStr">
        <is>
          <t>F.MFM.06F.002.BD</t>
        </is>
      </c>
      <c r="O14" s="266" t="n">
        <v>24598.94</v>
      </c>
      <c r="P14" s="266" t="n">
        <v>22252.54</v>
      </c>
      <c r="Q14" s="267">
        <f>IFERROR(R14/H14, 0)</f>
        <v/>
      </c>
      <c r="R14" s="268" t="n">
        <v>36097.6</v>
      </c>
      <c r="S14" s="269" t="n">
        <v>18056</v>
      </c>
      <c r="T14" s="269">
        <f>IFERROR(S14*R14, 0)</f>
        <v/>
      </c>
      <c r="U14" s="270" t="inlineStr">
        <is>
          <t>PEMUATAN</t>
        </is>
      </c>
      <c r="V14" s="271" t="inlineStr">
        <is>
          <t>TANJUNG PRIOK</t>
        </is>
      </c>
      <c r="W14" s="272" t="inlineStr">
        <is>
          <t>Ekspor</t>
        </is>
      </c>
      <c r="X14" s="263" t="inlineStr"/>
      <c r="Y14" s="271" t="inlineStr">
        <is>
          <t>EGLV080600441902</t>
        </is>
      </c>
      <c r="Z14" s="261" t="n">
        <v>46225</v>
      </c>
    </row>
    <row r="15" ht="16.5" customFormat="1" customHeight="1" s="257">
      <c r="A15" s="258" t="n"/>
      <c r="B15" s="259" t="n"/>
      <c r="C15" s="260" t="n"/>
      <c r="D15" s="260" t="n"/>
      <c r="E15" s="261" t="n"/>
      <c r="F15" s="262" t="n"/>
      <c r="G15" s="261" t="n"/>
      <c r="H15" s="263" t="n">
        <v>170</v>
      </c>
      <c r="I15" s="263" t="inlineStr">
        <is>
          <t>EGHU968202</t>
        </is>
      </c>
      <c r="J15" s="263" t="inlineStr">
        <is>
          <t>40FT</t>
        </is>
      </c>
      <c r="K15" s="264" t="inlineStr">
        <is>
          <t>14IN GREEN TEA FOAM MATTRESS K</t>
        </is>
      </c>
      <c r="L15" s="265" t="inlineStr">
        <is>
          <t>ZU-MFMA1ZZI-14K</t>
        </is>
      </c>
      <c r="M15" s="263" t="inlineStr">
        <is>
          <t>8NSJB02</t>
        </is>
      </c>
      <c r="N15" s="264" t="inlineStr">
        <is>
          <t>F.MFM.14K.002.AD</t>
        </is>
      </c>
      <c r="O15" s="266" t="n"/>
      <c r="P15" s="266" t="n"/>
      <c r="Q15" s="267">
        <f>IFERROR(R15/H15, 0)</f>
        <v/>
      </c>
      <c r="R15" s="268" t="n">
        <v>21984.4</v>
      </c>
      <c r="S15" s="269" t="n">
        <v>18056</v>
      </c>
      <c r="T15" s="269">
        <f>IFERROR(S15*R15, 0)</f>
        <v/>
      </c>
      <c r="U15" s="270" t="n"/>
      <c r="V15" s="271" t="n"/>
      <c r="W15" s="272" t="inlineStr">
        <is>
          <t>ETD : 27-07-2026</t>
        </is>
      </c>
      <c r="X15" s="263" t="n"/>
      <c r="Y15" s="271" t="n"/>
      <c r="Z15" s="261" t="n"/>
    </row>
    <row r="16" ht="16.5" customFormat="1" customHeight="1" s="257">
      <c r="A16" s="273" t="n"/>
      <c r="B16" s="274" t="n"/>
      <c r="C16" s="275" t="n"/>
      <c r="D16" s="275" t="n"/>
      <c r="E16" s="276" t="n"/>
      <c r="F16" s="276" t="n"/>
      <c r="G16" s="276" t="n"/>
      <c r="H16" s="277">
        <f>SUM(H14:H15)</f>
        <v/>
      </c>
      <c r="I16" s="278">
        <f>COUNTA(I14:I15)</f>
        <v/>
      </c>
      <c r="J16" s="277" t="n"/>
      <c r="K16" s="277" t="n"/>
      <c r="L16" s="279" t="n"/>
      <c r="M16" s="277" t="n"/>
      <c r="N16" s="277" t="n"/>
      <c r="O16" s="280">
        <f>SUM(O14:O15)</f>
        <v/>
      </c>
      <c r="P16" s="280">
        <f>SUM(P14:P15)</f>
        <v/>
      </c>
      <c r="Q16" s="281" t="n"/>
      <c r="R16" s="282">
        <f>SUM(R14:R15)</f>
        <v/>
      </c>
      <c r="S16" s="283" t="n"/>
      <c r="T16" s="283">
        <f>SUM(T14:T15)</f>
        <v/>
      </c>
      <c r="U16" s="277" t="n"/>
      <c r="V16" s="284" t="n"/>
      <c r="W16" s="285" t="n"/>
      <c r="X16" s="284" t="n"/>
      <c r="Y16" s="284" t="n"/>
      <c r="Z16" s="284" t="n"/>
    </row>
    <row r="17" ht="17.1" customFormat="1" customHeight="1" s="286">
      <c r="A17" s="258" t="n">
        <v>3</v>
      </c>
      <c r="B17" s="259" t="inlineStr">
        <is>
          <t>000030ZIK4802026072100496</t>
        </is>
      </c>
      <c r="C17" s="260" t="n">
        <v>450545</v>
      </c>
      <c r="D17" s="260" t="n">
        <v>450495</v>
      </c>
      <c r="E17" s="261" t="n">
        <v>46225</v>
      </c>
      <c r="F17" s="262" t="inlineStr">
        <is>
          <t>No</t>
        </is>
      </c>
      <c r="G17" s="261" t="n">
        <v>46223</v>
      </c>
      <c r="H17" s="263" t="n">
        <v>850</v>
      </c>
      <c r="I17" s="263" t="inlineStr">
        <is>
          <t>TXGU583983</t>
        </is>
      </c>
      <c r="J17" s="263" t="inlineStr">
        <is>
          <t>40FT</t>
        </is>
      </c>
      <c r="K17" s="264" t="inlineStr">
        <is>
          <t>6IN GREEN TEA MF MATTRESS FL</t>
        </is>
      </c>
      <c r="L17" s="265" t="inlineStr">
        <is>
          <t>EB-FMS-0600F-IN</t>
        </is>
      </c>
      <c r="M17" s="263" t="inlineStr">
        <is>
          <t>66X4TV03</t>
        </is>
      </c>
      <c r="N17" s="264" t="inlineStr">
        <is>
          <t>F.MFM.06F.003.BD</t>
        </is>
      </c>
      <c r="O17" s="266" t="n">
        <v>36235.38</v>
      </c>
      <c r="P17" s="266" t="n">
        <v>32775.08</v>
      </c>
      <c r="Q17" s="267">
        <f>IFERROR(R17/H17, 0)</f>
        <v/>
      </c>
      <c r="R17" s="268" t="n">
        <v>40018</v>
      </c>
      <c r="S17" s="269" t="n">
        <v>18056</v>
      </c>
      <c r="T17" s="269">
        <f>IFERROR(S17*R17, 0)</f>
        <v/>
      </c>
      <c r="U17" s="270" t="inlineStr">
        <is>
          <t>PEMUATAN</t>
        </is>
      </c>
      <c r="V17" s="271" t="inlineStr">
        <is>
          <t>TANJUNG PRIOK</t>
        </is>
      </c>
      <c r="W17" s="272" t="inlineStr">
        <is>
          <t>Ekspor</t>
        </is>
      </c>
      <c r="X17" s="263" t="inlineStr"/>
      <c r="Y17" s="271" t="inlineStr">
        <is>
          <t>EGLV080600441903</t>
        </is>
      </c>
      <c r="Z17" s="261" t="n">
        <v>46225</v>
      </c>
    </row>
    <row r="18" ht="16.5" customFormat="1" customHeight="1" s="257">
      <c r="A18" s="273" t="n"/>
      <c r="B18" s="274" t="n"/>
      <c r="C18" s="275" t="n"/>
      <c r="D18" s="275" t="n"/>
      <c r="E18" s="276" t="n"/>
      <c r="F18" s="276" t="n"/>
      <c r="G18" s="276" t="n"/>
      <c r="H18" s="277">
        <f>SUM(H17:H17)</f>
        <v/>
      </c>
      <c r="I18" s="278">
        <f>COUNTA(I17:I17)</f>
        <v/>
      </c>
      <c r="J18" s="277" t="n"/>
      <c r="K18" s="277" t="n"/>
      <c r="L18" s="279" t="n"/>
      <c r="M18" s="277" t="n"/>
      <c r="N18" s="277" t="n"/>
      <c r="O18" s="280">
        <f>SUM(O17:O17)</f>
        <v/>
      </c>
      <c r="P18" s="280">
        <f>SUM(P17:P17)</f>
        <v/>
      </c>
      <c r="Q18" s="281" t="n"/>
      <c r="R18" s="282">
        <f>SUM(R17:R17)</f>
        <v/>
      </c>
      <c r="S18" s="283" t="n"/>
      <c r="T18" s="283">
        <f>SUM(T17:T17)</f>
        <v/>
      </c>
      <c r="U18" s="277" t="n"/>
      <c r="V18" s="284" t="n"/>
      <c r="W18" s="285" t="n"/>
      <c r="X18" s="284" t="n"/>
      <c r="Y18" s="284" t="n"/>
      <c r="Z18" s="284" t="n"/>
    </row>
    <row r="19" ht="16.5" customFormat="1" customHeight="1" s="257">
      <c r="A19" s="258" t="n">
        <v>4</v>
      </c>
      <c r="B19" s="259" t="inlineStr">
        <is>
          <t>000030ZIK4802026072100497</t>
        </is>
      </c>
      <c r="C19" s="260" t="n">
        <v>450560</v>
      </c>
      <c r="D19" s="260" t="n">
        <v>450510</v>
      </c>
      <c r="E19" s="261" t="n">
        <v>46225</v>
      </c>
      <c r="F19" s="262" t="inlineStr">
        <is>
          <t>No</t>
        </is>
      </c>
      <c r="G19" s="261" t="n">
        <v>46223</v>
      </c>
      <c r="H19" s="263" t="n">
        <v>352</v>
      </c>
      <c r="I19" s="263" t="inlineStr">
        <is>
          <t>TXGU583994</t>
        </is>
      </c>
      <c r="J19" s="263" t="inlineStr">
        <is>
          <t>40FT</t>
        </is>
      </c>
      <c r="K19" s="264" t="inlineStr">
        <is>
          <t>14IN GREEN TEA FOAM MATTRESS Q</t>
        </is>
      </c>
      <c r="L19" s="265" t="inlineStr">
        <is>
          <t>ZU-MFMA1ZZI-14Q</t>
        </is>
      </c>
      <c r="M19" s="263" t="inlineStr">
        <is>
          <t>66X4TV04</t>
        </is>
      </c>
      <c r="N19" s="264" t="inlineStr">
        <is>
          <t>F.MFM.06F.004.BD</t>
        </is>
      </c>
      <c r="O19" s="266" t="n">
        <v>47871.82</v>
      </c>
      <c r="P19" s="266" t="n">
        <v>43297.62</v>
      </c>
      <c r="Q19" s="267">
        <f>IFERROR(R19/H19, 0)</f>
        <v/>
      </c>
      <c r="R19" s="268" t="n">
        <v>36097.6</v>
      </c>
      <c r="S19" s="269" t="n">
        <v>18056</v>
      </c>
      <c r="T19" s="269">
        <f>IFERROR(S19*R19, 0)</f>
        <v/>
      </c>
      <c r="U19" s="270" t="inlineStr">
        <is>
          <t>PEMUATAN</t>
        </is>
      </c>
      <c r="V19" s="271" t="inlineStr">
        <is>
          <t>TANJUNG PRIOK</t>
        </is>
      </c>
      <c r="W19" s="272" t="inlineStr">
        <is>
          <t>Ekspor</t>
        </is>
      </c>
      <c r="X19" s="263" t="inlineStr"/>
      <c r="Y19" s="271" t="inlineStr">
        <is>
          <t>EGLV080600441904</t>
        </is>
      </c>
      <c r="Z19" s="261" t="n">
        <v>46225</v>
      </c>
    </row>
    <row r="20" ht="16.5" customFormat="1" customHeight="1" s="257">
      <c r="A20" s="258" t="n"/>
      <c r="B20" s="259" t="n"/>
      <c r="C20" s="260" t="n"/>
      <c r="D20" s="260" t="n"/>
      <c r="E20" s="261" t="n"/>
      <c r="F20" s="262" t="n"/>
      <c r="G20" s="261" t="n"/>
      <c r="H20" s="263" t="n">
        <v>170</v>
      </c>
      <c r="I20" s="263" t="inlineStr">
        <is>
          <t>EGHU968204</t>
        </is>
      </c>
      <c r="J20" s="263" t="inlineStr">
        <is>
          <t>40FT</t>
        </is>
      </c>
      <c r="K20" s="264" t="inlineStr">
        <is>
          <t>14IN GREEN TEA FOAM MATTRESS K</t>
        </is>
      </c>
      <c r="L20" s="265" t="inlineStr">
        <is>
          <t>ZU-MFMA1ZZI-14K</t>
        </is>
      </c>
      <c r="M20" s="263" t="inlineStr">
        <is>
          <t>8NSJB04</t>
        </is>
      </c>
      <c r="N20" s="264" t="inlineStr">
        <is>
          <t>F.MFM.14K.004.AD</t>
        </is>
      </c>
      <c r="O20" s="266" t="n"/>
      <c r="P20" s="266" t="n"/>
      <c r="Q20" s="267">
        <f>IFERROR(R20/H20, 0)</f>
        <v/>
      </c>
      <c r="R20" s="268" t="n">
        <v>21984.4</v>
      </c>
      <c r="S20" s="269" t="n">
        <v>18056</v>
      </c>
      <c r="T20" s="269">
        <f>IFERROR(S20*R20, 0)</f>
        <v/>
      </c>
      <c r="U20" s="270" t="n"/>
      <c r="V20" s="271" t="n"/>
      <c r="W20" s="272" t="inlineStr">
        <is>
          <t>ETD : 27-07-2026</t>
        </is>
      </c>
      <c r="X20" s="263" t="n"/>
      <c r="Y20" s="271" t="n"/>
      <c r="Z20" s="261" t="n"/>
    </row>
    <row r="21" ht="16.5" customFormat="1" customHeight="1" s="257">
      <c r="A21" s="273" t="n"/>
      <c r="B21" s="274" t="n"/>
      <c r="C21" s="275" t="n"/>
      <c r="D21" s="275" t="n"/>
      <c r="E21" s="276" t="n"/>
      <c r="F21" s="276" t="n"/>
      <c r="G21" s="276" t="n"/>
      <c r="H21" s="277">
        <f>SUM(H19:H20)</f>
        <v/>
      </c>
      <c r="I21" s="278">
        <f>COUNTA(I19:I20)</f>
        <v/>
      </c>
      <c r="J21" s="277" t="n"/>
      <c r="K21" s="277" t="n"/>
      <c r="L21" s="279" t="n"/>
      <c r="M21" s="277" t="n"/>
      <c r="N21" s="277" t="n"/>
      <c r="O21" s="280">
        <f>SUM(O19:O20)</f>
        <v/>
      </c>
      <c r="P21" s="280">
        <f>SUM(P19:P20)</f>
        <v/>
      </c>
      <c r="Q21" s="281" t="n"/>
      <c r="R21" s="282">
        <f>SUM(R19:R20)</f>
        <v/>
      </c>
      <c r="S21" s="283" t="n"/>
      <c r="T21" s="283">
        <f>SUM(T19:T20)</f>
        <v/>
      </c>
      <c r="U21" s="277" t="n"/>
      <c r="V21" s="284" t="n"/>
      <c r="W21" s="285" t="n"/>
      <c r="X21" s="284" t="n"/>
      <c r="Y21" s="284" t="n"/>
      <c r="Z21" s="284" t="n"/>
    </row>
    <row r="22" ht="16.5" customFormat="1" customHeight="1" s="257">
      <c r="A22" s="258" t="n">
        <v>5</v>
      </c>
      <c r="B22" s="259" t="inlineStr">
        <is>
          <t>000030ZIK4802026072100498</t>
        </is>
      </c>
      <c r="C22" s="260" t="n">
        <v>450575</v>
      </c>
      <c r="D22" s="260" t="n">
        <v>450525</v>
      </c>
      <c r="E22" s="261" t="n">
        <v>46225</v>
      </c>
      <c r="F22" s="262" t="inlineStr">
        <is>
          <t>No</t>
        </is>
      </c>
      <c r="G22" s="261" t="n">
        <v>46223</v>
      </c>
      <c r="H22" s="263" t="n">
        <v>850</v>
      </c>
      <c r="I22" s="263" t="inlineStr">
        <is>
          <t>TXGU584005</t>
        </is>
      </c>
      <c r="J22" s="263" t="inlineStr">
        <is>
          <t>40FT</t>
        </is>
      </c>
      <c r="K22" s="264" t="inlineStr">
        <is>
          <t>6IN GREEN TEA MF MATTRESS FL</t>
        </is>
      </c>
      <c r="L22" s="265" t="inlineStr">
        <is>
          <t>EB-FMS-0600F-IN</t>
        </is>
      </c>
      <c r="M22" s="263" t="inlineStr">
        <is>
          <t>66X4TV05</t>
        </is>
      </c>
      <c r="N22" s="264" t="inlineStr">
        <is>
          <t>F.MFM.06F.005.BD</t>
        </is>
      </c>
      <c r="O22" s="266" t="n">
        <v>59508.26</v>
      </c>
      <c r="P22" s="266" t="n">
        <v>53820.16</v>
      </c>
      <c r="Q22" s="267">
        <f>IFERROR(R22/H22, 0)</f>
        <v/>
      </c>
      <c r="R22" s="268" t="n">
        <v>40018</v>
      </c>
      <c r="S22" s="269" t="n">
        <v>18056</v>
      </c>
      <c r="T22" s="269">
        <f>IFERROR(S22*R22, 0)</f>
        <v/>
      </c>
      <c r="U22" s="270" t="inlineStr">
        <is>
          <t>PEMUATAN</t>
        </is>
      </c>
      <c r="V22" s="271" t="inlineStr">
        <is>
          <t>TANJUNG PRIOK</t>
        </is>
      </c>
      <c r="W22" s="272" t="inlineStr">
        <is>
          <t>Ekspor</t>
        </is>
      </c>
      <c r="X22" s="263" t="inlineStr"/>
      <c r="Y22" s="271" t="inlineStr">
        <is>
          <t>EGLV080600441905</t>
        </is>
      </c>
      <c r="Z22" s="261" t="n">
        <v>46225</v>
      </c>
    </row>
    <row r="23" ht="17.1" customFormat="1" customHeight="1" s="286">
      <c r="A23" s="273" t="n"/>
      <c r="B23" s="274" t="n"/>
      <c r="C23" s="275" t="n"/>
      <c r="D23" s="275" t="n"/>
      <c r="E23" s="276" t="n"/>
      <c r="F23" s="276" t="n"/>
      <c r="G23" s="276" t="n"/>
      <c r="H23" s="277">
        <f>SUM(H22:H22)</f>
        <v/>
      </c>
      <c r="I23" s="278">
        <f>COUNTA(I22:I22)</f>
        <v/>
      </c>
      <c r="J23" s="277" t="n"/>
      <c r="K23" s="277" t="n"/>
      <c r="L23" s="279" t="n"/>
      <c r="M23" s="277" t="n"/>
      <c r="N23" s="277" t="n"/>
      <c r="O23" s="280">
        <f>SUM(O22:O22)</f>
        <v/>
      </c>
      <c r="P23" s="280">
        <f>SUM(P22:P22)</f>
        <v/>
      </c>
      <c r="Q23" s="281" t="n"/>
      <c r="R23" s="282">
        <f>SUM(R22:R22)</f>
        <v/>
      </c>
      <c r="S23" s="283" t="n"/>
      <c r="T23" s="283">
        <f>SUM(T22:T22)</f>
        <v/>
      </c>
      <c r="U23" s="277" t="n"/>
      <c r="V23" s="284" t="n"/>
      <c r="W23" s="285" t="n"/>
      <c r="X23" s="284" t="n"/>
      <c r="Y23" s="284" t="n"/>
      <c r="Z23" s="284" t="n"/>
    </row>
    <row r="24" ht="17.1" customFormat="1" customHeight="1" s="286">
      <c r="A24" s="258" t="n">
        <v>6</v>
      </c>
      <c r="B24" s="259" t="inlineStr">
        <is>
          <t>000030ZIK4802026072100499</t>
        </is>
      </c>
      <c r="C24" s="260" t="n">
        <v>450590</v>
      </c>
      <c r="D24" s="260" t="n">
        <v>450540</v>
      </c>
      <c r="E24" s="261" t="n">
        <v>46225</v>
      </c>
      <c r="F24" s="262" t="inlineStr">
        <is>
          <t>No</t>
        </is>
      </c>
      <c r="G24" s="261" t="n">
        <v>46223</v>
      </c>
      <c r="H24" s="263" t="n">
        <v>352</v>
      </c>
      <c r="I24" s="263" t="inlineStr">
        <is>
          <t>TXGU584016</t>
        </is>
      </c>
      <c r="J24" s="263" t="inlineStr">
        <is>
          <t>40FT</t>
        </is>
      </c>
      <c r="K24" s="264" t="inlineStr">
        <is>
          <t>14IN GREEN TEA FOAM MATTRESS Q</t>
        </is>
      </c>
      <c r="L24" s="265" t="inlineStr">
        <is>
          <t>ZU-MFMA1ZZI-14Q</t>
        </is>
      </c>
      <c r="M24" s="263" t="inlineStr">
        <is>
          <t>66X4TV06</t>
        </is>
      </c>
      <c r="N24" s="264" t="inlineStr">
        <is>
          <t>F.MFM.06F.006.BD</t>
        </is>
      </c>
      <c r="O24" s="266" t="n">
        <v>71144.70000000001</v>
      </c>
      <c r="P24" s="266" t="n">
        <v>64342.7</v>
      </c>
      <c r="Q24" s="267">
        <f>IFERROR(R24/H24, 0)</f>
        <v/>
      </c>
      <c r="R24" s="268" t="n">
        <v>36097.6</v>
      </c>
      <c r="S24" s="269" t="n">
        <v>18056</v>
      </c>
      <c r="T24" s="269">
        <f>IFERROR(S24*R24, 0)</f>
        <v/>
      </c>
      <c r="U24" s="270" t="inlineStr">
        <is>
          <t>PEMUATAN</t>
        </is>
      </c>
      <c r="V24" s="271" t="inlineStr">
        <is>
          <t>TANJUNG PRIOK</t>
        </is>
      </c>
      <c r="W24" s="272" t="inlineStr">
        <is>
          <t>Ekspor</t>
        </is>
      </c>
      <c r="X24" s="263" t="inlineStr"/>
      <c r="Y24" s="271" t="inlineStr">
        <is>
          <t>EGLV080600441906</t>
        </is>
      </c>
      <c r="Z24" s="261" t="n">
        <v>46225</v>
      </c>
    </row>
    <row r="25" ht="8.1" customHeight="1" s="223" thickBot="1">
      <c r="A25" s="258" t="n"/>
      <c r="B25" s="259" t="n"/>
      <c r="C25" s="260" t="n"/>
      <c r="D25" s="260" t="n"/>
      <c r="E25" s="261" t="n"/>
      <c r="F25" s="262" t="n"/>
      <c r="G25" s="261" t="n"/>
      <c r="H25" s="263" t="n">
        <v>170</v>
      </c>
      <c r="I25" s="263" t="inlineStr">
        <is>
          <t>EGHU968206</t>
        </is>
      </c>
      <c r="J25" s="263" t="inlineStr">
        <is>
          <t>40FT</t>
        </is>
      </c>
      <c r="K25" s="264" t="inlineStr">
        <is>
          <t>14IN GREEN TEA FOAM MATTRESS K</t>
        </is>
      </c>
      <c r="L25" s="265" t="inlineStr">
        <is>
          <t>ZU-MFMA1ZZI-14K</t>
        </is>
      </c>
      <c r="M25" s="263" t="inlineStr">
        <is>
          <t>8NSJB06</t>
        </is>
      </c>
      <c r="N25" s="264" t="inlineStr">
        <is>
          <t>F.MFM.14K.006.AD</t>
        </is>
      </c>
      <c r="O25" s="266" t="n"/>
      <c r="P25" s="266" t="n"/>
      <c r="Q25" s="267">
        <f>IFERROR(R25/H25, 0)</f>
        <v/>
      </c>
      <c r="R25" s="268" t="n">
        <v>21984.4</v>
      </c>
      <c r="S25" s="269" t="n">
        <v>18056</v>
      </c>
      <c r="T25" s="269">
        <f>IFERROR(S25*R25, 0)</f>
        <v/>
      </c>
      <c r="U25" s="270" t="n"/>
      <c r="V25" s="271" t="n"/>
      <c r="W25" s="272" t="inlineStr">
        <is>
          <t>ETD : 27-07-2026</t>
        </is>
      </c>
      <c r="X25" s="263" t="n"/>
      <c r="Y25" s="271" t="n"/>
      <c r="Z25" s="261" t="n"/>
    </row>
    <row r="26" ht="20.1" customFormat="1" customHeight="1" s="231" thickBot="1">
      <c r="A26" s="273" t="n"/>
      <c r="B26" s="274" t="n"/>
      <c r="C26" s="275" t="n"/>
      <c r="D26" s="275" t="n"/>
      <c r="E26" s="276" t="n"/>
      <c r="F26" s="276" t="n"/>
      <c r="G26" s="276" t="n"/>
      <c r="H26" s="277">
        <f>SUM(H24:H25)</f>
        <v/>
      </c>
      <c r="I26" s="278">
        <f>COUNTA(I24:I25)</f>
        <v/>
      </c>
      <c r="J26" s="277" t="n"/>
      <c r="K26" s="277" t="n"/>
      <c r="L26" s="279" t="n"/>
      <c r="M26" s="277" t="n"/>
      <c r="N26" s="277" t="n"/>
      <c r="O26" s="280">
        <f>SUM(O24:O25)</f>
        <v/>
      </c>
      <c r="P26" s="280">
        <f>SUM(P24:P25)</f>
        <v/>
      </c>
      <c r="Q26" s="281" t="n"/>
      <c r="R26" s="282">
        <f>SUM(R24:R25)</f>
        <v/>
      </c>
      <c r="S26" s="283" t="n"/>
      <c r="T26" s="283">
        <f>SUM(T24:T25)</f>
        <v/>
      </c>
      <c r="U26" s="277" t="n"/>
      <c r="V26" s="284" t="n"/>
      <c r="W26" s="285" t="n"/>
      <c r="X26" s="284" t="n"/>
      <c r="Y26" s="284" t="n"/>
      <c r="Z26" s="284" t="n"/>
    </row>
    <row r="27" ht="17.1" customHeight="1" s="223">
      <c r="A27" s="128">
        <f>COUNT(A12:A26)</f>
        <v/>
      </c>
      <c r="B27" s="129" t="n"/>
      <c r="C27" s="287" t="n"/>
      <c r="D27" s="288" t="n"/>
      <c r="E27" s="288" t="n"/>
      <c r="F27" s="288" t="n"/>
      <c r="G27" s="288" t="n"/>
      <c r="H27" s="132">
        <f>H13+H16+H18+H21+H23+H26</f>
        <v/>
      </c>
      <c r="I27" s="132">
        <f>I13+I16+I18+I21+I23+I26</f>
        <v/>
      </c>
      <c r="J27" s="133" t="n"/>
      <c r="K27" s="289" t="n"/>
      <c r="L27" s="290" t="n"/>
      <c r="M27" s="291" t="n"/>
      <c r="N27" s="292" t="n"/>
      <c r="O27" s="138">
        <f>O13+O16+O18+O21+O23+O26</f>
        <v/>
      </c>
      <c r="P27" s="138">
        <f>P13+P16+P18+P21+P23+P26</f>
        <v/>
      </c>
      <c r="Q27" s="293" t="n"/>
      <c r="R27" s="294">
        <f>R13+R16+R18+R21+R23+R26</f>
        <v/>
      </c>
      <c r="S27" s="295" t="n"/>
      <c r="T27" s="296">
        <f>T13+T16+T18+T21+T23+T26</f>
        <v/>
      </c>
      <c r="U27" s="143" t="n"/>
      <c r="V27" s="143" t="n"/>
      <c r="W27" s="143" t="n"/>
      <c r="X27" s="143" t="n"/>
      <c r="Y27" s="144" t="n"/>
      <c r="Z27" s="144" t="n"/>
    </row>
    <row r="28" ht="17.1" customHeight="1" s="223">
      <c r="A28" s="145" t="n"/>
      <c r="B28" s="146" t="n"/>
      <c r="C28" s="147" t="n"/>
      <c r="E28" s="148" t="n"/>
      <c r="F28" s="149" t="n"/>
      <c r="G28" s="149" t="n"/>
      <c r="H28" s="297" t="n"/>
      <c r="I28" s="297" t="n"/>
      <c r="J28" s="298" t="n"/>
      <c r="K28" s="221" t="n"/>
      <c r="L28" s="221" t="n"/>
      <c r="M28" s="221" t="n"/>
      <c r="N28" s="299" t="n"/>
      <c r="Q28" s="300" t="n"/>
      <c r="U28" s="154" t="n"/>
      <c r="V28" s="154" t="n"/>
      <c r="W28" s="154" t="n"/>
      <c r="X28" s="154" t="n"/>
      <c r="Y28" s="154" t="n"/>
      <c r="Z28" s="154" t="n"/>
    </row>
    <row r="29" ht="17.1" customHeight="1" s="223">
      <c r="A29" s="145" t="n"/>
      <c r="B29" s="155" t="inlineStr">
        <is>
          <t>Total Qty Export :</t>
        </is>
      </c>
      <c r="C29" s="156">
        <f>H27</f>
        <v/>
      </c>
      <c r="E29" s="148" t="n"/>
      <c r="F29" s="149" t="n"/>
      <c r="G29" s="149" t="n"/>
      <c r="H29" s="298" t="n"/>
      <c r="I29" s="298" t="n"/>
      <c r="J29" s="298" t="n"/>
      <c r="K29" s="221" t="n"/>
      <c r="L29" s="221" t="n"/>
      <c r="M29" s="221" t="n"/>
      <c r="N29" s="299" t="n"/>
      <c r="Q29" s="300" t="n"/>
      <c r="U29" s="154" t="n"/>
      <c r="V29" s="154" t="n"/>
      <c r="W29" s="154" t="n"/>
      <c r="X29" s="154" t="n"/>
      <c r="Y29" s="154" t="n"/>
      <c r="Z29" s="154" t="n"/>
    </row>
    <row r="30" ht="17.1" customHeight="1" s="223" thickBot="1">
      <c r="A30" s="145" t="n"/>
      <c r="B30" s="157" t="inlineStr">
        <is>
          <t>Total Qty Export Sample :</t>
        </is>
      </c>
      <c r="C30" s="158" t="n"/>
      <c r="E30" s="148" t="n"/>
      <c r="F30" s="149" t="n"/>
      <c r="G30" s="149" t="n"/>
      <c r="H30" s="301" t="n"/>
      <c r="I30" s="301" t="n"/>
      <c r="J30" s="298" t="n"/>
      <c r="T30" s="302" t="n"/>
      <c r="V30" s="154" t="n"/>
      <c r="W30" s="154" t="n"/>
      <c r="X30" s="154" t="n"/>
      <c r="Y30" s="154" t="n"/>
      <c r="Z30" s="154" t="n"/>
    </row>
    <row r="31" ht="17.1" customHeight="1" s="223" thickTop="1">
      <c r="A31" s="145" t="n"/>
      <c r="B31" s="161" t="n"/>
      <c r="C31" s="147" t="n"/>
      <c r="D31" s="147" t="n"/>
      <c r="E31" s="148" t="n"/>
      <c r="F31" s="149" t="n"/>
      <c r="G31" s="149" t="n"/>
      <c r="H31" s="298" t="n"/>
      <c r="I31" s="298" t="n"/>
      <c r="J31" s="298" t="n"/>
      <c r="K31" s="221" t="n"/>
      <c r="L31" s="221" t="n"/>
      <c r="M31" s="221" t="n"/>
      <c r="R31" s="303" t="n"/>
      <c r="S31" s="302" t="n"/>
      <c r="U31" s="163" t="n"/>
    </row>
    <row r="32" ht="17.1" customHeight="1" s="223">
      <c r="A32" s="164" t="n"/>
      <c r="B32" s="165" t="n"/>
      <c r="C32" s="166" t="n"/>
      <c r="D32" s="167" t="n"/>
      <c r="E32" s="168" t="n"/>
      <c r="F32" s="169" t="n"/>
      <c r="G32" s="169" t="n"/>
      <c r="H32" s="170" t="n"/>
      <c r="I32" s="170" t="n"/>
      <c r="K32" s="221" t="n"/>
      <c r="L32" s="221" t="n"/>
      <c r="M32" s="221" t="n"/>
      <c r="N32" s="299" t="n"/>
      <c r="P32" s="304" t="n"/>
      <c r="Q32" s="305" t="n"/>
      <c r="R32" s="303" t="n"/>
      <c r="S32" s="302" t="n"/>
      <c r="T32" s="302" t="n"/>
      <c r="U32" s="173" t="inlineStr">
        <is>
          <t>Tangerang, 26 July 2026</t>
        </is>
      </c>
    </row>
    <row r="33" ht="17.1" customHeight="1" s="223">
      <c r="A33" s="174" t="inlineStr">
        <is>
          <t>Total Document</t>
        </is>
      </c>
      <c r="B33" s="175" t="n"/>
      <c r="C33" s="306">
        <f>A27</f>
        <v/>
      </c>
      <c r="D33" s="307" t="n"/>
      <c r="G33" s="169" t="n"/>
      <c r="H33" s="178" t="n"/>
      <c r="I33" s="178" t="n"/>
      <c r="K33" s="221" t="n"/>
      <c r="L33" s="221" t="n"/>
      <c r="M33" s="221" t="n"/>
      <c r="N33" s="299" t="n"/>
      <c r="P33" s="304" t="n"/>
      <c r="Q33" s="305" t="n"/>
      <c r="R33" s="303" t="n"/>
      <c r="S33" s="302" t="n"/>
      <c r="T33" s="302" t="n"/>
      <c r="U33" s="173">
        <f>+[1]REKAP!X34</f>
        <v/>
      </c>
    </row>
    <row r="34" ht="17.1" customHeight="1" s="223">
      <c r="A34" s="174" t="inlineStr">
        <is>
          <t>Gross Weight</t>
        </is>
      </c>
      <c r="B34" s="179" t="n"/>
      <c r="C34" s="308">
        <f>O27</f>
        <v/>
      </c>
      <c r="D34" s="307" t="n"/>
      <c r="H34" s="182" t="n"/>
      <c r="I34" s="183" t="n"/>
      <c r="K34" s="221" t="n"/>
      <c r="L34" s="221" t="n"/>
      <c r="M34" s="221" t="n"/>
      <c r="N34" s="299" t="n"/>
      <c r="P34" s="309" t="n"/>
      <c r="Q34" s="310" t="n"/>
      <c r="R34" s="311" t="n"/>
      <c r="S34" s="312" t="n"/>
      <c r="T34" s="312" t="n"/>
      <c r="U34" s="4" t="n"/>
    </row>
    <row r="35" ht="17.1" customHeight="1" s="223">
      <c r="A35" s="174" t="inlineStr">
        <is>
          <t>Nett Weight</t>
        </is>
      </c>
      <c r="B35" s="179" t="n"/>
      <c r="C35" s="308">
        <f>P27</f>
        <v/>
      </c>
      <c r="D35" s="307" t="n"/>
      <c r="K35" s="221" t="n"/>
      <c r="L35" s="221" t="n"/>
      <c r="M35" s="221" t="n"/>
      <c r="N35" s="299" t="n"/>
      <c r="P35" s="309" t="n"/>
      <c r="Q35" s="310" t="n"/>
      <c r="R35" s="311" t="n"/>
      <c r="S35" s="312" t="n"/>
      <c r="T35" s="312" t="n"/>
      <c r="U35" s="4" t="n"/>
    </row>
    <row r="36" ht="17.1" customHeight="1" s="223">
      <c r="A36" s="174" t="inlineStr">
        <is>
          <t>Amount</t>
        </is>
      </c>
      <c r="B36" s="179" t="n"/>
      <c r="C36" s="313">
        <f>R27</f>
        <v/>
      </c>
      <c r="D36" s="307" t="n"/>
      <c r="K36" s="221" t="n"/>
      <c r="L36" s="221" t="n"/>
      <c r="M36" s="221" t="n"/>
      <c r="N36" s="299" t="n"/>
      <c r="P36" s="309" t="n"/>
      <c r="Q36" s="310" t="n"/>
      <c r="R36" s="311" t="n"/>
      <c r="S36" s="312" t="n"/>
      <c r="T36" s="312" t="n"/>
      <c r="U36" s="190" t="n"/>
    </row>
    <row r="37" ht="17.1" customHeight="1" s="223">
      <c r="A37" s="174" t="inlineStr">
        <is>
          <t>Jumlah Container</t>
        </is>
      </c>
      <c r="B37" s="179" t="n"/>
      <c r="C37" s="314">
        <f>I27</f>
        <v/>
      </c>
      <c r="D37" s="307" t="n"/>
      <c r="K37" s="221" t="n"/>
      <c r="L37" s="221" t="n"/>
      <c r="M37" s="221" t="n"/>
      <c r="N37" s="299" t="n"/>
      <c r="P37" s="309" t="n"/>
      <c r="Q37" s="310" t="n"/>
      <c r="R37" s="311" t="n"/>
      <c r="S37" s="312" t="n"/>
      <c r="T37" s="312" t="n"/>
      <c r="U37" s="173" t="n"/>
    </row>
    <row r="38" ht="17.1" customHeight="1" s="223">
      <c r="A38" s="174" t="n"/>
      <c r="B38" s="179" t="n"/>
      <c r="C38" s="315">
        <f>I28</f>
        <v/>
      </c>
      <c r="D38" s="307" t="n"/>
      <c r="K38" s="221" t="n"/>
      <c r="L38" s="221" t="n"/>
      <c r="M38" s="221" t="n"/>
      <c r="N38" s="299" t="n"/>
      <c r="P38" s="309" t="n"/>
      <c r="Q38" s="310" t="n"/>
      <c r="R38" s="311" t="n"/>
      <c r="S38" s="312" t="n"/>
      <c r="T38" s="312" t="n"/>
      <c r="U38" s="173" t="n"/>
    </row>
    <row r="39" ht="16.2" customHeight="1" s="223" thickBot="1">
      <c r="A39" s="195" t="n"/>
      <c r="B39" s="179" t="n"/>
      <c r="C39" s="316">
        <f>C36*2+C37</f>
        <v/>
      </c>
      <c r="D39" s="307" t="n"/>
      <c r="K39" s="221" t="n"/>
      <c r="L39" s="221" t="n"/>
      <c r="M39" s="221" t="n"/>
      <c r="N39" s="299" t="n"/>
    </row>
    <row r="40" ht="16.2" customFormat="1" customHeight="1" s="17" thickTop="1">
      <c r="A40" s="198" t="n"/>
      <c r="B40" s="199" t="n"/>
      <c r="C40" s="200" t="n"/>
      <c r="D40" s="201" t="n"/>
    </row>
    <row r="41">
      <c r="B41" s="6" t="n"/>
      <c r="C41" s="3" t="n"/>
      <c r="D41" s="3" t="n"/>
      <c r="E41" s="4" t="n"/>
      <c r="F41" s="5" t="n"/>
      <c r="G41" s="5" t="n"/>
      <c r="H41" s="6" t="n"/>
      <c r="I41" s="6" t="n"/>
      <c r="J41" s="6" t="n"/>
      <c r="K41" s="215" t="n"/>
      <c r="L41" s="215" t="n"/>
      <c r="M41" s="215" t="n"/>
      <c r="N41" s="216" t="n"/>
      <c r="O41" s="217" t="n"/>
      <c r="P41" s="217" t="n"/>
      <c r="Q41" s="218" t="n"/>
      <c r="R41" s="219" t="n"/>
      <c r="S41" s="220" t="n"/>
      <c r="T41" s="220" t="n"/>
      <c r="U41" s="221" t="n"/>
      <c r="V41" s="221" t="n"/>
      <c r="W41" s="221" t="n"/>
      <c r="X41" s="221" t="n"/>
      <c r="Y41" s="221" t="n"/>
      <c r="Z41" s="221" t="n"/>
      <c r="AA41" s="222" t="n"/>
      <c r="AB41" s="222" t="n"/>
      <c r="AC41" s="222" t="n"/>
      <c r="AD41" s="222" t="n"/>
      <c r="AE41" s="222" t="n"/>
      <c r="AF41" s="222" t="n"/>
      <c r="AG41" s="222" t="n"/>
      <c r="AH41" s="222" t="n"/>
      <c r="AI41" s="222" t="n"/>
      <c r="AJ41" s="222" t="n"/>
      <c r="AK41" s="222" t="n"/>
      <c r="AL41" s="222" t="n"/>
      <c r="AM41" s="222" t="n"/>
      <c r="AN41" s="222" t="n"/>
      <c r="AO41" s="222" t="n"/>
      <c r="AP41" s="222" t="n"/>
      <c r="AQ41" s="222" t="n"/>
      <c r="AR41" s="222" t="n"/>
      <c r="AS41" s="222" t="n"/>
      <c r="AT41" s="222" t="n"/>
      <c r="AU41" s="222" t="n"/>
      <c r="AV41" s="222" t="n"/>
      <c r="AW41" s="222" t="n"/>
      <c r="AX41" s="222" t="n"/>
      <c r="AY41" s="222" t="n"/>
      <c r="AZ41" s="222" t="n"/>
      <c r="BA41" s="222" t="n"/>
      <c r="BB41" s="222" t="n"/>
      <c r="BC41" s="222" t="n"/>
      <c r="BD41" s="222" t="n"/>
      <c r="BE41" s="222" t="n"/>
      <c r="BF41" s="222" t="n"/>
      <c r="BG41" s="222" t="n"/>
      <c r="BH41" s="222" t="n"/>
      <c r="BI41" s="222" t="n"/>
      <c r="BJ41" s="222" t="n"/>
      <c r="BK41" s="222" t="n"/>
      <c r="BL41" s="222" t="n"/>
      <c r="BM41" s="222" t="n"/>
      <c r="BN41" s="222" t="n"/>
      <c r="BO41" s="222" t="n"/>
      <c r="BP41" s="222" t="n"/>
      <c r="BQ41" s="222" t="n"/>
      <c r="BR41" s="222" t="n"/>
      <c r="BS41" s="222" t="n"/>
      <c r="BT41" s="222" t="n"/>
      <c r="BU41" s="222" t="n"/>
      <c r="BV41" s="222" t="n"/>
      <c r="BW41" s="222" t="n"/>
      <c r="BX41" s="222" t="n"/>
      <c r="BY41" s="222" t="n"/>
      <c r="BZ41" s="222" t="n"/>
      <c r="CA41" s="222" t="n"/>
      <c r="CB41" s="222" t="n"/>
      <c r="CC41" s="222" t="n"/>
      <c r="CD41" s="222" t="n"/>
      <c r="CE41" s="222" t="n"/>
      <c r="CF41" s="222" t="n"/>
      <c r="CG41" s="222" t="n"/>
      <c r="CH41" s="222" t="n"/>
      <c r="CI41" s="222" t="n"/>
      <c r="CJ41" s="222" t="n"/>
      <c r="CK41" s="222" t="n"/>
      <c r="CL41" s="222" t="n"/>
      <c r="CM41" s="222" t="n"/>
      <c r="CN41" s="222" t="n"/>
      <c r="CO41" s="222" t="n"/>
      <c r="CP41" s="222" t="n"/>
      <c r="CQ41" s="222" t="n"/>
      <c r="CR41" s="222" t="n"/>
      <c r="CS41" s="222" t="n"/>
      <c r="CT41" s="222" t="n"/>
      <c r="CU41" s="222" t="n"/>
      <c r="CV41" s="222" t="n"/>
      <c r="CW41" s="222" t="n"/>
      <c r="CX41" s="222" t="n"/>
      <c r="CY41" s="222" t="n"/>
      <c r="CZ41" s="222" t="n"/>
      <c r="DA41" s="222" t="n"/>
      <c r="DB41" s="222" t="n"/>
      <c r="DC41" s="222" t="n"/>
      <c r="DD41" s="222" t="n"/>
      <c r="DE41" s="222" t="n"/>
      <c r="DF41" s="222" t="n"/>
      <c r="DG41" s="222" t="n"/>
      <c r="DH41" s="222" t="n"/>
      <c r="DI41" s="222" t="n"/>
      <c r="DJ41" s="222" t="n"/>
      <c r="DK41" s="222" t="n"/>
      <c r="DL41" s="222" t="n"/>
      <c r="DM41" s="222" t="n"/>
      <c r="DN41" s="222" t="n"/>
      <c r="DO41" s="222" t="n"/>
      <c r="DP41" s="222" t="n"/>
      <c r="DQ41" s="222" t="n"/>
      <c r="DR41" s="222" t="n"/>
      <c r="DS41" s="222" t="n"/>
      <c r="DT41" s="222" t="n"/>
      <c r="DU41" s="222" t="n"/>
      <c r="DV41" s="222" t="n"/>
      <c r="DW41" s="222" t="n"/>
      <c r="DX41" s="222" t="n"/>
      <c r="DY41" s="222" t="n"/>
      <c r="DZ41" s="222" t="n"/>
      <c r="EA41" s="222" t="n"/>
      <c r="EB41" s="222" t="n"/>
      <c r="EC41" s="222" t="n"/>
      <c r="ED41" s="222" t="n"/>
      <c r="EE41" s="222" t="n"/>
      <c r="EF41" s="222" t="n"/>
      <c r="EG41" s="222" t="n"/>
      <c r="EH41" s="222" t="n"/>
      <c r="EI41" s="222" t="n"/>
      <c r="EJ41" s="222" t="n"/>
      <c r="EK41" s="222" t="n"/>
      <c r="EL41" s="222" t="n"/>
      <c r="EM41" s="222" t="n"/>
      <c r="EN41" s="222" t="n"/>
      <c r="EO41" s="222" t="n"/>
      <c r="EP41" s="222" t="n"/>
      <c r="EQ41" s="222" t="n"/>
      <c r="ER41" s="222" t="n"/>
      <c r="ES41" s="222" t="n"/>
      <c r="ET41" s="222" t="n"/>
      <c r="EU41" s="222" t="n"/>
      <c r="EV41" s="222" t="n"/>
      <c r="EW41" s="222" t="n"/>
      <c r="EX41" s="222" t="n"/>
      <c r="EY41" s="222" t="n"/>
      <c r="EZ41" s="222" t="n"/>
      <c r="FA41" s="222" t="n"/>
      <c r="FB41" s="222" t="n"/>
      <c r="FC41" s="222" t="n"/>
      <c r="FD41" s="222" t="n"/>
      <c r="FE41" s="222" t="n"/>
      <c r="FF41" s="222" t="n"/>
      <c r="FG41" s="222" t="n"/>
      <c r="FH41" s="222" t="n"/>
      <c r="FI41" s="222" t="n"/>
      <c r="FJ41" s="222" t="n"/>
      <c r="FK41" s="222" t="n"/>
      <c r="FL41" s="222" t="n"/>
      <c r="FM41" s="222" t="n"/>
      <c r="FN41" s="222" t="n"/>
      <c r="FO41" s="222" t="n"/>
      <c r="FP41" s="222" t="n"/>
      <c r="FQ41" s="222" t="n"/>
      <c r="FR41" s="222" t="n"/>
      <c r="FS41" s="222" t="n"/>
      <c r="FT41" s="222" t="n"/>
      <c r="FU41" s="222" t="n"/>
      <c r="FV41" s="222" t="n"/>
      <c r="FW41" s="222" t="n"/>
      <c r="FX41" s="222" t="n"/>
      <c r="FY41" s="222" t="n"/>
      <c r="FZ41" s="222" t="n"/>
      <c r="GA41" s="222" t="n"/>
      <c r="GB41" s="222" t="n"/>
      <c r="GC41" s="222" t="n"/>
      <c r="GD41" s="222" t="n"/>
      <c r="GE41" s="222" t="n"/>
      <c r="GF41" s="222" t="n"/>
      <c r="GG41" s="222" t="n"/>
      <c r="GH41" s="222" t="n"/>
      <c r="GI41" s="222" t="n"/>
      <c r="GJ41" s="222" t="n"/>
      <c r="GK41" s="222" t="n"/>
      <c r="GL41" s="222" t="n"/>
      <c r="GM41" s="222" t="n"/>
      <c r="GN41" s="222" t="n"/>
      <c r="GO41" s="222" t="n"/>
      <c r="GP41" s="222" t="n"/>
      <c r="GQ41" s="222" t="n"/>
      <c r="GR41" s="222" t="n"/>
      <c r="GS41" s="222" t="n"/>
      <c r="GT41" s="222" t="n"/>
      <c r="GU41" s="222" t="n"/>
      <c r="GV41" s="222" t="n"/>
      <c r="GW41" s="222" t="n"/>
      <c r="GX41" s="222" t="n"/>
      <c r="GY41" s="222" t="n"/>
      <c r="GZ41" s="222" t="n"/>
      <c r="HA41" s="222" t="n"/>
      <c r="HB41" s="222" t="n"/>
      <c r="HC41" s="222" t="n"/>
      <c r="HD41" s="222" t="n"/>
      <c r="HE41" s="222" t="n"/>
      <c r="HF41" s="222" t="n"/>
      <c r="HG41" s="222" t="n"/>
      <c r="HH41" s="222" t="n"/>
      <c r="HI41" s="222" t="n"/>
      <c r="HJ41" s="222" t="n"/>
      <c r="HK41" s="222" t="n"/>
      <c r="HL41" s="222" t="n"/>
      <c r="HM41" s="222" t="n"/>
      <c r="HN41" s="222" t="n"/>
      <c r="HO41" s="222" t="n"/>
      <c r="HP41" s="222" t="n"/>
      <c r="HQ41" s="222" t="n"/>
      <c r="HR41" s="222" t="n"/>
      <c r="HS41" s="222" t="n"/>
      <c r="HT41" s="222" t="n"/>
      <c r="HU41" s="222" t="n"/>
      <c r="HV41" s="222" t="n"/>
      <c r="HW41" s="222" t="n"/>
      <c r="HX41" s="222" t="n"/>
      <c r="HY41" s="222" t="n"/>
      <c r="HZ41" s="222" t="n"/>
      <c r="IA41" s="222" t="n"/>
      <c r="IB41" s="222" t="n"/>
      <c r="IC41" s="222" t="n"/>
      <c r="ID41" s="222" t="n"/>
      <c r="IE41" s="222" t="n"/>
      <c r="IF41" s="222" t="n"/>
      <c r="IG41" s="222" t="n"/>
      <c r="IH41" s="222" t="n"/>
      <c r="II41" s="222" t="n"/>
      <c r="IJ41" s="222" t="n"/>
      <c r="IK41" s="222" t="n"/>
      <c r="IL41" s="222" t="n"/>
      <c r="IM41" s="222" t="n"/>
      <c r="IN41" s="222" t="n"/>
      <c r="IO41" s="222" t="n"/>
      <c r="IP41" s="222" t="n"/>
      <c r="IQ41" s="222" t="n"/>
      <c r="IR41" s="222" t="n"/>
      <c r="IS41" s="222" t="n"/>
      <c r="IT41" s="222" t="n"/>
      <c r="IU41" s="222" t="n"/>
      <c r="IV41" s="222" t="n"/>
      <c r="IW41" s="222" t="n"/>
      <c r="IX41" s="222" t="n"/>
      <c r="IY41" s="222" t="n"/>
      <c r="IZ41" s="222" t="n"/>
      <c r="JA41" s="222" t="n"/>
      <c r="JB41" s="222" t="n"/>
      <c r="JC41" s="222" t="n"/>
      <c r="JD41" s="222" t="n"/>
      <c r="JE41" s="222" t="n"/>
      <c r="JF41" s="222" t="n"/>
      <c r="JG41" s="222" t="n"/>
      <c r="JH41" s="222" t="n"/>
      <c r="JI41" s="222" t="n"/>
      <c r="JJ41" s="222" t="n"/>
      <c r="JK41" s="222" t="n"/>
      <c r="JL41" s="222" t="n"/>
      <c r="JM41" s="222" t="n"/>
      <c r="JN41" s="222" t="n"/>
      <c r="JO41" s="222" t="n"/>
      <c r="JP41" s="222" t="n"/>
      <c r="JQ41" s="222" t="n"/>
      <c r="JR41" s="222" t="n"/>
      <c r="JS41" s="222" t="n"/>
      <c r="JT41" s="222" t="n"/>
      <c r="JU41" s="222" t="n"/>
      <c r="JV41" s="222" t="n"/>
      <c r="JW41" s="222" t="n"/>
      <c r="JX41" s="222" t="n"/>
      <c r="JY41" s="222" t="n"/>
      <c r="JZ41" s="222" t="n"/>
      <c r="KA41" s="222" t="n"/>
      <c r="KB41" s="222" t="n"/>
      <c r="KC41" s="222" t="n"/>
      <c r="KD41" s="222" t="n"/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17"/>
    <row r="334">
      <c r="A334" s="202" t="n"/>
      <c r="B334" s="203" t="n"/>
      <c r="C334" s="204" t="n"/>
      <c r="D334" s="204" t="n"/>
      <c r="E334" s="205" t="n"/>
      <c r="F334" s="206" t="n"/>
      <c r="G334" s="206" t="n"/>
      <c r="H334" s="6" t="n"/>
      <c r="I334" s="203" t="n"/>
      <c r="J334" s="203" t="n"/>
      <c r="K334" s="318" t="n"/>
      <c r="L334" s="318" t="n"/>
      <c r="M334" s="318" t="n"/>
      <c r="N334" s="319" t="n"/>
      <c r="O334" s="320" t="n"/>
      <c r="P334" s="320" t="n"/>
      <c r="Q334" s="321" t="n"/>
      <c r="R334" s="322" t="n"/>
      <c r="S334" s="323" t="n"/>
      <c r="T334" s="323" t="n"/>
      <c r="U334" s="324" t="n"/>
      <c r="V334" s="324" t="n"/>
      <c r="W334" s="324" t="n"/>
      <c r="X334" s="324" t="n"/>
      <c r="Y334" s="324" t="n"/>
      <c r="Z334" s="324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2026-07-25T17:08:41Z</dcterms:modified>
  <cp:lastModifiedBy>Chiswa Dian Hermansyah(ZINUS ZDI)</cp:lastModifiedBy>
</cp:coreProperties>
</file>