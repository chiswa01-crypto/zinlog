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5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9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0" fontId="0" fillId="0" borderId="23" pivotButton="0" quotePrefix="0" xfId="0"/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000030ZIK48020260722000504</t>
        </is>
      </c>
      <c r="C12" s="106" t="n">
        <v>455806</v>
      </c>
      <c r="D12" s="106" t="n">
        <v>455745</v>
      </c>
      <c r="E12" s="258" t="n">
        <v>46226</v>
      </c>
      <c r="F12" s="107" t="inlineStr">
        <is>
          <t>ID2607-7886</t>
        </is>
      </c>
      <c r="G12" s="258" t="n">
        <v>46225</v>
      </c>
      <c r="H12" s="108" t="n">
        <v>966</v>
      </c>
      <c r="I12" s="67" t="inlineStr">
        <is>
          <t>EGHU9205621</t>
        </is>
      </c>
      <c r="J12" s="67" t="inlineStr">
        <is>
          <t>40FT</t>
        </is>
      </c>
      <c r="K12" s="69" t="inlineStr">
        <is>
          <t>8IN OPP HD TW</t>
        </is>
      </c>
      <c r="L12" s="109" t="inlineStr">
        <is>
          <t>ZU-MFMA1OZI-08T</t>
        </is>
      </c>
      <c r="M12" s="110" t="inlineStr">
        <is>
          <t>3NDHMI4R</t>
        </is>
      </c>
      <c r="N12" s="69" t="inlineStr">
        <is>
          <t>F.MFM.08T.013.AD</t>
        </is>
      </c>
      <c r="O12" s="111" t="n">
        <v>79248.28999999999</v>
      </c>
      <c r="P12" s="111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73" t="inlineStr">
        <is>
          <t>040300/KPPBC</t>
        </is>
      </c>
      <c r="V12" s="74" t="inlineStr">
        <is>
          <t>TG. PRIOK</t>
        </is>
      </c>
      <c r="W12" s="75" t="inlineStr">
        <is>
          <t>SAVANNAH</t>
        </is>
      </c>
      <c r="X12" s="76" t="inlineStr">
        <is>
          <t>AMAZON.COM SERVICES LLC</t>
        </is>
      </c>
      <c r="Y12" s="77" t="inlineStr">
        <is>
          <t>EGLV080600441792</t>
        </is>
      </c>
      <c r="Z12" s="258" t="n">
        <v>46226</v>
      </c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1145</v>
      </c>
      <c r="I13" s="67" t="inlineStr">
        <is>
          <t>EGHU9121367</t>
        </is>
      </c>
      <c r="J13" s="67" t="inlineStr">
        <is>
          <t>40FT</t>
        </is>
      </c>
      <c r="K13" s="69" t="inlineStr">
        <is>
          <t>5IN GREEN TEA MF MATTRESS TW</t>
        </is>
      </c>
      <c r="L13" s="109" t="inlineStr">
        <is>
          <t>ZU-MFMA1ZZI-05T</t>
        </is>
      </c>
      <c r="M13" s="110" t="inlineStr">
        <is>
          <t>4I3CD5IH</t>
        </is>
      </c>
      <c r="N13" s="69" t="inlineStr">
        <is>
          <t>F.MFM.05T.007.AD</t>
        </is>
      </c>
      <c r="O13" s="111" t="n"/>
      <c r="P13" s="111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73" t="n"/>
      <c r="V13" s="74" t="n"/>
      <c r="W13" s="75" t="inlineStr">
        <is>
          <t>ETD : 27-07-2026</t>
        </is>
      </c>
      <c r="X13" s="76" t="n"/>
      <c r="Y13" s="77" t="n"/>
      <c r="Z13" s="258" t="n"/>
    </row>
    <row r="14" ht="16.5" customFormat="1" customHeight="1" s="257">
      <c r="A14" s="104" t="n"/>
      <c r="B14" s="105" t="n"/>
      <c r="C14" s="106" t="n"/>
      <c r="D14" s="106" t="n"/>
      <c r="E14" s="258" t="n"/>
      <c r="F14" s="107" t="n"/>
      <c r="G14" s="258" t="n"/>
      <c r="H14" s="108" t="n">
        <v>1144</v>
      </c>
      <c r="I14" s="67" t="inlineStr">
        <is>
          <t>EGHU9713330</t>
        </is>
      </c>
      <c r="J14" s="67" t="inlineStr">
        <is>
          <t>40FT</t>
        </is>
      </c>
      <c r="K14" s="69" t="inlineStr">
        <is>
          <t>5IN GREEN TEA MF MATTRESS TW</t>
        </is>
      </c>
      <c r="L14" s="109" t="inlineStr">
        <is>
          <t>ZU-MFMA1ZZI-05T</t>
        </is>
      </c>
      <c r="M14" s="110" t="inlineStr">
        <is>
          <t>88Y96MHS</t>
        </is>
      </c>
      <c r="N14" s="69" t="inlineStr">
        <is>
          <t>F.MFM.05T.007.AD</t>
        </is>
      </c>
      <c r="O14" s="111" t="n"/>
      <c r="P14" s="111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73" t="n"/>
      <c r="V14" s="74" t="n"/>
      <c r="W14" s="75" t="n"/>
      <c r="X14" s="76" t="n"/>
      <c r="Y14" s="77" t="n"/>
      <c r="Z14" s="258" t="n"/>
    </row>
    <row r="15" ht="16.5" customFormat="1" customHeight="1" s="257">
      <c r="A15" s="104" t="n"/>
      <c r="B15" s="105" t="n"/>
      <c r="C15" s="106" t="n"/>
      <c r="D15" s="106" t="n"/>
      <c r="E15" s="258" t="n"/>
      <c r="F15" s="107" t="n"/>
      <c r="G15" s="258" t="n"/>
      <c r="H15" s="108" t="n">
        <v>502</v>
      </c>
      <c r="I15" s="67" t="inlineStr">
        <is>
          <t>EMCU8701869</t>
        </is>
      </c>
      <c r="J15" s="67" t="inlineStr">
        <is>
          <t>40FT</t>
        </is>
      </c>
      <c r="K15" s="69" t="inlineStr">
        <is>
          <t>12IN GREEN TEA MF MATTRESS QN</t>
        </is>
      </c>
      <c r="L15" s="109" t="inlineStr">
        <is>
          <t>ZU-MFMA1ZZI-12Q</t>
        </is>
      </c>
      <c r="M15" s="110" t="inlineStr">
        <is>
          <t>8B4RWISK</t>
        </is>
      </c>
      <c r="N15" s="69" t="inlineStr">
        <is>
          <t>F.MFM.12Q.006.AD</t>
        </is>
      </c>
      <c r="O15" s="111" t="n"/>
      <c r="P15" s="111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73" t="n"/>
      <c r="V15" s="74" t="n"/>
      <c r="W15" s="75" t="n"/>
      <c r="X15" s="76" t="n"/>
      <c r="Y15" s="77" t="n"/>
      <c r="Z15" s="258" t="n"/>
    </row>
    <row r="16" ht="16.5" customFormat="1" customHeight="1" s="257">
      <c r="A16" s="104" t="n"/>
      <c r="B16" s="105" t="n"/>
      <c r="C16" s="106" t="n"/>
      <c r="D16" s="106" t="n"/>
      <c r="E16" s="258" t="n"/>
      <c r="F16" s="107" t="n"/>
      <c r="G16" s="258" t="n"/>
      <c r="H16" s="108" t="n">
        <v>3</v>
      </c>
      <c r="I16" s="67" t="inlineStr">
        <is>
          <t>EMCU1598276</t>
        </is>
      </c>
      <c r="J16" s="67" t="inlineStr">
        <is>
          <t>40FT</t>
        </is>
      </c>
      <c r="K16" s="69" t="inlineStr">
        <is>
          <t>8IN OPP HD FL</t>
        </is>
      </c>
      <c r="L16" s="109" t="inlineStr">
        <is>
          <t>ZU-MFMA1OZI-08F</t>
        </is>
      </c>
      <c r="M16" s="110" t="inlineStr">
        <is>
          <t>8GO2PUDD</t>
        </is>
      </c>
      <c r="N16" s="69" t="inlineStr">
        <is>
          <t>F.MFM.08F.013.AD</t>
        </is>
      </c>
      <c r="O16" s="111" t="n"/>
      <c r="P16" s="111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73" t="n"/>
      <c r="V16" s="74" t="n"/>
      <c r="W16" s="75" t="n"/>
      <c r="X16" s="76" t="n"/>
      <c r="Y16" s="77" t="n"/>
      <c r="Z16" s="258" t="n"/>
    </row>
    <row r="17" ht="16.5" customFormat="1" customHeight="1" s="262">
      <c r="A17" s="104" t="n"/>
      <c r="B17" s="105" t="n"/>
      <c r="C17" s="263" t="n"/>
      <c r="D17" s="263" t="n"/>
      <c r="E17" s="264" t="n"/>
      <c r="F17" s="265" t="n"/>
      <c r="G17" s="264" t="n"/>
      <c r="H17" s="67" t="n">
        <v>400</v>
      </c>
      <c r="I17" s="67" t="inlineStr">
        <is>
          <t>EGSU1735716</t>
        </is>
      </c>
      <c r="J17" s="67" t="inlineStr">
        <is>
          <t>40FT</t>
        </is>
      </c>
      <c r="K17" s="69" t="inlineStr">
        <is>
          <t>8IN GREEN TEA MF MATTRESS TW</t>
        </is>
      </c>
      <c r="L17" s="266" t="inlineStr">
        <is>
          <t>ZU-MFMA1ZZI-08T</t>
        </is>
      </c>
      <c r="M17" s="67" t="inlineStr">
        <is>
          <t>8GO2PUDD</t>
        </is>
      </c>
      <c r="N17" s="69" t="inlineStr">
        <is>
          <t>F.MFM.08T.008.AD</t>
        </is>
      </c>
      <c r="O17" s="111" t="n"/>
      <c r="P17" s="111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73" t="n"/>
      <c r="V17" s="74" t="n"/>
      <c r="W17" s="75" t="n"/>
      <c r="X17" s="76" t="n"/>
      <c r="Y17" s="267" t="n"/>
      <c r="Z17" s="268" t="n"/>
    </row>
    <row r="18" ht="16.5" customFormat="1" customHeight="1" s="257">
      <c r="A18" s="104" t="n"/>
      <c r="B18" s="105" t="n"/>
      <c r="C18" s="106" t="n"/>
      <c r="D18" s="106" t="n"/>
      <c r="E18" s="258" t="n"/>
      <c r="F18" s="107" t="n"/>
      <c r="G18" s="258" t="n"/>
      <c r="H18" s="108" t="n">
        <v>206</v>
      </c>
      <c r="I18" s="67" t="inlineStr">
        <is>
          <t>EGHU9733906</t>
        </is>
      </c>
      <c r="J18" s="67" t="inlineStr">
        <is>
          <t>40FT</t>
        </is>
      </c>
      <c r="K18" s="69" t="inlineStr">
        <is>
          <t>12IN GREEN TEA MF MATTRESS QN</t>
        </is>
      </c>
      <c r="L18" s="109" t="inlineStr">
        <is>
          <t>ZU-MFMA1ZZI-12Q</t>
        </is>
      </c>
      <c r="M18" s="110" t="inlineStr">
        <is>
          <t>8GO2PUDD</t>
        </is>
      </c>
      <c r="N18" s="69" t="inlineStr">
        <is>
          <t>F.MFM.12Q.006.AD</t>
        </is>
      </c>
      <c r="O18" s="111" t="n"/>
      <c r="P18" s="111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73" t="n"/>
      <c r="V18" s="74" t="n"/>
      <c r="W18" s="75" t="n"/>
      <c r="X18" s="76" t="n"/>
      <c r="Y18" s="77" t="n"/>
      <c r="Z18" s="258" t="n"/>
    </row>
    <row r="19" ht="16.5" customFormat="1" customHeight="1" s="257">
      <c r="A19" s="104" t="n"/>
      <c r="B19" s="105" t="n"/>
      <c r="C19" s="106" t="n"/>
      <c r="D19" s="106" t="n"/>
      <c r="E19" s="258" t="n"/>
      <c r="F19" s="107" t="n"/>
      <c r="G19" s="258" t="n"/>
      <c r="H19" s="108" t="n">
        <v>605</v>
      </c>
      <c r="I19" s="67" t="inlineStr"/>
      <c r="J19" s="67" t="inlineStr"/>
      <c r="K19" s="69" t="inlineStr">
        <is>
          <t>8IN OPP HD TW</t>
        </is>
      </c>
      <c r="L19" s="109" t="inlineStr">
        <is>
          <t>ZU-MFMA1OZI-08T</t>
        </is>
      </c>
      <c r="M19" s="110" t="inlineStr">
        <is>
          <t>8VH5JQ8T</t>
        </is>
      </c>
      <c r="N19" s="69" t="inlineStr">
        <is>
          <t>F.MFM.08T.013.AD</t>
        </is>
      </c>
      <c r="O19" s="111" t="n"/>
      <c r="P19" s="111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73" t="n"/>
      <c r="V19" s="74" t="n"/>
      <c r="W19" s="75" t="n"/>
      <c r="X19" s="76" t="n"/>
      <c r="Y19" s="77" t="n"/>
      <c r="Z19" s="258" t="n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427</v>
      </c>
      <c r="I20" s="67" t="inlineStr"/>
      <c r="J20" s="67" t="inlineStr"/>
      <c r="K20" s="69" t="inlineStr">
        <is>
          <t>5IN GREEN TEA MF MATTRESS TW</t>
        </is>
      </c>
      <c r="L20" s="109" t="inlineStr">
        <is>
          <t>ZU-MFMA1ZZI-05T</t>
        </is>
      </c>
      <c r="M20" s="110" t="inlineStr">
        <is>
          <t>8VH5JQ8T</t>
        </is>
      </c>
      <c r="N20" s="69" t="inlineStr">
        <is>
          <t>F.MFM.05T.007.AD</t>
        </is>
      </c>
      <c r="O20" s="111" t="n"/>
      <c r="P20" s="111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12IN GREEN TEA MF MATTRESS QN</t>
        </is>
      </c>
      <c r="L21" s="109" t="inlineStr">
        <is>
          <t>ZU-MFMA1ZZI-12Q</t>
        </is>
      </c>
      <c r="M21" s="110" t="inlineStr">
        <is>
          <t>8VH5JQ8T</t>
        </is>
      </c>
      <c r="N21" s="69" t="inlineStr">
        <is>
          <t>F.MFM.12Q.006.AD</t>
        </is>
      </c>
      <c r="O21" s="111" t="n"/>
      <c r="P21" s="111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7.1" customFormat="1" customHeight="1" s="257">
      <c r="A22" s="89" t="n"/>
      <c r="B22" s="90" t="n"/>
      <c r="C22" s="269" t="n"/>
      <c r="D22" s="269" t="n"/>
      <c r="E22" s="270" t="n"/>
      <c r="F22" s="270" t="n"/>
      <c r="G22" s="270" t="n"/>
      <c r="H22" s="271">
        <f>SUM(H12:H21)</f>
        <v/>
      </c>
      <c r="I22" s="94">
        <f>COUNTA(I12:I21)</f>
        <v/>
      </c>
      <c r="J22" s="93" t="n"/>
      <c r="K22" s="93" t="n"/>
      <c r="L22" s="272" t="n"/>
      <c r="M22" s="273" t="n"/>
      <c r="N22" s="93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93" t="n"/>
      <c r="V22" s="100" t="n"/>
      <c r="W22" s="101" t="n"/>
      <c r="X22" s="102" t="n"/>
      <c r="Y22" s="278" t="n"/>
      <c r="Z22" s="279" t="n"/>
    </row>
    <row r="23" ht="16.5" customFormat="1" customHeight="1" s="262">
      <c r="A23" s="104" t="n">
        <v>2</v>
      </c>
      <c r="B23" s="105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67" t="n">
        <v>1</v>
      </c>
      <c r="I23" s="67" t="inlineStr">
        <is>
          <t>EMCU0087902</t>
        </is>
      </c>
      <c r="J23" s="67" t="inlineStr">
        <is>
          <t>40FT</t>
        </is>
      </c>
      <c r="K23" s="69" t="inlineStr">
        <is>
          <t>8IN MYGEL FOAM MATTRESS TW</t>
        </is>
      </c>
      <c r="L23" s="266" t="inlineStr">
        <is>
          <t>ZU-MFGN1YZI-08T</t>
        </is>
      </c>
      <c r="M23" s="67" t="inlineStr">
        <is>
          <t>1CPXSUHR</t>
        </is>
      </c>
      <c r="N23" s="69" t="inlineStr">
        <is>
          <t>F.MFG.08T.003.AD</t>
        </is>
      </c>
      <c r="O23" s="111" t="n">
        <v>70550.23</v>
      </c>
      <c r="P23" s="111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73" t="inlineStr">
        <is>
          <t>040300/KPPBC</t>
        </is>
      </c>
      <c r="V23" s="74" t="inlineStr">
        <is>
          <t>TG. PRIOK</t>
        </is>
      </c>
      <c r="W23" s="75" t="inlineStr">
        <is>
          <t>SAVANNAH</t>
        </is>
      </c>
      <c r="X23" s="76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104" t="n"/>
      <c r="B24" s="105" t="n"/>
      <c r="C24" s="106" t="n"/>
      <c r="D24" s="106" t="n"/>
      <c r="E24" s="258" t="n"/>
      <c r="F24" s="107" t="n"/>
      <c r="G24" s="258" t="n"/>
      <c r="H24" s="108" t="n">
        <v>6</v>
      </c>
      <c r="I24" s="67" t="inlineStr">
        <is>
          <t>GAOU6330736</t>
        </is>
      </c>
      <c r="J24" s="67" t="inlineStr">
        <is>
          <t>40FT</t>
        </is>
      </c>
      <c r="K24" s="69" t="inlineStr">
        <is>
          <t>8IN GREEN TEA MF MATTRESS SQ</t>
        </is>
      </c>
      <c r="L24" s="109" t="inlineStr">
        <is>
          <t>ZU-MFMA1FZI-08S</t>
        </is>
      </c>
      <c r="M24" s="67" t="inlineStr">
        <is>
          <t>1CPXSUHR</t>
        </is>
      </c>
      <c r="N24" s="69" t="inlineStr">
        <is>
          <t>F.MFM.08S.012.AD</t>
        </is>
      </c>
      <c r="O24" s="111" t="n"/>
      <c r="P24" s="111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73" t="n"/>
      <c r="V24" s="74" t="n"/>
      <c r="W24" s="75" t="inlineStr">
        <is>
          <t>ETD : 27-07-2026</t>
        </is>
      </c>
      <c r="X24" s="76" t="n"/>
      <c r="Y24" s="77" t="n"/>
      <c r="Z24" s="258" t="n"/>
    </row>
    <row r="25" ht="16.5" customHeight="1" s="223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>
        <is>
          <t>EISU8561414</t>
        </is>
      </c>
      <c r="J25" s="76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76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104" t="n"/>
      <c r="B26" s="105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76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76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104" t="n"/>
      <c r="B27" s="105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76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104" t="n"/>
      <c r="B28" s="105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76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104" t="n"/>
      <c r="B29" s="105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104" t="n"/>
      <c r="B30" s="105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76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104" t="n"/>
      <c r="B31" s="105" t="n"/>
      <c r="C31" s="281" t="n"/>
      <c r="D31" s="281" t="n"/>
      <c r="E31" s="282" t="n"/>
      <c r="F31" s="283" t="n"/>
      <c r="G31" s="282" t="n"/>
      <c r="H31" s="76" t="n">
        <v>197</v>
      </c>
      <c r="I31" s="76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76" t="inlineStr">
        <is>
          <t>23OYBVEV</t>
        </is>
      </c>
      <c r="N31" s="284" t="inlineStr">
        <is>
          <t>F.MFM.08F.013.AD</t>
        </is>
      </c>
      <c r="O31" s="306" t="n"/>
      <c r="P31" s="111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105" t="n"/>
      <c r="C32" s="295" t="n"/>
      <c r="D32" s="320" t="n"/>
      <c r="E32" s="317" t="n"/>
      <c r="F32" s="321" t="n"/>
      <c r="G32" s="282" t="n"/>
      <c r="H32" s="76" t="n">
        <v>18</v>
      </c>
      <c r="I32" s="76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76" t="inlineStr">
        <is>
          <t>23OYBVEV</t>
        </is>
      </c>
      <c r="N32" s="284" t="inlineStr">
        <is>
          <t>F.MFM.08Q.013.AD</t>
        </is>
      </c>
      <c r="O32" s="306" t="n"/>
      <c r="P32" s="111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2" t="n"/>
      <c r="C33" s="295" t="n"/>
      <c r="D33" s="320" t="n"/>
      <c r="E33" s="317" t="n"/>
      <c r="F33" s="321" t="n"/>
      <c r="G33" s="317" t="n"/>
      <c r="H33" s="76" t="n">
        <v>1</v>
      </c>
      <c r="I33" s="76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76" t="inlineStr">
        <is>
          <t>23OYBVEV</t>
        </is>
      </c>
      <c r="N33" s="284" t="inlineStr">
        <is>
          <t>F.MFM.12Q.010.AD</t>
        </is>
      </c>
      <c r="O33" s="306" t="n"/>
      <c r="P33" s="111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2" t="n"/>
      <c r="C34" s="295" t="n"/>
      <c r="D34" s="320" t="n"/>
      <c r="E34" s="317" t="n"/>
      <c r="F34" s="321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76" t="inlineStr">
        <is>
          <t>23OYBVEV</t>
        </is>
      </c>
      <c r="N34" s="284" t="inlineStr">
        <is>
          <t>F.MFM.10K.014.AD</t>
        </is>
      </c>
      <c r="O34" s="306" t="n"/>
      <c r="P34" s="111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2" t="n"/>
      <c r="C35" s="295" t="n"/>
      <c r="D35" s="320" t="n"/>
      <c r="E35" s="317" t="n"/>
      <c r="F35" s="321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76" t="inlineStr">
        <is>
          <t>299957YO</t>
        </is>
      </c>
      <c r="N35" s="284" t="inlineStr">
        <is>
          <t>F.MFG.06F.002.AD</t>
        </is>
      </c>
      <c r="O35" s="306" t="n"/>
      <c r="P35" s="111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2" t="n"/>
      <c r="C36" s="295" t="n"/>
      <c r="D36" s="320" t="n"/>
      <c r="E36" s="317" t="n"/>
      <c r="F36" s="321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76" t="inlineStr">
        <is>
          <t>299957YO</t>
        </is>
      </c>
      <c r="N36" s="284" t="inlineStr">
        <is>
          <t>F.MFM.08F.013.AD</t>
        </is>
      </c>
      <c r="O36" s="306" t="n"/>
      <c r="P36" s="111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2" t="n"/>
      <c r="C37" s="295" t="n"/>
      <c r="D37" s="320" t="n"/>
      <c r="E37" s="317" t="n"/>
      <c r="F37" s="321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76" t="inlineStr">
        <is>
          <t>299957YO</t>
        </is>
      </c>
      <c r="N37" s="284" t="inlineStr">
        <is>
          <t>F.MFM.08S.011.AD</t>
        </is>
      </c>
      <c r="O37" s="306" t="n"/>
      <c r="P37" s="111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2" t="n"/>
      <c r="C38" s="295" t="n"/>
      <c r="D38" s="320" t="n"/>
      <c r="E38" s="317" t="n"/>
      <c r="F38" s="321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76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2" t="n"/>
      <c r="C39" s="295" t="n"/>
      <c r="D39" s="295" t="n"/>
      <c r="E39" s="317" t="n"/>
      <c r="F39" s="321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3" t="n"/>
      <c r="B40" s="322" t="n"/>
      <c r="C40" s="295" t="n"/>
      <c r="D40" s="295" t="n"/>
      <c r="E40" s="268" t="n"/>
      <c r="F40" s="296" t="n"/>
      <c r="G40" s="268" t="n"/>
      <c r="H40" s="76" t="n">
        <v>2</v>
      </c>
      <c r="I40" s="76" t="inlineStr"/>
      <c r="J40" s="76" t="inlineStr"/>
      <c r="K40" s="284" t="inlineStr">
        <is>
          <t>10IN OPP HD FL</t>
        </is>
      </c>
      <c r="L40" s="285" t="inlineStr">
        <is>
          <t>ZU-MFMA1OZI-10F</t>
        </is>
      </c>
      <c r="M40" s="76" t="inlineStr">
        <is>
          <t>2OD43VAH</t>
        </is>
      </c>
      <c r="N40" s="284" t="inlineStr">
        <is>
          <t>F.MFM.10F.013.AD</t>
        </is>
      </c>
      <c r="O40" s="111" t="n"/>
      <c r="P40" s="111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4" t="n"/>
      <c r="X40" s="76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3" t="n"/>
      <c r="B41" s="325" t="n"/>
      <c r="C41" s="304" t="n"/>
      <c r="D41" s="304" t="n"/>
      <c r="E41" s="317" t="n"/>
      <c r="F41" s="321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3" t="n"/>
      <c r="B42" s="325" t="n"/>
      <c r="C42" s="304" t="n"/>
      <c r="D42" s="304" t="n"/>
      <c r="E42" s="317" t="n"/>
      <c r="F42" s="321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3" t="n"/>
      <c r="B43" s="325" t="n"/>
      <c r="C43" s="304" t="n"/>
      <c r="D43" s="304" t="n"/>
      <c r="E43" s="317" t="n"/>
      <c r="F43" s="321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3" t="n"/>
      <c r="B44" s="325" t="n"/>
      <c r="C44" s="304" t="n"/>
      <c r="D44" s="304" t="n"/>
      <c r="E44" s="317" t="n"/>
      <c r="F44" s="321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3" t="n"/>
      <c r="B45" s="325" t="n"/>
      <c r="C45" s="304" t="n"/>
      <c r="D45" s="304" t="n"/>
      <c r="E45" s="317" t="n"/>
      <c r="F45" s="321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3" t="n"/>
      <c r="B46" s="325" t="n"/>
      <c r="C46" s="304" t="n"/>
      <c r="D46" s="304" t="n"/>
      <c r="E46" s="317" t="n"/>
      <c r="F46" s="321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3" t="n"/>
      <c r="B47" s="325" t="n"/>
      <c r="C47" s="304" t="n"/>
      <c r="D47" s="304" t="n"/>
      <c r="E47" s="317" t="n"/>
      <c r="F47" s="321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3" t="n"/>
      <c r="B48" s="325" t="n"/>
      <c r="C48" s="304" t="n"/>
      <c r="D48" s="304" t="n"/>
      <c r="E48" s="317" t="n"/>
      <c r="F48" s="321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3" t="n"/>
      <c r="B49" s="325" t="n"/>
      <c r="C49" s="304" t="n"/>
      <c r="D49" s="304" t="n"/>
      <c r="E49" s="317" t="n"/>
      <c r="F49" s="321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6" t="n"/>
      <c r="B50" s="327" t="n"/>
      <c r="C50" s="328" t="n"/>
      <c r="D50" s="328" t="n"/>
      <c r="E50" s="329" t="n"/>
      <c r="F50" s="329" t="n"/>
      <c r="G50" s="329" t="n"/>
      <c r="H50" s="330">
        <f>SUM(H23:H49)</f>
        <v/>
      </c>
      <c r="I50" s="331">
        <f>COUNTA(I23:I49)</f>
        <v/>
      </c>
      <c r="J50" s="330" t="n"/>
      <c r="K50" s="330" t="n"/>
      <c r="L50" s="332" t="n"/>
      <c r="M50" s="330" t="n"/>
      <c r="N50" s="330" t="n"/>
      <c r="O50" s="333">
        <f>SUM(O23:O49)</f>
        <v/>
      </c>
      <c r="P50" s="333">
        <f>SUM(P23:P49)</f>
        <v/>
      </c>
      <c r="Q50" s="334" t="n"/>
      <c r="R50" s="335">
        <f>SUM(R23:R49)</f>
        <v/>
      </c>
      <c r="S50" s="336" t="n"/>
      <c r="T50" s="336">
        <f>SUM(T23:T49)</f>
        <v/>
      </c>
      <c r="U50" s="330" t="n"/>
      <c r="V50" s="337" t="n"/>
      <c r="W50" s="338" t="n"/>
      <c r="X50" s="337" t="n"/>
      <c r="Y50" s="337" t="n"/>
      <c r="Z50" s="337" t="n"/>
    </row>
    <row r="51" ht="16.5" customHeight="1" s="223">
      <c r="A51" s="323" t="n">
        <v>3</v>
      </c>
      <c r="B51" s="325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1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3" t="n"/>
      <c r="B52" s="325" t="n"/>
      <c r="C52" s="304" t="n"/>
      <c r="D52" s="304" t="n"/>
      <c r="E52" s="317" t="n"/>
      <c r="F52" s="321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3" t="n"/>
      <c r="B53" s="325" t="n"/>
      <c r="C53" s="304" t="n"/>
      <c r="D53" s="304" t="n"/>
      <c r="E53" s="317" t="n"/>
      <c r="F53" s="321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3" t="n"/>
      <c r="B54" s="325" t="n"/>
      <c r="C54" s="304" t="n"/>
      <c r="D54" s="304" t="n"/>
      <c r="E54" s="317" t="n"/>
      <c r="F54" s="321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3" t="n"/>
      <c r="B55" s="325" t="n"/>
      <c r="C55" s="304" t="n"/>
      <c r="D55" s="304" t="n"/>
      <c r="E55" s="317" t="n"/>
      <c r="F55" s="321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3" t="n"/>
      <c r="B56" s="325" t="n"/>
      <c r="C56" s="304" t="n"/>
      <c r="D56" s="304" t="n"/>
      <c r="E56" s="317" t="n"/>
      <c r="F56" s="321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3" t="n"/>
      <c r="B57" s="325" t="n"/>
      <c r="C57" s="304" t="n"/>
      <c r="D57" s="304" t="n"/>
      <c r="E57" s="317" t="n"/>
      <c r="F57" s="321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3" t="n"/>
      <c r="B58" s="325" t="n"/>
      <c r="C58" s="304" t="n"/>
      <c r="D58" s="304" t="n"/>
      <c r="E58" s="317" t="n"/>
      <c r="F58" s="321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3" t="n"/>
      <c r="B59" s="325" t="n"/>
      <c r="C59" s="304" t="n"/>
      <c r="D59" s="304" t="n"/>
      <c r="E59" s="317" t="n"/>
      <c r="F59" s="321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3" t="n"/>
      <c r="B60" s="325" t="n"/>
      <c r="C60" s="304" t="n"/>
      <c r="D60" s="304" t="n"/>
      <c r="E60" s="317" t="n"/>
      <c r="F60" s="321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3" t="n"/>
      <c r="B61" s="325" t="n"/>
      <c r="C61" s="304" t="n"/>
      <c r="D61" s="304" t="n"/>
      <c r="E61" s="317" t="n"/>
      <c r="F61" s="321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3" t="n"/>
      <c r="B62" s="325" t="n"/>
      <c r="C62" s="304" t="n"/>
      <c r="D62" s="304" t="n"/>
      <c r="E62" s="317" t="n"/>
      <c r="F62" s="321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3" t="n"/>
      <c r="B63" s="325" t="n"/>
      <c r="C63" s="304" t="n"/>
      <c r="D63" s="304" t="n"/>
      <c r="E63" s="317" t="n"/>
      <c r="F63" s="321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3" t="n"/>
      <c r="B64" s="325" t="n"/>
      <c r="C64" s="304" t="n"/>
      <c r="D64" s="304" t="n"/>
      <c r="E64" s="317" t="n"/>
      <c r="F64" s="321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3" t="n"/>
      <c r="B65" s="325" t="n"/>
      <c r="C65" s="304" t="n"/>
      <c r="D65" s="304" t="n"/>
      <c r="E65" s="317" t="n"/>
      <c r="F65" s="321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3" t="n"/>
      <c r="B66" s="325" t="n"/>
      <c r="C66" s="304" t="n"/>
      <c r="D66" s="304" t="n"/>
      <c r="E66" s="317" t="n"/>
      <c r="F66" s="321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3" t="n"/>
      <c r="B67" s="325" t="n"/>
      <c r="C67" s="304" t="n"/>
      <c r="D67" s="304" t="n"/>
      <c r="E67" s="317" t="n"/>
      <c r="F67" s="321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3" t="n"/>
      <c r="B68" s="325" t="n"/>
      <c r="C68" s="304" t="n"/>
      <c r="D68" s="304" t="n"/>
      <c r="E68" s="317" t="n"/>
      <c r="F68" s="321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3" t="n"/>
      <c r="B69" s="325" t="n"/>
      <c r="C69" s="304" t="n"/>
      <c r="D69" s="304" t="n"/>
      <c r="E69" s="317" t="n"/>
      <c r="F69" s="321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3" t="n"/>
      <c r="B70" s="325" t="n"/>
      <c r="C70" s="304" t="n"/>
      <c r="D70" s="304" t="n"/>
      <c r="E70" s="317" t="n"/>
      <c r="F70" s="321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3" t="n"/>
      <c r="B71" s="325" t="n"/>
      <c r="C71" s="304" t="n"/>
      <c r="D71" s="304" t="n"/>
      <c r="E71" s="317" t="n"/>
      <c r="F71" s="321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3" t="n"/>
      <c r="B72" s="325" t="n"/>
      <c r="C72" s="304" t="n"/>
      <c r="D72" s="304" t="n"/>
      <c r="E72" s="317" t="n"/>
      <c r="F72" s="321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3" t="n"/>
      <c r="B73" s="325" t="n"/>
      <c r="C73" s="304" t="n"/>
      <c r="D73" s="304" t="n"/>
      <c r="E73" s="317" t="n"/>
      <c r="F73" s="321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3" t="n"/>
      <c r="B74" s="325" t="n"/>
      <c r="C74" s="304" t="n"/>
      <c r="D74" s="304" t="n"/>
      <c r="E74" s="317" t="n"/>
      <c r="F74" s="321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3" t="n"/>
      <c r="B75" s="325" t="n"/>
      <c r="C75" s="304" t="n"/>
      <c r="D75" s="304" t="n"/>
      <c r="E75" s="317" t="n"/>
      <c r="F75" s="321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3" t="n"/>
      <c r="B76" s="325" t="n"/>
      <c r="C76" s="304" t="n"/>
      <c r="D76" s="304" t="n"/>
      <c r="E76" s="317" t="n"/>
      <c r="F76" s="321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3" t="n"/>
      <c r="B77" s="325" t="n"/>
      <c r="C77" s="304" t="n"/>
      <c r="D77" s="304" t="n"/>
      <c r="E77" s="317" t="n"/>
      <c r="F77" s="321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3" t="n"/>
      <c r="B78" s="325" t="n"/>
      <c r="C78" s="304" t="n"/>
      <c r="D78" s="304" t="n"/>
      <c r="E78" s="317" t="n"/>
      <c r="F78" s="321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6" t="n"/>
      <c r="B79" s="327" t="n"/>
      <c r="C79" s="328" t="n"/>
      <c r="D79" s="328" t="n"/>
      <c r="E79" s="329" t="n"/>
      <c r="F79" s="329" t="n"/>
      <c r="G79" s="329" t="n"/>
      <c r="H79" s="330">
        <f>SUM(H51:H78)</f>
        <v/>
      </c>
      <c r="I79" s="331">
        <f>COUNTA(I51:I78)</f>
        <v/>
      </c>
      <c r="J79" s="330" t="n"/>
      <c r="K79" s="330" t="n"/>
      <c r="L79" s="332" t="n"/>
      <c r="M79" s="330" t="n"/>
      <c r="N79" s="330" t="n"/>
      <c r="O79" s="333">
        <f>SUM(O51:O78)</f>
        <v/>
      </c>
      <c r="P79" s="333">
        <f>SUM(P51:P78)</f>
        <v/>
      </c>
      <c r="Q79" s="334" t="n"/>
      <c r="R79" s="335">
        <f>SUM(R51:R78)</f>
        <v/>
      </c>
      <c r="S79" s="336" t="n"/>
      <c r="T79" s="336">
        <f>SUM(T51:T78)</f>
        <v/>
      </c>
      <c r="U79" s="330" t="n"/>
      <c r="V79" s="337" t="n"/>
      <c r="W79" s="338" t="n"/>
      <c r="X79" s="337" t="n"/>
      <c r="Y79" s="337" t="n"/>
      <c r="Z79" s="337" t="n"/>
    </row>
    <row r="80" ht="16.5" customHeight="1" s="223">
      <c r="A80" s="323" t="n">
        <v>4</v>
      </c>
      <c r="B80" s="325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1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3" t="n"/>
      <c r="B81" s="325" t="n"/>
      <c r="C81" s="304" t="n"/>
      <c r="D81" s="304" t="n"/>
      <c r="E81" s="317" t="n"/>
      <c r="F81" s="321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6" t="n"/>
      <c r="B82" s="327" t="n"/>
      <c r="C82" s="328" t="n"/>
      <c r="D82" s="328" t="n"/>
      <c r="E82" s="329" t="n"/>
      <c r="F82" s="329" t="n"/>
      <c r="G82" s="329" t="n"/>
      <c r="H82" s="330">
        <f>SUM(H80:H81)</f>
        <v/>
      </c>
      <c r="I82" s="331">
        <f>COUNTA(I80:I81)</f>
        <v/>
      </c>
      <c r="J82" s="330" t="n"/>
      <c r="K82" s="330" t="n"/>
      <c r="L82" s="332" t="n"/>
      <c r="M82" s="330" t="n"/>
      <c r="N82" s="330" t="n"/>
      <c r="O82" s="333">
        <f>SUM(O80:O81)</f>
        <v/>
      </c>
      <c r="P82" s="333">
        <f>SUM(P80:P81)</f>
        <v/>
      </c>
      <c r="Q82" s="334" t="n"/>
      <c r="R82" s="335">
        <f>SUM(R80:R81)</f>
        <v/>
      </c>
      <c r="S82" s="336" t="n"/>
      <c r="T82" s="336">
        <f>SUM(T80:T81)</f>
        <v/>
      </c>
      <c r="U82" s="330" t="n"/>
      <c r="V82" s="337" t="n"/>
      <c r="W82" s="338" t="n"/>
      <c r="X82" s="337" t="n"/>
      <c r="Y82" s="337" t="n"/>
      <c r="Z82" s="337" t="n"/>
    </row>
    <row r="83" ht="16.5" customHeight="1" s="223">
      <c r="A83" s="323" t="n">
        <v>5</v>
      </c>
      <c r="B83" s="325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1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3" t="n"/>
      <c r="B84" s="325" t="n"/>
      <c r="C84" s="304" t="n"/>
      <c r="D84" s="304" t="n"/>
      <c r="E84" s="317" t="n"/>
      <c r="F84" s="321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6" t="n"/>
      <c r="B85" s="327" t="n"/>
      <c r="C85" s="328" t="n"/>
      <c r="D85" s="328" t="n"/>
      <c r="E85" s="329" t="n"/>
      <c r="F85" s="329" t="n"/>
      <c r="G85" s="329" t="n"/>
      <c r="H85" s="330">
        <f>SUM(H83:H84)</f>
        <v/>
      </c>
      <c r="I85" s="331">
        <f>COUNTA(I83:I84)</f>
        <v/>
      </c>
      <c r="J85" s="330" t="n"/>
      <c r="K85" s="330" t="n"/>
      <c r="L85" s="332" t="n"/>
      <c r="M85" s="330" t="n"/>
      <c r="N85" s="330" t="n"/>
      <c r="O85" s="333">
        <f>SUM(O83:O84)</f>
        <v/>
      </c>
      <c r="P85" s="333">
        <f>SUM(P83:P84)</f>
        <v/>
      </c>
      <c r="Q85" s="334" t="n"/>
      <c r="R85" s="335">
        <f>SUM(R83:R84)</f>
        <v/>
      </c>
      <c r="S85" s="336" t="n"/>
      <c r="T85" s="336">
        <f>SUM(T83:T84)</f>
        <v/>
      </c>
      <c r="U85" s="330" t="n"/>
      <c r="V85" s="337" t="n"/>
      <c r="W85" s="338" t="n"/>
      <c r="X85" s="337" t="n"/>
      <c r="Y85" s="337" t="n"/>
      <c r="Z85" s="337" t="n"/>
    </row>
    <row r="86" ht="16.5" customHeight="1" s="223">
      <c r="A86" s="323" t="n">
        <v>6</v>
      </c>
      <c r="B86" s="325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1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3" t="n"/>
      <c r="B87" s="325" t="n"/>
      <c r="C87" s="304" t="n"/>
      <c r="D87" s="304" t="n"/>
      <c r="E87" s="317" t="n"/>
      <c r="F87" s="321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6" t="n"/>
      <c r="B88" s="327" t="n"/>
      <c r="C88" s="328" t="n"/>
      <c r="D88" s="328" t="n"/>
      <c r="E88" s="329" t="n"/>
      <c r="F88" s="329" t="n"/>
      <c r="G88" s="329" t="n"/>
      <c r="H88" s="330">
        <f>SUM(H86:H87)</f>
        <v/>
      </c>
      <c r="I88" s="331">
        <f>COUNTA(I86:I87)</f>
        <v/>
      </c>
      <c r="J88" s="330" t="n"/>
      <c r="K88" s="330" t="n"/>
      <c r="L88" s="332" t="n"/>
      <c r="M88" s="330" t="n"/>
      <c r="N88" s="330" t="n"/>
      <c r="O88" s="333">
        <f>SUM(O86:O87)</f>
        <v/>
      </c>
      <c r="P88" s="333">
        <f>SUM(P86:P87)</f>
        <v/>
      </c>
      <c r="Q88" s="334" t="n"/>
      <c r="R88" s="335">
        <f>SUM(R86:R87)</f>
        <v/>
      </c>
      <c r="S88" s="336" t="n"/>
      <c r="T88" s="336">
        <f>SUM(T86:T87)</f>
        <v/>
      </c>
      <c r="U88" s="330" t="n"/>
      <c r="V88" s="337" t="n"/>
      <c r="W88" s="338" t="n"/>
      <c r="X88" s="337" t="n"/>
      <c r="Y88" s="337" t="n"/>
      <c r="Z88" s="337" t="n"/>
    </row>
    <row r="89" ht="16.5" customHeight="1" s="223">
      <c r="A89" s="323" t="n"/>
      <c r="B89" s="325" t="n"/>
      <c r="C89" s="304" t="n"/>
      <c r="D89" s="304" t="n"/>
      <c r="E89" s="317" t="n"/>
      <c r="F89" s="321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G91" s="339" t="inlineStr">
        <is>
          <t>Total Qty Export</t>
        </is>
      </c>
      <c r="H91" s="340">
        <f>H89</f>
        <v/>
      </c>
    </row>
    <row r="92" ht="20" customHeight="1" s="223">
      <c r="G92" s="339" t="inlineStr">
        <is>
          <t>Total Qty Export Sample</t>
        </is>
      </c>
      <c r="H92" s="339" t="n">
        <v>0</v>
      </c>
    </row>
    <row r="93" ht="20" customHeight="1" s="223">
      <c r="G93" s="339" t="inlineStr">
        <is>
          <t>Total Document</t>
        </is>
      </c>
      <c r="H93" s="339" t="n">
        <v>6</v>
      </c>
    </row>
    <row r="94" ht="20" customHeight="1" s="223">
      <c r="G94" s="339" t="inlineStr">
        <is>
          <t>Gross Weight</t>
        </is>
      </c>
      <c r="H94" s="340">
        <f>O89</f>
        <v/>
      </c>
    </row>
    <row r="95" ht="20" customHeight="1" s="223">
      <c r="G95" s="339" t="inlineStr">
        <is>
          <t>Nett Weight</t>
        </is>
      </c>
      <c r="H95" s="340">
        <f>P89</f>
        <v/>
      </c>
    </row>
    <row r="96" ht="20" customHeight="1" s="223">
      <c r="G96" s="339" t="inlineStr">
        <is>
          <t>Amount</t>
        </is>
      </c>
      <c r="H96" s="340">
        <f>R89</f>
        <v/>
      </c>
    </row>
    <row r="97" ht="20" customHeight="1" s="223">
      <c r="G97" s="339" t="inlineStr">
        <is>
          <t>Jumlah Container</t>
        </is>
      </c>
      <c r="H97" s="339" t="inlineStr">
        <is>
          <t>: 20x40FT, 0x20FT, = 40 TEUS</t>
        </is>
      </c>
    </row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1">
      <c r="A333" s="202" t="n"/>
      <c r="B333" s="203" t="n"/>
      <c r="C333" s="204" t="n"/>
      <c r="D333" s="204" t="n"/>
      <c r="E333" s="205" t="n"/>
      <c r="F333" s="206" t="n"/>
      <c r="G333" s="206" t="n"/>
      <c r="H333" s="6" t="n"/>
      <c r="I333" s="203" t="n"/>
      <c r="J333" s="203" t="n"/>
      <c r="K333" s="342" t="n"/>
      <c r="L333" s="342" t="n"/>
      <c r="M333" s="342" t="n"/>
      <c r="N333" s="343" t="n"/>
      <c r="O333" s="344" t="n"/>
      <c r="P333" s="344" t="n"/>
      <c r="Q333" s="345" t="n"/>
      <c r="R333" s="346" t="n"/>
      <c r="S333" s="347" t="n"/>
      <c r="T333" s="347" t="n"/>
      <c r="U333" s="348" t="n"/>
      <c r="V333" s="348" t="n"/>
      <c r="W333" s="348" t="n"/>
      <c r="X333" s="348" t="n"/>
      <c r="Y333" s="348" t="n"/>
      <c r="Z333" s="348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2026-07-28T14:27:37Z</dcterms:modified>
  <cp:lastModifiedBy>Chiswa Dian Hermansyah(ZINUS ZDI)</cp:lastModifiedBy>
</cp:coreProperties>
</file>