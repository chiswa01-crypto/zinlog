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000030ZIK48020260805000569</t>
        </is>
      </c>
      <c r="C12" s="245" t="n">
        <v>490284</v>
      </c>
      <c r="D12" s="245" t="n">
        <v>490223</v>
      </c>
      <c r="E12" s="246" t="n">
        <v>46240</v>
      </c>
      <c r="F12" s="245" t="inlineStr">
        <is>
          <t>ID2608-8037</t>
        </is>
      </c>
      <c r="G12" s="246" t="n">
        <v>46239</v>
      </c>
      <c r="H12" s="247" t="n">
        <v>900</v>
      </c>
      <c r="I12" s="245" t="inlineStr">
        <is>
          <t>ONEU0943340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0993630480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MOBILE, US</t>
        </is>
      </c>
      <c r="X12" s="245" t="inlineStr">
        <is>
          <t>WALMART, INC.</t>
        </is>
      </c>
      <c r="Y12" s="245" t="inlineStr">
        <is>
          <t>ONEYJKTG63665700</t>
        </is>
      </c>
      <c r="Z12" s="246" t="n">
        <v>46240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ONEU5894613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12-08-2026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000030ZIK48020260805000570</t>
        </is>
      </c>
      <c r="C15" s="245" t="n">
        <v>490466</v>
      </c>
      <c r="D15" s="245" t="n">
        <v>490405</v>
      </c>
      <c r="E15" s="246" t="n">
        <v>46240</v>
      </c>
      <c r="F15" s="245" t="inlineStr">
        <is>
          <t>ID2608-8038</t>
        </is>
      </c>
      <c r="G15" s="246" t="n">
        <v>46239</v>
      </c>
      <c r="H15" s="247" t="n">
        <v>520</v>
      </c>
      <c r="I15" s="245" t="inlineStr">
        <is>
          <t>ONEU6596470</t>
        </is>
      </c>
      <c r="J15" s="245" t="inlineStr">
        <is>
          <t>40FT</t>
        </is>
      </c>
      <c r="K15" s="245" t="inlineStr">
        <is>
          <t>8IN GREEN TEA MF MATTRESS FL</t>
        </is>
      </c>
      <c r="L15" s="245" t="inlineStr">
        <is>
          <t>SCF-STR-800F</t>
        </is>
      </c>
      <c r="M15" s="248" t="inlineStr">
        <is>
          <t>0993630677</t>
        </is>
      </c>
      <c r="N15" s="245" t="inlineStr">
        <is>
          <t>F.MFM.08F.000.WS</t>
        </is>
      </c>
      <c r="O15" s="249" t="n">
        <v>10618.4</v>
      </c>
      <c r="P15" s="249" t="n">
        <v>9370.4</v>
      </c>
      <c r="Q15" s="250">
        <f>R15/H15</f>
        <v/>
      </c>
      <c r="R15" s="251" t="n">
        <v>41480.4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MOBILE, US</t>
        </is>
      </c>
      <c r="X15" s="245" t="inlineStr">
        <is>
          <t>WALMART, INC.</t>
        </is>
      </c>
      <c r="Y15" s="245" t="inlineStr">
        <is>
          <t>ONEYJKTG63665701</t>
        </is>
      </c>
      <c r="Z15" s="246" t="n">
        <v>46240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n"/>
      <c r="J16" s="245" t="n"/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12-08-2026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16.5" customHeight="1" s="202" thickBot="1">
      <c r="A18" s="245" t="n">
        <v>3</v>
      </c>
      <c r="B18" s="245" t="inlineStr">
        <is>
          <t>000030ZIK48020260805000571</t>
        </is>
      </c>
      <c r="C18" s="245" t="n">
        <v>490062</v>
      </c>
      <c r="D18" s="245" t="n">
        <v>490002</v>
      </c>
      <c r="E18" s="246" t="n">
        <v>46240</v>
      </c>
      <c r="F18" s="245" t="inlineStr">
        <is>
          <t>ID2608-8042</t>
        </is>
      </c>
      <c r="G18" s="246" t="n">
        <v>46239</v>
      </c>
      <c r="H18" s="247" t="n">
        <v>42</v>
      </c>
      <c r="I18" s="245" t="inlineStr">
        <is>
          <t>NYKU5109082</t>
        </is>
      </c>
      <c r="J18" s="245" t="inlineStr">
        <is>
          <t>40FT</t>
        </is>
      </c>
      <c r="K18" s="245" t="inlineStr">
        <is>
          <t>10IN MEDIUM MFM FL</t>
        </is>
      </c>
      <c r="L18" s="245" t="inlineStr">
        <is>
          <t>WA-MMF-10F-IN</t>
        </is>
      </c>
      <c r="M18" s="248" t="inlineStr">
        <is>
          <t>MIWU00206</t>
        </is>
      </c>
      <c r="N18" s="245" t="inlineStr">
        <is>
          <t>F.MFM.10F.005.BU</t>
        </is>
      </c>
      <c r="O18" s="249" t="n">
        <v>12421.9</v>
      </c>
      <c r="P18" s="249" t="n">
        <v>11283.9</v>
      </c>
      <c r="Q18" s="250">
        <f>R18/H18</f>
        <v/>
      </c>
      <c r="R18" s="251" t="n">
        <v>2535.96</v>
      </c>
      <c r="S18" s="249" t="n">
        <v>18062</v>
      </c>
      <c r="T18" s="252">
        <f>S18*R18</f>
        <v/>
      </c>
      <c r="U18" s="245" t="inlineStr">
        <is>
          <t>040300/KPPBC</t>
        </is>
      </c>
      <c r="V18" s="245" t="inlineStr">
        <is>
          <t>TG. PRIOK</t>
        </is>
      </c>
      <c r="W18" s="245" t="inlineStr">
        <is>
          <t>TACOMA, US</t>
        </is>
      </c>
      <c r="X18" s="245" t="inlineStr">
        <is>
          <t>MELLOW INC</t>
        </is>
      </c>
      <c r="Y18" s="245" t="inlineStr">
        <is>
          <t>ONEYJKTG57219500</t>
        </is>
      </c>
      <c r="Z18" s="246" t="n">
        <v>46240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142</v>
      </c>
      <c r="I19" s="245" t="inlineStr"/>
      <c r="J19" s="245" t="inlineStr"/>
      <c r="K19" s="245" t="inlineStr">
        <is>
          <t>10IN MEDIUM MFM QN</t>
        </is>
      </c>
      <c r="L19" s="245" t="inlineStr">
        <is>
          <t>WA-MMF-10Q-IN</t>
        </is>
      </c>
      <c r="M19" s="248" t="inlineStr">
        <is>
          <t>MIWU00206</t>
        </is>
      </c>
      <c r="N19" s="245" t="inlineStr">
        <is>
          <t>F.MFM.10Q.005.BU</t>
        </is>
      </c>
      <c r="O19" s="245" t="n"/>
      <c r="P19" s="245" t="n"/>
      <c r="Q19" s="250">
        <f>R19/H19</f>
        <v/>
      </c>
      <c r="R19" s="251" t="n">
        <v>10161.52</v>
      </c>
      <c r="S19" s="249" t="n">
        <v>18062</v>
      </c>
      <c r="T19" s="252">
        <f>S19*R19</f>
        <v/>
      </c>
      <c r="U19" s="245" t="n"/>
      <c r="V19" s="245" t="n"/>
      <c r="W19" s="245" t="inlineStr">
        <is>
          <t>ETD : 12-08-2026</t>
        </is>
      </c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102</v>
      </c>
      <c r="I20" s="245" t="inlineStr"/>
      <c r="J20" s="245" t="inlineStr"/>
      <c r="K20" s="245" t="inlineStr">
        <is>
          <t>10IN MEDIUM MFM TW</t>
        </is>
      </c>
      <c r="L20" s="245" t="inlineStr">
        <is>
          <t>WA-MMF-10T-IN</t>
        </is>
      </c>
      <c r="M20" s="248" t="inlineStr">
        <is>
          <t>MIWU00206</t>
        </is>
      </c>
      <c r="N20" s="245" t="inlineStr">
        <is>
          <t>F.MFM.10T.005.BU</t>
        </is>
      </c>
      <c r="O20" s="245" t="n"/>
      <c r="P20" s="245" t="n"/>
      <c r="Q20" s="250">
        <f>R20/H20</f>
        <v/>
      </c>
      <c r="R20" s="251" t="n">
        <v>4694.04</v>
      </c>
      <c r="S20" s="249" t="n">
        <v>18062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17</v>
      </c>
      <c r="I21" s="245" t="inlineStr"/>
      <c r="J21" s="245" t="inlineStr"/>
      <c r="K21" s="245" t="inlineStr">
        <is>
          <t>12IN MEDIUM MFM EK</t>
        </is>
      </c>
      <c r="L21" s="245" t="inlineStr">
        <is>
          <t>WA-MMF-12K-IN</t>
        </is>
      </c>
      <c r="M21" s="248" t="inlineStr">
        <is>
          <t>MIWU00206</t>
        </is>
      </c>
      <c r="N21" s="245" t="inlineStr">
        <is>
          <t>F.MFM.12K.005.BU</t>
        </is>
      </c>
      <c r="O21" s="245" t="n"/>
      <c r="P21" s="245" t="n"/>
      <c r="Q21" s="250">
        <f>R21/H21</f>
        <v/>
      </c>
      <c r="R21" s="251" t="n">
        <v>1680.62</v>
      </c>
      <c r="S21" s="249" t="n">
        <v>18062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31</v>
      </c>
      <c r="I22" s="245" t="inlineStr"/>
      <c r="J22" s="245" t="inlineStr"/>
      <c r="K22" s="245" t="inlineStr">
        <is>
          <t>6IN MEDIUM MFM TW</t>
        </is>
      </c>
      <c r="L22" s="245" t="inlineStr">
        <is>
          <t>WA-MMF-6T-IN</t>
        </is>
      </c>
      <c r="M22" s="248" t="inlineStr">
        <is>
          <t>MIWU00206</t>
        </is>
      </c>
      <c r="N22" s="245" t="inlineStr">
        <is>
          <t>F.MFM.06T.002.BU</t>
        </is>
      </c>
      <c r="O22" s="245" t="n"/>
      <c r="P22" s="245" t="n"/>
      <c r="Q22" s="250">
        <f>R22/H22</f>
        <v/>
      </c>
      <c r="R22" s="251" t="n">
        <v>995.1</v>
      </c>
      <c r="S22" s="249" t="n">
        <v>18062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21</v>
      </c>
      <c r="I23" s="245" t="inlineStr"/>
      <c r="J23" s="245" t="inlineStr"/>
      <c r="K23" s="245" t="inlineStr">
        <is>
          <t>10IN PLUSH MFM FL</t>
        </is>
      </c>
      <c r="L23" s="245" t="inlineStr">
        <is>
          <t>WA-PMF-10F-IN</t>
        </is>
      </c>
      <c r="M23" s="248" t="inlineStr">
        <is>
          <t>MIWU00206</t>
        </is>
      </c>
      <c r="N23" s="245" t="inlineStr">
        <is>
          <t>F.MFM.10F.006.BU</t>
        </is>
      </c>
      <c r="O23" s="245" t="n"/>
      <c r="P23" s="245" t="n"/>
      <c r="Q23" s="250">
        <f>R23/H23</f>
        <v/>
      </c>
      <c r="R23" s="251" t="n">
        <v>1316.7</v>
      </c>
      <c r="S23" s="249" t="n">
        <v>18062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50</v>
      </c>
      <c r="I24" s="245" t="inlineStr"/>
      <c r="J24" s="245" t="inlineStr"/>
      <c r="K24" s="245" t="inlineStr">
        <is>
          <t>10IN PLUSH MFM QN</t>
        </is>
      </c>
      <c r="L24" s="245" t="inlineStr">
        <is>
          <t>WA-PMF-10Q-IN</t>
        </is>
      </c>
      <c r="M24" s="248" t="inlineStr">
        <is>
          <t>MIWU00206</t>
        </is>
      </c>
      <c r="N24" s="245" t="inlineStr">
        <is>
          <t>F.MFM.10Q.006.BU</t>
        </is>
      </c>
      <c r="O24" s="245" t="n"/>
      <c r="P24" s="245" t="n"/>
      <c r="Q24" s="250">
        <f>R24/H24</f>
        <v/>
      </c>
      <c r="R24" s="251" t="n">
        <v>3705</v>
      </c>
      <c r="S24" s="249" t="n">
        <v>18062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50</v>
      </c>
      <c r="I25" s="245" t="inlineStr"/>
      <c r="J25" s="245" t="inlineStr"/>
      <c r="K25" s="245" t="inlineStr">
        <is>
          <t>12IN PLUSH MFM FL</t>
        </is>
      </c>
      <c r="L25" s="245" t="inlineStr">
        <is>
          <t>WA-PMF-12F-IN</t>
        </is>
      </c>
      <c r="M25" s="248" t="inlineStr">
        <is>
          <t>MIWU00206</t>
        </is>
      </c>
      <c r="N25" s="245" t="inlineStr">
        <is>
          <t>F.MFM.12F.006.BU</t>
        </is>
      </c>
      <c r="O25" s="245" t="n"/>
      <c r="P25" s="245" t="n"/>
      <c r="Q25" s="250">
        <f>R25/H25</f>
        <v/>
      </c>
      <c r="R25" s="251" t="n">
        <v>3681.5</v>
      </c>
      <c r="S25" s="249" t="n">
        <v>18062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50</v>
      </c>
      <c r="I26" s="245" t="inlineStr"/>
      <c r="J26" s="245" t="inlineStr"/>
      <c r="K26" s="245" t="inlineStr">
        <is>
          <t>8IN PLUSH MFM QN</t>
        </is>
      </c>
      <c r="L26" s="245" t="inlineStr">
        <is>
          <t>WA-PMF-8Q-IN</t>
        </is>
      </c>
      <c r="M26" s="248" t="inlineStr">
        <is>
          <t>MIWU00206</t>
        </is>
      </c>
      <c r="N26" s="245" t="inlineStr">
        <is>
          <t>F.MFM.08Q.006.BU</t>
        </is>
      </c>
      <c r="O26" s="245" t="n"/>
      <c r="P26" s="245" t="n"/>
      <c r="Q26" s="250">
        <f>R26/H26</f>
        <v/>
      </c>
      <c r="R26" s="251" t="n">
        <v>2811</v>
      </c>
      <c r="S26" s="249" t="n">
        <v>18062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54</v>
      </c>
      <c r="I27" s="245" t="inlineStr"/>
      <c r="J27" s="245" t="inlineStr"/>
      <c r="K27" s="245" t="inlineStr">
        <is>
          <t>8IN PLUSH MFM TW</t>
        </is>
      </c>
      <c r="L27" s="245" t="inlineStr">
        <is>
          <t>WA-PMF-8T-IN</t>
        </is>
      </c>
      <c r="M27" s="248" t="inlineStr">
        <is>
          <t>MIWU00206</t>
        </is>
      </c>
      <c r="N27" s="245" t="inlineStr">
        <is>
          <t>F.MFM.08T.006.BU</t>
        </is>
      </c>
      <c r="O27" s="245" t="n"/>
      <c r="P27" s="245" t="n"/>
      <c r="Q27" s="250">
        <f>R27/H27</f>
        <v/>
      </c>
      <c r="R27" s="251" t="n">
        <v>1952.64</v>
      </c>
      <c r="S27" s="249" t="n">
        <v>18062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7.1" customHeight="1" s="202">
      <c r="A28" s="253" t="n"/>
      <c r="B28" s="253" t="n"/>
      <c r="C28" s="253" t="n"/>
      <c r="D28" s="253" t="n"/>
      <c r="E28" s="253" t="n"/>
      <c r="F28" s="253" t="n"/>
      <c r="G28" s="253" t="n"/>
      <c r="H28" s="254">
        <f>SUM(H18:H27)</f>
        <v/>
      </c>
      <c r="I28" s="253">
        <f>COUNTA(I18:I27)</f>
        <v/>
      </c>
      <c r="J28" s="253" t="n"/>
      <c r="K28" s="253" t="n"/>
      <c r="L28" s="253" t="n"/>
      <c r="M28" s="253" t="n"/>
      <c r="N28" s="253" t="n"/>
      <c r="O28" s="255">
        <f>SUM(O18:O27)</f>
        <v/>
      </c>
      <c r="P28" s="255">
        <f>SUM(P18:P27)</f>
        <v/>
      </c>
      <c r="Q28" s="253" t="n"/>
      <c r="R28" s="256">
        <f>SUM(R18:R27)</f>
        <v/>
      </c>
      <c r="S28" s="253" t="n"/>
      <c r="T28" s="257">
        <f>SUM(T18:T27)</f>
        <v/>
      </c>
      <c r="U28" s="253" t="n"/>
      <c r="V28" s="253" t="n"/>
      <c r="W28" s="253" t="n"/>
      <c r="X28" s="253" t="n"/>
      <c r="Y28" s="253" t="n"/>
      <c r="Z28" s="253" t="n"/>
    </row>
    <row r="29" ht="16.5" customHeight="1" s="202">
      <c r="A29" s="245" t="n">
        <v>4</v>
      </c>
      <c r="B29" s="245" t="inlineStr">
        <is>
          <t>000030ZIK48020260805000572</t>
        </is>
      </c>
      <c r="C29" s="245" t="n">
        <v>490521</v>
      </c>
      <c r="D29" s="245" t="n">
        <v>490461</v>
      </c>
      <c r="E29" s="246" t="n">
        <v>46240</v>
      </c>
      <c r="F29" s="245" t="inlineStr">
        <is>
          <t>ID2608-8043</t>
        </is>
      </c>
      <c r="G29" s="246" t="n">
        <v>46239</v>
      </c>
      <c r="H29" s="247" t="n">
        <v>75</v>
      </c>
      <c r="I29" s="245" t="inlineStr">
        <is>
          <t>TCKU4384630</t>
        </is>
      </c>
      <c r="J29" s="245" t="inlineStr">
        <is>
          <t>40FT</t>
        </is>
      </c>
      <c r="K29" s="245" t="inlineStr">
        <is>
          <t>10IN MEDIUM MFM FL</t>
        </is>
      </c>
      <c r="L29" s="245" t="inlineStr">
        <is>
          <t>WA-MMF-10F-IN</t>
        </is>
      </c>
      <c r="M29" s="248" t="inlineStr">
        <is>
          <t>MIWU00209</t>
        </is>
      </c>
      <c r="N29" s="245" t="inlineStr">
        <is>
          <t>F.MFM.10F.005.BU</t>
        </is>
      </c>
      <c r="O29" s="249" t="n">
        <v>10332.9</v>
      </c>
      <c r="P29" s="249" t="n">
        <v>9425</v>
      </c>
      <c r="Q29" s="250">
        <f>R29/H29</f>
        <v/>
      </c>
      <c r="R29" s="251" t="n">
        <v>4528.5</v>
      </c>
      <c r="S29" s="249" t="n">
        <v>18062</v>
      </c>
      <c r="T29" s="252">
        <f>S29*R29</f>
        <v/>
      </c>
      <c r="U29" s="245" t="inlineStr">
        <is>
          <t>040300/KPPBC</t>
        </is>
      </c>
      <c r="V29" s="245" t="inlineStr">
        <is>
          <t>TG. PRIOK</t>
        </is>
      </c>
      <c r="W29" s="245" t="inlineStr">
        <is>
          <t>VANCOUVER, CA</t>
        </is>
      </c>
      <c r="X29" s="245" t="inlineStr">
        <is>
          <t>MELLOW INC</t>
        </is>
      </c>
      <c r="Y29" s="245" t="inlineStr">
        <is>
          <t>ONEYJKTG56970800</t>
        </is>
      </c>
      <c r="Z29" s="246" t="n">
        <v>46240</v>
      </c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161</v>
      </c>
      <c r="I30" s="245" t="inlineStr"/>
      <c r="J30" s="245" t="inlineStr"/>
      <c r="K30" s="245" t="inlineStr">
        <is>
          <t>10IN MEDIUM MFM QN</t>
        </is>
      </c>
      <c r="L30" s="245" t="inlineStr">
        <is>
          <t>WA-MMF-10Q-IN</t>
        </is>
      </c>
      <c r="M30" s="248" t="inlineStr">
        <is>
          <t>MIWU00209</t>
        </is>
      </c>
      <c r="N30" s="245" t="inlineStr">
        <is>
          <t>F.MFM.10Q.005.BU</t>
        </is>
      </c>
      <c r="O30" s="245" t="n"/>
      <c r="P30" s="245" t="n"/>
      <c r="Q30" s="250">
        <f>R30/H30</f>
        <v/>
      </c>
      <c r="R30" s="251" t="n">
        <v>11521.16</v>
      </c>
      <c r="S30" s="249" t="n">
        <v>18062</v>
      </c>
      <c r="T30" s="252">
        <f>S30*R30</f>
        <v/>
      </c>
      <c r="U30" s="245" t="n"/>
      <c r="V30" s="245" t="n"/>
      <c r="W30" s="245" t="inlineStr">
        <is>
          <t>ETD : 12-08-2026</t>
        </is>
      </c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105</v>
      </c>
      <c r="I31" s="245" t="inlineStr"/>
      <c r="J31" s="245" t="inlineStr"/>
      <c r="K31" s="245" t="inlineStr">
        <is>
          <t>10IN MEDIUM MFM TW</t>
        </is>
      </c>
      <c r="L31" s="245" t="inlineStr">
        <is>
          <t>WA-MMF-10T-IN</t>
        </is>
      </c>
      <c r="M31" s="248" t="inlineStr">
        <is>
          <t>MIWU00209</t>
        </is>
      </c>
      <c r="N31" s="245" t="inlineStr">
        <is>
          <t>F.MFM.10T.005.BU</t>
        </is>
      </c>
      <c r="O31" s="245" t="n"/>
      <c r="P31" s="245" t="n"/>
      <c r="Q31" s="250">
        <f>R31/H31</f>
        <v/>
      </c>
      <c r="R31" s="251" t="n">
        <v>4832.1</v>
      </c>
      <c r="S31" s="249" t="n">
        <v>18062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15</v>
      </c>
      <c r="I32" s="245" t="inlineStr"/>
      <c r="J32" s="245" t="inlineStr"/>
      <c r="K32" s="245" t="inlineStr">
        <is>
          <t>12IN MEDIUM MFM EK</t>
        </is>
      </c>
      <c r="L32" s="245" t="inlineStr">
        <is>
          <t>WA-MMF-12K-IN</t>
        </is>
      </c>
      <c r="M32" s="248" t="inlineStr">
        <is>
          <t>MIWU00209</t>
        </is>
      </c>
      <c r="N32" s="245" t="inlineStr">
        <is>
          <t>F.MFM.12K.005.BU</t>
        </is>
      </c>
      <c r="O32" s="245" t="n"/>
      <c r="P32" s="245" t="n"/>
      <c r="Q32" s="250">
        <f>R32/H32</f>
        <v/>
      </c>
      <c r="R32" s="251" t="n">
        <v>1482.9</v>
      </c>
      <c r="S32" s="249" t="n">
        <v>18062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20</v>
      </c>
      <c r="I33" s="245" t="inlineStr"/>
      <c r="J33" s="245" t="inlineStr"/>
      <c r="K33" s="245" t="inlineStr">
        <is>
          <t>12IN MEDIUM MFM QN</t>
        </is>
      </c>
      <c r="L33" s="245" t="inlineStr">
        <is>
          <t>WA-MMF-12Q-IN</t>
        </is>
      </c>
      <c r="M33" s="248" t="inlineStr">
        <is>
          <t>MIWU00209</t>
        </is>
      </c>
      <c r="N33" s="245" t="inlineStr">
        <is>
          <t>F.MFM.12Q.005.BU</t>
        </is>
      </c>
      <c r="O33" s="245" t="n"/>
      <c r="P33" s="245" t="n"/>
      <c r="Q33" s="250">
        <f>R33/H33</f>
        <v/>
      </c>
      <c r="R33" s="251" t="n">
        <v>1619.4</v>
      </c>
      <c r="S33" s="249" t="n">
        <v>18062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25</v>
      </c>
      <c r="I34" s="245" t="inlineStr"/>
      <c r="J34" s="245" t="inlineStr"/>
      <c r="K34" s="245" t="inlineStr">
        <is>
          <t>6IN MEDIUM MFM TW</t>
        </is>
      </c>
      <c r="L34" s="245" t="inlineStr">
        <is>
          <t>WA-MMF-6T-IN</t>
        </is>
      </c>
      <c r="M34" s="248" t="inlineStr">
        <is>
          <t>MIWU00209</t>
        </is>
      </c>
      <c r="N34" s="245" t="inlineStr">
        <is>
          <t>F.MFM.06T.002.BU</t>
        </is>
      </c>
      <c r="O34" s="245" t="n"/>
      <c r="P34" s="245" t="n"/>
      <c r="Q34" s="250">
        <f>R34/H34</f>
        <v/>
      </c>
      <c r="R34" s="251" t="n">
        <v>802.5</v>
      </c>
      <c r="S34" s="249" t="n">
        <v>18062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20</v>
      </c>
      <c r="I35" s="245" t="inlineStr"/>
      <c r="J35" s="245" t="inlineStr"/>
      <c r="K35" s="245" t="inlineStr">
        <is>
          <t>8IN MEDIUM MFM FL</t>
        </is>
      </c>
      <c r="L35" s="245" t="inlineStr">
        <is>
          <t>WA-MMF-8F-IN</t>
        </is>
      </c>
      <c r="M35" s="248" t="inlineStr">
        <is>
          <t>MIWU00209</t>
        </is>
      </c>
      <c r="N35" s="245" t="inlineStr">
        <is>
          <t>F.MFM.08F.005.BU</t>
        </is>
      </c>
      <c r="O35" s="245" t="n"/>
      <c r="P35" s="245" t="n"/>
      <c r="Q35" s="250">
        <f>R35/H35</f>
        <v/>
      </c>
      <c r="R35" s="251" t="n">
        <v>1042</v>
      </c>
      <c r="S35" s="249" t="n">
        <v>18062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20</v>
      </c>
      <c r="I36" s="245" t="inlineStr"/>
      <c r="J36" s="245" t="inlineStr"/>
      <c r="K36" s="245" t="inlineStr">
        <is>
          <t>8IN MEDIUM MFM TW</t>
        </is>
      </c>
      <c r="L36" s="245" t="inlineStr">
        <is>
          <t>WA-MMF-8T-IN</t>
        </is>
      </c>
      <c r="M36" s="248" t="inlineStr">
        <is>
          <t>MIWU00209</t>
        </is>
      </c>
      <c r="N36" s="245" t="inlineStr">
        <is>
          <t>F.MFM.08T.005.BU</t>
        </is>
      </c>
      <c r="O36" s="245" t="n"/>
      <c r="P36" s="245" t="n"/>
      <c r="Q36" s="250">
        <f>R36/H36</f>
        <v/>
      </c>
      <c r="R36" s="251" t="n">
        <v>777.6</v>
      </c>
      <c r="S36" s="249" t="n">
        <v>18062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29</v>
      </c>
      <c r="I37" s="245" t="inlineStr"/>
      <c r="J37" s="245" t="inlineStr"/>
      <c r="K37" s="245" t="inlineStr">
        <is>
          <t>10IN PLUSH MFM FL</t>
        </is>
      </c>
      <c r="L37" s="245" t="inlineStr">
        <is>
          <t>WA-PMF-10F-IN</t>
        </is>
      </c>
      <c r="M37" s="248" t="inlineStr">
        <is>
          <t>MIWU00209</t>
        </is>
      </c>
      <c r="N37" s="245" t="inlineStr">
        <is>
          <t>F.MFM.10F.006.BU</t>
        </is>
      </c>
      <c r="O37" s="245" t="n"/>
      <c r="P37" s="245" t="n"/>
      <c r="Q37" s="250">
        <f>R37/H37</f>
        <v/>
      </c>
      <c r="R37" s="251" t="n">
        <v>1818.3</v>
      </c>
      <c r="S37" s="249" t="n">
        <v>18062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7.1" customHeight="1" s="202">
      <c r="A38" s="253" t="n"/>
      <c r="B38" s="253" t="n"/>
      <c r="C38" s="253" t="n"/>
      <c r="D38" s="253" t="n"/>
      <c r="E38" s="253" t="n"/>
      <c r="F38" s="253" t="n"/>
      <c r="G38" s="253" t="n"/>
      <c r="H38" s="254">
        <f>SUM(H29:H37)</f>
        <v/>
      </c>
      <c r="I38" s="253">
        <f>COUNTA(I29:I37)</f>
        <v/>
      </c>
      <c r="J38" s="253" t="n"/>
      <c r="K38" s="253" t="n"/>
      <c r="L38" s="253" t="n"/>
      <c r="M38" s="253" t="n"/>
      <c r="N38" s="253" t="n"/>
      <c r="O38" s="255">
        <f>SUM(O29:O37)</f>
        <v/>
      </c>
      <c r="P38" s="255">
        <f>SUM(P29:P37)</f>
        <v/>
      </c>
      <c r="Q38" s="253" t="n"/>
      <c r="R38" s="256">
        <f>SUM(R29:R37)</f>
        <v/>
      </c>
      <c r="S38" s="253" t="n"/>
      <c r="T38" s="257">
        <f>SUM(T29:T37)</f>
        <v/>
      </c>
      <c r="U38" s="253" t="n"/>
      <c r="V38" s="253" t="n"/>
      <c r="W38" s="253" t="n"/>
      <c r="X38" s="253" t="n"/>
      <c r="Y38" s="253" t="n"/>
      <c r="Z38" s="253" t="n"/>
    </row>
    <row r="39" ht="16.5" customHeight="1" s="202">
      <c r="A39" s="245" t="n">
        <v>5</v>
      </c>
      <c r="B39" s="245" t="inlineStr">
        <is>
          <t>000030ZIK48020260805000573</t>
        </is>
      </c>
      <c r="C39" s="245" t="n">
        <v>489820</v>
      </c>
      <c r="D39" s="245" t="n">
        <v>489761</v>
      </c>
      <c r="E39" s="246" t="n">
        <v>46240</v>
      </c>
      <c r="F39" s="245" t="inlineStr">
        <is>
          <t>ID2608-8044</t>
        </is>
      </c>
      <c r="G39" s="246" t="n">
        <v>46239</v>
      </c>
      <c r="H39" s="247" t="n">
        <v>75</v>
      </c>
      <c r="I39" s="245" t="inlineStr">
        <is>
          <t>TCLU4449533</t>
        </is>
      </c>
      <c r="J39" s="245" t="inlineStr">
        <is>
          <t>40FT</t>
        </is>
      </c>
      <c r="K39" s="245" t="inlineStr">
        <is>
          <t>10IN MEDIUM MFM FL</t>
        </is>
      </c>
      <c r="L39" s="245" t="inlineStr">
        <is>
          <t>WA-MMF-10F-IN</t>
        </is>
      </c>
      <c r="M39" s="248" t="inlineStr">
        <is>
          <t>MIWU00207</t>
        </is>
      </c>
      <c r="N39" s="245" t="inlineStr">
        <is>
          <t>F.MFM.10F.005.BU</t>
        </is>
      </c>
      <c r="O39" s="249" t="n">
        <v>10332.9</v>
      </c>
      <c r="P39" s="249" t="n">
        <v>9425</v>
      </c>
      <c r="Q39" s="250">
        <f>R39/H39</f>
        <v/>
      </c>
      <c r="R39" s="251" t="n">
        <v>4528.5</v>
      </c>
      <c r="S39" s="249" t="n">
        <v>18062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TACOMA, US</t>
        </is>
      </c>
      <c r="X39" s="245" t="inlineStr">
        <is>
          <t>MELLOW INC</t>
        </is>
      </c>
      <c r="Y39" s="245" t="inlineStr">
        <is>
          <t>ONEYJKTG57229600</t>
        </is>
      </c>
      <c r="Z39" s="246" t="n">
        <v>46240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161</v>
      </c>
      <c r="I40" s="245" t="inlineStr"/>
      <c r="J40" s="245" t="inlineStr"/>
      <c r="K40" s="245" t="inlineStr">
        <is>
          <t>10IN MEDIUM MFM QN</t>
        </is>
      </c>
      <c r="L40" s="245" t="inlineStr">
        <is>
          <t>WA-MMF-10Q-IN</t>
        </is>
      </c>
      <c r="M40" s="248" t="inlineStr">
        <is>
          <t>MIWU00207</t>
        </is>
      </c>
      <c r="N40" s="245" t="inlineStr">
        <is>
          <t>F.MFM.10Q.005.BU</t>
        </is>
      </c>
      <c r="O40" s="245" t="n"/>
      <c r="P40" s="245" t="n"/>
      <c r="Q40" s="250">
        <f>R40/H40</f>
        <v/>
      </c>
      <c r="R40" s="251" t="n">
        <v>11521.16</v>
      </c>
      <c r="S40" s="249" t="n">
        <v>18062</v>
      </c>
      <c r="T40" s="252">
        <f>S40*R40</f>
        <v/>
      </c>
      <c r="U40" s="245" t="n"/>
      <c r="V40" s="245" t="n"/>
      <c r="W40" s="245" t="inlineStr">
        <is>
          <t>ETD : 13-08-2026</t>
        </is>
      </c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105</v>
      </c>
      <c r="I41" s="245" t="inlineStr"/>
      <c r="J41" s="245" t="inlineStr"/>
      <c r="K41" s="245" t="inlineStr">
        <is>
          <t>10IN MEDIUM MFM TW</t>
        </is>
      </c>
      <c r="L41" s="245" t="inlineStr">
        <is>
          <t>WA-MMF-10T-IN</t>
        </is>
      </c>
      <c r="M41" s="248" t="inlineStr">
        <is>
          <t>MIWU00207</t>
        </is>
      </c>
      <c r="N41" s="245" t="inlineStr">
        <is>
          <t>F.MFM.10T.005.BU</t>
        </is>
      </c>
      <c r="O41" s="245" t="n"/>
      <c r="P41" s="245" t="n"/>
      <c r="Q41" s="250">
        <f>R41/H41</f>
        <v/>
      </c>
      <c r="R41" s="251" t="n">
        <v>4832.1</v>
      </c>
      <c r="S41" s="249" t="n">
        <v>18062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15</v>
      </c>
      <c r="I42" s="245" t="inlineStr"/>
      <c r="J42" s="245" t="inlineStr"/>
      <c r="K42" s="245" t="inlineStr">
        <is>
          <t>12IN MEDIUM MFM EK</t>
        </is>
      </c>
      <c r="L42" s="245" t="inlineStr">
        <is>
          <t>WA-MMF-12K-IN</t>
        </is>
      </c>
      <c r="M42" s="248" t="inlineStr">
        <is>
          <t>MIWU00207</t>
        </is>
      </c>
      <c r="N42" s="245" t="inlineStr">
        <is>
          <t>F.MFM.12K.005.BU</t>
        </is>
      </c>
      <c r="O42" s="245" t="n"/>
      <c r="P42" s="245" t="n"/>
      <c r="Q42" s="250">
        <f>R42/H42</f>
        <v/>
      </c>
      <c r="R42" s="251" t="n">
        <v>1482.9</v>
      </c>
      <c r="S42" s="249" t="n">
        <v>18062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20</v>
      </c>
      <c r="I43" s="245" t="inlineStr"/>
      <c r="J43" s="245" t="inlineStr"/>
      <c r="K43" s="245" t="inlineStr">
        <is>
          <t>12IN MEDIUM MFM QN</t>
        </is>
      </c>
      <c r="L43" s="245" t="inlineStr">
        <is>
          <t>WA-MMF-12Q-IN</t>
        </is>
      </c>
      <c r="M43" s="248" t="inlineStr">
        <is>
          <t>MIWU00207</t>
        </is>
      </c>
      <c r="N43" s="245" t="inlineStr">
        <is>
          <t>F.MFM.12Q.005.BU</t>
        </is>
      </c>
      <c r="O43" s="245" t="n"/>
      <c r="P43" s="245" t="n"/>
      <c r="Q43" s="250">
        <f>R43/H43</f>
        <v/>
      </c>
      <c r="R43" s="251" t="n">
        <v>1619.4</v>
      </c>
      <c r="S43" s="249" t="n">
        <v>18062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25</v>
      </c>
      <c r="I44" s="245" t="inlineStr"/>
      <c r="J44" s="245" t="inlineStr"/>
      <c r="K44" s="245" t="inlineStr">
        <is>
          <t>6IN MEDIUM MFM TW</t>
        </is>
      </c>
      <c r="L44" s="245" t="inlineStr">
        <is>
          <t>WA-MMF-6T-IN</t>
        </is>
      </c>
      <c r="M44" s="248" t="inlineStr">
        <is>
          <t>MIWU00207</t>
        </is>
      </c>
      <c r="N44" s="245" t="inlineStr">
        <is>
          <t>F.MFM.06T.002.BU</t>
        </is>
      </c>
      <c r="O44" s="245" t="n"/>
      <c r="P44" s="245" t="n"/>
      <c r="Q44" s="250">
        <f>R44/H44</f>
        <v/>
      </c>
      <c r="R44" s="251" t="n">
        <v>802.5</v>
      </c>
      <c r="S44" s="249" t="n">
        <v>18062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20</v>
      </c>
      <c r="I45" s="245" t="inlineStr"/>
      <c r="J45" s="245" t="inlineStr"/>
      <c r="K45" s="245" t="inlineStr">
        <is>
          <t>8IN MEDIUM MFM FL</t>
        </is>
      </c>
      <c r="L45" s="245" t="inlineStr">
        <is>
          <t>WA-MMF-8F-IN</t>
        </is>
      </c>
      <c r="M45" s="248" t="inlineStr">
        <is>
          <t>MIWU00207</t>
        </is>
      </c>
      <c r="N45" s="245" t="inlineStr">
        <is>
          <t>F.MFM.08F.005.BU</t>
        </is>
      </c>
      <c r="O45" s="245" t="n"/>
      <c r="P45" s="245" t="n"/>
      <c r="Q45" s="250">
        <f>R45/H45</f>
        <v/>
      </c>
      <c r="R45" s="251" t="n">
        <v>1042</v>
      </c>
      <c r="S45" s="249" t="n">
        <v>18062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20</v>
      </c>
      <c r="I46" s="245" t="inlineStr"/>
      <c r="J46" s="245" t="inlineStr"/>
      <c r="K46" s="245" t="inlineStr">
        <is>
          <t>8IN MEDIUM MFM TW</t>
        </is>
      </c>
      <c r="L46" s="245" t="inlineStr">
        <is>
          <t>WA-MMF-8T-IN</t>
        </is>
      </c>
      <c r="M46" s="248" t="inlineStr">
        <is>
          <t>MIWU00207</t>
        </is>
      </c>
      <c r="N46" s="245" t="inlineStr">
        <is>
          <t>F.MFM.08T.005.BU</t>
        </is>
      </c>
      <c r="O46" s="245" t="n"/>
      <c r="P46" s="245" t="n"/>
      <c r="Q46" s="250">
        <f>R46/H46</f>
        <v/>
      </c>
      <c r="R46" s="251" t="n">
        <v>777.6</v>
      </c>
      <c r="S46" s="249" t="n">
        <v>18062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29</v>
      </c>
      <c r="I47" s="245" t="inlineStr"/>
      <c r="J47" s="245" t="inlineStr"/>
      <c r="K47" s="245" t="inlineStr">
        <is>
          <t>10IN PLUSH MFM FL</t>
        </is>
      </c>
      <c r="L47" s="245" t="inlineStr">
        <is>
          <t>WA-PMF-10F-IN</t>
        </is>
      </c>
      <c r="M47" s="248" t="inlineStr">
        <is>
          <t>MIWU00207</t>
        </is>
      </c>
      <c r="N47" s="245" t="inlineStr">
        <is>
          <t>F.MFM.10F.006.BU</t>
        </is>
      </c>
      <c r="O47" s="245" t="n"/>
      <c r="P47" s="245" t="n"/>
      <c r="Q47" s="250">
        <f>R47/H47</f>
        <v/>
      </c>
      <c r="R47" s="251" t="n">
        <v>1818.3</v>
      </c>
      <c r="S47" s="249" t="n">
        <v>18062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7.1" customHeight="1" s="202">
      <c r="A48" s="253" t="n"/>
      <c r="B48" s="253" t="n"/>
      <c r="C48" s="253" t="n"/>
      <c r="D48" s="253" t="n"/>
      <c r="E48" s="253" t="n"/>
      <c r="F48" s="253" t="n"/>
      <c r="G48" s="253" t="n"/>
      <c r="H48" s="254">
        <f>SUM(H39:H47)</f>
        <v/>
      </c>
      <c r="I48" s="253">
        <f>COUNTA(I39:I47)</f>
        <v/>
      </c>
      <c r="J48" s="253" t="n"/>
      <c r="K48" s="253" t="n"/>
      <c r="L48" s="253" t="n"/>
      <c r="M48" s="253" t="n"/>
      <c r="N48" s="253" t="n"/>
      <c r="O48" s="255">
        <f>SUM(O39:O47)</f>
        <v/>
      </c>
      <c r="P48" s="255">
        <f>SUM(P39:P47)</f>
        <v/>
      </c>
      <c r="Q48" s="253" t="n"/>
      <c r="R48" s="256">
        <f>SUM(R39:R47)</f>
        <v/>
      </c>
      <c r="S48" s="253" t="n"/>
      <c r="T48" s="257">
        <f>SUM(T39:T47)</f>
        <v/>
      </c>
      <c r="U48" s="253" t="n"/>
      <c r="V48" s="253" t="n"/>
      <c r="W48" s="253" t="n"/>
      <c r="X48" s="253" t="n"/>
      <c r="Y48" s="253" t="n"/>
      <c r="Z48" s="253" t="n"/>
    </row>
    <row r="49" ht="16.5" customHeight="1" s="202">
      <c r="A49" s="245" t="n">
        <v>6</v>
      </c>
      <c r="B49" s="245" t="inlineStr">
        <is>
          <t>000030ZIK48020260805000574</t>
        </is>
      </c>
      <c r="C49" s="245" t="n">
        <v>490010</v>
      </c>
      <c r="D49" s="245" t="n">
        <v>489950</v>
      </c>
      <c r="E49" s="246" t="n">
        <v>46240</v>
      </c>
      <c r="F49" s="245" t="inlineStr">
        <is>
          <t>ID2608-8045</t>
        </is>
      </c>
      <c r="G49" s="246" t="n">
        <v>46239</v>
      </c>
      <c r="H49" s="247" t="n">
        <v>75</v>
      </c>
      <c r="I49" s="245" t="inlineStr">
        <is>
          <t>TCLU4437980</t>
        </is>
      </c>
      <c r="J49" s="245" t="inlineStr">
        <is>
          <t>40FT</t>
        </is>
      </c>
      <c r="K49" s="245" t="inlineStr">
        <is>
          <t>10IN MEDIUM MFM FL</t>
        </is>
      </c>
      <c r="L49" s="245" t="inlineStr">
        <is>
          <t>WA-MMF-10F-IN</t>
        </is>
      </c>
      <c r="M49" s="248" t="inlineStr">
        <is>
          <t>MIWU00208</t>
        </is>
      </c>
      <c r="N49" s="245" t="inlineStr">
        <is>
          <t>F.MFM.10F.005.BU</t>
        </is>
      </c>
      <c r="O49" s="249" t="n">
        <v>10332.9</v>
      </c>
      <c r="P49" s="249" t="n">
        <v>9425</v>
      </c>
      <c r="Q49" s="250">
        <f>R49/H49</f>
        <v/>
      </c>
      <c r="R49" s="251" t="n">
        <v>4528.5</v>
      </c>
      <c r="S49" s="249" t="n">
        <v>18062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TACOMA, US</t>
        </is>
      </c>
      <c r="X49" s="245" t="inlineStr">
        <is>
          <t>MELLOW INC</t>
        </is>
      </c>
      <c r="Y49" s="245" t="inlineStr">
        <is>
          <t>ONEYJKTG57225900</t>
        </is>
      </c>
      <c r="Z49" s="246" t="n">
        <v>46240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161</v>
      </c>
      <c r="I50" s="245" t="inlineStr"/>
      <c r="J50" s="245" t="inlineStr"/>
      <c r="K50" s="245" t="inlineStr">
        <is>
          <t>10IN MEDIUM MFM QN</t>
        </is>
      </c>
      <c r="L50" s="245" t="inlineStr">
        <is>
          <t>WA-MMF-10Q-IN</t>
        </is>
      </c>
      <c r="M50" s="248" t="inlineStr">
        <is>
          <t>MIWU00208</t>
        </is>
      </c>
      <c r="N50" s="245" t="inlineStr">
        <is>
          <t>F.MFM.10Q.005.BU</t>
        </is>
      </c>
      <c r="O50" s="245" t="n"/>
      <c r="P50" s="245" t="n"/>
      <c r="Q50" s="250">
        <f>R50/H50</f>
        <v/>
      </c>
      <c r="R50" s="251" t="n">
        <v>11521.16</v>
      </c>
      <c r="S50" s="249" t="n">
        <v>18062</v>
      </c>
      <c r="T50" s="252">
        <f>S50*R50</f>
        <v/>
      </c>
      <c r="U50" s="245" t="n"/>
      <c r="V50" s="245" t="n"/>
      <c r="W50" s="245" t="inlineStr">
        <is>
          <t>ETD : 13-08-2026</t>
        </is>
      </c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105</v>
      </c>
      <c r="I51" s="245" t="inlineStr"/>
      <c r="J51" s="245" t="inlineStr"/>
      <c r="K51" s="245" t="inlineStr">
        <is>
          <t>10IN MEDIUM MFM TW</t>
        </is>
      </c>
      <c r="L51" s="245" t="inlineStr">
        <is>
          <t>WA-MMF-10T-IN</t>
        </is>
      </c>
      <c r="M51" s="248" t="inlineStr">
        <is>
          <t>MIWU00208</t>
        </is>
      </c>
      <c r="N51" s="245" t="inlineStr">
        <is>
          <t>F.MFM.10T.005.BU</t>
        </is>
      </c>
      <c r="O51" s="245" t="n"/>
      <c r="P51" s="245" t="n"/>
      <c r="Q51" s="250">
        <f>R51/H51</f>
        <v/>
      </c>
      <c r="R51" s="251" t="n">
        <v>4832.1</v>
      </c>
      <c r="S51" s="249" t="n">
        <v>18062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15</v>
      </c>
      <c r="I52" s="245" t="inlineStr"/>
      <c r="J52" s="245" t="inlineStr"/>
      <c r="K52" s="245" t="inlineStr">
        <is>
          <t>12IN MEDIUM MFM EK</t>
        </is>
      </c>
      <c r="L52" s="245" t="inlineStr">
        <is>
          <t>WA-MMF-12K-IN</t>
        </is>
      </c>
      <c r="M52" s="248" t="inlineStr">
        <is>
          <t>MIWU00208</t>
        </is>
      </c>
      <c r="N52" s="245" t="inlineStr">
        <is>
          <t>F.MFM.12K.005.BU</t>
        </is>
      </c>
      <c r="O52" s="245" t="n"/>
      <c r="P52" s="245" t="n"/>
      <c r="Q52" s="250">
        <f>R52/H52</f>
        <v/>
      </c>
      <c r="R52" s="251" t="n">
        <v>1482.9</v>
      </c>
      <c r="S52" s="249" t="n">
        <v>18062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20</v>
      </c>
      <c r="I53" s="245" t="inlineStr"/>
      <c r="J53" s="245" t="inlineStr"/>
      <c r="K53" s="245" t="inlineStr">
        <is>
          <t>12IN MEDIUM MFM QN</t>
        </is>
      </c>
      <c r="L53" s="245" t="inlineStr">
        <is>
          <t>WA-MMF-12Q-IN</t>
        </is>
      </c>
      <c r="M53" s="248" t="inlineStr">
        <is>
          <t>MIWU00208</t>
        </is>
      </c>
      <c r="N53" s="245" t="inlineStr">
        <is>
          <t>F.MFM.12Q.005.BU</t>
        </is>
      </c>
      <c r="O53" s="245" t="n"/>
      <c r="P53" s="245" t="n"/>
      <c r="Q53" s="250">
        <f>R53/H53</f>
        <v/>
      </c>
      <c r="R53" s="251" t="n">
        <v>1619.4</v>
      </c>
      <c r="S53" s="249" t="n">
        <v>18062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25</v>
      </c>
      <c r="I54" s="245" t="inlineStr"/>
      <c r="J54" s="245" t="inlineStr"/>
      <c r="K54" s="245" t="inlineStr">
        <is>
          <t>6IN MEDIUM MFM TW</t>
        </is>
      </c>
      <c r="L54" s="245" t="inlineStr">
        <is>
          <t>WA-MMF-6T-IN</t>
        </is>
      </c>
      <c r="M54" s="248" t="inlineStr">
        <is>
          <t>MIWU00208</t>
        </is>
      </c>
      <c r="N54" s="245" t="inlineStr">
        <is>
          <t>F.MFM.06T.002.BU</t>
        </is>
      </c>
      <c r="O54" s="245" t="n"/>
      <c r="P54" s="245" t="n"/>
      <c r="Q54" s="250">
        <f>R54/H54</f>
        <v/>
      </c>
      <c r="R54" s="251" t="n">
        <v>802.5</v>
      </c>
      <c r="S54" s="249" t="n">
        <v>18062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20</v>
      </c>
      <c r="I55" s="245" t="inlineStr"/>
      <c r="J55" s="245" t="inlineStr"/>
      <c r="K55" s="245" t="inlineStr">
        <is>
          <t>8IN MEDIUM MFM FL</t>
        </is>
      </c>
      <c r="L55" s="245" t="inlineStr">
        <is>
          <t>WA-MMF-8F-IN</t>
        </is>
      </c>
      <c r="M55" s="248" t="inlineStr">
        <is>
          <t>MIWU00208</t>
        </is>
      </c>
      <c r="N55" s="245" t="inlineStr">
        <is>
          <t>F.MFM.08F.005.BU</t>
        </is>
      </c>
      <c r="O55" s="245" t="n"/>
      <c r="P55" s="245" t="n"/>
      <c r="Q55" s="250">
        <f>R55/H55</f>
        <v/>
      </c>
      <c r="R55" s="251" t="n">
        <v>1042</v>
      </c>
      <c r="S55" s="249" t="n">
        <v>18062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20</v>
      </c>
      <c r="I56" s="245" t="inlineStr"/>
      <c r="J56" s="245" t="inlineStr"/>
      <c r="K56" s="245" t="inlineStr">
        <is>
          <t>8IN MEDIUM MFM TW</t>
        </is>
      </c>
      <c r="L56" s="245" t="inlineStr">
        <is>
          <t>WA-MMF-8T-IN</t>
        </is>
      </c>
      <c r="M56" s="248" t="inlineStr">
        <is>
          <t>MIWU00208</t>
        </is>
      </c>
      <c r="N56" s="245" t="inlineStr">
        <is>
          <t>F.MFM.08T.005.BU</t>
        </is>
      </c>
      <c r="O56" s="245" t="n"/>
      <c r="P56" s="245" t="n"/>
      <c r="Q56" s="250">
        <f>R56/H56</f>
        <v/>
      </c>
      <c r="R56" s="251" t="n">
        <v>777.6</v>
      </c>
      <c r="S56" s="249" t="n">
        <v>18062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29</v>
      </c>
      <c r="I57" s="245" t="inlineStr"/>
      <c r="J57" s="245" t="inlineStr"/>
      <c r="K57" s="245" t="inlineStr">
        <is>
          <t>10IN PLUSH MFM FL</t>
        </is>
      </c>
      <c r="L57" s="245" t="inlineStr">
        <is>
          <t>WA-PMF-10F-IN</t>
        </is>
      </c>
      <c r="M57" s="248" t="inlineStr">
        <is>
          <t>MIWU00208</t>
        </is>
      </c>
      <c r="N57" s="245" t="inlineStr">
        <is>
          <t>F.MFM.10F.006.BU</t>
        </is>
      </c>
      <c r="O57" s="245" t="n"/>
      <c r="P57" s="245" t="n"/>
      <c r="Q57" s="250">
        <f>R57/H57</f>
        <v/>
      </c>
      <c r="R57" s="251" t="n">
        <v>1818.3</v>
      </c>
      <c r="S57" s="249" t="n">
        <v>18062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7.1" customHeight="1" s="202">
      <c r="A58" s="253" t="n"/>
      <c r="B58" s="253" t="n"/>
      <c r="C58" s="253" t="n"/>
      <c r="D58" s="253" t="n"/>
      <c r="E58" s="253" t="n"/>
      <c r="F58" s="253" t="n"/>
      <c r="G58" s="253" t="n"/>
      <c r="H58" s="254">
        <f>SUM(H49:H57)</f>
        <v/>
      </c>
      <c r="I58" s="253">
        <f>COUNTA(I49:I57)</f>
        <v/>
      </c>
      <c r="J58" s="253" t="n"/>
      <c r="K58" s="253" t="n"/>
      <c r="L58" s="253" t="n"/>
      <c r="M58" s="253" t="n"/>
      <c r="N58" s="253" t="n"/>
      <c r="O58" s="255">
        <f>SUM(O49:O57)</f>
        <v/>
      </c>
      <c r="P58" s="255">
        <f>SUM(P49:P57)</f>
        <v/>
      </c>
      <c r="Q58" s="253" t="n"/>
      <c r="R58" s="256">
        <f>SUM(R49:R57)</f>
        <v/>
      </c>
      <c r="S58" s="253" t="n"/>
      <c r="T58" s="257">
        <f>SUM(T49:T57)</f>
        <v/>
      </c>
      <c r="U58" s="253" t="n"/>
      <c r="V58" s="253" t="n"/>
      <c r="W58" s="253" t="n"/>
      <c r="X58" s="253" t="n"/>
      <c r="Y58" s="253" t="n"/>
      <c r="Z58" s="253" t="n"/>
    </row>
    <row r="59" ht="16.5" customHeight="1" s="202">
      <c r="A59" s="245" t="n">
        <v>7</v>
      </c>
      <c r="B59" s="245" t="inlineStr">
        <is>
          <t>000030ZIK48020260805000575</t>
        </is>
      </c>
      <c r="C59" s="245" t="n">
        <v>490212</v>
      </c>
      <c r="D59" s="245" t="n">
        <v>490152</v>
      </c>
      <c r="E59" s="246" t="n">
        <v>46240</v>
      </c>
      <c r="F59" s="245" t="inlineStr">
        <is>
          <t>ID2608-8046</t>
        </is>
      </c>
      <c r="G59" s="246" t="n">
        <v>46239</v>
      </c>
      <c r="H59" s="247" t="n">
        <v>25</v>
      </c>
      <c r="I59" s="245" t="inlineStr">
        <is>
          <t>FFAU3686983</t>
        </is>
      </c>
      <c r="J59" s="245" t="inlineStr">
        <is>
          <t>40FT</t>
        </is>
      </c>
      <c r="K59" s="245" t="inlineStr">
        <is>
          <t>12IN FIRM MF MATTRESS QN</t>
        </is>
      </c>
      <c r="L59" s="245" t="inlineStr">
        <is>
          <t>WA-FMF-12Q</t>
        </is>
      </c>
      <c r="M59" s="248" t="inlineStr">
        <is>
          <t>MIWU00200</t>
        </is>
      </c>
      <c r="N59" s="245" t="inlineStr">
        <is>
          <t>F.MFM.12Q.000.BU</t>
        </is>
      </c>
      <c r="O59" s="249" t="n">
        <v>12535.25</v>
      </c>
      <c r="P59" s="249" t="n">
        <v>11310.65</v>
      </c>
      <c r="Q59" s="250">
        <f>R59/H59</f>
        <v/>
      </c>
      <c r="R59" s="251" t="n">
        <v>2055</v>
      </c>
      <c r="S59" s="249" t="n">
        <v>18062</v>
      </c>
      <c r="T59" s="252">
        <f>S59*R59</f>
        <v/>
      </c>
      <c r="U59" s="245" t="inlineStr">
        <is>
          <t>040300/KPPBC</t>
        </is>
      </c>
      <c r="V59" s="245" t="inlineStr">
        <is>
          <t>TG. PRIOK</t>
        </is>
      </c>
      <c r="W59" s="245" t="inlineStr">
        <is>
          <t>NEW YORK, US</t>
        </is>
      </c>
      <c r="X59" s="245" t="inlineStr">
        <is>
          <t>MELLOW INC</t>
        </is>
      </c>
      <c r="Y59" s="245" t="inlineStr">
        <is>
          <t>ONEYJKTG56482600</t>
        </is>
      </c>
      <c r="Z59" s="246" t="n">
        <v>46240</v>
      </c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20</v>
      </c>
      <c r="I60" s="245" t="inlineStr"/>
      <c r="J60" s="245" t="inlineStr"/>
      <c r="K60" s="245" t="inlineStr">
        <is>
          <t>8IN FIRM MF MATTRESS FL</t>
        </is>
      </c>
      <c r="L60" s="245" t="inlineStr">
        <is>
          <t>WA-FMF-8F</t>
        </is>
      </c>
      <c r="M60" s="248" t="inlineStr">
        <is>
          <t>MIWU00200</t>
        </is>
      </c>
      <c r="N60" s="245" t="inlineStr">
        <is>
          <t>F.MFM.08F.000.BU</t>
        </is>
      </c>
      <c r="O60" s="245" t="n"/>
      <c r="P60" s="245" t="n"/>
      <c r="Q60" s="250">
        <f>R60/H60</f>
        <v/>
      </c>
      <c r="R60" s="251" t="n">
        <v>1064</v>
      </c>
      <c r="S60" s="249" t="n">
        <v>18062</v>
      </c>
      <c r="T60" s="252">
        <f>S60*R60</f>
        <v/>
      </c>
      <c r="U60" s="245" t="n"/>
      <c r="V60" s="245" t="n"/>
      <c r="W60" s="245" t="inlineStr">
        <is>
          <t>ETD : 13-08-2026</t>
        </is>
      </c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70</v>
      </c>
      <c r="I61" s="245" t="inlineStr"/>
      <c r="J61" s="245" t="inlineStr"/>
      <c r="K61" s="245" t="inlineStr">
        <is>
          <t>10IN MEDIUM MFM FL</t>
        </is>
      </c>
      <c r="L61" s="245" t="inlineStr">
        <is>
          <t>WA-MMF-10F-IN</t>
        </is>
      </c>
      <c r="M61" s="248" t="inlineStr">
        <is>
          <t>MIWU00200</t>
        </is>
      </c>
      <c r="N61" s="245" t="inlineStr">
        <is>
          <t>F.MFM.10F.005.BU</t>
        </is>
      </c>
      <c r="O61" s="245" t="n"/>
      <c r="P61" s="245" t="n"/>
      <c r="Q61" s="250">
        <f>R61/H61</f>
        <v/>
      </c>
      <c r="R61" s="251" t="n">
        <v>4226.6</v>
      </c>
      <c r="S61" s="249" t="n">
        <v>18062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95</v>
      </c>
      <c r="I62" s="245" t="inlineStr"/>
      <c r="J62" s="245" t="inlineStr"/>
      <c r="K62" s="245" t="inlineStr">
        <is>
          <t>10IN MEDIUM MFM QN</t>
        </is>
      </c>
      <c r="L62" s="245" t="inlineStr">
        <is>
          <t>WA-MMF-10Q-IN</t>
        </is>
      </c>
      <c r="M62" s="248" t="inlineStr">
        <is>
          <t>MIWU00200</t>
        </is>
      </c>
      <c r="N62" s="245" t="inlineStr">
        <is>
          <t>F.MFM.10Q.005.BU</t>
        </is>
      </c>
      <c r="O62" s="245" t="n"/>
      <c r="P62" s="245" t="n"/>
      <c r="Q62" s="250">
        <f>R62/H62</f>
        <v/>
      </c>
      <c r="R62" s="251" t="n">
        <v>6798.2</v>
      </c>
      <c r="S62" s="249" t="n">
        <v>18062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78</v>
      </c>
      <c r="I63" s="245" t="inlineStr"/>
      <c r="J63" s="245" t="inlineStr"/>
      <c r="K63" s="245" t="inlineStr">
        <is>
          <t>10IN MEDIUM MFM TW</t>
        </is>
      </c>
      <c r="L63" s="245" t="inlineStr">
        <is>
          <t>WA-MMF-10T-IN</t>
        </is>
      </c>
      <c r="M63" s="248" t="inlineStr">
        <is>
          <t>MIWU00200</t>
        </is>
      </c>
      <c r="N63" s="245" t="inlineStr">
        <is>
          <t>F.MFM.10T.005.BU</t>
        </is>
      </c>
      <c r="O63" s="245" t="n"/>
      <c r="P63" s="245" t="n"/>
      <c r="Q63" s="250">
        <f>R63/H63</f>
        <v/>
      </c>
      <c r="R63" s="251" t="n">
        <v>3589.56</v>
      </c>
      <c r="S63" s="249" t="n">
        <v>18062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38</v>
      </c>
      <c r="I64" s="245" t="inlineStr"/>
      <c r="J64" s="245" t="inlineStr"/>
      <c r="K64" s="245" t="inlineStr">
        <is>
          <t>12IN MEDIUM MFM QN</t>
        </is>
      </c>
      <c r="L64" s="245" t="inlineStr">
        <is>
          <t>WA-MMF-12Q-IN</t>
        </is>
      </c>
      <c r="M64" s="248" t="inlineStr">
        <is>
          <t>MIWU00200</t>
        </is>
      </c>
      <c r="N64" s="245" t="inlineStr">
        <is>
          <t>F.MFM.12Q.005.BU</t>
        </is>
      </c>
      <c r="O64" s="245" t="n"/>
      <c r="P64" s="245" t="n"/>
      <c r="Q64" s="250">
        <f>R64/H64</f>
        <v/>
      </c>
      <c r="R64" s="251" t="n">
        <v>3076.86</v>
      </c>
      <c r="S64" s="249" t="n">
        <v>18062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20</v>
      </c>
      <c r="I65" s="245" t="inlineStr"/>
      <c r="J65" s="245" t="inlineStr"/>
      <c r="K65" s="245" t="inlineStr">
        <is>
          <t>14IN MEDIUM MFM QN</t>
        </is>
      </c>
      <c r="L65" s="245" t="inlineStr">
        <is>
          <t>WA-MMF-14Q-IN</t>
        </is>
      </c>
      <c r="M65" s="248" t="inlineStr">
        <is>
          <t>MIWU00200</t>
        </is>
      </c>
      <c r="N65" s="245" t="inlineStr">
        <is>
          <t>F.MFM.14Q.000.BU</t>
        </is>
      </c>
      <c r="O65" s="245" t="n"/>
      <c r="P65" s="245" t="n"/>
      <c r="Q65" s="250">
        <f>R65/H65</f>
        <v/>
      </c>
      <c r="R65" s="251" t="n">
        <v>1813.4</v>
      </c>
      <c r="S65" s="249" t="n">
        <v>18062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65</v>
      </c>
      <c r="I66" s="245" t="inlineStr"/>
      <c r="J66" s="245" t="inlineStr"/>
      <c r="K66" s="245" t="inlineStr">
        <is>
          <t>6IN MEDIUM MFM TW</t>
        </is>
      </c>
      <c r="L66" s="245" t="inlineStr">
        <is>
          <t>WA-MMF-6T-IN</t>
        </is>
      </c>
      <c r="M66" s="248" t="inlineStr">
        <is>
          <t>MIWU00200</t>
        </is>
      </c>
      <c r="N66" s="245" t="inlineStr">
        <is>
          <t>F.MFM.06T.002.BU</t>
        </is>
      </c>
      <c r="O66" s="245" t="n"/>
      <c r="P66" s="245" t="n"/>
      <c r="Q66" s="250">
        <f>R66/H66</f>
        <v/>
      </c>
      <c r="R66" s="251" t="n">
        <v>2086.5</v>
      </c>
      <c r="S66" s="249" t="n">
        <v>18062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70</v>
      </c>
      <c r="I67" s="245" t="inlineStr"/>
      <c r="J67" s="245" t="inlineStr"/>
      <c r="K67" s="245" t="inlineStr">
        <is>
          <t>8IN MEDIUM MFM TW</t>
        </is>
      </c>
      <c r="L67" s="245" t="inlineStr">
        <is>
          <t>WA-MMF-8T-IN</t>
        </is>
      </c>
      <c r="M67" s="248" t="inlineStr">
        <is>
          <t>MIWU00200</t>
        </is>
      </c>
      <c r="N67" s="245" t="inlineStr">
        <is>
          <t>F.MFM.08T.005.BU</t>
        </is>
      </c>
      <c r="O67" s="245" t="n"/>
      <c r="P67" s="245" t="n"/>
      <c r="Q67" s="250">
        <f>R67/H67</f>
        <v/>
      </c>
      <c r="R67" s="251" t="n">
        <v>2721.6</v>
      </c>
      <c r="S67" s="249" t="n">
        <v>18062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20</v>
      </c>
      <c r="I68" s="245" t="inlineStr"/>
      <c r="J68" s="245" t="inlineStr"/>
      <c r="K68" s="245" t="inlineStr">
        <is>
          <t>10IN PLUSH MFM TW</t>
        </is>
      </c>
      <c r="L68" s="245" t="inlineStr">
        <is>
          <t>WA-PMF-10T-IN</t>
        </is>
      </c>
      <c r="M68" s="248" t="inlineStr">
        <is>
          <t>MIWU00200</t>
        </is>
      </c>
      <c r="N68" s="245" t="inlineStr">
        <is>
          <t>F.MFM.10T.006.BU</t>
        </is>
      </c>
      <c r="O68" s="245" t="n"/>
      <c r="P68" s="245" t="n"/>
      <c r="Q68" s="250">
        <f>R68/H68</f>
        <v/>
      </c>
      <c r="R68" s="251" t="n">
        <v>961.4</v>
      </c>
      <c r="S68" s="249" t="n">
        <v>18062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20</v>
      </c>
      <c r="I69" s="245" t="inlineStr"/>
      <c r="J69" s="245" t="inlineStr"/>
      <c r="K69" s="245" t="inlineStr">
        <is>
          <t>12IN PLUSH MFM EK</t>
        </is>
      </c>
      <c r="L69" s="245" t="inlineStr">
        <is>
          <t>WA-PMF-12K-IN</t>
        </is>
      </c>
      <c r="M69" s="248" t="inlineStr">
        <is>
          <t>MIWU00200</t>
        </is>
      </c>
      <c r="N69" s="245" t="inlineStr">
        <is>
          <t>F.MFM.12K.006.BU</t>
        </is>
      </c>
      <c r="O69" s="245" t="n"/>
      <c r="P69" s="245" t="n"/>
      <c r="Q69" s="250">
        <f>R69/H69</f>
        <v/>
      </c>
      <c r="R69" s="251" t="n">
        <v>2096.2</v>
      </c>
      <c r="S69" s="249" t="n">
        <v>18062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20</v>
      </c>
      <c r="I70" s="245" t="inlineStr"/>
      <c r="J70" s="245" t="inlineStr"/>
      <c r="K70" s="245" t="inlineStr">
        <is>
          <t>12IN PLUSH MFM QN</t>
        </is>
      </c>
      <c r="L70" s="245" t="inlineStr">
        <is>
          <t>WA-PMF-12Q-IN</t>
        </is>
      </c>
      <c r="M70" s="248" t="inlineStr">
        <is>
          <t>MIWU00200</t>
        </is>
      </c>
      <c r="N70" s="245" t="inlineStr">
        <is>
          <t>F.MFM.12Q.006.BU</t>
        </is>
      </c>
      <c r="O70" s="245" t="n"/>
      <c r="P70" s="245" t="n"/>
      <c r="Q70" s="250">
        <f>R70/H70</f>
        <v/>
      </c>
      <c r="R70" s="251" t="n">
        <v>1712.4</v>
      </c>
      <c r="S70" s="249" t="n">
        <v>18062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20</v>
      </c>
      <c r="I71" s="245" t="inlineStr"/>
      <c r="J71" s="245" t="inlineStr"/>
      <c r="K71" s="245" t="inlineStr">
        <is>
          <t>12IN PLUSH MFM TW</t>
        </is>
      </c>
      <c r="L71" s="245" t="inlineStr">
        <is>
          <t>WA-PMF-12T-IN</t>
        </is>
      </c>
      <c r="M71" s="248" t="inlineStr">
        <is>
          <t>MIWU00200</t>
        </is>
      </c>
      <c r="N71" s="245" t="inlineStr">
        <is>
          <t>F.MFM.12T.006.BU</t>
        </is>
      </c>
      <c r="O71" s="245" t="n"/>
      <c r="P71" s="245" t="n"/>
      <c r="Q71" s="250">
        <f>R71/H71</f>
        <v/>
      </c>
      <c r="R71" s="251" t="n">
        <v>1114.4</v>
      </c>
      <c r="S71" s="249" t="n">
        <v>18062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20</v>
      </c>
      <c r="I72" s="245" t="inlineStr"/>
      <c r="J72" s="245" t="inlineStr"/>
      <c r="K72" s="245" t="inlineStr">
        <is>
          <t>8IN PLUSH MFM FL</t>
        </is>
      </c>
      <c r="L72" s="245" t="inlineStr">
        <is>
          <t>WA-PMF-8F-IN</t>
        </is>
      </c>
      <c r="M72" s="248" t="inlineStr">
        <is>
          <t>MIWU00200</t>
        </is>
      </c>
      <c r="N72" s="245" t="inlineStr">
        <is>
          <t>F.MFM.08F.006.BU</t>
        </is>
      </c>
      <c r="O72" s="245" t="n"/>
      <c r="P72" s="245" t="n"/>
      <c r="Q72" s="250">
        <f>R72/H72</f>
        <v/>
      </c>
      <c r="R72" s="251" t="n">
        <v>956.4</v>
      </c>
      <c r="S72" s="249" t="n">
        <v>18062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7.1" customHeight="1" s="202">
      <c r="A73" s="253" t="n"/>
      <c r="B73" s="253" t="n"/>
      <c r="C73" s="253" t="n"/>
      <c r="D73" s="253" t="n"/>
      <c r="E73" s="253" t="n"/>
      <c r="F73" s="253" t="n"/>
      <c r="G73" s="253" t="n"/>
      <c r="H73" s="254">
        <f>SUM(H59:H72)</f>
        <v/>
      </c>
      <c r="I73" s="253">
        <f>COUNTA(I59:I72)</f>
        <v/>
      </c>
      <c r="J73" s="253" t="n"/>
      <c r="K73" s="253" t="n"/>
      <c r="L73" s="253" t="n"/>
      <c r="M73" s="253" t="n"/>
      <c r="N73" s="253" t="n"/>
      <c r="O73" s="255">
        <f>SUM(O59:O72)</f>
        <v/>
      </c>
      <c r="P73" s="255">
        <f>SUM(P59:P72)</f>
        <v/>
      </c>
      <c r="Q73" s="253" t="n"/>
      <c r="R73" s="256">
        <f>SUM(R59:R72)</f>
        <v/>
      </c>
      <c r="S73" s="253" t="n"/>
      <c r="T73" s="257">
        <f>SUM(T59:T72)</f>
        <v/>
      </c>
      <c r="U73" s="253" t="n"/>
      <c r="V73" s="253" t="n"/>
      <c r="W73" s="253" t="n"/>
      <c r="X73" s="253" t="n"/>
      <c r="Y73" s="253" t="n"/>
      <c r="Z73" s="253" t="n"/>
    </row>
    <row r="74" ht="16.5" customHeight="1" s="202">
      <c r="A74" s="245" t="n">
        <v>8</v>
      </c>
      <c r="B74" s="245" t="inlineStr">
        <is>
          <t>000030ZIK48020260805000576</t>
        </is>
      </c>
      <c r="C74" s="245" t="n">
        <v>490247</v>
      </c>
      <c r="D74" s="245" t="n">
        <v>490187</v>
      </c>
      <c r="E74" s="246" t="n">
        <v>46240</v>
      </c>
      <c r="F74" s="245" t="inlineStr">
        <is>
          <t>ID2608-8047</t>
        </is>
      </c>
      <c r="G74" s="246" t="n">
        <v>46239</v>
      </c>
      <c r="H74" s="247" t="n">
        <v>25</v>
      </c>
      <c r="I74" s="245" t="inlineStr">
        <is>
          <t>TCKU7926669</t>
        </is>
      </c>
      <c r="J74" s="245" t="inlineStr">
        <is>
          <t>40FT</t>
        </is>
      </c>
      <c r="K74" s="245" t="inlineStr">
        <is>
          <t>12IN FIRM MF MATTRESS QN</t>
        </is>
      </c>
      <c r="L74" s="245" t="inlineStr">
        <is>
          <t>WA-FMF-12Q</t>
        </is>
      </c>
      <c r="M74" s="248" t="inlineStr">
        <is>
          <t>MIWU00202</t>
        </is>
      </c>
      <c r="N74" s="245" t="inlineStr">
        <is>
          <t>F.MFM.12Q.000.BU</t>
        </is>
      </c>
      <c r="O74" s="249" t="n">
        <v>12535.25</v>
      </c>
      <c r="P74" s="249" t="n">
        <v>11310.65</v>
      </c>
      <c r="Q74" s="250">
        <f>R74/H74</f>
        <v/>
      </c>
      <c r="R74" s="251" t="n">
        <v>2055</v>
      </c>
      <c r="S74" s="249" t="n">
        <v>18062</v>
      </c>
      <c r="T74" s="252">
        <f>S74*R74</f>
        <v/>
      </c>
      <c r="U74" s="245" t="inlineStr">
        <is>
          <t>040300/KPPBC</t>
        </is>
      </c>
      <c r="V74" s="245" t="inlineStr">
        <is>
          <t>TG. PRIOK</t>
        </is>
      </c>
      <c r="W74" s="245" t="inlineStr">
        <is>
          <t>NEW YORK, US</t>
        </is>
      </c>
      <c r="X74" s="245" t="inlineStr">
        <is>
          <t>MELLOW INC</t>
        </is>
      </c>
      <c r="Y74" s="245" t="inlineStr">
        <is>
          <t>ONEYJKTG56499700</t>
        </is>
      </c>
      <c r="Z74" s="246" t="n">
        <v>46240</v>
      </c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20</v>
      </c>
      <c r="I75" s="245" t="inlineStr"/>
      <c r="J75" s="245" t="inlineStr"/>
      <c r="K75" s="245" t="inlineStr">
        <is>
          <t>8IN FIRM MF MATTRESS FL</t>
        </is>
      </c>
      <c r="L75" s="245" t="inlineStr">
        <is>
          <t>WA-FMF-8F</t>
        </is>
      </c>
      <c r="M75" s="248" t="inlineStr">
        <is>
          <t>MIWU00202</t>
        </is>
      </c>
      <c r="N75" s="245" t="inlineStr">
        <is>
          <t>F.MFM.08F.000.BU</t>
        </is>
      </c>
      <c r="O75" s="245" t="n"/>
      <c r="P75" s="245" t="n"/>
      <c r="Q75" s="250">
        <f>R75/H75</f>
        <v/>
      </c>
      <c r="R75" s="251" t="n">
        <v>1064</v>
      </c>
      <c r="S75" s="249" t="n">
        <v>18062</v>
      </c>
      <c r="T75" s="252">
        <f>S75*R75</f>
        <v/>
      </c>
      <c r="U75" s="245" t="n"/>
      <c r="V75" s="245" t="n"/>
      <c r="W75" s="245" t="inlineStr">
        <is>
          <t>ETD : 13-08-2026</t>
        </is>
      </c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70</v>
      </c>
      <c r="I76" s="245" t="inlineStr"/>
      <c r="J76" s="245" t="inlineStr"/>
      <c r="K76" s="245" t="inlineStr">
        <is>
          <t>10IN MEDIUM MFM FL</t>
        </is>
      </c>
      <c r="L76" s="245" t="inlineStr">
        <is>
          <t>WA-MMF-10F-IN</t>
        </is>
      </c>
      <c r="M76" s="248" t="inlineStr">
        <is>
          <t>MIWU00202</t>
        </is>
      </c>
      <c r="N76" s="245" t="inlineStr">
        <is>
          <t>F.MFM.10F.005.BU</t>
        </is>
      </c>
      <c r="O76" s="245" t="n"/>
      <c r="P76" s="245" t="n"/>
      <c r="Q76" s="250">
        <f>R76/H76</f>
        <v/>
      </c>
      <c r="R76" s="251" t="n">
        <v>4226.6</v>
      </c>
      <c r="S76" s="249" t="n">
        <v>18062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95</v>
      </c>
      <c r="I77" s="245" t="inlineStr"/>
      <c r="J77" s="245" t="inlineStr"/>
      <c r="K77" s="245" t="inlineStr">
        <is>
          <t>10IN MEDIUM MFM QN</t>
        </is>
      </c>
      <c r="L77" s="245" t="inlineStr">
        <is>
          <t>WA-MMF-10Q-IN</t>
        </is>
      </c>
      <c r="M77" s="248" t="inlineStr">
        <is>
          <t>MIWU00202</t>
        </is>
      </c>
      <c r="N77" s="245" t="inlineStr">
        <is>
          <t>F.MFM.10Q.005.BU</t>
        </is>
      </c>
      <c r="O77" s="245" t="n"/>
      <c r="P77" s="245" t="n"/>
      <c r="Q77" s="250">
        <f>R77/H77</f>
        <v/>
      </c>
      <c r="R77" s="251" t="n">
        <v>6798.2</v>
      </c>
      <c r="S77" s="249" t="n">
        <v>18062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78</v>
      </c>
      <c r="I78" s="245" t="inlineStr"/>
      <c r="J78" s="245" t="inlineStr"/>
      <c r="K78" s="245" t="inlineStr">
        <is>
          <t>10IN MEDIUM MFM TW</t>
        </is>
      </c>
      <c r="L78" s="245" t="inlineStr">
        <is>
          <t>WA-MMF-10T-IN</t>
        </is>
      </c>
      <c r="M78" s="248" t="inlineStr">
        <is>
          <t>MIWU00202</t>
        </is>
      </c>
      <c r="N78" s="245" t="inlineStr">
        <is>
          <t>F.MFM.10T.005.BU</t>
        </is>
      </c>
      <c r="O78" s="245" t="n"/>
      <c r="P78" s="245" t="n"/>
      <c r="Q78" s="250">
        <f>R78/H78</f>
        <v/>
      </c>
      <c r="R78" s="251" t="n">
        <v>3589.56</v>
      </c>
      <c r="S78" s="249" t="n">
        <v>18062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7" t="n">
        <v>38</v>
      </c>
      <c r="I79" s="245" t="inlineStr"/>
      <c r="J79" s="245" t="inlineStr"/>
      <c r="K79" s="245" t="inlineStr">
        <is>
          <t>12IN MEDIUM MFM QN</t>
        </is>
      </c>
      <c r="L79" s="245" t="inlineStr">
        <is>
          <t>WA-MMF-12Q-IN</t>
        </is>
      </c>
      <c r="M79" s="248" t="inlineStr">
        <is>
          <t>MIWU00202</t>
        </is>
      </c>
      <c r="N79" s="245" t="inlineStr">
        <is>
          <t>F.MFM.12Q.005.BU</t>
        </is>
      </c>
      <c r="O79" s="245" t="n"/>
      <c r="P79" s="245" t="n"/>
      <c r="Q79" s="250">
        <f>R79/H79</f>
        <v/>
      </c>
      <c r="R79" s="251" t="n">
        <v>3076.86</v>
      </c>
      <c r="S79" s="249" t="n">
        <v>18062</v>
      </c>
      <c r="T79" s="252">
        <f>S79*R79</f>
        <v/>
      </c>
      <c r="U79" s="245" t="n"/>
      <c r="V79" s="245" t="n"/>
      <c r="W79" s="245" t="n"/>
      <c r="X79" s="245" t="n"/>
      <c r="Y79" s="245" t="n"/>
      <c r="Z79" s="245" t="n"/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7" t="n">
        <v>20</v>
      </c>
      <c r="I80" s="245" t="inlineStr"/>
      <c r="J80" s="245" t="inlineStr"/>
      <c r="K80" s="245" t="inlineStr">
        <is>
          <t>14IN MEDIUM MFM QN</t>
        </is>
      </c>
      <c r="L80" s="245" t="inlineStr">
        <is>
          <t>WA-MMF-14Q-IN</t>
        </is>
      </c>
      <c r="M80" s="248" t="inlineStr">
        <is>
          <t>MIWU00202</t>
        </is>
      </c>
      <c r="N80" s="245" t="inlineStr">
        <is>
          <t>F.MFM.14Q.000.BU</t>
        </is>
      </c>
      <c r="O80" s="245" t="n"/>
      <c r="P80" s="245" t="n"/>
      <c r="Q80" s="250">
        <f>R80/H80</f>
        <v/>
      </c>
      <c r="R80" s="251" t="n">
        <v>1813.4</v>
      </c>
      <c r="S80" s="249" t="n">
        <v>18062</v>
      </c>
      <c r="T80" s="252">
        <f>S80*R80</f>
        <v/>
      </c>
      <c r="U80" s="245" t="n"/>
      <c r="V80" s="245" t="n"/>
      <c r="W80" s="245" t="n"/>
      <c r="X80" s="245" t="n"/>
      <c r="Y80" s="245" t="n"/>
      <c r="Z80" s="245" t="n"/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65</v>
      </c>
      <c r="I81" s="245" t="inlineStr"/>
      <c r="J81" s="245" t="inlineStr"/>
      <c r="K81" s="245" t="inlineStr">
        <is>
          <t>6IN MEDIUM MFM TW</t>
        </is>
      </c>
      <c r="L81" s="245" t="inlineStr">
        <is>
          <t>WA-MMF-6T-IN</t>
        </is>
      </c>
      <c r="M81" s="248" t="inlineStr">
        <is>
          <t>MIWU00202</t>
        </is>
      </c>
      <c r="N81" s="245" t="inlineStr">
        <is>
          <t>F.MFM.06T.002.BU</t>
        </is>
      </c>
      <c r="O81" s="245" t="n"/>
      <c r="P81" s="245" t="n"/>
      <c r="Q81" s="250">
        <f>R81/H81</f>
        <v/>
      </c>
      <c r="R81" s="251" t="n">
        <v>2086.5</v>
      </c>
      <c r="S81" s="249" t="n">
        <v>18062</v>
      </c>
      <c r="T81" s="252">
        <f>S81*R81</f>
        <v/>
      </c>
      <c r="U81" s="245" t="n"/>
      <c r="V81" s="245" t="n"/>
      <c r="W81" s="245" t="n"/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70</v>
      </c>
      <c r="I82" s="245" t="inlineStr"/>
      <c r="J82" s="245" t="inlineStr"/>
      <c r="K82" s="245" t="inlineStr">
        <is>
          <t>8IN MEDIUM MFM TW</t>
        </is>
      </c>
      <c r="L82" s="245" t="inlineStr">
        <is>
          <t>WA-MMF-8T-IN</t>
        </is>
      </c>
      <c r="M82" s="248" t="inlineStr">
        <is>
          <t>MIWU00202</t>
        </is>
      </c>
      <c r="N82" s="245" t="inlineStr">
        <is>
          <t>F.MFM.08T.005.BU</t>
        </is>
      </c>
      <c r="O82" s="245" t="n"/>
      <c r="P82" s="245" t="n"/>
      <c r="Q82" s="250">
        <f>R82/H82</f>
        <v/>
      </c>
      <c r="R82" s="251" t="n">
        <v>2721.6</v>
      </c>
      <c r="S82" s="249" t="n">
        <v>18062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20</v>
      </c>
      <c r="I83" s="245" t="inlineStr"/>
      <c r="J83" s="245" t="inlineStr"/>
      <c r="K83" s="245" t="inlineStr">
        <is>
          <t>10IN PLUSH MFM TW</t>
        </is>
      </c>
      <c r="L83" s="245" t="inlineStr">
        <is>
          <t>WA-PMF-10T-IN</t>
        </is>
      </c>
      <c r="M83" s="248" t="inlineStr">
        <is>
          <t>MIWU00202</t>
        </is>
      </c>
      <c r="N83" s="245" t="inlineStr">
        <is>
          <t>F.MFM.10T.006.BU</t>
        </is>
      </c>
      <c r="O83" s="245" t="n"/>
      <c r="P83" s="245" t="n"/>
      <c r="Q83" s="250">
        <f>R83/H83</f>
        <v/>
      </c>
      <c r="R83" s="251" t="n">
        <v>961.4</v>
      </c>
      <c r="S83" s="249" t="n">
        <v>18062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20</v>
      </c>
      <c r="I84" s="245" t="inlineStr"/>
      <c r="J84" s="245" t="inlineStr"/>
      <c r="K84" s="245" t="inlineStr">
        <is>
          <t>12IN PLUSH MFM EK</t>
        </is>
      </c>
      <c r="L84" s="245" t="inlineStr">
        <is>
          <t>WA-PMF-12K-IN</t>
        </is>
      </c>
      <c r="M84" s="248" t="inlineStr">
        <is>
          <t>MIWU00202</t>
        </is>
      </c>
      <c r="N84" s="245" t="inlineStr">
        <is>
          <t>F.MFM.12K.006.BU</t>
        </is>
      </c>
      <c r="O84" s="245" t="n"/>
      <c r="P84" s="245" t="n"/>
      <c r="Q84" s="250">
        <f>R84/H84</f>
        <v/>
      </c>
      <c r="R84" s="251" t="n">
        <v>2096.2</v>
      </c>
      <c r="S84" s="249" t="n">
        <v>18062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20</v>
      </c>
      <c r="I85" s="245" t="inlineStr"/>
      <c r="J85" s="245" t="inlineStr"/>
      <c r="K85" s="245" t="inlineStr">
        <is>
          <t>12IN PLUSH MFM QN</t>
        </is>
      </c>
      <c r="L85" s="245" t="inlineStr">
        <is>
          <t>WA-PMF-12Q-IN</t>
        </is>
      </c>
      <c r="M85" s="248" t="inlineStr">
        <is>
          <t>MIWU00202</t>
        </is>
      </c>
      <c r="N85" s="245" t="inlineStr">
        <is>
          <t>F.MFM.12Q.006.BU</t>
        </is>
      </c>
      <c r="O85" s="245" t="n"/>
      <c r="P85" s="245" t="n"/>
      <c r="Q85" s="250">
        <f>R85/H85</f>
        <v/>
      </c>
      <c r="R85" s="251" t="n">
        <v>1712.4</v>
      </c>
      <c r="S85" s="249" t="n">
        <v>18062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20</v>
      </c>
      <c r="I86" s="245" t="inlineStr"/>
      <c r="J86" s="245" t="inlineStr"/>
      <c r="K86" s="245" t="inlineStr">
        <is>
          <t>12IN PLUSH MFM TW</t>
        </is>
      </c>
      <c r="L86" s="245" t="inlineStr">
        <is>
          <t>WA-PMF-12T-IN</t>
        </is>
      </c>
      <c r="M86" s="248" t="inlineStr">
        <is>
          <t>MIWU00202</t>
        </is>
      </c>
      <c r="N86" s="245" t="inlineStr">
        <is>
          <t>F.MFM.12T.006.BU</t>
        </is>
      </c>
      <c r="O86" s="245" t="n"/>
      <c r="P86" s="245" t="n"/>
      <c r="Q86" s="250">
        <f>R86/H86</f>
        <v/>
      </c>
      <c r="R86" s="251" t="n">
        <v>1114.4</v>
      </c>
      <c r="S86" s="249" t="n">
        <v>18062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20</v>
      </c>
      <c r="I87" s="245" t="inlineStr"/>
      <c r="J87" s="245" t="inlineStr"/>
      <c r="K87" s="245" t="inlineStr">
        <is>
          <t>8IN PLUSH MFM FL</t>
        </is>
      </c>
      <c r="L87" s="245" t="inlineStr">
        <is>
          <t>WA-PMF-8F-IN</t>
        </is>
      </c>
      <c r="M87" s="248" t="inlineStr">
        <is>
          <t>MIWU00202</t>
        </is>
      </c>
      <c r="N87" s="245" t="inlineStr">
        <is>
          <t>F.MFM.08F.006.BU</t>
        </is>
      </c>
      <c r="O87" s="245" t="n"/>
      <c r="P87" s="245" t="n"/>
      <c r="Q87" s="250">
        <f>R87/H87</f>
        <v/>
      </c>
      <c r="R87" s="251" t="n">
        <v>956.4</v>
      </c>
      <c r="S87" s="249" t="n">
        <v>18062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7.1" customHeight="1" s="202">
      <c r="A88" s="253" t="n"/>
      <c r="B88" s="253" t="n"/>
      <c r="C88" s="253" t="n"/>
      <c r="D88" s="253" t="n"/>
      <c r="E88" s="253" t="n"/>
      <c r="F88" s="253" t="n"/>
      <c r="G88" s="253" t="n"/>
      <c r="H88" s="254">
        <f>SUM(H74:H87)</f>
        <v/>
      </c>
      <c r="I88" s="253">
        <f>COUNTA(I74:I87)</f>
        <v/>
      </c>
      <c r="J88" s="253" t="n"/>
      <c r="K88" s="253" t="n"/>
      <c r="L88" s="253" t="n"/>
      <c r="M88" s="253" t="n"/>
      <c r="N88" s="253" t="n"/>
      <c r="O88" s="255">
        <f>SUM(O74:O87)</f>
        <v/>
      </c>
      <c r="P88" s="255">
        <f>SUM(P74:P87)</f>
        <v/>
      </c>
      <c r="Q88" s="253" t="n"/>
      <c r="R88" s="256">
        <f>SUM(R74:R87)</f>
        <v/>
      </c>
      <c r="S88" s="253" t="n"/>
      <c r="T88" s="257">
        <f>SUM(T74:T87)</f>
        <v/>
      </c>
      <c r="U88" s="253" t="n"/>
      <c r="V88" s="253" t="n"/>
      <c r="W88" s="253" t="n"/>
      <c r="X88" s="253" t="n"/>
      <c r="Y88" s="253" t="n"/>
      <c r="Z88" s="253" t="n"/>
    </row>
    <row r="89" ht="16.5" customHeight="1" s="202">
      <c r="A89" s="245" t="n">
        <v>9</v>
      </c>
      <c r="B89" s="245" t="inlineStr">
        <is>
          <t>000030ZIK48020260805000577</t>
        </is>
      </c>
      <c r="C89" s="245" t="n">
        <v>490132</v>
      </c>
      <c r="D89" s="245" t="n">
        <v>490072</v>
      </c>
      <c r="E89" s="246" t="n">
        <v>46240</v>
      </c>
      <c r="F89" s="245" t="inlineStr">
        <is>
          <t>ID2608-8048</t>
        </is>
      </c>
      <c r="G89" s="246" t="n">
        <v>46239</v>
      </c>
      <c r="H89" s="247" t="n">
        <v>25</v>
      </c>
      <c r="I89" s="245" t="inlineStr">
        <is>
          <t>GCXU5499174</t>
        </is>
      </c>
      <c r="J89" s="245" t="inlineStr">
        <is>
          <t>40FT</t>
        </is>
      </c>
      <c r="K89" s="245" t="inlineStr">
        <is>
          <t>12IN FIRM MF MATTRESS QN</t>
        </is>
      </c>
      <c r="L89" s="245" t="inlineStr">
        <is>
          <t>WA-FMF-12Q</t>
        </is>
      </c>
      <c r="M89" s="248" t="inlineStr">
        <is>
          <t>MIWU00203</t>
        </is>
      </c>
      <c r="N89" s="245" t="inlineStr">
        <is>
          <t>F.MFM.12Q.000.BU</t>
        </is>
      </c>
      <c r="O89" s="249" t="n">
        <v>12535.25</v>
      </c>
      <c r="P89" s="249" t="n">
        <v>11310.65</v>
      </c>
      <c r="Q89" s="250">
        <f>R89/H89</f>
        <v/>
      </c>
      <c r="R89" s="251" t="n">
        <v>2055</v>
      </c>
      <c r="S89" s="249" t="n">
        <v>18062</v>
      </c>
      <c r="T89" s="252">
        <f>S89*R89</f>
        <v/>
      </c>
      <c r="U89" s="245" t="inlineStr">
        <is>
          <t>040300/KPPBC</t>
        </is>
      </c>
      <c r="V89" s="245" t="inlineStr">
        <is>
          <t>TG. PRIOK</t>
        </is>
      </c>
      <c r="W89" s="245" t="inlineStr">
        <is>
          <t>NEW YORK, US</t>
        </is>
      </c>
      <c r="X89" s="245" t="inlineStr">
        <is>
          <t>MELLOW INC</t>
        </is>
      </c>
      <c r="Y89" s="245" t="inlineStr">
        <is>
          <t>ONEYJKTG56475800</t>
        </is>
      </c>
      <c r="Z89" s="246" t="n">
        <v>46240</v>
      </c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20</v>
      </c>
      <c r="I90" s="245" t="inlineStr"/>
      <c r="J90" s="245" t="inlineStr"/>
      <c r="K90" s="245" t="inlineStr">
        <is>
          <t>8IN FIRM MF MATTRESS FL</t>
        </is>
      </c>
      <c r="L90" s="245" t="inlineStr">
        <is>
          <t>WA-FMF-8F</t>
        </is>
      </c>
      <c r="M90" s="248" t="inlineStr">
        <is>
          <t>MIWU00203</t>
        </is>
      </c>
      <c r="N90" s="245" t="inlineStr">
        <is>
          <t>F.MFM.08F.000.BU</t>
        </is>
      </c>
      <c r="O90" s="245" t="n"/>
      <c r="P90" s="245" t="n"/>
      <c r="Q90" s="250">
        <f>R90/H90</f>
        <v/>
      </c>
      <c r="R90" s="251" t="n">
        <v>1064</v>
      </c>
      <c r="S90" s="249" t="n">
        <v>18062</v>
      </c>
      <c r="T90" s="252">
        <f>S90*R90</f>
        <v/>
      </c>
      <c r="U90" s="245" t="n"/>
      <c r="V90" s="245" t="n"/>
      <c r="W90" s="245" t="inlineStr">
        <is>
          <t>ETD : 13-08-2026</t>
        </is>
      </c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70</v>
      </c>
      <c r="I91" s="245" t="inlineStr"/>
      <c r="J91" s="245" t="inlineStr"/>
      <c r="K91" s="245" t="inlineStr">
        <is>
          <t>10IN MEDIUM MFM FL</t>
        </is>
      </c>
      <c r="L91" s="245" t="inlineStr">
        <is>
          <t>WA-MMF-10F-IN</t>
        </is>
      </c>
      <c r="M91" s="248" t="inlineStr">
        <is>
          <t>MIWU00203</t>
        </is>
      </c>
      <c r="N91" s="245" t="inlineStr">
        <is>
          <t>F.MFM.10F.005.BU</t>
        </is>
      </c>
      <c r="O91" s="245" t="n"/>
      <c r="P91" s="245" t="n"/>
      <c r="Q91" s="250">
        <f>R91/H91</f>
        <v/>
      </c>
      <c r="R91" s="251" t="n">
        <v>4226.6</v>
      </c>
      <c r="S91" s="249" t="n">
        <v>18062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95</v>
      </c>
      <c r="I92" s="245" t="inlineStr"/>
      <c r="J92" s="245" t="inlineStr"/>
      <c r="K92" s="245" t="inlineStr">
        <is>
          <t>10IN MEDIUM MFM QN</t>
        </is>
      </c>
      <c r="L92" s="245" t="inlineStr">
        <is>
          <t>WA-MMF-10Q-IN</t>
        </is>
      </c>
      <c r="M92" s="248" t="inlineStr">
        <is>
          <t>MIWU00203</t>
        </is>
      </c>
      <c r="N92" s="245" t="inlineStr">
        <is>
          <t>F.MFM.10Q.005.BU</t>
        </is>
      </c>
      <c r="O92" s="245" t="n"/>
      <c r="P92" s="245" t="n"/>
      <c r="Q92" s="250">
        <f>R92/H92</f>
        <v/>
      </c>
      <c r="R92" s="251" t="n">
        <v>6798.2</v>
      </c>
      <c r="S92" s="249" t="n">
        <v>18062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7" t="n">
        <v>78</v>
      </c>
      <c r="I93" s="245" t="inlineStr"/>
      <c r="J93" s="245" t="inlineStr"/>
      <c r="K93" s="245" t="inlineStr">
        <is>
          <t>10IN MEDIUM MFM TW</t>
        </is>
      </c>
      <c r="L93" s="245" t="inlineStr">
        <is>
          <t>WA-MMF-10T-IN</t>
        </is>
      </c>
      <c r="M93" s="248" t="inlineStr">
        <is>
          <t>MIWU00203</t>
        </is>
      </c>
      <c r="N93" s="245" t="inlineStr">
        <is>
          <t>F.MFM.10T.005.BU</t>
        </is>
      </c>
      <c r="O93" s="245" t="n"/>
      <c r="P93" s="245" t="n"/>
      <c r="Q93" s="250">
        <f>R93/H93</f>
        <v/>
      </c>
      <c r="R93" s="251" t="n">
        <v>3589.56</v>
      </c>
      <c r="S93" s="249" t="n">
        <v>18062</v>
      </c>
      <c r="T93" s="252">
        <f>S93*R93</f>
        <v/>
      </c>
      <c r="U93" s="245" t="n"/>
      <c r="V93" s="245" t="n"/>
      <c r="W93" s="245" t="n"/>
      <c r="X93" s="245" t="n"/>
      <c r="Y93" s="245" t="n"/>
      <c r="Z93" s="245" t="n"/>
    </row>
    <row r="94" ht="16.5" customHeight="1" s="202">
      <c r="A94" s="245" t="n"/>
      <c r="B94" s="245" t="n"/>
      <c r="C94" s="245" t="n"/>
      <c r="D94" s="245" t="n"/>
      <c r="E94" s="245" t="n"/>
      <c r="F94" s="245" t="n"/>
      <c r="G94" s="245" t="n"/>
      <c r="H94" s="247" t="n">
        <v>38</v>
      </c>
      <c r="I94" s="245" t="inlineStr"/>
      <c r="J94" s="245" t="inlineStr"/>
      <c r="K94" s="245" t="inlineStr">
        <is>
          <t>12IN MEDIUM MFM QN</t>
        </is>
      </c>
      <c r="L94" s="245" t="inlineStr">
        <is>
          <t>WA-MMF-12Q-IN</t>
        </is>
      </c>
      <c r="M94" s="248" t="inlineStr">
        <is>
          <t>MIWU00203</t>
        </is>
      </c>
      <c r="N94" s="245" t="inlineStr">
        <is>
          <t>F.MFM.12Q.005.BU</t>
        </is>
      </c>
      <c r="O94" s="245" t="n"/>
      <c r="P94" s="245" t="n"/>
      <c r="Q94" s="250">
        <f>R94/H94</f>
        <v/>
      </c>
      <c r="R94" s="251" t="n">
        <v>3076.86</v>
      </c>
      <c r="S94" s="249" t="n">
        <v>18062</v>
      </c>
      <c r="T94" s="252">
        <f>S94*R94</f>
        <v/>
      </c>
      <c r="U94" s="245" t="n"/>
      <c r="V94" s="245" t="n"/>
      <c r="W94" s="245" t="n"/>
      <c r="X94" s="245" t="n"/>
      <c r="Y94" s="245" t="n"/>
      <c r="Z94" s="245" t="n"/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7" t="n">
        <v>20</v>
      </c>
      <c r="I95" s="245" t="inlineStr"/>
      <c r="J95" s="245" t="inlineStr"/>
      <c r="K95" s="245" t="inlineStr">
        <is>
          <t>14IN MEDIUM MFM QN</t>
        </is>
      </c>
      <c r="L95" s="245" t="inlineStr">
        <is>
          <t>WA-MMF-14Q-IN</t>
        </is>
      </c>
      <c r="M95" s="248" t="inlineStr">
        <is>
          <t>MIWU00203</t>
        </is>
      </c>
      <c r="N95" s="245" t="inlineStr">
        <is>
          <t>F.MFM.14Q.000.BU</t>
        </is>
      </c>
      <c r="O95" s="245" t="n"/>
      <c r="P95" s="245" t="n"/>
      <c r="Q95" s="250">
        <f>R95/H95</f>
        <v/>
      </c>
      <c r="R95" s="251" t="n">
        <v>1813.4</v>
      </c>
      <c r="S95" s="249" t="n">
        <v>18062</v>
      </c>
      <c r="T95" s="252">
        <f>S95*R95</f>
        <v/>
      </c>
      <c r="U95" s="245" t="n"/>
      <c r="V95" s="245" t="n"/>
      <c r="W95" s="245" t="n"/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65</v>
      </c>
      <c r="I96" s="245" t="inlineStr"/>
      <c r="J96" s="245" t="inlineStr"/>
      <c r="K96" s="245" t="inlineStr">
        <is>
          <t>6IN MEDIUM MFM TW</t>
        </is>
      </c>
      <c r="L96" s="245" t="inlineStr">
        <is>
          <t>WA-MMF-6T-IN</t>
        </is>
      </c>
      <c r="M96" s="248" t="inlineStr">
        <is>
          <t>MIWU00203</t>
        </is>
      </c>
      <c r="N96" s="245" t="inlineStr">
        <is>
          <t>F.MFM.06T.002.BU</t>
        </is>
      </c>
      <c r="O96" s="245" t="n"/>
      <c r="P96" s="245" t="n"/>
      <c r="Q96" s="250">
        <f>R96/H96</f>
        <v/>
      </c>
      <c r="R96" s="251" t="n">
        <v>2086.5</v>
      </c>
      <c r="S96" s="249" t="n">
        <v>18062</v>
      </c>
      <c r="T96" s="252">
        <f>S96*R96</f>
        <v/>
      </c>
      <c r="U96" s="245" t="n"/>
      <c r="V96" s="245" t="n"/>
      <c r="W96" s="245" t="n"/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70</v>
      </c>
      <c r="I97" s="245" t="inlineStr"/>
      <c r="J97" s="245" t="inlineStr"/>
      <c r="K97" s="245" t="inlineStr">
        <is>
          <t>8IN MEDIUM MFM TW</t>
        </is>
      </c>
      <c r="L97" s="245" t="inlineStr">
        <is>
          <t>WA-MMF-8T-IN</t>
        </is>
      </c>
      <c r="M97" s="248" t="inlineStr">
        <is>
          <t>MIWU00203</t>
        </is>
      </c>
      <c r="N97" s="245" t="inlineStr">
        <is>
          <t>F.MFM.08T.005.BU</t>
        </is>
      </c>
      <c r="O97" s="245" t="n"/>
      <c r="P97" s="245" t="n"/>
      <c r="Q97" s="250">
        <f>R97/H97</f>
        <v/>
      </c>
      <c r="R97" s="251" t="n">
        <v>2721.6</v>
      </c>
      <c r="S97" s="249" t="n">
        <v>18062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20</v>
      </c>
      <c r="I98" s="245" t="inlineStr"/>
      <c r="J98" s="245" t="inlineStr"/>
      <c r="K98" s="245" t="inlineStr">
        <is>
          <t>10IN PLUSH MFM TW</t>
        </is>
      </c>
      <c r="L98" s="245" t="inlineStr">
        <is>
          <t>WA-PMF-10T-IN</t>
        </is>
      </c>
      <c r="M98" s="248" t="inlineStr">
        <is>
          <t>MIWU00203</t>
        </is>
      </c>
      <c r="N98" s="245" t="inlineStr">
        <is>
          <t>F.MFM.10T.006.BU</t>
        </is>
      </c>
      <c r="O98" s="245" t="n"/>
      <c r="P98" s="245" t="n"/>
      <c r="Q98" s="250">
        <f>R98/H98</f>
        <v/>
      </c>
      <c r="R98" s="251" t="n">
        <v>961.4</v>
      </c>
      <c r="S98" s="249" t="n">
        <v>18062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20</v>
      </c>
      <c r="I99" s="245" t="inlineStr"/>
      <c r="J99" s="245" t="inlineStr"/>
      <c r="K99" s="245" t="inlineStr">
        <is>
          <t>12IN PLUSH MFM EK</t>
        </is>
      </c>
      <c r="L99" s="245" t="inlineStr">
        <is>
          <t>WA-PMF-12K-IN</t>
        </is>
      </c>
      <c r="M99" s="248" t="inlineStr">
        <is>
          <t>MIWU00203</t>
        </is>
      </c>
      <c r="N99" s="245" t="inlineStr">
        <is>
          <t>F.MFM.12K.006.BU</t>
        </is>
      </c>
      <c r="O99" s="245" t="n"/>
      <c r="P99" s="245" t="n"/>
      <c r="Q99" s="250">
        <f>R99/H99</f>
        <v/>
      </c>
      <c r="R99" s="251" t="n">
        <v>2096.2</v>
      </c>
      <c r="S99" s="249" t="n">
        <v>18062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20</v>
      </c>
      <c r="I100" s="245" t="inlineStr"/>
      <c r="J100" s="245" t="inlineStr"/>
      <c r="K100" s="245" t="inlineStr">
        <is>
          <t>12IN PLUSH MFM QN</t>
        </is>
      </c>
      <c r="L100" s="245" t="inlineStr">
        <is>
          <t>WA-PMF-12Q-IN</t>
        </is>
      </c>
      <c r="M100" s="248" t="inlineStr">
        <is>
          <t>MIWU00203</t>
        </is>
      </c>
      <c r="N100" s="245" t="inlineStr">
        <is>
          <t>F.MFM.12Q.006.BU</t>
        </is>
      </c>
      <c r="O100" s="245" t="n"/>
      <c r="P100" s="245" t="n"/>
      <c r="Q100" s="250">
        <f>R100/H100</f>
        <v/>
      </c>
      <c r="R100" s="251" t="n">
        <v>1712.4</v>
      </c>
      <c r="S100" s="249" t="n">
        <v>18062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7" t="n">
        <v>20</v>
      </c>
      <c r="I101" s="245" t="inlineStr"/>
      <c r="J101" s="245" t="inlineStr"/>
      <c r="K101" s="245" t="inlineStr">
        <is>
          <t>12IN PLUSH MFM TW</t>
        </is>
      </c>
      <c r="L101" s="245" t="inlineStr">
        <is>
          <t>WA-PMF-12T-IN</t>
        </is>
      </c>
      <c r="M101" s="248" t="inlineStr">
        <is>
          <t>MIWU00203</t>
        </is>
      </c>
      <c r="N101" s="245" t="inlineStr">
        <is>
          <t>F.MFM.12T.006.BU</t>
        </is>
      </c>
      <c r="O101" s="245" t="n"/>
      <c r="P101" s="245" t="n"/>
      <c r="Q101" s="250">
        <f>R101/H101</f>
        <v/>
      </c>
      <c r="R101" s="251" t="n">
        <v>1114.4</v>
      </c>
      <c r="S101" s="249" t="n">
        <v>18062</v>
      </c>
      <c r="T101" s="252">
        <f>S101*R101</f>
        <v/>
      </c>
      <c r="U101" s="245" t="n"/>
      <c r="V101" s="245" t="n"/>
      <c r="W101" s="245" t="n"/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20</v>
      </c>
      <c r="I102" s="245" t="inlineStr"/>
      <c r="J102" s="245" t="inlineStr"/>
      <c r="K102" s="245" t="inlineStr">
        <is>
          <t>8IN PLUSH MFM FL</t>
        </is>
      </c>
      <c r="L102" s="245" t="inlineStr">
        <is>
          <t>WA-PMF-8F-IN</t>
        </is>
      </c>
      <c r="M102" s="248" t="inlineStr">
        <is>
          <t>MIWU00203</t>
        </is>
      </c>
      <c r="N102" s="245" t="inlineStr">
        <is>
          <t>F.MFM.08F.006.BU</t>
        </is>
      </c>
      <c r="O102" s="245" t="n"/>
      <c r="P102" s="245" t="n"/>
      <c r="Q102" s="250">
        <f>R102/H102</f>
        <v/>
      </c>
      <c r="R102" s="251" t="n">
        <v>956.4</v>
      </c>
      <c r="S102" s="249" t="n">
        <v>18062</v>
      </c>
      <c r="T102" s="252">
        <f>S102*R102</f>
        <v/>
      </c>
      <c r="U102" s="245" t="n"/>
      <c r="V102" s="245" t="n"/>
      <c r="W102" s="245" t="n"/>
      <c r="X102" s="245" t="n"/>
      <c r="Y102" s="245" t="n"/>
      <c r="Z102" s="245" t="n"/>
    </row>
    <row r="103" ht="17.1" customHeight="1" s="202">
      <c r="A103" s="253" t="n"/>
      <c r="B103" s="253" t="n"/>
      <c r="C103" s="253" t="n"/>
      <c r="D103" s="253" t="n"/>
      <c r="E103" s="253" t="n"/>
      <c r="F103" s="253" t="n"/>
      <c r="G103" s="253" t="n"/>
      <c r="H103" s="254">
        <f>SUM(H89:H102)</f>
        <v/>
      </c>
      <c r="I103" s="253">
        <f>COUNTA(I89:I102)</f>
        <v/>
      </c>
      <c r="J103" s="253" t="n"/>
      <c r="K103" s="253" t="n"/>
      <c r="L103" s="253" t="n"/>
      <c r="M103" s="253" t="n"/>
      <c r="N103" s="253" t="n"/>
      <c r="O103" s="255">
        <f>SUM(O89:O102)</f>
        <v/>
      </c>
      <c r="P103" s="255">
        <f>SUM(P89:P102)</f>
        <v/>
      </c>
      <c r="Q103" s="253" t="n"/>
      <c r="R103" s="256">
        <f>SUM(R89:R102)</f>
        <v/>
      </c>
      <c r="S103" s="253" t="n"/>
      <c r="T103" s="257">
        <f>SUM(T89:T102)</f>
        <v/>
      </c>
      <c r="U103" s="253" t="n"/>
      <c r="V103" s="253" t="n"/>
      <c r="W103" s="253" t="n"/>
      <c r="X103" s="253" t="n"/>
      <c r="Y103" s="253" t="n"/>
      <c r="Z103" s="253" t="n"/>
    </row>
    <row r="104" ht="16.5" customHeight="1" s="202">
      <c r="A104" s="245" t="n">
        <v>10</v>
      </c>
      <c r="B104" s="245" t="inlineStr">
        <is>
          <t>000030ZIK48020260805000578</t>
        </is>
      </c>
      <c r="C104" s="245" t="n">
        <v>489968</v>
      </c>
      <c r="D104" s="245" t="n">
        <v>489908</v>
      </c>
      <c r="E104" s="246" t="n">
        <v>46240</v>
      </c>
      <c r="F104" s="245" t="inlineStr">
        <is>
          <t>ID2608-8049</t>
        </is>
      </c>
      <c r="G104" s="246" t="n">
        <v>46239</v>
      </c>
      <c r="H104" s="247" t="n">
        <v>25</v>
      </c>
      <c r="I104" s="245" t="inlineStr">
        <is>
          <t>NYKU4893235</t>
        </is>
      </c>
      <c r="J104" s="245" t="inlineStr">
        <is>
          <t>40FT</t>
        </is>
      </c>
      <c r="K104" s="245" t="inlineStr">
        <is>
          <t>12IN FIRM MF MATTRESS QN</t>
        </is>
      </c>
      <c r="L104" s="245" t="inlineStr">
        <is>
          <t>WA-FMF-12Q</t>
        </is>
      </c>
      <c r="M104" s="248" t="inlineStr">
        <is>
          <t>MIWU00204</t>
        </is>
      </c>
      <c r="N104" s="245" t="inlineStr">
        <is>
          <t>F.MFM.12Q.000.BU</t>
        </is>
      </c>
      <c r="O104" s="249" t="n">
        <v>12535.25</v>
      </c>
      <c r="P104" s="249" t="n">
        <v>11310.65</v>
      </c>
      <c r="Q104" s="250">
        <f>R104/H104</f>
        <v/>
      </c>
      <c r="R104" s="251" t="n">
        <v>2055</v>
      </c>
      <c r="S104" s="249" t="n">
        <v>18062</v>
      </c>
      <c r="T104" s="252">
        <f>S104*R104</f>
        <v/>
      </c>
      <c r="U104" s="245" t="inlineStr">
        <is>
          <t>040300/KPPBC</t>
        </is>
      </c>
      <c r="V104" s="245" t="inlineStr">
        <is>
          <t>TG. PRIOK</t>
        </is>
      </c>
      <c r="W104" s="245" t="inlineStr">
        <is>
          <t>NEW YORK, US</t>
        </is>
      </c>
      <c r="X104" s="245" t="inlineStr">
        <is>
          <t>MELLOW INC</t>
        </is>
      </c>
      <c r="Y104" s="245" t="inlineStr">
        <is>
          <t>ONEYJKTG56476900</t>
        </is>
      </c>
      <c r="Z104" s="246" t="n">
        <v>46240</v>
      </c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20</v>
      </c>
      <c r="I105" s="245" t="inlineStr"/>
      <c r="J105" s="245" t="inlineStr"/>
      <c r="K105" s="245" t="inlineStr">
        <is>
          <t>8IN FIRM MF MATTRESS FL</t>
        </is>
      </c>
      <c r="L105" s="245" t="inlineStr">
        <is>
          <t>WA-FMF-8F</t>
        </is>
      </c>
      <c r="M105" s="248" t="inlineStr">
        <is>
          <t>MIWU00204</t>
        </is>
      </c>
      <c r="N105" s="245" t="inlineStr">
        <is>
          <t>F.MFM.08F.000.BU</t>
        </is>
      </c>
      <c r="O105" s="245" t="n"/>
      <c r="P105" s="245" t="n"/>
      <c r="Q105" s="250">
        <f>R105/H105</f>
        <v/>
      </c>
      <c r="R105" s="251" t="n">
        <v>1064</v>
      </c>
      <c r="S105" s="249" t="n">
        <v>18062</v>
      </c>
      <c r="T105" s="252">
        <f>S105*R105</f>
        <v/>
      </c>
      <c r="U105" s="245" t="n"/>
      <c r="V105" s="245" t="n"/>
      <c r="W105" s="245" t="inlineStr">
        <is>
          <t>ETD : 13-08-2026</t>
        </is>
      </c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70</v>
      </c>
      <c r="I106" s="245" t="inlineStr"/>
      <c r="J106" s="245" t="inlineStr"/>
      <c r="K106" s="245" t="inlineStr">
        <is>
          <t>10IN MEDIUM MFM FL</t>
        </is>
      </c>
      <c r="L106" s="245" t="inlineStr">
        <is>
          <t>WA-MMF-10F-IN</t>
        </is>
      </c>
      <c r="M106" s="248" t="inlineStr">
        <is>
          <t>MIWU00204</t>
        </is>
      </c>
      <c r="N106" s="245" t="inlineStr">
        <is>
          <t>F.MFM.10F.005.BU</t>
        </is>
      </c>
      <c r="O106" s="245" t="n"/>
      <c r="P106" s="245" t="n"/>
      <c r="Q106" s="250">
        <f>R106/H106</f>
        <v/>
      </c>
      <c r="R106" s="251" t="n">
        <v>4226.6</v>
      </c>
      <c r="S106" s="249" t="n">
        <v>18062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95</v>
      </c>
      <c r="I107" s="245" t="inlineStr"/>
      <c r="J107" s="245" t="inlineStr"/>
      <c r="K107" s="245" t="inlineStr">
        <is>
          <t>10IN MEDIUM MFM QN</t>
        </is>
      </c>
      <c r="L107" s="245" t="inlineStr">
        <is>
          <t>WA-MMF-10Q-IN</t>
        </is>
      </c>
      <c r="M107" s="248" t="inlineStr">
        <is>
          <t>MIWU00204</t>
        </is>
      </c>
      <c r="N107" s="245" t="inlineStr">
        <is>
          <t>F.MFM.10Q.005.BU</t>
        </is>
      </c>
      <c r="O107" s="245" t="n"/>
      <c r="P107" s="245" t="n"/>
      <c r="Q107" s="250">
        <f>R107/H107</f>
        <v/>
      </c>
      <c r="R107" s="251" t="n">
        <v>6798.2</v>
      </c>
      <c r="S107" s="249" t="n">
        <v>18062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78</v>
      </c>
      <c r="I108" s="245" t="inlineStr"/>
      <c r="J108" s="245" t="inlineStr"/>
      <c r="K108" s="245" t="inlineStr">
        <is>
          <t>10IN MEDIUM MFM TW</t>
        </is>
      </c>
      <c r="L108" s="245" t="inlineStr">
        <is>
          <t>WA-MMF-10T-IN</t>
        </is>
      </c>
      <c r="M108" s="248" t="inlineStr">
        <is>
          <t>MIWU00204</t>
        </is>
      </c>
      <c r="N108" s="245" t="inlineStr">
        <is>
          <t>F.MFM.10T.005.BU</t>
        </is>
      </c>
      <c r="O108" s="245" t="n"/>
      <c r="P108" s="245" t="n"/>
      <c r="Q108" s="250">
        <f>R108/H108</f>
        <v/>
      </c>
      <c r="R108" s="251" t="n">
        <v>3589.56</v>
      </c>
      <c r="S108" s="249" t="n">
        <v>18062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7" t="n">
        <v>38</v>
      </c>
      <c r="I109" s="245" t="inlineStr"/>
      <c r="J109" s="245" t="inlineStr"/>
      <c r="K109" s="245" t="inlineStr">
        <is>
          <t>12IN MEDIUM MFM QN</t>
        </is>
      </c>
      <c r="L109" s="245" t="inlineStr">
        <is>
          <t>WA-MMF-12Q-IN</t>
        </is>
      </c>
      <c r="M109" s="248" t="inlineStr">
        <is>
          <t>MIWU00204</t>
        </is>
      </c>
      <c r="N109" s="245" t="inlineStr">
        <is>
          <t>F.MFM.12Q.005.BU</t>
        </is>
      </c>
      <c r="O109" s="245" t="n"/>
      <c r="P109" s="245" t="n"/>
      <c r="Q109" s="250">
        <f>R109/H109</f>
        <v/>
      </c>
      <c r="R109" s="251" t="n">
        <v>3076.86</v>
      </c>
      <c r="S109" s="249" t="n">
        <v>18062</v>
      </c>
      <c r="T109" s="252">
        <f>S109*R109</f>
        <v/>
      </c>
      <c r="U109" s="245" t="n"/>
      <c r="V109" s="245" t="n"/>
      <c r="W109" s="245" t="n"/>
      <c r="X109" s="245" t="n"/>
      <c r="Y109" s="245" t="n"/>
      <c r="Z109" s="245" t="n"/>
    </row>
    <row r="110" ht="16.5" customHeight="1" s="202">
      <c r="A110" s="245" t="n"/>
      <c r="B110" s="245" t="n"/>
      <c r="C110" s="245" t="n"/>
      <c r="D110" s="245" t="n"/>
      <c r="E110" s="245" t="n"/>
      <c r="F110" s="245" t="n"/>
      <c r="G110" s="245" t="n"/>
      <c r="H110" s="247" t="n">
        <v>20</v>
      </c>
      <c r="I110" s="245" t="inlineStr"/>
      <c r="J110" s="245" t="inlineStr"/>
      <c r="K110" s="245" t="inlineStr">
        <is>
          <t>14IN MEDIUM MFM QN</t>
        </is>
      </c>
      <c r="L110" s="245" t="inlineStr">
        <is>
          <t>WA-MMF-14Q-IN</t>
        </is>
      </c>
      <c r="M110" s="248" t="inlineStr">
        <is>
          <t>MIWU00204</t>
        </is>
      </c>
      <c r="N110" s="245" t="inlineStr">
        <is>
          <t>F.MFM.14Q.000.BU</t>
        </is>
      </c>
      <c r="O110" s="245" t="n"/>
      <c r="P110" s="245" t="n"/>
      <c r="Q110" s="250">
        <f>R110/H110</f>
        <v/>
      </c>
      <c r="R110" s="251" t="n">
        <v>1813.4</v>
      </c>
      <c r="S110" s="249" t="n">
        <v>18062</v>
      </c>
      <c r="T110" s="252">
        <f>S110*R110</f>
        <v/>
      </c>
      <c r="U110" s="245" t="n"/>
      <c r="V110" s="245" t="n"/>
      <c r="W110" s="245" t="n"/>
      <c r="X110" s="245" t="n"/>
      <c r="Y110" s="245" t="n"/>
      <c r="Z110" s="245" t="n"/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65</v>
      </c>
      <c r="I111" s="245" t="inlineStr"/>
      <c r="J111" s="245" t="inlineStr"/>
      <c r="K111" s="245" t="inlineStr">
        <is>
          <t>6IN MEDIUM MFM TW</t>
        </is>
      </c>
      <c r="L111" s="245" t="inlineStr">
        <is>
          <t>WA-MMF-6T-IN</t>
        </is>
      </c>
      <c r="M111" s="248" t="inlineStr">
        <is>
          <t>MIWU00204</t>
        </is>
      </c>
      <c r="N111" s="245" t="inlineStr">
        <is>
          <t>F.MFM.06T.002.BU</t>
        </is>
      </c>
      <c r="O111" s="245" t="n"/>
      <c r="P111" s="245" t="n"/>
      <c r="Q111" s="250">
        <f>R111/H111</f>
        <v/>
      </c>
      <c r="R111" s="251" t="n">
        <v>2086.5</v>
      </c>
      <c r="S111" s="249" t="n">
        <v>18062</v>
      </c>
      <c r="T111" s="252">
        <f>S111*R111</f>
        <v/>
      </c>
      <c r="U111" s="245" t="n"/>
      <c r="V111" s="245" t="n"/>
      <c r="W111" s="245" t="n"/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70</v>
      </c>
      <c r="I112" s="245" t="inlineStr"/>
      <c r="J112" s="245" t="inlineStr"/>
      <c r="K112" s="245" t="inlineStr">
        <is>
          <t>8IN MEDIUM MFM TW</t>
        </is>
      </c>
      <c r="L112" s="245" t="inlineStr">
        <is>
          <t>WA-MMF-8T-IN</t>
        </is>
      </c>
      <c r="M112" s="248" t="inlineStr">
        <is>
          <t>MIWU00204</t>
        </is>
      </c>
      <c r="N112" s="245" t="inlineStr">
        <is>
          <t>F.MFM.08T.005.BU</t>
        </is>
      </c>
      <c r="O112" s="245" t="n"/>
      <c r="P112" s="245" t="n"/>
      <c r="Q112" s="250">
        <f>R112/H112</f>
        <v/>
      </c>
      <c r="R112" s="251" t="n">
        <v>2721.6</v>
      </c>
      <c r="S112" s="249" t="n">
        <v>18062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7" t="n">
        <v>20</v>
      </c>
      <c r="I113" s="245" t="inlineStr"/>
      <c r="J113" s="245" t="inlineStr"/>
      <c r="K113" s="245" t="inlineStr">
        <is>
          <t>10IN PLUSH MFM TW</t>
        </is>
      </c>
      <c r="L113" s="245" t="inlineStr">
        <is>
          <t>WA-PMF-10T-IN</t>
        </is>
      </c>
      <c r="M113" s="248" t="inlineStr">
        <is>
          <t>MIWU00204</t>
        </is>
      </c>
      <c r="N113" s="245" t="inlineStr">
        <is>
          <t>F.MFM.10T.006.BU</t>
        </is>
      </c>
      <c r="O113" s="245" t="n"/>
      <c r="P113" s="245" t="n"/>
      <c r="Q113" s="250">
        <f>R113/H113</f>
        <v/>
      </c>
      <c r="R113" s="251" t="n">
        <v>961.4</v>
      </c>
      <c r="S113" s="249" t="n">
        <v>18062</v>
      </c>
      <c r="T113" s="252">
        <f>S113*R113</f>
        <v/>
      </c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20</v>
      </c>
      <c r="I114" s="245" t="inlineStr"/>
      <c r="J114" s="245" t="inlineStr"/>
      <c r="K114" s="245" t="inlineStr">
        <is>
          <t>12IN PLUSH MFM EK</t>
        </is>
      </c>
      <c r="L114" s="245" t="inlineStr">
        <is>
          <t>WA-PMF-12K-IN</t>
        </is>
      </c>
      <c r="M114" s="248" t="inlineStr">
        <is>
          <t>MIWU00204</t>
        </is>
      </c>
      <c r="N114" s="245" t="inlineStr">
        <is>
          <t>F.MFM.12K.006.BU</t>
        </is>
      </c>
      <c r="O114" s="245" t="n"/>
      <c r="P114" s="245" t="n"/>
      <c r="Q114" s="250">
        <f>R114/H114</f>
        <v/>
      </c>
      <c r="R114" s="251" t="n">
        <v>2096.2</v>
      </c>
      <c r="S114" s="249" t="n">
        <v>18062</v>
      </c>
      <c r="T114" s="252">
        <f>S114*R114</f>
        <v/>
      </c>
      <c r="U114" s="245" t="n"/>
      <c r="V114" s="245" t="n"/>
      <c r="W114" s="245" t="n"/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20</v>
      </c>
      <c r="I115" s="245" t="inlineStr"/>
      <c r="J115" s="245" t="inlineStr"/>
      <c r="K115" s="245" t="inlineStr">
        <is>
          <t>12IN PLUSH MFM QN</t>
        </is>
      </c>
      <c r="L115" s="245" t="inlineStr">
        <is>
          <t>WA-PMF-12Q-IN</t>
        </is>
      </c>
      <c r="M115" s="248" t="inlineStr">
        <is>
          <t>MIWU00204</t>
        </is>
      </c>
      <c r="N115" s="245" t="inlineStr">
        <is>
          <t>F.MFM.12Q.006.BU</t>
        </is>
      </c>
      <c r="O115" s="245" t="n"/>
      <c r="P115" s="245" t="n"/>
      <c r="Q115" s="250">
        <f>R115/H115</f>
        <v/>
      </c>
      <c r="R115" s="251" t="n">
        <v>1712.4</v>
      </c>
      <c r="S115" s="249" t="n">
        <v>18062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20</v>
      </c>
      <c r="I116" s="245" t="inlineStr"/>
      <c r="J116" s="245" t="inlineStr"/>
      <c r="K116" s="245" t="inlineStr">
        <is>
          <t>12IN PLUSH MFM TW</t>
        </is>
      </c>
      <c r="L116" s="245" t="inlineStr">
        <is>
          <t>WA-PMF-12T-IN</t>
        </is>
      </c>
      <c r="M116" s="248" t="inlineStr">
        <is>
          <t>MIWU00204</t>
        </is>
      </c>
      <c r="N116" s="245" t="inlineStr">
        <is>
          <t>F.MFM.12T.006.BU</t>
        </is>
      </c>
      <c r="O116" s="245" t="n"/>
      <c r="P116" s="245" t="n"/>
      <c r="Q116" s="250">
        <f>R116/H116</f>
        <v/>
      </c>
      <c r="R116" s="251" t="n">
        <v>1114.4</v>
      </c>
      <c r="S116" s="249" t="n">
        <v>18062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20</v>
      </c>
      <c r="I117" s="245" t="inlineStr"/>
      <c r="J117" s="245" t="inlineStr"/>
      <c r="K117" s="245" t="inlineStr">
        <is>
          <t>8IN PLUSH MFM FL</t>
        </is>
      </c>
      <c r="L117" s="245" t="inlineStr">
        <is>
          <t>WA-PMF-8F-IN</t>
        </is>
      </c>
      <c r="M117" s="248" t="inlineStr">
        <is>
          <t>MIWU00204</t>
        </is>
      </c>
      <c r="N117" s="245" t="inlineStr">
        <is>
          <t>F.MFM.08F.006.BU</t>
        </is>
      </c>
      <c r="O117" s="245" t="n"/>
      <c r="P117" s="245" t="n"/>
      <c r="Q117" s="250">
        <f>R117/H117</f>
        <v/>
      </c>
      <c r="R117" s="251" t="n">
        <v>956.4</v>
      </c>
      <c r="S117" s="249" t="n">
        <v>18062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7.1" customHeight="1" s="202">
      <c r="A118" s="253" t="n"/>
      <c r="B118" s="253" t="n"/>
      <c r="C118" s="253" t="n"/>
      <c r="D118" s="253" t="n"/>
      <c r="E118" s="253" t="n"/>
      <c r="F118" s="253" t="n"/>
      <c r="G118" s="253" t="n"/>
      <c r="H118" s="254">
        <f>SUM(H104:H117)</f>
        <v/>
      </c>
      <c r="I118" s="253">
        <f>COUNTA(I104:I117)</f>
        <v/>
      </c>
      <c r="J118" s="253" t="n"/>
      <c r="K118" s="253" t="n"/>
      <c r="L118" s="253" t="n"/>
      <c r="M118" s="253" t="n"/>
      <c r="N118" s="253" t="n"/>
      <c r="O118" s="255">
        <f>SUM(O104:O117)</f>
        <v/>
      </c>
      <c r="P118" s="255">
        <f>SUM(P104:P117)</f>
        <v/>
      </c>
      <c r="Q118" s="253" t="n"/>
      <c r="R118" s="256">
        <f>SUM(R104:R117)</f>
        <v/>
      </c>
      <c r="S118" s="253" t="n"/>
      <c r="T118" s="257">
        <f>SUM(T104:T117)</f>
        <v/>
      </c>
      <c r="U118" s="253" t="n"/>
      <c r="V118" s="253" t="n"/>
      <c r="W118" s="253" t="n"/>
      <c r="X118" s="253" t="n"/>
      <c r="Y118" s="253" t="n"/>
      <c r="Z118" s="253" t="n"/>
    </row>
    <row r="119" ht="16.5" customHeight="1" s="202">
      <c r="A119" s="245" t="n">
        <v>11</v>
      </c>
      <c r="B119" s="245" t="inlineStr">
        <is>
          <t>000030ZIK48020260805000579</t>
        </is>
      </c>
      <c r="C119" s="245" t="n">
        <v>490180</v>
      </c>
      <c r="D119" s="245" t="n">
        <v>490120</v>
      </c>
      <c r="E119" s="246" t="n">
        <v>46240</v>
      </c>
      <c r="F119" s="245" t="inlineStr">
        <is>
          <t>ID2608-8050</t>
        </is>
      </c>
      <c r="G119" s="246" t="n">
        <v>46239</v>
      </c>
      <c r="H119" s="247" t="n">
        <v>81</v>
      </c>
      <c r="I119" s="245" t="inlineStr">
        <is>
          <t>TRHU4606567</t>
        </is>
      </c>
      <c r="J119" s="245" t="inlineStr">
        <is>
          <t>40FT</t>
        </is>
      </c>
      <c r="K119" s="245" t="inlineStr">
        <is>
          <t>10IN MEDIUM MFM FL</t>
        </is>
      </c>
      <c r="L119" s="245" t="inlineStr">
        <is>
          <t>WA-MMF-10F-IN</t>
        </is>
      </c>
      <c r="M119" s="248" t="inlineStr">
        <is>
          <t>MIWU00194</t>
        </is>
      </c>
      <c r="N119" s="245" t="inlineStr">
        <is>
          <t>F.MFM.10F.005.BU</t>
        </is>
      </c>
      <c r="O119" s="249" t="n">
        <v>12046.7</v>
      </c>
      <c r="P119" s="249" t="n">
        <v>10876.8</v>
      </c>
      <c r="Q119" s="250">
        <f>R119/H119</f>
        <v/>
      </c>
      <c r="R119" s="251" t="n">
        <v>4890.78</v>
      </c>
      <c r="S119" s="249" t="n">
        <v>18062</v>
      </c>
      <c r="T119" s="252">
        <f>S119*R119</f>
        <v/>
      </c>
      <c r="U119" s="245" t="inlineStr">
        <is>
          <t>040300/KPPBC</t>
        </is>
      </c>
      <c r="V119" s="245" t="inlineStr">
        <is>
          <t>TG. PRIOK</t>
        </is>
      </c>
      <c r="W119" s="245" t="inlineStr">
        <is>
          <t>NEW YORK, US</t>
        </is>
      </c>
      <c r="X119" s="245" t="inlineStr">
        <is>
          <t>MELLOW INC</t>
        </is>
      </c>
      <c r="Y119" s="245" t="inlineStr">
        <is>
          <t>ONEYJKTG63472300</t>
        </is>
      </c>
      <c r="Z119" s="246" t="n">
        <v>46240</v>
      </c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42</v>
      </c>
      <c r="I120" s="245" t="inlineStr"/>
      <c r="J120" s="245" t="inlineStr"/>
      <c r="K120" s="245" t="inlineStr">
        <is>
          <t>10IN MEDIUM MFM EK</t>
        </is>
      </c>
      <c r="L120" s="245" t="inlineStr">
        <is>
          <t>WA-MMF-10K-IN</t>
        </is>
      </c>
      <c r="M120" s="248" t="inlineStr">
        <is>
          <t>MIWU00194</t>
        </is>
      </c>
      <c r="N120" s="245" t="inlineStr">
        <is>
          <t>F.MFM.10K.005.BU</t>
        </is>
      </c>
      <c r="O120" s="245" t="n"/>
      <c r="P120" s="245" t="n"/>
      <c r="Q120" s="250">
        <f>R120/H120</f>
        <v/>
      </c>
      <c r="R120" s="251" t="n">
        <v>3673.74</v>
      </c>
      <c r="S120" s="249" t="n">
        <v>18062</v>
      </c>
      <c r="T120" s="252">
        <f>S120*R120</f>
        <v/>
      </c>
      <c r="U120" s="245" t="n"/>
      <c r="V120" s="245" t="n"/>
      <c r="W120" s="245" t="inlineStr">
        <is>
          <t>ETD : 13-08-2026</t>
        </is>
      </c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7" t="n">
        <v>65</v>
      </c>
      <c r="I121" s="245" t="inlineStr"/>
      <c r="J121" s="245" t="inlineStr"/>
      <c r="K121" s="245" t="inlineStr">
        <is>
          <t>10IN MEDIUM MFM QN</t>
        </is>
      </c>
      <c r="L121" s="245" t="inlineStr">
        <is>
          <t>WA-MMF-10Q-IN</t>
        </is>
      </c>
      <c r="M121" s="248" t="inlineStr">
        <is>
          <t>MIWU00194</t>
        </is>
      </c>
      <c r="N121" s="245" t="inlineStr">
        <is>
          <t>F.MFM.10Q.005.BU</t>
        </is>
      </c>
      <c r="O121" s="245" t="n"/>
      <c r="P121" s="245" t="n"/>
      <c r="Q121" s="250">
        <f>R121/H121</f>
        <v/>
      </c>
      <c r="R121" s="251" t="n">
        <v>4651.4</v>
      </c>
      <c r="S121" s="249" t="n">
        <v>18062</v>
      </c>
      <c r="T121" s="252">
        <f>S121*R121</f>
        <v/>
      </c>
      <c r="U121" s="245" t="n"/>
      <c r="V121" s="245" t="n"/>
      <c r="W121" s="245" t="n"/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7" t="n">
        <v>51</v>
      </c>
      <c r="I122" s="245" t="inlineStr"/>
      <c r="J122" s="245" t="inlineStr"/>
      <c r="K122" s="245" t="inlineStr">
        <is>
          <t>10IN MEDIUM MFM TW</t>
        </is>
      </c>
      <c r="L122" s="245" t="inlineStr">
        <is>
          <t>WA-MMF-10T-IN</t>
        </is>
      </c>
      <c r="M122" s="248" t="inlineStr">
        <is>
          <t>MIWU00194</t>
        </is>
      </c>
      <c r="N122" s="245" t="inlineStr">
        <is>
          <t>F.MFM.10T.005.BU</t>
        </is>
      </c>
      <c r="O122" s="245" t="n"/>
      <c r="P122" s="245" t="n"/>
      <c r="Q122" s="250">
        <f>R122/H122</f>
        <v/>
      </c>
      <c r="R122" s="251" t="n">
        <v>2347.02</v>
      </c>
      <c r="S122" s="249" t="n">
        <v>18062</v>
      </c>
      <c r="T122" s="252">
        <f>S122*R122</f>
        <v/>
      </c>
      <c r="U122" s="245" t="n"/>
      <c r="V122" s="245" t="n"/>
      <c r="W122" s="245" t="n"/>
      <c r="X122" s="245" t="n"/>
      <c r="Y122" s="245" t="n"/>
      <c r="Z122" s="245" t="n"/>
    </row>
    <row r="123" ht="16.5" customHeight="1" s="202">
      <c r="A123" s="245" t="n"/>
      <c r="B123" s="245" t="n"/>
      <c r="C123" s="245" t="n"/>
      <c r="D123" s="245" t="n"/>
      <c r="E123" s="245" t="n"/>
      <c r="F123" s="245" t="n"/>
      <c r="G123" s="245" t="n"/>
      <c r="H123" s="247" t="n">
        <v>31</v>
      </c>
      <c r="I123" s="245" t="inlineStr"/>
      <c r="J123" s="245" t="inlineStr"/>
      <c r="K123" s="245" t="inlineStr">
        <is>
          <t>12IN MEDIUM MFM FL</t>
        </is>
      </c>
      <c r="L123" s="245" t="inlineStr">
        <is>
          <t>WA-MMF-12F-IN</t>
        </is>
      </c>
      <c r="M123" s="248" t="inlineStr">
        <is>
          <t>MIWU00194</t>
        </is>
      </c>
      <c r="N123" s="245" t="inlineStr">
        <is>
          <t>F.MFM.12F.005.BU</t>
        </is>
      </c>
      <c r="O123" s="245" t="n"/>
      <c r="P123" s="245" t="n"/>
      <c r="Q123" s="250">
        <f>R123/H123</f>
        <v/>
      </c>
      <c r="R123" s="251" t="n">
        <v>2159.15</v>
      </c>
      <c r="S123" s="249" t="n">
        <v>18062</v>
      </c>
      <c r="T123" s="252">
        <f>S123*R123</f>
        <v/>
      </c>
      <c r="U123" s="245" t="n"/>
      <c r="V123" s="245" t="n"/>
      <c r="W123" s="245" t="n"/>
      <c r="X123" s="245" t="n"/>
      <c r="Y123" s="245" t="n"/>
      <c r="Z123" s="245" t="n"/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24</v>
      </c>
      <c r="I124" s="245" t="inlineStr"/>
      <c r="J124" s="245" t="inlineStr"/>
      <c r="K124" s="245" t="inlineStr">
        <is>
          <t>12IN MEDIUM MFM EK</t>
        </is>
      </c>
      <c r="L124" s="245" t="inlineStr">
        <is>
          <t>WA-MMF-12K-IN</t>
        </is>
      </c>
      <c r="M124" s="248" t="inlineStr">
        <is>
          <t>MIWU00194</t>
        </is>
      </c>
      <c r="N124" s="245" t="inlineStr">
        <is>
          <t>F.MFM.12K.005.BU</t>
        </is>
      </c>
      <c r="O124" s="245" t="n"/>
      <c r="P124" s="245" t="n"/>
      <c r="Q124" s="250">
        <f>R124/H124</f>
        <v/>
      </c>
      <c r="R124" s="251" t="n">
        <v>2372.64</v>
      </c>
      <c r="S124" s="249" t="n">
        <v>18062</v>
      </c>
      <c r="T124" s="252">
        <f>S124*R124</f>
        <v/>
      </c>
      <c r="U124" s="245" t="n"/>
      <c r="V124" s="245" t="n"/>
      <c r="W124" s="245" t="n"/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70</v>
      </c>
      <c r="I125" s="245" t="inlineStr"/>
      <c r="J125" s="245" t="inlineStr"/>
      <c r="K125" s="245" t="inlineStr">
        <is>
          <t>6IN MEDIUM MFM FL</t>
        </is>
      </c>
      <c r="L125" s="245" t="inlineStr">
        <is>
          <t>WA-MMF-6F-IN</t>
        </is>
      </c>
      <c r="M125" s="248" t="inlineStr">
        <is>
          <t>MIWU00194</t>
        </is>
      </c>
      <c r="N125" s="245" t="inlineStr">
        <is>
          <t>F.MFM.06F.002.BU</t>
        </is>
      </c>
      <c r="O125" s="245" t="n"/>
      <c r="P125" s="245" t="n"/>
      <c r="Q125" s="250">
        <f>R125/H125</f>
        <v/>
      </c>
      <c r="R125" s="251" t="n">
        <v>2983.4</v>
      </c>
      <c r="S125" s="249" t="n">
        <v>18062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77</v>
      </c>
      <c r="I126" s="245" t="inlineStr"/>
      <c r="J126" s="245" t="inlineStr"/>
      <c r="K126" s="245" t="inlineStr">
        <is>
          <t>6IN MEDIUM MFM TW</t>
        </is>
      </c>
      <c r="L126" s="245" t="inlineStr">
        <is>
          <t>WA-MMF-6T-IN</t>
        </is>
      </c>
      <c r="M126" s="248" t="inlineStr">
        <is>
          <t>MIWU00194</t>
        </is>
      </c>
      <c r="N126" s="245" t="inlineStr">
        <is>
          <t>F.MFM.06T.002.BU</t>
        </is>
      </c>
      <c r="O126" s="245" t="n"/>
      <c r="P126" s="245" t="n"/>
      <c r="Q126" s="250">
        <f>R126/H126</f>
        <v/>
      </c>
      <c r="R126" s="251" t="n">
        <v>2471.7</v>
      </c>
      <c r="S126" s="249" t="n">
        <v>18062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7" t="n">
        <v>20</v>
      </c>
      <c r="I127" s="245" t="inlineStr"/>
      <c r="J127" s="245" t="inlineStr"/>
      <c r="K127" s="245" t="inlineStr">
        <is>
          <t>6IN MEDIUM MFM TX</t>
        </is>
      </c>
      <c r="L127" s="245" t="inlineStr">
        <is>
          <t>WA-MMF-6TXL-IN</t>
        </is>
      </c>
      <c r="M127" s="248" t="inlineStr">
        <is>
          <t>MIWU00194</t>
        </is>
      </c>
      <c r="N127" s="245" t="inlineStr">
        <is>
          <t>F.MFM.06X.002.BU</t>
        </is>
      </c>
      <c r="O127" s="245" t="n"/>
      <c r="P127" s="245" t="n"/>
      <c r="Q127" s="250">
        <f>R127/H127</f>
        <v/>
      </c>
      <c r="R127" s="251" t="n">
        <v>680.2</v>
      </c>
      <c r="S127" s="249" t="n">
        <v>18062</v>
      </c>
      <c r="T127" s="252">
        <f>S127*R127</f>
        <v/>
      </c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7" t="n">
        <v>50</v>
      </c>
      <c r="I128" s="245" t="inlineStr"/>
      <c r="J128" s="245" t="inlineStr"/>
      <c r="K128" s="245" t="inlineStr">
        <is>
          <t>8IN MEDIUM MFM FL</t>
        </is>
      </c>
      <c r="L128" s="245" t="inlineStr">
        <is>
          <t>WA-MMF-8F-IN</t>
        </is>
      </c>
      <c r="M128" s="248" t="inlineStr">
        <is>
          <t>MIWU00194</t>
        </is>
      </c>
      <c r="N128" s="245" t="inlineStr">
        <is>
          <t>F.MFM.08F.005.BU</t>
        </is>
      </c>
      <c r="O128" s="245" t="n"/>
      <c r="P128" s="245" t="n"/>
      <c r="Q128" s="250">
        <f>R128/H128</f>
        <v/>
      </c>
      <c r="R128" s="251" t="n">
        <v>2605</v>
      </c>
      <c r="S128" s="249" t="n">
        <v>18062</v>
      </c>
      <c r="T128" s="252">
        <f>S128*R128</f>
        <v/>
      </c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7" t="n">
        <v>22</v>
      </c>
      <c r="I129" s="245" t="inlineStr"/>
      <c r="J129" s="245" t="inlineStr"/>
      <c r="K129" s="245" t="inlineStr">
        <is>
          <t>8IN MEDIUM MFM QN</t>
        </is>
      </c>
      <c r="L129" s="245" t="inlineStr">
        <is>
          <t>WA-MMF-8Q-IN</t>
        </is>
      </c>
      <c r="M129" s="248" t="inlineStr">
        <is>
          <t>MIWU00194</t>
        </is>
      </c>
      <c r="N129" s="245" t="inlineStr">
        <is>
          <t>F.MFM.08Q.005.BU</t>
        </is>
      </c>
      <c r="O129" s="245" t="n"/>
      <c r="P129" s="245" t="n"/>
      <c r="Q129" s="250">
        <f>R129/H129</f>
        <v/>
      </c>
      <c r="R129" s="251" t="n">
        <v>1357.18</v>
      </c>
      <c r="S129" s="249" t="n">
        <v>18062</v>
      </c>
      <c r="T129" s="252">
        <f>S129*R129</f>
        <v/>
      </c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7" t="n">
        <v>81</v>
      </c>
      <c r="I130" s="245" t="inlineStr"/>
      <c r="J130" s="245" t="inlineStr"/>
      <c r="K130" s="245" t="inlineStr">
        <is>
          <t>8IN MEDIUM MFM TW</t>
        </is>
      </c>
      <c r="L130" s="245" t="inlineStr">
        <is>
          <t>WA-MMF-8T-IN</t>
        </is>
      </c>
      <c r="M130" s="248" t="inlineStr">
        <is>
          <t>MIWU00194</t>
        </is>
      </c>
      <c r="N130" s="245" t="inlineStr">
        <is>
          <t>F.MFM.08T.005.BU</t>
        </is>
      </c>
      <c r="O130" s="245" t="n"/>
      <c r="P130" s="245" t="n"/>
      <c r="Q130" s="250">
        <f>R130/H130</f>
        <v/>
      </c>
      <c r="R130" s="251" t="n">
        <v>3149.28</v>
      </c>
      <c r="S130" s="249" t="n">
        <v>18062</v>
      </c>
      <c r="T130" s="252">
        <f>S130*R130</f>
        <v/>
      </c>
      <c r="U130" s="245" t="n"/>
      <c r="V130" s="245" t="n"/>
      <c r="W130" s="245" t="n"/>
      <c r="X130" s="245" t="n"/>
      <c r="Y130" s="245" t="n"/>
      <c r="Z130" s="245" t="n"/>
    </row>
    <row r="131" ht="17.1" customHeight="1" s="202">
      <c r="A131" s="253" t="n"/>
      <c r="B131" s="253" t="n"/>
      <c r="C131" s="253" t="n"/>
      <c r="D131" s="253" t="n"/>
      <c r="E131" s="253" t="n"/>
      <c r="F131" s="253" t="n"/>
      <c r="G131" s="253" t="n"/>
      <c r="H131" s="254">
        <f>SUM(H119:H130)</f>
        <v/>
      </c>
      <c r="I131" s="253">
        <f>COUNTA(I119:I130)</f>
        <v/>
      </c>
      <c r="J131" s="253" t="n"/>
      <c r="K131" s="253" t="n"/>
      <c r="L131" s="253" t="n"/>
      <c r="M131" s="253" t="n"/>
      <c r="N131" s="253" t="n"/>
      <c r="O131" s="255">
        <f>SUM(O119:O130)</f>
        <v/>
      </c>
      <c r="P131" s="255">
        <f>SUM(P119:P130)</f>
        <v/>
      </c>
      <c r="Q131" s="253" t="n"/>
      <c r="R131" s="256">
        <f>SUM(R119:R130)</f>
        <v/>
      </c>
      <c r="S131" s="253" t="n"/>
      <c r="T131" s="257">
        <f>SUM(T119:T130)</f>
        <v/>
      </c>
      <c r="U131" s="253" t="n"/>
      <c r="V131" s="253" t="n"/>
      <c r="W131" s="253" t="n"/>
      <c r="X131" s="253" t="n"/>
      <c r="Y131" s="253" t="n"/>
      <c r="Z131" s="253" t="n"/>
    </row>
    <row r="132" ht="16.5" customHeight="1" s="202">
      <c r="A132" s="245" t="n">
        <v>12</v>
      </c>
      <c r="B132" s="245" t="inlineStr">
        <is>
          <t>000030ZIK48020260806000580</t>
        </is>
      </c>
      <c r="C132" s="245" t="n">
        <v>495292</v>
      </c>
      <c r="D132" s="245" t="n">
        <v>495235</v>
      </c>
      <c r="E132" s="246" t="n">
        <v>46241</v>
      </c>
      <c r="F132" s="245" t="inlineStr">
        <is>
          <t>ID2608-8054</t>
        </is>
      </c>
      <c r="G132" s="246" t="n">
        <v>46240</v>
      </c>
      <c r="H132" s="247" t="n">
        <v>450</v>
      </c>
      <c r="I132" s="245" t="inlineStr">
        <is>
          <t>FFAU3294350</t>
        </is>
      </c>
      <c r="J132" s="245" t="inlineStr">
        <is>
          <t>40FT</t>
        </is>
      </c>
      <c r="K132" s="245" t="inlineStr">
        <is>
          <t>8IN GREEN TEA MF MATTRESS QN</t>
        </is>
      </c>
      <c r="L132" s="245" t="inlineStr">
        <is>
          <t>SCF-STR-800Q</t>
        </is>
      </c>
      <c r="M132" s="248" t="inlineStr">
        <is>
          <t>0993631229</t>
        </is>
      </c>
      <c r="N132" s="245" t="inlineStr">
        <is>
          <t>F.MFM.08Q.000.WS</t>
        </is>
      </c>
      <c r="O132" s="249" t="n">
        <v>10755</v>
      </c>
      <c r="P132" s="249" t="n">
        <v>9594</v>
      </c>
      <c r="Q132" s="250">
        <f>R132/H132</f>
        <v/>
      </c>
      <c r="R132" s="251" t="n">
        <v>42286.5</v>
      </c>
      <c r="S132" s="249" t="n">
        <v>18062</v>
      </c>
      <c r="T132" s="252">
        <f>S132*R132</f>
        <v/>
      </c>
      <c r="U132" s="245" t="inlineStr">
        <is>
          <t>040300/KPPBC</t>
        </is>
      </c>
      <c r="V132" s="245" t="inlineStr">
        <is>
          <t>TG. PRIOK</t>
        </is>
      </c>
      <c r="W132" s="245" t="inlineStr">
        <is>
          <t>SAVANNAH, US</t>
        </is>
      </c>
      <c r="X132" s="245" t="inlineStr">
        <is>
          <t>WALMART, INC.</t>
        </is>
      </c>
      <c r="Y132" s="245" t="inlineStr">
        <is>
          <t>COSU6509262090</t>
        </is>
      </c>
      <c r="Z132" s="246" t="n">
        <v>46241</v>
      </c>
    </row>
    <row r="133" ht="16.5" customHeight="1" s="202">
      <c r="A133" s="245" t="n"/>
      <c r="B133" s="245" t="n"/>
      <c r="C133" s="245" t="n"/>
      <c r="D133" s="245" t="n"/>
      <c r="E133" s="245" t="n"/>
      <c r="F133" s="245" t="n"/>
      <c r="G133" s="245" t="n"/>
      <c r="H133" s="245" t="n"/>
      <c r="I133" s="245" t="n"/>
      <c r="J133" s="245" t="n"/>
      <c r="K133" s="245" t="n"/>
      <c r="L133" s="245" t="n"/>
      <c r="M133" s="245" t="n"/>
      <c r="N133" s="245" t="n"/>
      <c r="O133" s="245" t="n"/>
      <c r="P133" s="245" t="n"/>
      <c r="Q133" s="245" t="n"/>
      <c r="R133" s="245" t="n"/>
      <c r="S133" s="245" t="n"/>
      <c r="T133" s="245" t="n"/>
      <c r="U133" s="245" t="n"/>
      <c r="V133" s="245" t="n"/>
      <c r="W133" s="245" t="inlineStr">
        <is>
          <t>ETD : 12-08-2026</t>
        </is>
      </c>
      <c r="X133" s="245" t="n"/>
      <c r="Y133" s="245" t="n"/>
      <c r="Z133" s="245" t="n"/>
    </row>
    <row r="134" ht="17.1" customHeight="1" s="202">
      <c r="A134" s="253" t="n"/>
      <c r="B134" s="253" t="n"/>
      <c r="C134" s="253" t="n"/>
      <c r="D134" s="253" t="n"/>
      <c r="E134" s="253" t="n"/>
      <c r="F134" s="253" t="n"/>
      <c r="G134" s="253" t="n"/>
      <c r="H134" s="254">
        <f>SUM(H132:H133)</f>
        <v/>
      </c>
      <c r="I134" s="253">
        <f>COUNTA(I132:I133)</f>
        <v/>
      </c>
      <c r="J134" s="253" t="n"/>
      <c r="K134" s="253" t="n"/>
      <c r="L134" s="253" t="n"/>
      <c r="M134" s="253" t="n"/>
      <c r="N134" s="253" t="n"/>
      <c r="O134" s="255">
        <f>SUM(O132:O133)</f>
        <v/>
      </c>
      <c r="P134" s="255">
        <f>SUM(P132:P133)</f>
        <v/>
      </c>
      <c r="Q134" s="253" t="n"/>
      <c r="R134" s="256">
        <f>SUM(R132:R133)</f>
        <v/>
      </c>
      <c r="S134" s="253" t="n"/>
      <c r="T134" s="257">
        <f>SUM(T132:T133)</f>
        <v/>
      </c>
      <c r="U134" s="253" t="n"/>
      <c r="V134" s="253" t="n"/>
      <c r="W134" s="253" t="n"/>
      <c r="X134" s="253" t="n"/>
      <c r="Y134" s="253" t="n"/>
      <c r="Z134" s="253" t="n"/>
    </row>
    <row r="135" ht="16.5" customHeight="1" s="202">
      <c r="A135" s="245" t="n">
        <v>13</v>
      </c>
      <c r="B135" s="245" t="inlineStr">
        <is>
          <t>000030ZIK48020260806000581</t>
        </is>
      </c>
      <c r="C135" s="245" t="n">
        <v>495284</v>
      </c>
      <c r="D135" s="245" t="n">
        <v>495227</v>
      </c>
      <c r="E135" s="246" t="n">
        <v>46241</v>
      </c>
      <c r="F135" s="245" t="inlineStr">
        <is>
          <t>ID2608-8053</t>
        </is>
      </c>
      <c r="G135" s="246" t="n">
        <v>46240</v>
      </c>
      <c r="H135" s="247" t="n">
        <v>693</v>
      </c>
      <c r="I135" s="245" t="inlineStr">
        <is>
          <t>CSGU7450124</t>
        </is>
      </c>
      <c r="J135" s="245" t="inlineStr">
        <is>
          <t>40FT</t>
        </is>
      </c>
      <c r="K135" s="245" t="inlineStr">
        <is>
          <t>8IN GREEN TEA MF MATTRESS TW</t>
        </is>
      </c>
      <c r="L135" s="245" t="inlineStr">
        <is>
          <t>SCF-STR-800T</t>
        </is>
      </c>
      <c r="M135" s="248" t="inlineStr">
        <is>
          <t>0993631234</t>
        </is>
      </c>
      <c r="N135" s="245" t="inlineStr">
        <is>
          <t>F.MFM.08T.000.WS</t>
        </is>
      </c>
      <c r="O135" s="249" t="n">
        <v>10526.67</v>
      </c>
      <c r="P135" s="249" t="n">
        <v>9140.67</v>
      </c>
      <c r="Q135" s="250">
        <f>R135/H135</f>
        <v/>
      </c>
      <c r="R135" s="251" t="n">
        <v>42619.5</v>
      </c>
      <c r="S135" s="249" t="n">
        <v>18062</v>
      </c>
      <c r="T135" s="252">
        <f>S135*R135</f>
        <v/>
      </c>
      <c r="U135" s="245" t="inlineStr">
        <is>
          <t>040300/KPPBC</t>
        </is>
      </c>
      <c r="V135" s="245" t="inlineStr">
        <is>
          <t>TG. PRIOK</t>
        </is>
      </c>
      <c r="W135" s="245" t="inlineStr">
        <is>
          <t>SAVANNAH, US</t>
        </is>
      </c>
      <c r="X135" s="245" t="inlineStr">
        <is>
          <t>WALMART, INC.</t>
        </is>
      </c>
      <c r="Y135" s="245" t="inlineStr">
        <is>
          <t>COSU6509262080</t>
        </is>
      </c>
      <c r="Z135" s="246" t="n">
        <v>46241</v>
      </c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5" t="n"/>
      <c r="I136" s="245" t="n"/>
      <c r="J136" s="245" t="n"/>
      <c r="K136" s="245" t="n"/>
      <c r="L136" s="245" t="n"/>
      <c r="M136" s="245" t="n"/>
      <c r="N136" s="245" t="n"/>
      <c r="O136" s="245" t="n"/>
      <c r="P136" s="245" t="n"/>
      <c r="Q136" s="245" t="n"/>
      <c r="R136" s="245" t="n"/>
      <c r="S136" s="245" t="n"/>
      <c r="T136" s="245" t="n"/>
      <c r="U136" s="245" t="n"/>
      <c r="V136" s="245" t="n"/>
      <c r="W136" s="245" t="inlineStr">
        <is>
          <t>ETD : 12-08-2026</t>
        </is>
      </c>
      <c r="X136" s="245" t="n"/>
      <c r="Y136" s="245" t="n"/>
      <c r="Z136" s="245" t="n"/>
    </row>
    <row r="137" ht="17.1" customHeight="1" s="202">
      <c r="A137" s="253" t="n"/>
      <c r="B137" s="253" t="n"/>
      <c r="C137" s="253" t="n"/>
      <c r="D137" s="253" t="n"/>
      <c r="E137" s="253" t="n"/>
      <c r="F137" s="253" t="n"/>
      <c r="G137" s="253" t="n"/>
      <c r="H137" s="254">
        <f>SUM(H135:H136)</f>
        <v/>
      </c>
      <c r="I137" s="253">
        <f>COUNTA(I135:I136)</f>
        <v/>
      </c>
      <c r="J137" s="253" t="n"/>
      <c r="K137" s="253" t="n"/>
      <c r="L137" s="253" t="n"/>
      <c r="M137" s="253" t="n"/>
      <c r="N137" s="253" t="n"/>
      <c r="O137" s="255">
        <f>SUM(O135:O136)</f>
        <v/>
      </c>
      <c r="P137" s="255">
        <f>SUM(P135:P136)</f>
        <v/>
      </c>
      <c r="Q137" s="253" t="n"/>
      <c r="R137" s="256">
        <f>SUM(R135:R136)</f>
        <v/>
      </c>
      <c r="S137" s="253" t="n"/>
      <c r="T137" s="257">
        <f>SUM(T135:T136)</f>
        <v/>
      </c>
      <c r="U137" s="253" t="n"/>
      <c r="V137" s="253" t="n"/>
      <c r="W137" s="253" t="n"/>
      <c r="X137" s="253" t="n"/>
      <c r="Y137" s="253" t="n"/>
      <c r="Z137" s="253" t="n"/>
    </row>
    <row r="138" ht="16.5" customHeight="1" s="202">
      <c r="A138" s="245" t="n">
        <v>14</v>
      </c>
      <c r="B138" s="245" t="inlineStr">
        <is>
          <t>000030ZIK48020260806000582</t>
        </is>
      </c>
      <c r="C138" s="245" t="n">
        <v>494882</v>
      </c>
      <c r="D138" s="245" t="n">
        <v>494824</v>
      </c>
      <c r="E138" s="246" t="n">
        <v>46241</v>
      </c>
      <c r="F138" s="245" t="inlineStr">
        <is>
          <t>ID2608-8055</t>
        </is>
      </c>
      <c r="G138" s="246" t="n">
        <v>46240</v>
      </c>
      <c r="H138" s="247" t="n">
        <v>900</v>
      </c>
      <c r="I138" s="245" t="inlineStr">
        <is>
          <t>WHSU6241742</t>
        </is>
      </c>
      <c r="J138" s="245" t="inlineStr">
        <is>
          <t>40FT</t>
        </is>
      </c>
      <c r="K138" s="245" t="inlineStr">
        <is>
          <t>8IN GREEN TEA MF MATTRESS QN</t>
        </is>
      </c>
      <c r="L138" s="245" t="inlineStr">
        <is>
          <t>SCF-STR-800Q</t>
        </is>
      </c>
      <c r="M138" s="248" t="inlineStr">
        <is>
          <t>0993630949</t>
        </is>
      </c>
      <c r="N138" s="245" t="inlineStr">
        <is>
          <t>F.MFM.08Q.000.WS</t>
        </is>
      </c>
      <c r="O138" s="249" t="n">
        <v>21510</v>
      </c>
      <c r="P138" s="249" t="n">
        <v>19188</v>
      </c>
      <c r="Q138" s="250">
        <f>R138/H138</f>
        <v/>
      </c>
      <c r="R138" s="251" t="n">
        <v>84573</v>
      </c>
      <c r="S138" s="249" t="n">
        <v>18062</v>
      </c>
      <c r="T138" s="252">
        <f>S138*R138</f>
        <v/>
      </c>
      <c r="U138" s="245" t="inlineStr">
        <is>
          <t>040300/KPPBC</t>
        </is>
      </c>
      <c r="V138" s="245" t="inlineStr">
        <is>
          <t>TG. PRIOK</t>
        </is>
      </c>
      <c r="W138" s="245" t="inlineStr">
        <is>
          <t>NORFOLK, US</t>
        </is>
      </c>
      <c r="X138" s="245" t="inlineStr">
        <is>
          <t>WALMART, INC.</t>
        </is>
      </c>
      <c r="Y138" s="245" t="inlineStr">
        <is>
          <t>WHL049GX08376</t>
        </is>
      </c>
      <c r="Z138" s="246" t="n">
        <v>46241</v>
      </c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5" t="n"/>
      <c r="I139" s="245" t="inlineStr">
        <is>
          <t>WHSU5788545</t>
        </is>
      </c>
      <c r="J139" s="245" t="inlineStr">
        <is>
          <t>40FT</t>
        </is>
      </c>
      <c r="K139" s="245" t="n"/>
      <c r="L139" s="245" t="n"/>
      <c r="M139" s="245" t="n"/>
      <c r="N139" s="245" t="n"/>
      <c r="O139" s="245" t="n"/>
      <c r="P139" s="245" t="n"/>
      <c r="Q139" s="245" t="n"/>
      <c r="R139" s="245" t="n"/>
      <c r="S139" s="245" t="n"/>
      <c r="T139" s="245" t="n"/>
      <c r="U139" s="245" t="n"/>
      <c r="V139" s="245" t="n"/>
      <c r="W139" s="245" t="inlineStr">
        <is>
          <t>ETD : 14-08-2026</t>
        </is>
      </c>
      <c r="X139" s="245" t="n"/>
      <c r="Y139" s="245" t="n"/>
      <c r="Z139" s="245" t="n"/>
    </row>
    <row r="140" ht="17.1" customHeight="1" s="202">
      <c r="A140" s="253" t="n"/>
      <c r="B140" s="253" t="n"/>
      <c r="C140" s="253" t="n"/>
      <c r="D140" s="253" t="n"/>
      <c r="E140" s="253" t="n"/>
      <c r="F140" s="253" t="n"/>
      <c r="G140" s="253" t="n"/>
      <c r="H140" s="254">
        <f>SUM(H138:H139)</f>
        <v/>
      </c>
      <c r="I140" s="253">
        <f>COUNTA(I138:I139)</f>
        <v/>
      </c>
      <c r="J140" s="253" t="n"/>
      <c r="K140" s="253" t="n"/>
      <c r="L140" s="253" t="n"/>
      <c r="M140" s="253" t="n"/>
      <c r="N140" s="253" t="n"/>
      <c r="O140" s="255">
        <f>SUM(O138:O139)</f>
        <v/>
      </c>
      <c r="P140" s="255">
        <f>SUM(P138:P139)</f>
        <v/>
      </c>
      <c r="Q140" s="253" t="n"/>
      <c r="R140" s="256">
        <f>SUM(R138:R139)</f>
        <v/>
      </c>
      <c r="S140" s="253" t="n"/>
      <c r="T140" s="257">
        <f>SUM(T138:T139)</f>
        <v/>
      </c>
      <c r="U140" s="253" t="n"/>
      <c r="V140" s="253" t="n"/>
      <c r="W140" s="253" t="n"/>
      <c r="X140" s="253" t="n"/>
      <c r="Y140" s="253" t="n"/>
      <c r="Z140" s="253" t="n"/>
    </row>
    <row r="141" ht="16.5" customHeight="1" s="202">
      <c r="A141" s="245" t="n">
        <v>15</v>
      </c>
      <c r="B141" s="245" t="inlineStr">
        <is>
          <t>000030ZIK48020260806000583</t>
        </is>
      </c>
      <c r="C141" s="245" t="n">
        <v>494890</v>
      </c>
      <c r="D141" s="245" t="n">
        <v>494832</v>
      </c>
      <c r="E141" s="246" t="n">
        <v>46241</v>
      </c>
      <c r="F141" s="245" t="inlineStr">
        <is>
          <t>ID2608-8056</t>
        </is>
      </c>
      <c r="G141" s="246" t="n">
        <v>46240</v>
      </c>
      <c r="H141" s="247" t="n">
        <v>85</v>
      </c>
      <c r="I141" s="245" t="inlineStr">
        <is>
          <t>WHSU6602779</t>
        </is>
      </c>
      <c r="J141" s="245" t="inlineStr">
        <is>
          <t>40FT</t>
        </is>
      </c>
      <c r="K141" s="245" t="inlineStr">
        <is>
          <t>10IN MEDIUM MFM FL</t>
        </is>
      </c>
      <c r="L141" s="245" t="inlineStr">
        <is>
          <t>WA-MMF-10F-IN</t>
        </is>
      </c>
      <c r="M141" s="248" t="inlineStr">
        <is>
          <t>MIWU00197</t>
        </is>
      </c>
      <c r="N141" s="245" t="inlineStr">
        <is>
          <t>F.MFM.10F.005.BU</t>
        </is>
      </c>
      <c r="O141" s="249" t="n">
        <v>12481.8</v>
      </c>
      <c r="P141" s="249" t="n">
        <v>11286.5</v>
      </c>
      <c r="Q141" s="250">
        <f>R141/H141</f>
        <v/>
      </c>
      <c r="R141" s="251" t="n">
        <v>5132.3</v>
      </c>
      <c r="S141" s="249" t="n">
        <v>18062</v>
      </c>
      <c r="T141" s="252">
        <f>S141*R141</f>
        <v/>
      </c>
      <c r="U141" s="245" t="inlineStr">
        <is>
          <t>040300/KPPBC</t>
        </is>
      </c>
      <c r="V141" s="245" t="inlineStr">
        <is>
          <t>TG. PRIOK</t>
        </is>
      </c>
      <c r="W141" s="245" t="inlineStr">
        <is>
          <t>NEW YORK, US</t>
        </is>
      </c>
      <c r="X141" s="245" t="inlineStr">
        <is>
          <t>MELLOW INC</t>
        </is>
      </c>
      <c r="Y141" s="245" t="inlineStr">
        <is>
          <t>WHLC049GX08378</t>
        </is>
      </c>
      <c r="Z141" s="246" t="n">
        <v>46241</v>
      </c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60</v>
      </c>
      <c r="I142" s="245" t="inlineStr"/>
      <c r="J142" s="245" t="inlineStr"/>
      <c r="K142" s="245" t="inlineStr">
        <is>
          <t>10IN MEDIUM MFM EK</t>
        </is>
      </c>
      <c r="L142" s="245" t="inlineStr">
        <is>
          <t>WA-MMF-10K-IN</t>
        </is>
      </c>
      <c r="M142" s="248" t="inlineStr">
        <is>
          <t>MIWU00197</t>
        </is>
      </c>
      <c r="N142" s="245" t="inlineStr">
        <is>
          <t>F.MFM.10K.005.BU</t>
        </is>
      </c>
      <c r="O142" s="245" t="n"/>
      <c r="P142" s="245" t="n"/>
      <c r="Q142" s="250">
        <f>R142/H142</f>
        <v/>
      </c>
      <c r="R142" s="251" t="n">
        <v>5248.2</v>
      </c>
      <c r="S142" s="249" t="n">
        <v>18062</v>
      </c>
      <c r="T142" s="252">
        <f>S142*R142</f>
        <v/>
      </c>
      <c r="U142" s="245" t="n"/>
      <c r="V142" s="245" t="n"/>
      <c r="W142" s="245" t="inlineStr">
        <is>
          <t>ETD : 14-08-2026</t>
        </is>
      </c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82</v>
      </c>
      <c r="I143" s="245" t="inlineStr"/>
      <c r="J143" s="245" t="inlineStr"/>
      <c r="K143" s="245" t="inlineStr">
        <is>
          <t>10IN MEDIUM MFM QN</t>
        </is>
      </c>
      <c r="L143" s="245" t="inlineStr">
        <is>
          <t>WA-MMF-10Q-IN</t>
        </is>
      </c>
      <c r="M143" s="248" t="inlineStr">
        <is>
          <t>MIWU00197</t>
        </is>
      </c>
      <c r="N143" s="245" t="inlineStr">
        <is>
          <t>F.MFM.10Q.005.BU</t>
        </is>
      </c>
      <c r="O143" s="245" t="n"/>
      <c r="P143" s="245" t="n"/>
      <c r="Q143" s="250">
        <f>R143/H143</f>
        <v/>
      </c>
      <c r="R143" s="251" t="n">
        <v>5867.92</v>
      </c>
      <c r="S143" s="249" t="n">
        <v>18062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7" t="n">
        <v>72</v>
      </c>
      <c r="I144" s="245" t="inlineStr"/>
      <c r="J144" s="245" t="inlineStr"/>
      <c r="K144" s="245" t="inlineStr">
        <is>
          <t>10IN MEDIUM MFM TW</t>
        </is>
      </c>
      <c r="L144" s="245" t="inlineStr">
        <is>
          <t>WA-MMF-10T-IN</t>
        </is>
      </c>
      <c r="M144" s="248" t="inlineStr">
        <is>
          <t>MIWU00197</t>
        </is>
      </c>
      <c r="N144" s="245" t="inlineStr">
        <is>
          <t>F.MFM.10T.005.BU</t>
        </is>
      </c>
      <c r="O144" s="245" t="n"/>
      <c r="P144" s="245" t="n"/>
      <c r="Q144" s="250">
        <f>R144/H144</f>
        <v/>
      </c>
      <c r="R144" s="251" t="n">
        <v>3313.44</v>
      </c>
      <c r="S144" s="249" t="n">
        <v>18062</v>
      </c>
      <c r="T144" s="252">
        <f>S144*R144</f>
        <v/>
      </c>
      <c r="U144" s="245" t="n"/>
      <c r="V144" s="245" t="n"/>
      <c r="W144" s="245" t="n"/>
      <c r="X144" s="245" t="n"/>
      <c r="Y144" s="245" t="n"/>
      <c r="Z144" s="245" t="n"/>
    </row>
    <row r="145" ht="16.5" customHeight="1" s="202">
      <c r="A145" s="245" t="n"/>
      <c r="B145" s="245" t="n"/>
      <c r="C145" s="245" t="n"/>
      <c r="D145" s="245" t="n"/>
      <c r="E145" s="245" t="n"/>
      <c r="F145" s="245" t="n"/>
      <c r="G145" s="245" t="n"/>
      <c r="H145" s="247" t="n">
        <v>20</v>
      </c>
      <c r="I145" s="245" t="inlineStr"/>
      <c r="J145" s="245" t="inlineStr"/>
      <c r="K145" s="245" t="inlineStr">
        <is>
          <t>12IN MEDIUM MFM FL</t>
        </is>
      </c>
      <c r="L145" s="245" t="inlineStr">
        <is>
          <t>WA-MMF-12F-IN</t>
        </is>
      </c>
      <c r="M145" s="248" t="inlineStr">
        <is>
          <t>MIWU00197</t>
        </is>
      </c>
      <c r="N145" s="245" t="inlineStr">
        <is>
          <t>F.MFM.12F.005.BU</t>
        </is>
      </c>
      <c r="O145" s="245" t="n"/>
      <c r="P145" s="245" t="n"/>
      <c r="Q145" s="250">
        <f>R145/H145</f>
        <v/>
      </c>
      <c r="R145" s="251" t="n">
        <v>1393</v>
      </c>
      <c r="S145" s="249" t="n">
        <v>18062</v>
      </c>
      <c r="T145" s="252">
        <f>S145*R145</f>
        <v/>
      </c>
      <c r="U145" s="245" t="n"/>
      <c r="V145" s="245" t="n"/>
      <c r="W145" s="245" t="n"/>
      <c r="X145" s="245" t="n"/>
      <c r="Y145" s="245" t="n"/>
      <c r="Z145" s="245" t="n"/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7" t="n">
        <v>52</v>
      </c>
      <c r="I146" s="245" t="inlineStr"/>
      <c r="J146" s="245" t="inlineStr"/>
      <c r="K146" s="245" t="inlineStr">
        <is>
          <t>12IN MEDIUM MFM QN</t>
        </is>
      </c>
      <c r="L146" s="245" t="inlineStr">
        <is>
          <t>WA-MMF-12Q-IN</t>
        </is>
      </c>
      <c r="M146" s="248" t="inlineStr">
        <is>
          <t>MIWU00197</t>
        </is>
      </c>
      <c r="N146" s="245" t="inlineStr">
        <is>
          <t>F.MFM.12Q.005.BU</t>
        </is>
      </c>
      <c r="O146" s="245" t="n"/>
      <c r="P146" s="245" t="n"/>
      <c r="Q146" s="250">
        <f>R146/H146</f>
        <v/>
      </c>
      <c r="R146" s="251" t="n">
        <v>4210.44</v>
      </c>
      <c r="S146" s="249" t="n">
        <v>18062</v>
      </c>
      <c r="T146" s="252">
        <f>S146*R146</f>
        <v/>
      </c>
      <c r="U146" s="245" t="n"/>
      <c r="V146" s="245" t="n"/>
      <c r="W146" s="245" t="n"/>
      <c r="X146" s="245" t="n"/>
      <c r="Y146" s="245" t="n"/>
      <c r="Z146" s="245" t="n"/>
    </row>
    <row r="147" ht="16.5" customHeight="1" s="202">
      <c r="A147" s="245" t="n"/>
      <c r="B147" s="245" t="n"/>
      <c r="C147" s="245" t="n"/>
      <c r="D147" s="245" t="n"/>
      <c r="E147" s="245" t="n"/>
      <c r="F147" s="245" t="n"/>
      <c r="G147" s="245" t="n"/>
      <c r="H147" s="247" t="n">
        <v>50</v>
      </c>
      <c r="I147" s="245" t="inlineStr"/>
      <c r="J147" s="245" t="inlineStr"/>
      <c r="K147" s="245" t="inlineStr">
        <is>
          <t>12IN MEDIUM MFM TW</t>
        </is>
      </c>
      <c r="L147" s="245" t="inlineStr">
        <is>
          <t>WA-MMF-12T-IN</t>
        </is>
      </c>
      <c r="M147" s="248" t="inlineStr">
        <is>
          <t>MIWU00197</t>
        </is>
      </c>
      <c r="N147" s="245" t="inlineStr">
        <is>
          <t>F.MFM.12T.005.BU</t>
        </is>
      </c>
      <c r="O147" s="245" t="n"/>
      <c r="P147" s="245" t="n"/>
      <c r="Q147" s="250">
        <f>R147/H147</f>
        <v/>
      </c>
      <c r="R147" s="251" t="n">
        <v>2605</v>
      </c>
      <c r="S147" s="249" t="n">
        <v>18062</v>
      </c>
      <c r="T147" s="252">
        <f>S147*R147</f>
        <v/>
      </c>
      <c r="U147" s="245" t="n"/>
      <c r="V147" s="245" t="n"/>
      <c r="W147" s="245" t="n"/>
      <c r="X147" s="245" t="n"/>
      <c r="Y147" s="245" t="n"/>
      <c r="Z147" s="245" t="n"/>
    </row>
    <row r="148" ht="16.5" customHeight="1" s="202">
      <c r="A148" s="245" t="n"/>
      <c r="B148" s="245" t="n"/>
      <c r="C148" s="245" t="n"/>
      <c r="D148" s="245" t="n"/>
      <c r="E148" s="245" t="n"/>
      <c r="F148" s="245" t="n"/>
      <c r="G148" s="245" t="n"/>
      <c r="H148" s="247" t="n">
        <v>20</v>
      </c>
      <c r="I148" s="245" t="inlineStr"/>
      <c r="J148" s="245" t="inlineStr"/>
      <c r="K148" s="245" t="inlineStr">
        <is>
          <t>14IN MEDIUM MFM FL</t>
        </is>
      </c>
      <c r="L148" s="245" t="inlineStr">
        <is>
          <t>WA-MMF-14F-IN</t>
        </is>
      </c>
      <c r="M148" s="248" t="inlineStr">
        <is>
          <t>MIWU00197</t>
        </is>
      </c>
      <c r="N148" s="245" t="inlineStr">
        <is>
          <t>F.MFM.14F.000.BU</t>
        </is>
      </c>
      <c r="O148" s="245" t="n"/>
      <c r="P148" s="245" t="n"/>
      <c r="Q148" s="250">
        <f>R148/H148</f>
        <v/>
      </c>
      <c r="R148" s="251" t="n">
        <v>1559.2</v>
      </c>
      <c r="S148" s="249" t="n">
        <v>18062</v>
      </c>
      <c r="T148" s="252">
        <f>S148*R148</f>
        <v/>
      </c>
      <c r="U148" s="245" t="n"/>
      <c r="V148" s="245" t="n"/>
      <c r="W148" s="245" t="n"/>
      <c r="X148" s="245" t="n"/>
      <c r="Y148" s="245" t="n"/>
      <c r="Z148" s="245" t="n"/>
    </row>
    <row r="149" ht="16.5" customHeight="1" s="202">
      <c r="A149" s="245" t="n"/>
      <c r="B149" s="245" t="n"/>
      <c r="C149" s="245" t="n"/>
      <c r="D149" s="245" t="n"/>
      <c r="E149" s="245" t="n"/>
      <c r="F149" s="245" t="n"/>
      <c r="G149" s="245" t="n"/>
      <c r="H149" s="247" t="n">
        <v>65</v>
      </c>
      <c r="I149" s="245" t="inlineStr"/>
      <c r="J149" s="245" t="inlineStr"/>
      <c r="K149" s="245" t="inlineStr">
        <is>
          <t>6IN MEDIUM MFM TW</t>
        </is>
      </c>
      <c r="L149" s="245" t="inlineStr">
        <is>
          <t>WA-MMF-6T-IN</t>
        </is>
      </c>
      <c r="M149" s="248" t="inlineStr">
        <is>
          <t>MIWU00197</t>
        </is>
      </c>
      <c r="N149" s="245" t="inlineStr">
        <is>
          <t>F.MFM.06T.002.BU</t>
        </is>
      </c>
      <c r="O149" s="245" t="n"/>
      <c r="P149" s="245" t="n"/>
      <c r="Q149" s="250">
        <f>R149/H149</f>
        <v/>
      </c>
      <c r="R149" s="251" t="n">
        <v>2086.5</v>
      </c>
      <c r="S149" s="249" t="n">
        <v>18062</v>
      </c>
      <c r="T149" s="252">
        <f>S149*R149</f>
        <v/>
      </c>
      <c r="U149" s="245" t="n"/>
      <c r="V149" s="245" t="n"/>
      <c r="W149" s="245" t="n"/>
      <c r="X149" s="245" t="n"/>
      <c r="Y149" s="245" t="n"/>
      <c r="Z149" s="245" t="n"/>
    </row>
    <row r="150" ht="16.5" customHeight="1" s="202">
      <c r="A150" s="245" t="n"/>
      <c r="B150" s="245" t="n"/>
      <c r="C150" s="245" t="n"/>
      <c r="D150" s="245" t="n"/>
      <c r="E150" s="245" t="n"/>
      <c r="F150" s="245" t="n"/>
      <c r="G150" s="245" t="n"/>
      <c r="H150" s="247" t="n">
        <v>70</v>
      </c>
      <c r="I150" s="245" t="inlineStr"/>
      <c r="J150" s="245" t="inlineStr"/>
      <c r="K150" s="245" t="inlineStr">
        <is>
          <t>8IN MEDIUM MFM TW</t>
        </is>
      </c>
      <c r="L150" s="245" t="inlineStr">
        <is>
          <t>WA-MMF-8T-IN</t>
        </is>
      </c>
      <c r="M150" s="248" t="inlineStr">
        <is>
          <t>MIWU00197</t>
        </is>
      </c>
      <c r="N150" s="245" t="inlineStr">
        <is>
          <t>F.MFM.08T.005.BU</t>
        </is>
      </c>
      <c r="O150" s="245" t="n"/>
      <c r="P150" s="245" t="n"/>
      <c r="Q150" s="250">
        <f>R150/H150</f>
        <v/>
      </c>
      <c r="R150" s="251" t="n">
        <v>2721.6</v>
      </c>
      <c r="S150" s="249" t="n">
        <v>18062</v>
      </c>
      <c r="T150" s="252">
        <f>S150*R150</f>
        <v/>
      </c>
      <c r="U150" s="245" t="n"/>
      <c r="V150" s="245" t="n"/>
      <c r="W150" s="245" t="n"/>
      <c r="X150" s="245" t="n"/>
      <c r="Y150" s="245" t="n"/>
      <c r="Z150" s="245" t="n"/>
    </row>
    <row r="151" ht="17.1" customHeight="1" s="202">
      <c r="A151" s="253" t="n"/>
      <c r="B151" s="253" t="n"/>
      <c r="C151" s="253" t="n"/>
      <c r="D151" s="253" t="n"/>
      <c r="E151" s="253" t="n"/>
      <c r="F151" s="253" t="n"/>
      <c r="G151" s="253" t="n"/>
      <c r="H151" s="254">
        <f>SUM(H141:H150)</f>
        <v/>
      </c>
      <c r="I151" s="253">
        <f>COUNTA(I141:I150)</f>
        <v/>
      </c>
      <c r="J151" s="253" t="n"/>
      <c r="K151" s="253" t="n"/>
      <c r="L151" s="253" t="n"/>
      <c r="M151" s="253" t="n"/>
      <c r="N151" s="253" t="n"/>
      <c r="O151" s="255">
        <f>SUM(O141:O150)</f>
        <v/>
      </c>
      <c r="P151" s="255">
        <f>SUM(P141:P150)</f>
        <v/>
      </c>
      <c r="Q151" s="253" t="n"/>
      <c r="R151" s="256">
        <f>SUM(R141:R150)</f>
        <v/>
      </c>
      <c r="S151" s="253" t="n"/>
      <c r="T151" s="257">
        <f>SUM(T141:T150)</f>
        <v/>
      </c>
      <c r="U151" s="253" t="n"/>
      <c r="V151" s="253" t="n"/>
      <c r="W151" s="253" t="n"/>
      <c r="X151" s="253" t="n"/>
      <c r="Y151" s="253" t="n"/>
      <c r="Z151" s="253" t="n"/>
    </row>
    <row r="152" ht="16.5" customHeight="1" s="202">
      <c r="A152" s="245" t="n">
        <v>16</v>
      </c>
      <c r="B152" s="245" t="inlineStr">
        <is>
          <t>000030ZIK48020260806000584</t>
        </is>
      </c>
      <c r="C152" s="245" t="n">
        <v>495853</v>
      </c>
      <c r="D152" s="245" t="n">
        <v>495797</v>
      </c>
      <c r="E152" s="246" t="n">
        <v>46241</v>
      </c>
      <c r="F152" s="245" t="inlineStr">
        <is>
          <t>ID2608-8057</t>
        </is>
      </c>
      <c r="G152" s="246" t="n">
        <v>46240</v>
      </c>
      <c r="H152" s="247" t="n">
        <v>85</v>
      </c>
      <c r="I152" s="245" t="inlineStr">
        <is>
          <t>WHSU6740485</t>
        </is>
      </c>
      <c r="J152" s="245" t="inlineStr">
        <is>
          <t>40FT</t>
        </is>
      </c>
      <c r="K152" s="245" t="inlineStr">
        <is>
          <t>10IN MEDIUM MFM FL</t>
        </is>
      </c>
      <c r="L152" s="245" t="inlineStr">
        <is>
          <t>WA-MMF-10F-IN</t>
        </is>
      </c>
      <c r="M152" s="248" t="inlineStr">
        <is>
          <t>MIWU00198</t>
        </is>
      </c>
      <c r="N152" s="245" t="inlineStr">
        <is>
          <t>F.MFM.10F.005.BU</t>
        </is>
      </c>
      <c r="O152" s="249" t="n">
        <v>12481.8</v>
      </c>
      <c r="P152" s="249" t="n">
        <v>11286.5</v>
      </c>
      <c r="Q152" s="250">
        <f>R152/H152</f>
        <v/>
      </c>
      <c r="R152" s="251" t="n">
        <v>5132.3</v>
      </c>
      <c r="S152" s="249" t="n">
        <v>18062</v>
      </c>
      <c r="T152" s="252">
        <f>S152*R152</f>
        <v/>
      </c>
      <c r="U152" s="245" t="inlineStr">
        <is>
          <t>040300/KPPBC</t>
        </is>
      </c>
      <c r="V152" s="245" t="inlineStr">
        <is>
          <t>TG. PRIOK</t>
        </is>
      </c>
      <c r="W152" s="245" t="inlineStr">
        <is>
          <t>NEW YORK, US</t>
        </is>
      </c>
      <c r="X152" s="245" t="inlineStr">
        <is>
          <t>MELLOW INC</t>
        </is>
      </c>
      <c r="Y152" s="245" t="inlineStr">
        <is>
          <t>WHLC049GX08377</t>
        </is>
      </c>
      <c r="Z152" s="246" t="n">
        <v>46241</v>
      </c>
    </row>
    <row r="153" ht="16.5" customHeight="1" s="202">
      <c r="A153" s="245" t="n"/>
      <c r="B153" s="245" t="n"/>
      <c r="C153" s="245" t="n"/>
      <c r="D153" s="245" t="n"/>
      <c r="E153" s="245" t="n"/>
      <c r="F153" s="245" t="n"/>
      <c r="G153" s="245" t="n"/>
      <c r="H153" s="247" t="n">
        <v>60</v>
      </c>
      <c r="I153" s="245" t="inlineStr"/>
      <c r="J153" s="245" t="inlineStr"/>
      <c r="K153" s="245" t="inlineStr">
        <is>
          <t>10IN MEDIUM MFM EK</t>
        </is>
      </c>
      <c r="L153" s="245" t="inlineStr">
        <is>
          <t>WA-MMF-10K-IN</t>
        </is>
      </c>
      <c r="M153" s="248" t="inlineStr">
        <is>
          <t>MIWU00198</t>
        </is>
      </c>
      <c r="N153" s="245" t="inlineStr">
        <is>
          <t>F.MFM.10K.005.BU</t>
        </is>
      </c>
      <c r="O153" s="245" t="n"/>
      <c r="P153" s="245" t="n"/>
      <c r="Q153" s="250">
        <f>R153/H153</f>
        <v/>
      </c>
      <c r="R153" s="251" t="n">
        <v>5248.2</v>
      </c>
      <c r="S153" s="249" t="n">
        <v>18062</v>
      </c>
      <c r="T153" s="252">
        <f>S153*R153</f>
        <v/>
      </c>
      <c r="U153" s="245" t="n"/>
      <c r="V153" s="245" t="n"/>
      <c r="W153" s="245" t="inlineStr">
        <is>
          <t>ETD : 14-08-2026</t>
        </is>
      </c>
      <c r="X153" s="245" t="n"/>
      <c r="Y153" s="245" t="n"/>
      <c r="Z153" s="245" t="n"/>
    </row>
    <row r="154" ht="16.5" customHeight="1" s="202">
      <c r="A154" s="245" t="n"/>
      <c r="B154" s="245" t="n"/>
      <c r="C154" s="245" t="n"/>
      <c r="D154" s="245" t="n"/>
      <c r="E154" s="245" t="n"/>
      <c r="F154" s="245" t="n"/>
      <c r="G154" s="245" t="n"/>
      <c r="H154" s="247" t="n">
        <v>82</v>
      </c>
      <c r="I154" s="245" t="inlineStr"/>
      <c r="J154" s="245" t="inlineStr"/>
      <c r="K154" s="245" t="inlineStr">
        <is>
          <t>10IN MEDIUM MFM QN</t>
        </is>
      </c>
      <c r="L154" s="245" t="inlineStr">
        <is>
          <t>WA-MMF-10Q-IN</t>
        </is>
      </c>
      <c r="M154" s="248" t="inlineStr">
        <is>
          <t>MIWU00198</t>
        </is>
      </c>
      <c r="N154" s="245" t="inlineStr">
        <is>
          <t>F.MFM.10Q.005.BU</t>
        </is>
      </c>
      <c r="O154" s="245" t="n"/>
      <c r="P154" s="245" t="n"/>
      <c r="Q154" s="250">
        <f>R154/H154</f>
        <v/>
      </c>
      <c r="R154" s="251" t="n">
        <v>5867.92</v>
      </c>
      <c r="S154" s="249" t="n">
        <v>18062</v>
      </c>
      <c r="T154" s="252">
        <f>S154*R154</f>
        <v/>
      </c>
      <c r="U154" s="245" t="n"/>
      <c r="V154" s="245" t="n"/>
      <c r="W154" s="245" t="n"/>
      <c r="X154" s="245" t="n"/>
      <c r="Y154" s="245" t="n"/>
      <c r="Z154" s="245" t="n"/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7" t="n">
        <v>72</v>
      </c>
      <c r="I155" s="245" t="inlineStr"/>
      <c r="J155" s="245" t="inlineStr"/>
      <c r="K155" s="245" t="inlineStr">
        <is>
          <t>10IN MEDIUM MFM TW</t>
        </is>
      </c>
      <c r="L155" s="245" t="inlineStr">
        <is>
          <t>WA-MMF-10T-IN</t>
        </is>
      </c>
      <c r="M155" s="248" t="inlineStr">
        <is>
          <t>MIWU00198</t>
        </is>
      </c>
      <c r="N155" s="245" t="inlineStr">
        <is>
          <t>F.MFM.10T.005.BU</t>
        </is>
      </c>
      <c r="O155" s="245" t="n"/>
      <c r="P155" s="245" t="n"/>
      <c r="Q155" s="250">
        <f>R155/H155</f>
        <v/>
      </c>
      <c r="R155" s="251" t="n">
        <v>3313.44</v>
      </c>
      <c r="S155" s="249" t="n">
        <v>18062</v>
      </c>
      <c r="T155" s="252">
        <f>S155*R155</f>
        <v/>
      </c>
      <c r="U155" s="245" t="n"/>
      <c r="V155" s="245" t="n"/>
      <c r="W155" s="245" t="n"/>
      <c r="X155" s="245" t="n"/>
      <c r="Y155" s="245" t="n"/>
      <c r="Z155" s="245" t="n"/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7" t="n">
        <v>20</v>
      </c>
      <c r="I156" s="245" t="inlineStr"/>
      <c r="J156" s="245" t="inlineStr"/>
      <c r="K156" s="245" t="inlineStr">
        <is>
          <t>12IN MEDIUM MFM FL</t>
        </is>
      </c>
      <c r="L156" s="245" t="inlineStr">
        <is>
          <t>WA-MMF-12F-IN</t>
        </is>
      </c>
      <c r="M156" s="248" t="inlineStr">
        <is>
          <t>MIWU00198</t>
        </is>
      </c>
      <c r="N156" s="245" t="inlineStr">
        <is>
          <t>F.MFM.12F.005.BU</t>
        </is>
      </c>
      <c r="O156" s="245" t="n"/>
      <c r="P156" s="245" t="n"/>
      <c r="Q156" s="250">
        <f>R156/H156</f>
        <v/>
      </c>
      <c r="R156" s="251" t="n">
        <v>1393</v>
      </c>
      <c r="S156" s="249" t="n">
        <v>18062</v>
      </c>
      <c r="T156" s="252">
        <f>S156*R156</f>
        <v/>
      </c>
      <c r="U156" s="245" t="n"/>
      <c r="V156" s="245" t="n"/>
      <c r="W156" s="245" t="n"/>
      <c r="X156" s="245" t="n"/>
      <c r="Y156" s="245" t="n"/>
      <c r="Z156" s="245" t="n"/>
    </row>
    <row r="157" ht="16.5" customHeight="1" s="202">
      <c r="A157" s="245" t="n"/>
      <c r="B157" s="245" t="n"/>
      <c r="C157" s="245" t="n"/>
      <c r="D157" s="245" t="n"/>
      <c r="E157" s="245" t="n"/>
      <c r="F157" s="245" t="n"/>
      <c r="G157" s="245" t="n"/>
      <c r="H157" s="247" t="n">
        <v>52</v>
      </c>
      <c r="I157" s="245" t="inlineStr"/>
      <c r="J157" s="245" t="inlineStr"/>
      <c r="K157" s="245" t="inlineStr">
        <is>
          <t>12IN MEDIUM MFM QN</t>
        </is>
      </c>
      <c r="L157" s="245" t="inlineStr">
        <is>
          <t>WA-MMF-12Q-IN</t>
        </is>
      </c>
      <c r="M157" s="248" t="inlineStr">
        <is>
          <t>MIWU00198</t>
        </is>
      </c>
      <c r="N157" s="245" t="inlineStr">
        <is>
          <t>F.MFM.12Q.005.BU</t>
        </is>
      </c>
      <c r="O157" s="245" t="n"/>
      <c r="P157" s="245" t="n"/>
      <c r="Q157" s="250">
        <f>R157/H157</f>
        <v/>
      </c>
      <c r="R157" s="251" t="n">
        <v>4210.44</v>
      </c>
      <c r="S157" s="249" t="n">
        <v>18062</v>
      </c>
      <c r="T157" s="252">
        <f>S157*R157</f>
        <v/>
      </c>
      <c r="U157" s="245" t="n"/>
      <c r="V157" s="245" t="n"/>
      <c r="W157" s="245" t="n"/>
      <c r="X157" s="245" t="n"/>
      <c r="Y157" s="245" t="n"/>
      <c r="Z157" s="245" t="n"/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7" t="n">
        <v>50</v>
      </c>
      <c r="I158" s="245" t="inlineStr"/>
      <c r="J158" s="245" t="inlineStr"/>
      <c r="K158" s="245" t="inlineStr">
        <is>
          <t>12IN MEDIUM MFM TW</t>
        </is>
      </c>
      <c r="L158" s="245" t="inlineStr">
        <is>
          <t>WA-MMF-12T-IN</t>
        </is>
      </c>
      <c r="M158" s="248" t="inlineStr">
        <is>
          <t>MIWU00198</t>
        </is>
      </c>
      <c r="N158" s="245" t="inlineStr">
        <is>
          <t>F.MFM.12T.005.BU</t>
        </is>
      </c>
      <c r="O158" s="245" t="n"/>
      <c r="P158" s="245" t="n"/>
      <c r="Q158" s="250">
        <f>R158/H158</f>
        <v/>
      </c>
      <c r="R158" s="251" t="n">
        <v>2605</v>
      </c>
      <c r="S158" s="249" t="n">
        <v>18062</v>
      </c>
      <c r="T158" s="252">
        <f>S158*R158</f>
        <v/>
      </c>
      <c r="U158" s="245" t="n"/>
      <c r="V158" s="245" t="n"/>
      <c r="W158" s="245" t="n"/>
      <c r="X158" s="245" t="n"/>
      <c r="Y158" s="245" t="n"/>
      <c r="Z158" s="245" t="n"/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20</v>
      </c>
      <c r="I159" s="245" t="inlineStr"/>
      <c r="J159" s="245" t="inlineStr"/>
      <c r="K159" s="245" t="inlineStr">
        <is>
          <t>14IN MEDIUM MFM FL</t>
        </is>
      </c>
      <c r="L159" s="245" t="inlineStr">
        <is>
          <t>WA-MMF-14F-IN</t>
        </is>
      </c>
      <c r="M159" s="248" t="inlineStr">
        <is>
          <t>MIWU00198</t>
        </is>
      </c>
      <c r="N159" s="245" t="inlineStr">
        <is>
          <t>F.MFM.14F.000.BU</t>
        </is>
      </c>
      <c r="O159" s="245" t="n"/>
      <c r="P159" s="245" t="n"/>
      <c r="Q159" s="250">
        <f>R159/H159</f>
        <v/>
      </c>
      <c r="R159" s="251" t="n">
        <v>1559.2</v>
      </c>
      <c r="S159" s="249" t="n">
        <v>18062</v>
      </c>
      <c r="T159" s="252">
        <f>S159*R159</f>
        <v/>
      </c>
      <c r="U159" s="245" t="n"/>
      <c r="V159" s="245" t="n"/>
      <c r="W159" s="245" t="n"/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65</v>
      </c>
      <c r="I160" s="245" t="inlineStr"/>
      <c r="J160" s="245" t="inlineStr"/>
      <c r="K160" s="245" t="inlineStr">
        <is>
          <t>6IN MEDIUM MFM TW</t>
        </is>
      </c>
      <c r="L160" s="245" t="inlineStr">
        <is>
          <t>WA-MMF-6T-IN</t>
        </is>
      </c>
      <c r="M160" s="248" t="inlineStr">
        <is>
          <t>MIWU00198</t>
        </is>
      </c>
      <c r="N160" s="245" t="inlineStr">
        <is>
          <t>F.MFM.06T.002.BU</t>
        </is>
      </c>
      <c r="O160" s="245" t="n"/>
      <c r="P160" s="245" t="n"/>
      <c r="Q160" s="250">
        <f>R160/H160</f>
        <v/>
      </c>
      <c r="R160" s="251" t="n">
        <v>2086.5</v>
      </c>
      <c r="S160" s="249" t="n">
        <v>18062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70</v>
      </c>
      <c r="I161" s="245" t="inlineStr"/>
      <c r="J161" s="245" t="inlineStr"/>
      <c r="K161" s="245" t="inlineStr">
        <is>
          <t>8IN MEDIUM MFM TW</t>
        </is>
      </c>
      <c r="L161" s="245" t="inlineStr">
        <is>
          <t>WA-MMF-8T-IN</t>
        </is>
      </c>
      <c r="M161" s="248" t="inlineStr">
        <is>
          <t>MIWU00198</t>
        </is>
      </c>
      <c r="N161" s="245" t="inlineStr">
        <is>
          <t>F.MFM.08T.005.BU</t>
        </is>
      </c>
      <c r="O161" s="245" t="n"/>
      <c r="P161" s="245" t="n"/>
      <c r="Q161" s="250">
        <f>R161/H161</f>
        <v/>
      </c>
      <c r="R161" s="251" t="n">
        <v>2721.6</v>
      </c>
      <c r="S161" s="249" t="n">
        <v>18062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7.1" customHeight="1" s="202">
      <c r="A162" s="253" t="n"/>
      <c r="B162" s="253" t="n"/>
      <c r="C162" s="253" t="n"/>
      <c r="D162" s="253" t="n"/>
      <c r="E162" s="253" t="n"/>
      <c r="F162" s="253" t="n"/>
      <c r="G162" s="253" t="n"/>
      <c r="H162" s="254">
        <f>SUM(H152:H161)</f>
        <v/>
      </c>
      <c r="I162" s="253">
        <f>COUNTA(I152:I161)</f>
        <v/>
      </c>
      <c r="J162" s="253" t="n"/>
      <c r="K162" s="253" t="n"/>
      <c r="L162" s="253" t="n"/>
      <c r="M162" s="253" t="n"/>
      <c r="N162" s="253" t="n"/>
      <c r="O162" s="255">
        <f>SUM(O152:O161)</f>
        <v/>
      </c>
      <c r="P162" s="255">
        <f>SUM(P152:P161)</f>
        <v/>
      </c>
      <c r="Q162" s="253" t="n"/>
      <c r="R162" s="256">
        <f>SUM(R152:R161)</f>
        <v/>
      </c>
      <c r="S162" s="253" t="n"/>
      <c r="T162" s="257">
        <f>SUM(T152:T161)</f>
        <v/>
      </c>
      <c r="U162" s="253" t="n"/>
      <c r="V162" s="253" t="n"/>
      <c r="W162" s="253" t="n"/>
      <c r="X162" s="253" t="n"/>
      <c r="Y162" s="253" t="n"/>
      <c r="Z162" s="253" t="n"/>
    </row>
    <row r="163" ht="16.5" customHeight="1" s="202">
      <c r="A163" s="245" t="n">
        <v>17</v>
      </c>
      <c r="B163" s="245" t="inlineStr">
        <is>
          <t>000030ZIK48020260806000585</t>
        </is>
      </c>
      <c r="C163" s="245" t="n">
        <v>494918</v>
      </c>
      <c r="D163" s="245" t="n">
        <v>494860</v>
      </c>
      <c r="E163" s="246" t="n">
        <v>46241</v>
      </c>
      <c r="F163" s="245" t="inlineStr">
        <is>
          <t>ID2608-8058</t>
        </is>
      </c>
      <c r="G163" s="246" t="n">
        <v>46240</v>
      </c>
      <c r="H163" s="247" t="n">
        <v>81</v>
      </c>
      <c r="I163" s="245" t="inlineStr">
        <is>
          <t>WHSU8472150</t>
        </is>
      </c>
      <c r="J163" s="245" t="inlineStr">
        <is>
          <t>40FT</t>
        </is>
      </c>
      <c r="K163" s="245" t="inlineStr">
        <is>
          <t>10IN MEDIUM MFM FL</t>
        </is>
      </c>
      <c r="L163" s="245" t="inlineStr">
        <is>
          <t>WA-MMF-10F-IN</t>
        </is>
      </c>
      <c r="M163" s="248" t="inlineStr">
        <is>
          <t>MIWU00192</t>
        </is>
      </c>
      <c r="N163" s="245" t="inlineStr">
        <is>
          <t>F.MFM.10F.005.BU</t>
        </is>
      </c>
      <c r="O163" s="249" t="n">
        <v>12046.7</v>
      </c>
      <c r="P163" s="249" t="n">
        <v>10876.8</v>
      </c>
      <c r="Q163" s="250">
        <f>R163/H163</f>
        <v/>
      </c>
      <c r="R163" s="251" t="n">
        <v>4890.78</v>
      </c>
      <c r="S163" s="249" t="n">
        <v>18062</v>
      </c>
      <c r="T163" s="252">
        <f>S163*R163</f>
        <v/>
      </c>
      <c r="U163" s="245" t="inlineStr">
        <is>
          <t>040300/KPPBC</t>
        </is>
      </c>
      <c r="V163" s="245" t="inlineStr">
        <is>
          <t>TG. PRIOK</t>
        </is>
      </c>
      <c r="W163" s="245" t="inlineStr">
        <is>
          <t>SAVANNAH, US</t>
        </is>
      </c>
      <c r="X163" s="245" t="inlineStr">
        <is>
          <t>MELLOW INC</t>
        </is>
      </c>
      <c r="Y163" s="245" t="inlineStr">
        <is>
          <t>WHLC049GX08381</t>
        </is>
      </c>
      <c r="Z163" s="246" t="n">
        <v>46241</v>
      </c>
    </row>
    <row r="164" ht="16.5" customHeight="1" s="202">
      <c r="A164" s="245" t="n"/>
      <c r="B164" s="245" t="n"/>
      <c r="C164" s="245" t="n"/>
      <c r="D164" s="245" t="n"/>
      <c r="E164" s="245" t="n"/>
      <c r="F164" s="245" t="n"/>
      <c r="G164" s="245" t="n"/>
      <c r="H164" s="247" t="n">
        <v>42</v>
      </c>
      <c r="I164" s="245" t="inlineStr"/>
      <c r="J164" s="245" t="inlineStr"/>
      <c r="K164" s="245" t="inlineStr">
        <is>
          <t>10IN MEDIUM MFM EK</t>
        </is>
      </c>
      <c r="L164" s="245" t="inlineStr">
        <is>
          <t>WA-MMF-10K-IN</t>
        </is>
      </c>
      <c r="M164" s="248" t="inlineStr">
        <is>
          <t>MIWU00192</t>
        </is>
      </c>
      <c r="N164" s="245" t="inlineStr">
        <is>
          <t>F.MFM.10K.005.BU</t>
        </is>
      </c>
      <c r="O164" s="245" t="n"/>
      <c r="P164" s="245" t="n"/>
      <c r="Q164" s="250">
        <f>R164/H164</f>
        <v/>
      </c>
      <c r="R164" s="251" t="n">
        <v>3673.74</v>
      </c>
      <c r="S164" s="249" t="n">
        <v>18062</v>
      </c>
      <c r="T164" s="252">
        <f>S164*R164</f>
        <v/>
      </c>
      <c r="U164" s="245" t="n"/>
      <c r="V164" s="245" t="n"/>
      <c r="W164" s="245" t="inlineStr">
        <is>
          <t>ETD : 14-08-2026</t>
        </is>
      </c>
      <c r="X164" s="245" t="n"/>
      <c r="Y164" s="245" t="n"/>
      <c r="Z164" s="245" t="n"/>
    </row>
    <row r="165" ht="16.5" customHeight="1" s="202">
      <c r="A165" s="245" t="n"/>
      <c r="B165" s="245" t="n"/>
      <c r="C165" s="245" t="n"/>
      <c r="D165" s="245" t="n"/>
      <c r="E165" s="245" t="n"/>
      <c r="F165" s="245" t="n"/>
      <c r="G165" s="245" t="n"/>
      <c r="H165" s="247" t="n">
        <v>65</v>
      </c>
      <c r="I165" s="245" t="inlineStr"/>
      <c r="J165" s="245" t="inlineStr"/>
      <c r="K165" s="245" t="inlineStr">
        <is>
          <t>10IN MEDIUM MFM QN</t>
        </is>
      </c>
      <c r="L165" s="245" t="inlineStr">
        <is>
          <t>WA-MMF-10Q-IN</t>
        </is>
      </c>
      <c r="M165" s="248" t="inlineStr">
        <is>
          <t>MIWU00192</t>
        </is>
      </c>
      <c r="N165" s="245" t="inlineStr">
        <is>
          <t>F.MFM.10Q.005.BU</t>
        </is>
      </c>
      <c r="O165" s="245" t="n"/>
      <c r="P165" s="245" t="n"/>
      <c r="Q165" s="250">
        <f>R165/H165</f>
        <v/>
      </c>
      <c r="R165" s="251" t="n">
        <v>4651.4</v>
      </c>
      <c r="S165" s="249" t="n">
        <v>18062</v>
      </c>
      <c r="T165" s="252">
        <f>S165*R165</f>
        <v/>
      </c>
      <c r="U165" s="245" t="n"/>
      <c r="V165" s="245" t="n"/>
      <c r="W165" s="245" t="n"/>
      <c r="X165" s="245" t="n"/>
      <c r="Y165" s="245" t="n"/>
      <c r="Z165" s="245" t="n"/>
    </row>
    <row r="166" ht="16.5" customHeight="1" s="202">
      <c r="A166" s="245" t="n"/>
      <c r="B166" s="245" t="n"/>
      <c r="C166" s="245" t="n"/>
      <c r="D166" s="245" t="n"/>
      <c r="E166" s="245" t="n"/>
      <c r="F166" s="245" t="n"/>
      <c r="G166" s="245" t="n"/>
      <c r="H166" s="247" t="n">
        <v>51</v>
      </c>
      <c r="I166" s="245" t="inlineStr"/>
      <c r="J166" s="245" t="inlineStr"/>
      <c r="K166" s="245" t="inlineStr">
        <is>
          <t>10IN MEDIUM MFM TW</t>
        </is>
      </c>
      <c r="L166" s="245" t="inlineStr">
        <is>
          <t>WA-MMF-10T-IN</t>
        </is>
      </c>
      <c r="M166" s="248" t="inlineStr">
        <is>
          <t>MIWU00192</t>
        </is>
      </c>
      <c r="N166" s="245" t="inlineStr">
        <is>
          <t>F.MFM.10T.005.BU</t>
        </is>
      </c>
      <c r="O166" s="245" t="n"/>
      <c r="P166" s="245" t="n"/>
      <c r="Q166" s="250">
        <f>R166/H166</f>
        <v/>
      </c>
      <c r="R166" s="251" t="n">
        <v>2347.02</v>
      </c>
      <c r="S166" s="249" t="n">
        <v>18062</v>
      </c>
      <c r="T166" s="252">
        <f>S166*R166</f>
        <v/>
      </c>
      <c r="U166" s="245" t="n"/>
      <c r="V166" s="245" t="n"/>
      <c r="W166" s="245" t="n"/>
      <c r="X166" s="245" t="n"/>
      <c r="Y166" s="245" t="n"/>
      <c r="Z166" s="245" t="n"/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7" t="n">
        <v>31</v>
      </c>
      <c r="I167" s="245" t="inlineStr"/>
      <c r="J167" s="245" t="inlineStr"/>
      <c r="K167" s="245" t="inlineStr">
        <is>
          <t>12IN MEDIUM MFM FL</t>
        </is>
      </c>
      <c r="L167" s="245" t="inlineStr">
        <is>
          <t>WA-MMF-12F-IN</t>
        </is>
      </c>
      <c r="M167" s="248" t="inlineStr">
        <is>
          <t>MIWU00192</t>
        </is>
      </c>
      <c r="N167" s="245" t="inlineStr">
        <is>
          <t>F.MFM.12F.005.BU</t>
        </is>
      </c>
      <c r="O167" s="245" t="n"/>
      <c r="P167" s="245" t="n"/>
      <c r="Q167" s="250">
        <f>R167/H167</f>
        <v/>
      </c>
      <c r="R167" s="251" t="n">
        <v>2159.15</v>
      </c>
      <c r="S167" s="249" t="n">
        <v>18062</v>
      </c>
      <c r="T167" s="252">
        <f>S167*R167</f>
        <v/>
      </c>
      <c r="U167" s="245" t="n"/>
      <c r="V167" s="245" t="n"/>
      <c r="W167" s="245" t="n"/>
      <c r="X167" s="245" t="n"/>
      <c r="Y167" s="245" t="n"/>
      <c r="Z167" s="245" t="n"/>
    </row>
    <row r="168" ht="16.5" customHeight="1" s="202">
      <c r="A168" s="245" t="n"/>
      <c r="B168" s="245" t="n"/>
      <c r="C168" s="245" t="n"/>
      <c r="D168" s="245" t="n"/>
      <c r="E168" s="245" t="n"/>
      <c r="F168" s="245" t="n"/>
      <c r="G168" s="245" t="n"/>
      <c r="H168" s="247" t="n">
        <v>24</v>
      </c>
      <c r="I168" s="245" t="inlineStr"/>
      <c r="J168" s="245" t="inlineStr"/>
      <c r="K168" s="245" t="inlineStr">
        <is>
          <t>12IN MEDIUM MFM EK</t>
        </is>
      </c>
      <c r="L168" s="245" t="inlineStr">
        <is>
          <t>WA-MMF-12K-IN</t>
        </is>
      </c>
      <c r="M168" s="248" t="inlineStr">
        <is>
          <t>MIWU00192</t>
        </is>
      </c>
      <c r="N168" s="245" t="inlineStr">
        <is>
          <t>F.MFM.12K.005.BU</t>
        </is>
      </c>
      <c r="O168" s="245" t="n"/>
      <c r="P168" s="245" t="n"/>
      <c r="Q168" s="250">
        <f>R168/H168</f>
        <v/>
      </c>
      <c r="R168" s="251" t="n">
        <v>2372.64</v>
      </c>
      <c r="S168" s="249" t="n">
        <v>18062</v>
      </c>
      <c r="T168" s="252">
        <f>S168*R168</f>
        <v/>
      </c>
      <c r="U168" s="245" t="n"/>
      <c r="V168" s="245" t="n"/>
      <c r="W168" s="245" t="n"/>
      <c r="X168" s="245" t="n"/>
      <c r="Y168" s="245" t="n"/>
      <c r="Z168" s="245" t="n"/>
    </row>
    <row r="169" ht="16.5" customHeight="1" s="202">
      <c r="A169" s="245" t="n"/>
      <c r="B169" s="245" t="n"/>
      <c r="C169" s="245" t="n"/>
      <c r="D169" s="245" t="n"/>
      <c r="E169" s="245" t="n"/>
      <c r="F169" s="245" t="n"/>
      <c r="G169" s="245" t="n"/>
      <c r="H169" s="247" t="n">
        <v>70</v>
      </c>
      <c r="I169" s="245" t="inlineStr"/>
      <c r="J169" s="245" t="inlineStr"/>
      <c r="K169" s="245" t="inlineStr">
        <is>
          <t>6IN MEDIUM MFM FL</t>
        </is>
      </c>
      <c r="L169" s="245" t="inlineStr">
        <is>
          <t>WA-MMF-6F-IN</t>
        </is>
      </c>
      <c r="M169" s="248" t="inlineStr">
        <is>
          <t>MIWU00192</t>
        </is>
      </c>
      <c r="N169" s="245" t="inlineStr">
        <is>
          <t>F.MFM.06F.002.BU</t>
        </is>
      </c>
      <c r="O169" s="245" t="n"/>
      <c r="P169" s="245" t="n"/>
      <c r="Q169" s="250">
        <f>R169/H169</f>
        <v/>
      </c>
      <c r="R169" s="251" t="n">
        <v>2983.4</v>
      </c>
      <c r="S169" s="249" t="n">
        <v>18062</v>
      </c>
      <c r="T169" s="252">
        <f>S169*R169</f>
        <v/>
      </c>
      <c r="U169" s="245" t="n"/>
      <c r="V169" s="245" t="n"/>
      <c r="W169" s="245" t="n"/>
      <c r="X169" s="245" t="n"/>
      <c r="Y169" s="245" t="n"/>
      <c r="Z169" s="245" t="n"/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7" t="n">
        <v>77</v>
      </c>
      <c r="I170" s="245" t="inlineStr"/>
      <c r="J170" s="245" t="inlineStr"/>
      <c r="K170" s="245" t="inlineStr">
        <is>
          <t>6IN MEDIUM MFM TW</t>
        </is>
      </c>
      <c r="L170" s="245" t="inlineStr">
        <is>
          <t>WA-MMF-6T-IN</t>
        </is>
      </c>
      <c r="M170" s="248" t="inlineStr">
        <is>
          <t>MIWU00192</t>
        </is>
      </c>
      <c r="N170" s="245" t="inlineStr">
        <is>
          <t>F.MFM.06T.002.BU</t>
        </is>
      </c>
      <c r="O170" s="245" t="n"/>
      <c r="P170" s="245" t="n"/>
      <c r="Q170" s="250">
        <f>R170/H170</f>
        <v/>
      </c>
      <c r="R170" s="251" t="n">
        <v>2471.7</v>
      </c>
      <c r="S170" s="249" t="n">
        <v>18062</v>
      </c>
      <c r="T170" s="252">
        <f>S170*R170</f>
        <v/>
      </c>
      <c r="U170" s="245" t="n"/>
      <c r="V170" s="245" t="n"/>
      <c r="W170" s="245" t="n"/>
      <c r="X170" s="245" t="n"/>
      <c r="Y170" s="245" t="n"/>
      <c r="Z170" s="245" t="n"/>
    </row>
    <row r="171" ht="16.5" customHeight="1" s="202">
      <c r="A171" s="245" t="n"/>
      <c r="B171" s="245" t="n"/>
      <c r="C171" s="245" t="n"/>
      <c r="D171" s="245" t="n"/>
      <c r="E171" s="245" t="n"/>
      <c r="F171" s="245" t="n"/>
      <c r="G171" s="245" t="n"/>
      <c r="H171" s="247" t="n">
        <v>20</v>
      </c>
      <c r="I171" s="245" t="inlineStr"/>
      <c r="J171" s="245" t="inlineStr"/>
      <c r="K171" s="245" t="inlineStr">
        <is>
          <t>6IN MEDIUM MFM TX</t>
        </is>
      </c>
      <c r="L171" s="245" t="inlineStr">
        <is>
          <t>WA-MMF-6TXL-IN</t>
        </is>
      </c>
      <c r="M171" s="248" t="inlineStr">
        <is>
          <t>MIWU00192</t>
        </is>
      </c>
      <c r="N171" s="245" t="inlineStr">
        <is>
          <t>F.MFM.06X.002.BU</t>
        </is>
      </c>
      <c r="O171" s="245" t="n"/>
      <c r="P171" s="245" t="n"/>
      <c r="Q171" s="250">
        <f>R171/H171</f>
        <v/>
      </c>
      <c r="R171" s="251" t="n">
        <v>680.2</v>
      </c>
      <c r="S171" s="249" t="n">
        <v>18062</v>
      </c>
      <c r="T171" s="252">
        <f>S171*R171</f>
        <v/>
      </c>
      <c r="U171" s="245" t="n"/>
      <c r="V171" s="245" t="n"/>
      <c r="W171" s="245" t="n"/>
      <c r="X171" s="245" t="n"/>
      <c r="Y171" s="245" t="n"/>
      <c r="Z171" s="245" t="n"/>
    </row>
    <row r="172" ht="16.5" customHeight="1" s="202">
      <c r="A172" s="245" t="n"/>
      <c r="B172" s="245" t="n"/>
      <c r="C172" s="245" t="n"/>
      <c r="D172" s="245" t="n"/>
      <c r="E172" s="245" t="n"/>
      <c r="F172" s="245" t="n"/>
      <c r="G172" s="245" t="n"/>
      <c r="H172" s="247" t="n">
        <v>50</v>
      </c>
      <c r="I172" s="245" t="inlineStr"/>
      <c r="J172" s="245" t="inlineStr"/>
      <c r="K172" s="245" t="inlineStr">
        <is>
          <t>8IN MEDIUM MFM FL</t>
        </is>
      </c>
      <c r="L172" s="245" t="inlineStr">
        <is>
          <t>WA-MMF-8F-IN</t>
        </is>
      </c>
      <c r="M172" s="248" t="inlineStr">
        <is>
          <t>MIWU00192</t>
        </is>
      </c>
      <c r="N172" s="245" t="inlineStr">
        <is>
          <t>F.MFM.08F.005.BU</t>
        </is>
      </c>
      <c r="O172" s="245" t="n"/>
      <c r="P172" s="245" t="n"/>
      <c r="Q172" s="250">
        <f>R172/H172</f>
        <v/>
      </c>
      <c r="R172" s="251" t="n">
        <v>2605</v>
      </c>
      <c r="S172" s="249" t="n">
        <v>18062</v>
      </c>
      <c r="T172" s="252">
        <f>S172*R172</f>
        <v/>
      </c>
      <c r="U172" s="245" t="n"/>
      <c r="V172" s="245" t="n"/>
      <c r="W172" s="245" t="n"/>
      <c r="X172" s="245" t="n"/>
      <c r="Y172" s="245" t="n"/>
      <c r="Z172" s="245" t="n"/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22</v>
      </c>
      <c r="I173" s="245" t="inlineStr"/>
      <c r="J173" s="245" t="inlineStr"/>
      <c r="K173" s="245" t="inlineStr">
        <is>
          <t>8IN MEDIUM MFM QN</t>
        </is>
      </c>
      <c r="L173" s="245" t="inlineStr">
        <is>
          <t>WA-MMF-8Q-IN</t>
        </is>
      </c>
      <c r="M173" s="248" t="inlineStr">
        <is>
          <t>MIWU00192</t>
        </is>
      </c>
      <c r="N173" s="245" t="inlineStr">
        <is>
          <t>F.MFM.08Q.005.BU</t>
        </is>
      </c>
      <c r="O173" s="245" t="n"/>
      <c r="P173" s="245" t="n"/>
      <c r="Q173" s="250">
        <f>R173/H173</f>
        <v/>
      </c>
      <c r="R173" s="251" t="n">
        <v>1357.18</v>
      </c>
      <c r="S173" s="249" t="n">
        <v>18062</v>
      </c>
      <c r="T173" s="252">
        <f>S173*R173</f>
        <v/>
      </c>
      <c r="U173" s="245" t="n"/>
      <c r="V173" s="245" t="n"/>
      <c r="W173" s="245" t="n"/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81</v>
      </c>
      <c r="I174" s="245" t="inlineStr"/>
      <c r="J174" s="245" t="inlineStr"/>
      <c r="K174" s="245" t="inlineStr">
        <is>
          <t>8IN MEDIUM MFM TW</t>
        </is>
      </c>
      <c r="L174" s="245" t="inlineStr">
        <is>
          <t>WA-MMF-8T-IN</t>
        </is>
      </c>
      <c r="M174" s="248" t="inlineStr">
        <is>
          <t>MIWU00192</t>
        </is>
      </c>
      <c r="N174" s="245" t="inlineStr">
        <is>
          <t>F.MFM.08T.005.BU</t>
        </is>
      </c>
      <c r="O174" s="245" t="n"/>
      <c r="P174" s="245" t="n"/>
      <c r="Q174" s="250">
        <f>R174/H174</f>
        <v/>
      </c>
      <c r="R174" s="251" t="n">
        <v>3149.28</v>
      </c>
      <c r="S174" s="249" t="n">
        <v>18062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7.1" customHeight="1" s="202">
      <c r="A175" s="253" t="n"/>
      <c r="B175" s="253" t="n"/>
      <c r="C175" s="253" t="n"/>
      <c r="D175" s="253" t="n"/>
      <c r="E175" s="253" t="n"/>
      <c r="F175" s="253" t="n"/>
      <c r="G175" s="253" t="n"/>
      <c r="H175" s="254">
        <f>SUM(H163:H174)</f>
        <v/>
      </c>
      <c r="I175" s="253">
        <f>COUNTA(I163:I174)</f>
        <v/>
      </c>
      <c r="J175" s="253" t="n"/>
      <c r="K175" s="253" t="n"/>
      <c r="L175" s="253" t="n"/>
      <c r="M175" s="253" t="n"/>
      <c r="N175" s="253" t="n"/>
      <c r="O175" s="255">
        <f>SUM(O163:O174)</f>
        <v/>
      </c>
      <c r="P175" s="255">
        <f>SUM(P163:P174)</f>
        <v/>
      </c>
      <c r="Q175" s="253" t="n"/>
      <c r="R175" s="256">
        <f>SUM(R163:R174)</f>
        <v/>
      </c>
      <c r="S175" s="253" t="n"/>
      <c r="T175" s="257">
        <f>SUM(T163:T174)</f>
        <v/>
      </c>
      <c r="U175" s="253" t="n"/>
      <c r="V175" s="253" t="n"/>
      <c r="W175" s="253" t="n"/>
      <c r="X175" s="253" t="n"/>
      <c r="Y175" s="253" t="n"/>
      <c r="Z175" s="253" t="n"/>
    </row>
    <row r="176" ht="16.5" customHeight="1" s="202">
      <c r="A176" s="245" t="n">
        <v>18</v>
      </c>
      <c r="B176" s="245" t="inlineStr">
        <is>
          <t>000030ZIK48020260806000586</t>
        </is>
      </c>
      <c r="C176" s="245" t="n">
        <v>494930</v>
      </c>
      <c r="D176" s="245" t="n">
        <v>494872</v>
      </c>
      <c r="E176" s="246" t="n">
        <v>46241</v>
      </c>
      <c r="F176" s="245" t="inlineStr">
        <is>
          <t>ID2608-8059</t>
        </is>
      </c>
      <c r="G176" s="246" t="n">
        <v>46240</v>
      </c>
      <c r="H176" s="247" t="n">
        <v>85</v>
      </c>
      <c r="I176" s="245" t="inlineStr">
        <is>
          <t>WHSU6883090</t>
        </is>
      </c>
      <c r="J176" s="245" t="inlineStr">
        <is>
          <t>40FT</t>
        </is>
      </c>
      <c r="K176" s="245" t="inlineStr">
        <is>
          <t>10IN MEDIUM MFM FL</t>
        </is>
      </c>
      <c r="L176" s="245" t="inlineStr">
        <is>
          <t>WA-MMF-10F-IN</t>
        </is>
      </c>
      <c r="M176" s="248" t="inlineStr">
        <is>
          <t>MIWU00196</t>
        </is>
      </c>
      <c r="N176" s="245" t="inlineStr">
        <is>
          <t>F.MFM.10F.005.BU</t>
        </is>
      </c>
      <c r="O176" s="249" t="n">
        <v>12481.8</v>
      </c>
      <c r="P176" s="249" t="n">
        <v>11286.5</v>
      </c>
      <c r="Q176" s="250">
        <f>R176/H176</f>
        <v/>
      </c>
      <c r="R176" s="251" t="n">
        <v>5132.3</v>
      </c>
      <c r="S176" s="249" t="n">
        <v>18062</v>
      </c>
      <c r="T176" s="252">
        <f>S176*R176</f>
        <v/>
      </c>
      <c r="U176" s="245" t="inlineStr">
        <is>
          <t>040300/KPPBC</t>
        </is>
      </c>
      <c r="V176" s="245" t="inlineStr">
        <is>
          <t>TG. PRIOK</t>
        </is>
      </c>
      <c r="W176" s="245" t="inlineStr">
        <is>
          <t>SAVANNAH, US</t>
        </is>
      </c>
      <c r="X176" s="245" t="inlineStr">
        <is>
          <t>MELLOW INC</t>
        </is>
      </c>
      <c r="Y176" s="245" t="inlineStr">
        <is>
          <t>WHLC049GX08380</t>
        </is>
      </c>
      <c r="Z176" s="246" t="n">
        <v>46241</v>
      </c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60</v>
      </c>
      <c r="I177" s="245" t="inlineStr"/>
      <c r="J177" s="245" t="inlineStr"/>
      <c r="K177" s="245" t="inlineStr">
        <is>
          <t>10IN MEDIUM MFM EK</t>
        </is>
      </c>
      <c r="L177" s="245" t="inlineStr">
        <is>
          <t>WA-MMF-10K-IN</t>
        </is>
      </c>
      <c r="M177" s="248" t="inlineStr">
        <is>
          <t>MIWU00196</t>
        </is>
      </c>
      <c r="N177" s="245" t="inlineStr">
        <is>
          <t>F.MFM.10K.005.BU</t>
        </is>
      </c>
      <c r="O177" s="245" t="n"/>
      <c r="P177" s="245" t="n"/>
      <c r="Q177" s="250">
        <f>R177/H177</f>
        <v/>
      </c>
      <c r="R177" s="251" t="n">
        <v>5248.2</v>
      </c>
      <c r="S177" s="249" t="n">
        <v>18062</v>
      </c>
      <c r="T177" s="252">
        <f>S177*R177</f>
        <v/>
      </c>
      <c r="U177" s="245" t="n"/>
      <c r="V177" s="245" t="n"/>
      <c r="W177" s="245" t="inlineStr">
        <is>
          <t>ETD : 14-08-2026</t>
        </is>
      </c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82</v>
      </c>
      <c r="I178" s="245" t="inlineStr"/>
      <c r="J178" s="245" t="inlineStr"/>
      <c r="K178" s="245" t="inlineStr">
        <is>
          <t>10IN MEDIUM MFM QN</t>
        </is>
      </c>
      <c r="L178" s="245" t="inlineStr">
        <is>
          <t>WA-MMF-10Q-IN</t>
        </is>
      </c>
      <c r="M178" s="248" t="inlineStr">
        <is>
          <t>MIWU00196</t>
        </is>
      </c>
      <c r="N178" s="245" t="inlineStr">
        <is>
          <t>F.MFM.10Q.005.BU</t>
        </is>
      </c>
      <c r="O178" s="245" t="n"/>
      <c r="P178" s="245" t="n"/>
      <c r="Q178" s="250">
        <f>R178/H178</f>
        <v/>
      </c>
      <c r="R178" s="251" t="n">
        <v>5867.92</v>
      </c>
      <c r="S178" s="249" t="n">
        <v>18062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72</v>
      </c>
      <c r="I179" s="245" t="inlineStr"/>
      <c r="J179" s="245" t="inlineStr"/>
      <c r="K179" s="245" t="inlineStr">
        <is>
          <t>10IN MEDIUM MFM TW</t>
        </is>
      </c>
      <c r="L179" s="245" t="inlineStr">
        <is>
          <t>WA-MMF-10T-IN</t>
        </is>
      </c>
      <c r="M179" s="248" t="inlineStr">
        <is>
          <t>MIWU00196</t>
        </is>
      </c>
      <c r="N179" s="245" t="inlineStr">
        <is>
          <t>F.MFM.10T.005.BU</t>
        </is>
      </c>
      <c r="O179" s="245" t="n"/>
      <c r="P179" s="245" t="n"/>
      <c r="Q179" s="250">
        <f>R179/H179</f>
        <v/>
      </c>
      <c r="R179" s="251" t="n">
        <v>3313.44</v>
      </c>
      <c r="S179" s="249" t="n">
        <v>18062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20</v>
      </c>
      <c r="I180" s="245" t="inlineStr"/>
      <c r="J180" s="245" t="inlineStr"/>
      <c r="K180" s="245" t="inlineStr">
        <is>
          <t>12IN MEDIUM MFM FL</t>
        </is>
      </c>
      <c r="L180" s="245" t="inlineStr">
        <is>
          <t>WA-MMF-12F-IN</t>
        </is>
      </c>
      <c r="M180" s="248" t="inlineStr">
        <is>
          <t>MIWU00196</t>
        </is>
      </c>
      <c r="N180" s="245" t="inlineStr">
        <is>
          <t>F.MFM.12F.005.BU</t>
        </is>
      </c>
      <c r="O180" s="245" t="n"/>
      <c r="P180" s="245" t="n"/>
      <c r="Q180" s="250">
        <f>R180/H180</f>
        <v/>
      </c>
      <c r="R180" s="251" t="n">
        <v>1393</v>
      </c>
      <c r="S180" s="249" t="n">
        <v>18062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52</v>
      </c>
      <c r="I181" s="245" t="inlineStr"/>
      <c r="J181" s="245" t="inlineStr"/>
      <c r="K181" s="245" t="inlineStr">
        <is>
          <t>12IN MEDIUM MFM QN</t>
        </is>
      </c>
      <c r="L181" s="245" t="inlineStr">
        <is>
          <t>WA-MMF-12Q-IN</t>
        </is>
      </c>
      <c r="M181" s="248" t="inlineStr">
        <is>
          <t>MIWU00196</t>
        </is>
      </c>
      <c r="N181" s="245" t="inlineStr">
        <is>
          <t>F.MFM.12Q.005.BU</t>
        </is>
      </c>
      <c r="O181" s="245" t="n"/>
      <c r="P181" s="245" t="n"/>
      <c r="Q181" s="250">
        <f>R181/H181</f>
        <v/>
      </c>
      <c r="R181" s="251" t="n">
        <v>4210.44</v>
      </c>
      <c r="S181" s="249" t="n">
        <v>18062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50</v>
      </c>
      <c r="I182" s="245" t="inlineStr"/>
      <c r="J182" s="245" t="inlineStr"/>
      <c r="K182" s="245" t="inlineStr">
        <is>
          <t>12IN MEDIUM MFM TW</t>
        </is>
      </c>
      <c r="L182" s="245" t="inlineStr">
        <is>
          <t>WA-MMF-12T-IN</t>
        </is>
      </c>
      <c r="M182" s="248" t="inlineStr">
        <is>
          <t>MIWU00196</t>
        </is>
      </c>
      <c r="N182" s="245" t="inlineStr">
        <is>
          <t>F.MFM.12T.005.BU</t>
        </is>
      </c>
      <c r="O182" s="245" t="n"/>
      <c r="P182" s="245" t="n"/>
      <c r="Q182" s="250">
        <f>R182/H182</f>
        <v/>
      </c>
      <c r="R182" s="251" t="n">
        <v>2605</v>
      </c>
      <c r="S182" s="249" t="n">
        <v>18062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20</v>
      </c>
      <c r="I183" s="245" t="inlineStr"/>
      <c r="J183" s="245" t="inlineStr"/>
      <c r="K183" s="245" t="inlineStr">
        <is>
          <t>14IN MEDIUM MFM FL</t>
        </is>
      </c>
      <c r="L183" s="245" t="inlineStr">
        <is>
          <t>WA-MMF-14F-IN</t>
        </is>
      </c>
      <c r="M183" s="248" t="inlineStr">
        <is>
          <t>MIWU00196</t>
        </is>
      </c>
      <c r="N183" s="245" t="inlineStr">
        <is>
          <t>F.MFM.14F.000.BU</t>
        </is>
      </c>
      <c r="O183" s="245" t="n"/>
      <c r="P183" s="245" t="n"/>
      <c r="Q183" s="250">
        <f>R183/H183</f>
        <v/>
      </c>
      <c r="R183" s="251" t="n">
        <v>1559.2</v>
      </c>
      <c r="S183" s="249" t="n">
        <v>18062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65</v>
      </c>
      <c r="I184" s="245" t="inlineStr"/>
      <c r="J184" s="245" t="inlineStr"/>
      <c r="K184" s="245" t="inlineStr">
        <is>
          <t>6IN MEDIUM MFM TW</t>
        </is>
      </c>
      <c r="L184" s="245" t="inlineStr">
        <is>
          <t>WA-MMF-6T-IN</t>
        </is>
      </c>
      <c r="M184" s="248" t="inlineStr">
        <is>
          <t>MIWU00196</t>
        </is>
      </c>
      <c r="N184" s="245" t="inlineStr">
        <is>
          <t>F.MFM.06T.002.BU</t>
        </is>
      </c>
      <c r="O184" s="245" t="n"/>
      <c r="P184" s="245" t="n"/>
      <c r="Q184" s="250">
        <f>R184/H184</f>
        <v/>
      </c>
      <c r="R184" s="251" t="n">
        <v>2086.5</v>
      </c>
      <c r="S184" s="249" t="n">
        <v>18062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70</v>
      </c>
      <c r="I185" s="245" t="inlineStr"/>
      <c r="J185" s="245" t="inlineStr"/>
      <c r="K185" s="245" t="inlineStr">
        <is>
          <t>8IN MEDIUM MFM TW</t>
        </is>
      </c>
      <c r="L185" s="245" t="inlineStr">
        <is>
          <t>WA-MMF-8T-IN</t>
        </is>
      </c>
      <c r="M185" s="248" t="inlineStr">
        <is>
          <t>MIWU00196</t>
        </is>
      </c>
      <c r="N185" s="245" t="inlineStr">
        <is>
          <t>F.MFM.08T.005.BU</t>
        </is>
      </c>
      <c r="O185" s="245" t="n"/>
      <c r="P185" s="245" t="n"/>
      <c r="Q185" s="250">
        <f>R185/H185</f>
        <v/>
      </c>
      <c r="R185" s="251" t="n">
        <v>2721.6</v>
      </c>
      <c r="S185" s="249" t="n">
        <v>18062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7.1" customHeight="1" s="202">
      <c r="A186" s="253" t="n"/>
      <c r="B186" s="253" t="n"/>
      <c r="C186" s="253" t="n"/>
      <c r="D186" s="253" t="n"/>
      <c r="E186" s="253" t="n"/>
      <c r="F186" s="253" t="n"/>
      <c r="G186" s="253" t="n"/>
      <c r="H186" s="254">
        <f>SUM(H176:H185)</f>
        <v/>
      </c>
      <c r="I186" s="253">
        <f>COUNTA(I176:I185)</f>
        <v/>
      </c>
      <c r="J186" s="253" t="n"/>
      <c r="K186" s="253" t="n"/>
      <c r="L186" s="253" t="n"/>
      <c r="M186" s="253" t="n"/>
      <c r="N186" s="253" t="n"/>
      <c r="O186" s="255">
        <f>SUM(O176:O185)</f>
        <v/>
      </c>
      <c r="P186" s="255">
        <f>SUM(P176:P185)</f>
        <v/>
      </c>
      <c r="Q186" s="253" t="n"/>
      <c r="R186" s="256">
        <f>SUM(R176:R185)</f>
        <v/>
      </c>
      <c r="S186" s="253" t="n"/>
      <c r="T186" s="257">
        <f>SUM(T176:T185)</f>
        <v/>
      </c>
      <c r="U186" s="253" t="n"/>
      <c r="V186" s="253" t="n"/>
      <c r="W186" s="253" t="n"/>
      <c r="X186" s="253" t="n"/>
      <c r="Y186" s="253" t="n"/>
      <c r="Z186" s="253" t="n"/>
    </row>
    <row r="187" ht="16.5" customHeight="1" s="202">
      <c r="A187" s="245" t="n">
        <v>19</v>
      </c>
      <c r="B187" s="245" t="inlineStr">
        <is>
          <t>000030ZIK48020260807000587</t>
        </is>
      </c>
      <c r="C187" s="245" t="n">
        <v>495522</v>
      </c>
      <c r="D187" s="245" t="n">
        <v>495466</v>
      </c>
      <c r="E187" s="246" t="n">
        <v>46241</v>
      </c>
      <c r="F187" s="245" t="inlineStr">
        <is>
          <t>ID2608-8064</t>
        </is>
      </c>
      <c r="G187" s="246" t="n">
        <v>46241</v>
      </c>
      <c r="H187" s="247" t="n">
        <v>50</v>
      </c>
      <c r="I187" s="245" t="inlineStr">
        <is>
          <t>EITU1785329</t>
        </is>
      </c>
      <c r="J187" s="245" t="inlineStr">
        <is>
          <t>40FT</t>
        </is>
      </c>
      <c r="K187" s="245" t="inlineStr">
        <is>
          <t>12IN MYGEL FOAM MATTRESS EK</t>
        </is>
      </c>
      <c r="L187" s="245" t="inlineStr">
        <is>
          <t>ZU-MFGNSWZU-12K</t>
        </is>
      </c>
      <c r="M187" s="248" t="inlineStr">
        <is>
          <t>CIN60203</t>
        </is>
      </c>
      <c r="N187" s="245" t="inlineStr">
        <is>
          <t>F.MFG.12K.000.ZU</t>
        </is>
      </c>
      <c r="O187" s="249" t="n">
        <v>11120.5</v>
      </c>
      <c r="P187" s="249" t="n">
        <v>9312.5</v>
      </c>
      <c r="Q187" s="250">
        <f>R187/H187</f>
        <v/>
      </c>
      <c r="R187" s="251" t="n">
        <v>6088.5</v>
      </c>
      <c r="S187" s="249" t="n">
        <v>18062</v>
      </c>
      <c r="T187" s="252">
        <f>S187*R187</f>
        <v/>
      </c>
      <c r="U187" s="245" t="inlineStr">
        <is>
          <t>040300/KPPBC</t>
        </is>
      </c>
      <c r="V187" s="245" t="inlineStr">
        <is>
          <t>TG. PRIOK</t>
        </is>
      </c>
      <c r="W187" s="245" t="inlineStr">
        <is>
          <t>CHARLESTON, US</t>
        </is>
      </c>
      <c r="X187" s="245" t="inlineStr">
        <is>
          <t>ZINUS INC.</t>
        </is>
      </c>
      <c r="Y187" s="245" t="inlineStr">
        <is>
          <t>EGLV080600392902</t>
        </is>
      </c>
      <c r="Z187" s="246" t="n">
        <v>46241</v>
      </c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50</v>
      </c>
      <c r="I188" s="245" t="inlineStr"/>
      <c r="J188" s="245" t="inlineStr"/>
      <c r="K188" s="245" t="inlineStr">
        <is>
          <t>6IN TRI FOLD MF MATTRESS QN</t>
        </is>
      </c>
      <c r="L188" s="245" t="inlineStr">
        <is>
          <t>ZU-MFMA1HZI-06Q</t>
        </is>
      </c>
      <c r="M188" s="248" t="inlineStr">
        <is>
          <t>CIN60203</t>
        </is>
      </c>
      <c r="N188" s="245" t="inlineStr">
        <is>
          <t>F.MFM.06Q.009.ZU</t>
        </is>
      </c>
      <c r="O188" s="245" t="n"/>
      <c r="P188" s="245" t="n"/>
      <c r="Q188" s="250">
        <f>R188/H188</f>
        <v/>
      </c>
      <c r="R188" s="251" t="n">
        <v>2985.5</v>
      </c>
      <c r="S188" s="249" t="n">
        <v>18062</v>
      </c>
      <c r="T188" s="252">
        <f>S188*R188</f>
        <v/>
      </c>
      <c r="U188" s="245" t="n"/>
      <c r="V188" s="245" t="n"/>
      <c r="W188" s="245" t="inlineStr">
        <is>
          <t>ETD : 14-08-2026</t>
        </is>
      </c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50</v>
      </c>
      <c r="I189" s="245" t="inlineStr"/>
      <c r="J189" s="245" t="inlineStr"/>
      <c r="K189" s="245" t="inlineStr">
        <is>
          <t>8IN PRESSURE RELIEF MF MATT FL</t>
        </is>
      </c>
      <c r="L189" s="245" t="inlineStr">
        <is>
          <t>ZU-MFMAPRZU-08F</t>
        </is>
      </c>
      <c r="M189" s="248" t="inlineStr">
        <is>
          <t>CIN60203</t>
        </is>
      </c>
      <c r="N189" s="245" t="inlineStr">
        <is>
          <t>F.MFM.08F.000.ZU</t>
        </is>
      </c>
      <c r="O189" s="245" t="n"/>
      <c r="P189" s="245" t="n"/>
      <c r="Q189" s="250">
        <f>R189/H189</f>
        <v/>
      </c>
      <c r="R189" s="251" t="n">
        <v>3069.5</v>
      </c>
      <c r="S189" s="249" t="n">
        <v>18062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50</v>
      </c>
      <c r="I190" s="245" t="inlineStr"/>
      <c r="J190" s="245" t="inlineStr"/>
      <c r="K190" s="245" t="inlineStr">
        <is>
          <t>8IN PRESSURE RELIEF MF MATT QN</t>
        </is>
      </c>
      <c r="L190" s="245" t="inlineStr">
        <is>
          <t>ZU-MFMAPRZU-08Q</t>
        </is>
      </c>
      <c r="M190" s="248" t="inlineStr">
        <is>
          <t>CIN60203</t>
        </is>
      </c>
      <c r="N190" s="245" t="inlineStr">
        <is>
          <t>F.MFM.08Q.000.ZU</t>
        </is>
      </c>
      <c r="O190" s="245" t="n"/>
      <c r="P190" s="245" t="n"/>
      <c r="Q190" s="250">
        <f>R190/H190</f>
        <v/>
      </c>
      <c r="R190" s="251" t="n">
        <v>3607</v>
      </c>
      <c r="S190" s="249" t="n">
        <v>18062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50</v>
      </c>
      <c r="I191" s="245" t="inlineStr"/>
      <c r="J191" s="245" t="inlineStr"/>
      <c r="K191" s="245" t="inlineStr">
        <is>
          <t>8IN PRESSURE RELIEF MF MATT TW</t>
        </is>
      </c>
      <c r="L191" s="245" t="inlineStr">
        <is>
          <t>ZU-MFMAPRZU-08T</t>
        </is>
      </c>
      <c r="M191" s="248" t="inlineStr">
        <is>
          <t>CIN60203</t>
        </is>
      </c>
      <c r="N191" s="245" t="inlineStr">
        <is>
          <t>F.MFM.08T.000.ZU</t>
        </is>
      </c>
      <c r="O191" s="245" t="n"/>
      <c r="P191" s="245" t="n"/>
      <c r="Q191" s="250">
        <f>R191/H191</f>
        <v/>
      </c>
      <c r="R191" s="251" t="n">
        <v>2303.5</v>
      </c>
      <c r="S191" s="249" t="n">
        <v>18062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50</v>
      </c>
      <c r="I192" s="245" t="inlineStr"/>
      <c r="J192" s="245" t="inlineStr"/>
      <c r="K192" s="245" t="inlineStr">
        <is>
          <t>8IN UL MSS FL</t>
        </is>
      </c>
      <c r="L192" s="245" t="inlineStr">
        <is>
          <t>SC-SMT-8F</t>
        </is>
      </c>
      <c r="M192" s="248" t="inlineStr">
        <is>
          <t>CIN60203</t>
        </is>
      </c>
      <c r="N192" s="245" t="inlineStr">
        <is>
          <t>F.MSS.08F.001.ZU</t>
        </is>
      </c>
      <c r="O192" s="245" t="n"/>
      <c r="P192" s="245" t="n"/>
      <c r="Q192" s="250">
        <f>R192/H192</f>
        <v/>
      </c>
      <c r="R192" s="251" t="n">
        <v>3528</v>
      </c>
      <c r="S192" s="249" t="n">
        <v>18062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50</v>
      </c>
      <c r="I193" s="245" t="inlineStr"/>
      <c r="J193" s="245" t="inlineStr"/>
      <c r="K193" s="245" t="inlineStr">
        <is>
          <t>8IN UL MSS TW</t>
        </is>
      </c>
      <c r="L193" s="245" t="inlineStr">
        <is>
          <t>SC-SMT-8T</t>
        </is>
      </c>
      <c r="M193" s="248" t="inlineStr">
        <is>
          <t>CIN60203</t>
        </is>
      </c>
      <c r="N193" s="245" t="inlineStr">
        <is>
          <t>F.MSS.08T.001.ZU</t>
        </is>
      </c>
      <c r="O193" s="245" t="n"/>
      <c r="P193" s="245" t="n"/>
      <c r="Q193" s="250">
        <f>R193/H193</f>
        <v/>
      </c>
      <c r="R193" s="251" t="n">
        <v>2680</v>
      </c>
      <c r="S193" s="249" t="n">
        <v>18062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100</v>
      </c>
      <c r="I194" s="245" t="inlineStr"/>
      <c r="J194" s="245" t="inlineStr"/>
      <c r="K194" s="245" t="inlineStr">
        <is>
          <t>3IN GEL MF TOPPER W/ COVER EK</t>
        </is>
      </c>
      <c r="L194" s="245" t="inlineStr">
        <is>
          <t>MF-TGTNM1ZI-03K</t>
        </is>
      </c>
      <c r="M194" s="248" t="inlineStr">
        <is>
          <t>CIN60203</t>
        </is>
      </c>
      <c r="N194" s="245" t="inlineStr">
        <is>
          <t>F.TGT.03K.001.ZU</t>
        </is>
      </c>
      <c r="O194" s="245" t="n"/>
      <c r="P194" s="245" t="n"/>
      <c r="Q194" s="250">
        <f>R194/H194</f>
        <v/>
      </c>
      <c r="R194" s="251" t="n">
        <v>4652</v>
      </c>
      <c r="S194" s="249" t="n">
        <v>18062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100</v>
      </c>
      <c r="I195" s="245" t="inlineStr"/>
      <c r="J195" s="245" t="inlineStr"/>
      <c r="K195" s="245" t="inlineStr">
        <is>
          <t>3IN GEL MF TOPPER W/ COVER TW</t>
        </is>
      </c>
      <c r="L195" s="245" t="inlineStr">
        <is>
          <t>MF-TGTNM1ZI-03T</t>
        </is>
      </c>
      <c r="M195" s="248" t="inlineStr">
        <is>
          <t>CIN60203</t>
        </is>
      </c>
      <c r="N195" s="245" t="inlineStr">
        <is>
          <t>F.TGT.03T.001.ZU</t>
        </is>
      </c>
      <c r="O195" s="245" t="n"/>
      <c r="P195" s="245" t="n"/>
      <c r="Q195" s="250">
        <f>R195/H195</f>
        <v/>
      </c>
      <c r="R195" s="251" t="n">
        <v>2642</v>
      </c>
      <c r="S195" s="249" t="n">
        <v>18062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7.1" customHeight="1" s="202">
      <c r="A196" s="253" t="n"/>
      <c r="B196" s="253" t="n"/>
      <c r="C196" s="253" t="n"/>
      <c r="D196" s="253" t="n"/>
      <c r="E196" s="253" t="n"/>
      <c r="F196" s="253" t="n"/>
      <c r="G196" s="253" t="n"/>
      <c r="H196" s="254">
        <f>SUM(H187:H195)</f>
        <v/>
      </c>
      <c r="I196" s="253">
        <f>COUNTA(I187:I195)</f>
        <v/>
      </c>
      <c r="J196" s="253" t="n"/>
      <c r="K196" s="253" t="n"/>
      <c r="L196" s="253" t="n"/>
      <c r="M196" s="253" t="n"/>
      <c r="N196" s="253" t="n"/>
      <c r="O196" s="255">
        <f>SUM(O187:O195)</f>
        <v/>
      </c>
      <c r="P196" s="255">
        <f>SUM(P187:P195)</f>
        <v/>
      </c>
      <c r="Q196" s="253" t="n"/>
      <c r="R196" s="256">
        <f>SUM(R187:R195)</f>
        <v/>
      </c>
      <c r="S196" s="253" t="n"/>
      <c r="T196" s="257">
        <f>SUM(T187:T195)</f>
        <v/>
      </c>
      <c r="U196" s="253" t="n"/>
      <c r="V196" s="253" t="n"/>
      <c r="W196" s="253" t="n"/>
      <c r="X196" s="253" t="n"/>
      <c r="Y196" s="253" t="n"/>
      <c r="Z196" s="253" t="n"/>
    </row>
    <row r="197" ht="16.5" customHeight="1" s="202">
      <c r="A197" s="245" t="n">
        <v>20</v>
      </c>
      <c r="B197" s="245" t="inlineStr">
        <is>
          <t>000030ZIK48020260807000588</t>
        </is>
      </c>
      <c r="C197" s="245" t="n">
        <v>499694</v>
      </c>
      <c r="D197" s="245" t="n">
        <v>499644</v>
      </c>
      <c r="E197" s="246" t="n">
        <v>46244</v>
      </c>
      <c r="F197" s="245" t="inlineStr">
        <is>
          <t>ID2608-8007</t>
        </is>
      </c>
      <c r="G197" s="246" t="n">
        <v>46237</v>
      </c>
      <c r="H197" s="247" t="n">
        <v>900</v>
      </c>
      <c r="I197" s="245" t="inlineStr">
        <is>
          <t>HLXU8329993</t>
        </is>
      </c>
      <c r="J197" s="245" t="inlineStr">
        <is>
          <t>40FT</t>
        </is>
      </c>
      <c r="K197" s="245" t="inlineStr">
        <is>
          <t>8IN GREEN TEA MF MATTRESS QN</t>
        </is>
      </c>
      <c r="L197" s="245" t="inlineStr">
        <is>
          <t>SCF-STR-800Q</t>
        </is>
      </c>
      <c r="M197" s="248" t="inlineStr">
        <is>
          <t>0993631126</t>
        </is>
      </c>
      <c r="N197" s="245" t="inlineStr">
        <is>
          <t>F.MFM.08Q.000.WS</t>
        </is>
      </c>
      <c r="O197" s="249" t="n">
        <v>21510</v>
      </c>
      <c r="P197" s="249" t="n">
        <v>19188</v>
      </c>
      <c r="Q197" s="250">
        <f>R197/H197</f>
        <v/>
      </c>
      <c r="R197" s="251" t="n">
        <v>84573</v>
      </c>
      <c r="S197" s="249" t="n">
        <v>18062</v>
      </c>
      <c r="T197" s="252">
        <f>S197*R197</f>
        <v/>
      </c>
      <c r="U197" s="245" t="inlineStr">
        <is>
          <t>040300/KPPBC</t>
        </is>
      </c>
      <c r="V197" s="245" t="inlineStr">
        <is>
          <t>TG. PRIOK</t>
        </is>
      </c>
      <c r="W197" s="245" t="inlineStr">
        <is>
          <t>CHARLESTON, US</t>
        </is>
      </c>
      <c r="X197" s="245" t="inlineStr">
        <is>
          <t>WALMART, INC.</t>
        </is>
      </c>
      <c r="Y197" s="245" t="inlineStr">
        <is>
          <t>HLCUJK1260816670</t>
        </is>
      </c>
      <c r="Z197" s="246" t="n">
        <v>46244</v>
      </c>
    </row>
    <row r="198" ht="16.5" customHeight="1" s="202">
      <c r="A198" s="245" t="n"/>
      <c r="B198" s="245" t="n"/>
      <c r="C198" s="245" t="n"/>
      <c r="D198" s="245" t="n"/>
      <c r="E198" s="245" t="n"/>
      <c r="F198" s="245" t="n"/>
      <c r="G198" s="245" t="n"/>
      <c r="H198" s="245" t="n"/>
      <c r="I198" s="245" t="inlineStr">
        <is>
          <t>FSCU8082112</t>
        </is>
      </c>
      <c r="J198" s="245" t="inlineStr">
        <is>
          <t>40FT</t>
        </is>
      </c>
      <c r="K198" s="245" t="n"/>
      <c r="L198" s="245" t="n"/>
      <c r="M198" s="245" t="n"/>
      <c r="N198" s="245" t="n"/>
      <c r="O198" s="245" t="n"/>
      <c r="P198" s="245" t="n"/>
      <c r="Q198" s="245" t="n"/>
      <c r="R198" s="245" t="n"/>
      <c r="S198" s="245" t="n"/>
      <c r="T198" s="245" t="n"/>
      <c r="U198" s="245" t="n"/>
      <c r="V198" s="245" t="n"/>
      <c r="W198" s="245" t="inlineStr">
        <is>
          <t>ETD : 14-08-2026</t>
        </is>
      </c>
      <c r="X198" s="245" t="n"/>
      <c r="Y198" s="245" t="n"/>
      <c r="Z198" s="245" t="n"/>
    </row>
    <row r="199" ht="17.1" customHeight="1" s="202">
      <c r="A199" s="253" t="n"/>
      <c r="B199" s="253" t="n"/>
      <c r="C199" s="253" t="n"/>
      <c r="D199" s="253" t="n"/>
      <c r="E199" s="253" t="n"/>
      <c r="F199" s="253" t="n"/>
      <c r="G199" s="253" t="n"/>
      <c r="H199" s="254">
        <f>SUM(H197:H198)</f>
        <v/>
      </c>
      <c r="I199" s="253">
        <f>COUNTA(I197:I198)</f>
        <v/>
      </c>
      <c r="J199" s="253" t="n"/>
      <c r="K199" s="253" t="n"/>
      <c r="L199" s="253" t="n"/>
      <c r="M199" s="253" t="n"/>
      <c r="N199" s="253" t="n"/>
      <c r="O199" s="255">
        <f>SUM(O197:O198)</f>
        <v/>
      </c>
      <c r="P199" s="255">
        <f>SUM(P197:P198)</f>
        <v/>
      </c>
      <c r="Q199" s="253" t="n"/>
      <c r="R199" s="256">
        <f>SUM(R197:R198)</f>
        <v/>
      </c>
      <c r="S199" s="253" t="n"/>
      <c r="T199" s="257">
        <f>SUM(T197:T198)</f>
        <v/>
      </c>
      <c r="U199" s="253" t="n"/>
      <c r="V199" s="253" t="n"/>
      <c r="W199" s="253" t="n"/>
      <c r="X199" s="253" t="n"/>
      <c r="Y199" s="253" t="n"/>
      <c r="Z199" s="253" t="n"/>
    </row>
    <row r="200" ht="16.5" customHeight="1" s="202">
      <c r="A200" s="245" t="n">
        <v>21</v>
      </c>
      <c r="B200" s="245" t="inlineStr">
        <is>
          <t>000030ZIK48020260807000589</t>
        </is>
      </c>
      <c r="C200" s="245" t="n">
        <v>499796</v>
      </c>
      <c r="D200" s="245" t="n">
        <v>499746</v>
      </c>
      <c r="E200" s="246" t="n">
        <v>46244</v>
      </c>
      <c r="F200" s="245" t="inlineStr">
        <is>
          <t>ID2608-8008</t>
        </is>
      </c>
      <c r="G200" s="246" t="n">
        <v>46237</v>
      </c>
      <c r="H200" s="247" t="n">
        <v>1040</v>
      </c>
      <c r="I200" s="245" t="inlineStr">
        <is>
          <t>FANU1920397</t>
        </is>
      </c>
      <c r="J200" s="245" t="inlineStr">
        <is>
          <t>40FT</t>
        </is>
      </c>
      <c r="K200" s="245" t="inlineStr">
        <is>
          <t>8IN GREEN TEA MF MATTRESS FL</t>
        </is>
      </c>
      <c r="L200" s="245" t="inlineStr">
        <is>
          <t>SCF-STR-800F</t>
        </is>
      </c>
      <c r="M200" s="248" t="inlineStr">
        <is>
          <t>0993630621</t>
        </is>
      </c>
      <c r="N200" s="245" t="inlineStr">
        <is>
          <t>F.MFM.08F.000.WS</t>
        </is>
      </c>
      <c r="O200" s="249" t="n">
        <v>21236.8</v>
      </c>
      <c r="P200" s="249" t="n">
        <v>18740.8</v>
      </c>
      <c r="Q200" s="250">
        <f>R200/H200</f>
        <v/>
      </c>
      <c r="R200" s="251" t="n">
        <v>82960.8</v>
      </c>
      <c r="S200" s="249" t="n">
        <v>18062</v>
      </c>
      <c r="T200" s="252">
        <f>S200*R200</f>
        <v/>
      </c>
      <c r="U200" s="245" t="inlineStr">
        <is>
          <t>040300/KPPBC</t>
        </is>
      </c>
      <c r="V200" s="245" t="inlineStr">
        <is>
          <t>TG. PRIOK</t>
        </is>
      </c>
      <c r="W200" s="245" t="inlineStr">
        <is>
          <t>CHARLESTON, US</t>
        </is>
      </c>
      <c r="X200" s="245" t="inlineStr">
        <is>
          <t>WALMART, INC.</t>
        </is>
      </c>
      <c r="Y200" s="245" t="inlineStr">
        <is>
          <t>HLCUJK1260830208</t>
        </is>
      </c>
      <c r="Z200" s="246" t="n">
        <v>46244</v>
      </c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5" t="n"/>
      <c r="I201" s="245" t="inlineStr">
        <is>
          <t>HLBU1568941</t>
        </is>
      </c>
      <c r="J201" s="245" t="inlineStr">
        <is>
          <t>40FT</t>
        </is>
      </c>
      <c r="K201" s="245" t="n"/>
      <c r="L201" s="245" t="n"/>
      <c r="M201" s="245" t="n"/>
      <c r="N201" s="245" t="n"/>
      <c r="O201" s="245" t="n"/>
      <c r="P201" s="245" t="n"/>
      <c r="Q201" s="245" t="n"/>
      <c r="R201" s="245" t="n"/>
      <c r="S201" s="245" t="n"/>
      <c r="T201" s="245" t="n"/>
      <c r="U201" s="245" t="n"/>
      <c r="V201" s="245" t="n"/>
      <c r="W201" s="245" t="inlineStr">
        <is>
          <t>ETD : 14-08-2026</t>
        </is>
      </c>
      <c r="X201" s="245" t="n"/>
      <c r="Y201" s="245" t="n"/>
      <c r="Z201" s="245" t="n"/>
    </row>
    <row r="202" ht="17.1" customHeight="1" s="202">
      <c r="A202" s="253" t="n"/>
      <c r="B202" s="253" t="n"/>
      <c r="C202" s="253" t="n"/>
      <c r="D202" s="253" t="n"/>
      <c r="E202" s="253" t="n"/>
      <c r="F202" s="253" t="n"/>
      <c r="G202" s="253" t="n"/>
      <c r="H202" s="254">
        <f>SUM(H200:H201)</f>
        <v/>
      </c>
      <c r="I202" s="253">
        <f>COUNTA(I200:I201)</f>
        <v/>
      </c>
      <c r="J202" s="253" t="n"/>
      <c r="K202" s="253" t="n"/>
      <c r="L202" s="253" t="n"/>
      <c r="M202" s="253" t="n"/>
      <c r="N202" s="253" t="n"/>
      <c r="O202" s="255">
        <f>SUM(O200:O201)</f>
        <v/>
      </c>
      <c r="P202" s="255">
        <f>SUM(P200:P201)</f>
        <v/>
      </c>
      <c r="Q202" s="253" t="n"/>
      <c r="R202" s="256">
        <f>SUM(R200:R201)</f>
        <v/>
      </c>
      <c r="S202" s="253" t="n"/>
      <c r="T202" s="257">
        <f>SUM(T200:T201)</f>
        <v/>
      </c>
      <c r="U202" s="253" t="n"/>
      <c r="V202" s="253" t="n"/>
      <c r="W202" s="253" t="n"/>
      <c r="X202" s="253" t="n"/>
      <c r="Y202" s="253" t="n"/>
      <c r="Z202" s="253" t="n"/>
    </row>
    <row r="203" ht="16.5" customHeight="1" s="202">
      <c r="A203" s="245" t="n">
        <v>22</v>
      </c>
      <c r="B203" s="245" t="inlineStr">
        <is>
          <t>000030ZIK48020260807000590</t>
        </is>
      </c>
      <c r="C203" s="245" t="n">
        <v>498964</v>
      </c>
      <c r="D203" s="245" t="n">
        <v>498916</v>
      </c>
      <c r="E203" s="246" t="n">
        <v>46244</v>
      </c>
      <c r="F203" s="245" t="inlineStr">
        <is>
          <t>ID2608-8009</t>
        </is>
      </c>
      <c r="G203" s="246" t="n">
        <v>46237</v>
      </c>
      <c r="H203" s="247" t="n">
        <v>1300</v>
      </c>
      <c r="I203" s="245" t="inlineStr">
        <is>
          <t>MRKU0606408</t>
        </is>
      </c>
      <c r="J203" s="245" t="inlineStr">
        <is>
          <t>40FT</t>
        </is>
      </c>
      <c r="K203" s="245" t="inlineStr">
        <is>
          <t>8IN GEL INFUSED FOAM MATT. TW</t>
        </is>
      </c>
      <c r="L203" s="245" t="inlineStr">
        <is>
          <t>CLE-08T</t>
        </is>
      </c>
      <c r="M203" s="248" t="inlineStr">
        <is>
          <t>0001230699</t>
        </is>
      </c>
      <c r="N203" s="245" t="inlineStr">
        <is>
          <t>F.MFG.08T.003.WT</t>
        </is>
      </c>
      <c r="O203" s="249" t="n">
        <v>20210.72</v>
      </c>
      <c r="P203" s="249" t="n">
        <v>16890.8</v>
      </c>
      <c r="Q203" s="250">
        <f>R203/H203</f>
        <v/>
      </c>
      <c r="R203" s="251" t="n">
        <v>53703</v>
      </c>
      <c r="S203" s="249" t="n">
        <v>18062</v>
      </c>
      <c r="T203" s="252">
        <f>S203*R203</f>
        <v/>
      </c>
      <c r="U203" s="245" t="inlineStr">
        <is>
          <t>040300/KPPBC</t>
        </is>
      </c>
      <c r="V203" s="245" t="inlineStr">
        <is>
          <t>TG. PRIOK</t>
        </is>
      </c>
      <c r="W203" s="245" t="inlineStr">
        <is>
          <t>CHARLESTON, US</t>
        </is>
      </c>
      <c r="X203" s="245" t="inlineStr">
        <is>
          <t>WALMART, INC.</t>
        </is>
      </c>
      <c r="Y203" s="245" t="inlineStr">
        <is>
          <t>MAEU274412219</t>
        </is>
      </c>
      <c r="Z203" s="246" t="n">
        <v>46244</v>
      </c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19</v>
      </c>
      <c r="I204" s="245" t="inlineStr">
        <is>
          <t>MSKU6814484</t>
        </is>
      </c>
      <c r="J204" s="245" t="inlineStr">
        <is>
          <t>40FT</t>
        </is>
      </c>
      <c r="K204" s="245" t="inlineStr">
        <is>
          <t>6IN MYGEL FOAM MATTRESS FL</t>
        </is>
      </c>
      <c r="L204" s="245" t="inlineStr">
        <is>
          <t>MFGN-06F</t>
        </is>
      </c>
      <c r="M204" s="248" t="inlineStr">
        <is>
          <t>0001230699</t>
        </is>
      </c>
      <c r="N204" s="245" t="inlineStr">
        <is>
          <t>F.MFG.06F.002.WT</t>
        </is>
      </c>
      <c r="O204" s="245" t="n"/>
      <c r="P204" s="245" t="n"/>
      <c r="Q204" s="250">
        <f>R204/H204</f>
        <v/>
      </c>
      <c r="R204" s="251" t="n">
        <v>1181.61</v>
      </c>
      <c r="S204" s="249" t="n">
        <v>18062</v>
      </c>
      <c r="T204" s="252">
        <f>S204*R204</f>
        <v/>
      </c>
      <c r="U204" s="245" t="n"/>
      <c r="V204" s="245" t="n"/>
      <c r="W204" s="245" t="inlineStr">
        <is>
          <t>ETD : 16-08-2026</t>
        </is>
      </c>
      <c r="X204" s="245" t="n"/>
      <c r="Y204" s="245" t="n"/>
      <c r="Z204" s="245" t="n"/>
    </row>
    <row r="205" ht="17.1" customHeight="1" s="202">
      <c r="A205" s="253" t="n"/>
      <c r="B205" s="253" t="n"/>
      <c r="C205" s="253" t="n"/>
      <c r="D205" s="253" t="n"/>
      <c r="E205" s="253" t="n"/>
      <c r="F205" s="253" t="n"/>
      <c r="G205" s="253" t="n"/>
      <c r="H205" s="254">
        <f>SUM(H203:H204)</f>
        <v/>
      </c>
      <c r="I205" s="253">
        <f>COUNTA(I203:I204)</f>
        <v/>
      </c>
      <c r="J205" s="253" t="n"/>
      <c r="K205" s="253" t="n"/>
      <c r="L205" s="253" t="n"/>
      <c r="M205" s="253" t="n"/>
      <c r="N205" s="253" t="n"/>
      <c r="O205" s="255">
        <f>SUM(O203:O204)</f>
        <v/>
      </c>
      <c r="P205" s="255">
        <f>SUM(P203:P204)</f>
        <v/>
      </c>
      <c r="Q205" s="253" t="n"/>
      <c r="R205" s="256">
        <f>SUM(R203:R204)</f>
        <v/>
      </c>
      <c r="S205" s="253" t="n"/>
      <c r="T205" s="257">
        <f>SUM(T203:T204)</f>
        <v/>
      </c>
      <c r="U205" s="253" t="n"/>
      <c r="V205" s="253" t="n"/>
      <c r="W205" s="253" t="n"/>
      <c r="X205" s="253" t="n"/>
      <c r="Y205" s="253" t="n"/>
      <c r="Z205" s="253" t="n"/>
    </row>
    <row r="206" ht="16.5" customHeight="1" s="202">
      <c r="A206" s="245" t="n">
        <v>23</v>
      </c>
      <c r="B206" s="245" t="inlineStr">
        <is>
          <t>000030ZIK48020260807000591</t>
        </is>
      </c>
      <c r="C206" s="245" t="n">
        <v>499788</v>
      </c>
      <c r="D206" s="245" t="n">
        <v>499738</v>
      </c>
      <c r="E206" s="246" t="n">
        <v>46244</v>
      </c>
      <c r="F206" s="245" t="inlineStr">
        <is>
          <t>ID2608-8071</t>
        </is>
      </c>
      <c r="G206" s="246" t="n">
        <v>46241</v>
      </c>
      <c r="H206" s="247" t="n">
        <v>1744</v>
      </c>
      <c r="I206" s="245" t="inlineStr">
        <is>
          <t>BEAU5641196</t>
        </is>
      </c>
      <c r="J206" s="245" t="inlineStr">
        <is>
          <t>40FT</t>
        </is>
      </c>
      <c r="K206" s="245" t="inlineStr">
        <is>
          <t>6IN MSS24-6TW</t>
        </is>
      </c>
      <c r="L206" s="245" t="inlineStr">
        <is>
          <t>MS24-6T</t>
        </is>
      </c>
      <c r="M206" s="248" t="inlineStr">
        <is>
          <t>1007404364</t>
        </is>
      </c>
      <c r="N206" s="245" t="inlineStr">
        <is>
          <t>F.MSS.06T.002.WS</t>
        </is>
      </c>
      <c r="O206" s="249" t="n">
        <v>31252.48</v>
      </c>
      <c r="P206" s="249" t="n">
        <v>27904</v>
      </c>
      <c r="Q206" s="250">
        <f>R206/H206</f>
        <v/>
      </c>
      <c r="R206" s="251" t="n">
        <v>55180.16</v>
      </c>
      <c r="S206" s="249" t="n">
        <v>18062</v>
      </c>
      <c r="T206" s="252">
        <f>S206*R206</f>
        <v/>
      </c>
      <c r="U206" s="245" t="inlineStr">
        <is>
          <t>040300/KPPBC</t>
        </is>
      </c>
      <c r="V206" s="245" t="inlineStr">
        <is>
          <t>TG. PRIOK</t>
        </is>
      </c>
      <c r="W206" s="245" t="inlineStr">
        <is>
          <t>NORFOLK, US</t>
        </is>
      </c>
      <c r="X206" s="245" t="inlineStr">
        <is>
          <t>WALMART, INC.</t>
        </is>
      </c>
      <c r="Y206" s="245" t="inlineStr">
        <is>
          <t>CMDUDJA1516406</t>
        </is>
      </c>
      <c r="Z206" s="246" t="n">
        <v>46244</v>
      </c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5" t="n"/>
      <c r="I207" s="245" t="inlineStr">
        <is>
          <t>SEKU6041090</t>
        </is>
      </c>
      <c r="J207" s="245" t="inlineStr">
        <is>
          <t>40FT</t>
        </is>
      </c>
      <c r="K207" s="245" t="n"/>
      <c r="L207" s="245" t="n"/>
      <c r="M207" s="245" t="n"/>
      <c r="N207" s="245" t="n"/>
      <c r="O207" s="245" t="n"/>
      <c r="P207" s="245" t="n"/>
      <c r="Q207" s="245" t="n"/>
      <c r="R207" s="245" t="n"/>
      <c r="S207" s="245" t="n"/>
      <c r="T207" s="245" t="n"/>
      <c r="U207" s="245" t="n"/>
      <c r="V207" s="245" t="n"/>
      <c r="W207" s="245" t="inlineStr">
        <is>
          <t>ETD : 15-08-2026</t>
        </is>
      </c>
      <c r="X207" s="245" t="n"/>
      <c r="Y207" s="245" t="n"/>
      <c r="Z207" s="245" t="n"/>
    </row>
    <row r="208" ht="17.1" customHeight="1" s="202">
      <c r="A208" s="253" t="n"/>
      <c r="B208" s="253" t="n"/>
      <c r="C208" s="253" t="n"/>
      <c r="D208" s="253" t="n"/>
      <c r="E208" s="253" t="n"/>
      <c r="F208" s="253" t="n"/>
      <c r="G208" s="253" t="n"/>
      <c r="H208" s="254">
        <f>SUM(H206:H207)</f>
        <v/>
      </c>
      <c r="I208" s="253">
        <f>COUNTA(I206:I207)</f>
        <v/>
      </c>
      <c r="J208" s="253" t="n"/>
      <c r="K208" s="253" t="n"/>
      <c r="L208" s="253" t="n"/>
      <c r="M208" s="253" t="n"/>
      <c r="N208" s="253" t="n"/>
      <c r="O208" s="255">
        <f>SUM(O206:O207)</f>
        <v/>
      </c>
      <c r="P208" s="255">
        <f>SUM(P206:P207)</f>
        <v/>
      </c>
      <c r="Q208" s="253" t="n"/>
      <c r="R208" s="256">
        <f>SUM(R206:R207)</f>
        <v/>
      </c>
      <c r="S208" s="253" t="n"/>
      <c r="T208" s="257">
        <f>SUM(T206:T207)</f>
        <v/>
      </c>
      <c r="U208" s="253" t="n"/>
      <c r="V208" s="253" t="n"/>
      <c r="W208" s="253" t="n"/>
      <c r="X208" s="253" t="n"/>
      <c r="Y208" s="253" t="n"/>
      <c r="Z208" s="253" t="n"/>
    </row>
    <row r="209" ht="16.5" customHeight="1" s="202">
      <c r="A209" s="245" t="n">
        <v>24</v>
      </c>
      <c r="B209" s="245" t="inlineStr">
        <is>
          <t>000030ZIK48020260807000592</t>
        </is>
      </c>
      <c r="C209" s="245" t="n">
        <v>498871</v>
      </c>
      <c r="D209" s="245" t="n">
        <v>498823</v>
      </c>
      <c r="E209" s="246" t="n">
        <v>46244</v>
      </c>
      <c r="F209" s="245" t="inlineStr">
        <is>
          <t>ID2608-8072</t>
        </is>
      </c>
      <c r="G209" s="246" t="n">
        <v>46241</v>
      </c>
      <c r="H209" s="247" t="n">
        <v>900</v>
      </c>
      <c r="I209" s="245" t="inlineStr">
        <is>
          <t>TGBU4173611</t>
        </is>
      </c>
      <c r="J209" s="245" t="inlineStr">
        <is>
          <t>40FT</t>
        </is>
      </c>
      <c r="K209" s="245" t="inlineStr">
        <is>
          <t>8IN GREEN TEA MF MATTRESS QN</t>
        </is>
      </c>
      <c r="L209" s="245" t="inlineStr">
        <is>
          <t>SCF-STR-800Q</t>
        </is>
      </c>
      <c r="M209" s="248" t="inlineStr">
        <is>
          <t>0993631071</t>
        </is>
      </c>
      <c r="N209" s="245" t="inlineStr">
        <is>
          <t>F.MFM.08Q.000.WS</t>
        </is>
      </c>
      <c r="O209" s="249" t="n">
        <v>21510</v>
      </c>
      <c r="P209" s="249" t="n">
        <v>19188</v>
      </c>
      <c r="Q209" s="250">
        <f>R209/H209</f>
        <v/>
      </c>
      <c r="R209" s="251" t="n">
        <v>84573</v>
      </c>
      <c r="S209" s="249" t="n">
        <v>18062</v>
      </c>
      <c r="T209" s="252">
        <f>S209*R209</f>
        <v/>
      </c>
      <c r="U209" s="245" t="inlineStr">
        <is>
          <t>040300/KPPBC</t>
        </is>
      </c>
      <c r="V209" s="245" t="inlineStr">
        <is>
          <t>TG. PRIOK</t>
        </is>
      </c>
      <c r="W209" s="245" t="inlineStr">
        <is>
          <t>LOS ANGELES, US</t>
        </is>
      </c>
      <c r="X209" s="245" t="inlineStr">
        <is>
          <t>WALMART, INC.</t>
        </is>
      </c>
      <c r="Y209" s="245" t="inlineStr">
        <is>
          <t>CMDUDJA1510357</t>
        </is>
      </c>
      <c r="Z209" s="246" t="n">
        <v>46244</v>
      </c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5" t="n"/>
      <c r="I210" s="245" t="inlineStr">
        <is>
          <t>TXGU5270291</t>
        </is>
      </c>
      <c r="J210" s="245" t="inlineStr">
        <is>
          <t>40FT</t>
        </is>
      </c>
      <c r="K210" s="245" t="n"/>
      <c r="L210" s="245" t="n"/>
      <c r="M210" s="245" t="n"/>
      <c r="N210" s="245" t="n"/>
      <c r="O210" s="245" t="n"/>
      <c r="P210" s="245" t="n"/>
      <c r="Q210" s="245" t="n"/>
      <c r="R210" s="245" t="n"/>
      <c r="S210" s="245" t="n"/>
      <c r="T210" s="245" t="n"/>
      <c r="U210" s="245" t="n"/>
      <c r="V210" s="245" t="n"/>
      <c r="W210" s="245" t="inlineStr">
        <is>
          <t>ETD : 15-08-2026</t>
        </is>
      </c>
      <c r="X210" s="245" t="n"/>
      <c r="Y210" s="245" t="n"/>
      <c r="Z210" s="245" t="n"/>
    </row>
    <row r="211" ht="17.1" customHeight="1" s="202">
      <c r="A211" s="253" t="n"/>
      <c r="B211" s="253" t="n"/>
      <c r="C211" s="253" t="n"/>
      <c r="D211" s="253" t="n"/>
      <c r="E211" s="253" t="n"/>
      <c r="F211" s="253" t="n"/>
      <c r="G211" s="253" t="n"/>
      <c r="H211" s="254">
        <f>SUM(H209:H210)</f>
        <v/>
      </c>
      <c r="I211" s="253">
        <f>COUNTA(I209:I210)</f>
        <v/>
      </c>
      <c r="J211" s="253" t="n"/>
      <c r="K211" s="253" t="n"/>
      <c r="L211" s="253" t="n"/>
      <c r="M211" s="253" t="n"/>
      <c r="N211" s="253" t="n"/>
      <c r="O211" s="255">
        <f>SUM(O209:O210)</f>
        <v/>
      </c>
      <c r="P211" s="255">
        <f>SUM(P209:P210)</f>
        <v/>
      </c>
      <c r="Q211" s="253" t="n"/>
      <c r="R211" s="256">
        <f>SUM(R209:R210)</f>
        <v/>
      </c>
      <c r="S211" s="253" t="n"/>
      <c r="T211" s="257">
        <f>SUM(T209:T210)</f>
        <v/>
      </c>
      <c r="U211" s="253" t="n"/>
      <c r="V211" s="253" t="n"/>
      <c r="W211" s="253" t="n"/>
      <c r="X211" s="253" t="n"/>
      <c r="Y211" s="253" t="n"/>
      <c r="Z211" s="253" t="n"/>
    </row>
    <row r="212" ht="16.5" customHeight="1" s="202">
      <c r="A212" s="245" t="n">
        <v>25</v>
      </c>
      <c r="B212" s="245" t="inlineStr">
        <is>
          <t>000030ZIK48020260807000593</t>
        </is>
      </c>
      <c r="C212" s="245" t="n">
        <v>498906</v>
      </c>
      <c r="D212" s="245" t="n">
        <v>498858</v>
      </c>
      <c r="E212" s="246" t="n">
        <v>46244</v>
      </c>
      <c r="F212" s="245" t="inlineStr">
        <is>
          <t>ID2608-8073</t>
        </is>
      </c>
      <c r="G212" s="246" t="n">
        <v>46241</v>
      </c>
      <c r="H212" s="247" t="n">
        <v>1040</v>
      </c>
      <c r="I212" s="245" t="inlineStr">
        <is>
          <t>SEKU4529125</t>
        </is>
      </c>
      <c r="J212" s="245" t="inlineStr">
        <is>
          <t>40FT</t>
        </is>
      </c>
      <c r="K212" s="245" t="inlineStr">
        <is>
          <t>8IN GREEN TEA MF MATTRESS FL</t>
        </is>
      </c>
      <c r="L212" s="245" t="inlineStr">
        <is>
          <t>SCF-STR-800F</t>
        </is>
      </c>
      <c r="M212" s="248" t="inlineStr">
        <is>
          <t>0993630551</t>
        </is>
      </c>
      <c r="N212" s="245" t="inlineStr">
        <is>
          <t>F.MFM.08F.000.WS</t>
        </is>
      </c>
      <c r="O212" s="249" t="n">
        <v>21236.8</v>
      </c>
      <c r="P212" s="249" t="n">
        <v>18740.8</v>
      </c>
      <c r="Q212" s="250">
        <f>R212/H212</f>
        <v/>
      </c>
      <c r="R212" s="251" t="n">
        <v>82960.8</v>
      </c>
      <c r="S212" s="249" t="n">
        <v>18062</v>
      </c>
      <c r="T212" s="252">
        <f>S212*R212</f>
        <v/>
      </c>
      <c r="U212" s="245" t="inlineStr">
        <is>
          <t>040300/KPPBC</t>
        </is>
      </c>
      <c r="V212" s="245" t="inlineStr">
        <is>
          <t>TG. PRIOK</t>
        </is>
      </c>
      <c r="W212" s="245" t="inlineStr">
        <is>
          <t>LOS ANGELES, US</t>
        </is>
      </c>
      <c r="X212" s="245" t="inlineStr">
        <is>
          <t>WALMART, INC.</t>
        </is>
      </c>
      <c r="Y212" s="245" t="inlineStr">
        <is>
          <t>CMDUDJA1510366</t>
        </is>
      </c>
      <c r="Z212" s="246" t="n">
        <v>46244</v>
      </c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5" t="n"/>
      <c r="I213" s="245" t="inlineStr">
        <is>
          <t>TRHU6411142</t>
        </is>
      </c>
      <c r="J213" s="245" t="inlineStr">
        <is>
          <t>40FT</t>
        </is>
      </c>
      <c r="K213" s="245" t="n"/>
      <c r="L213" s="245" t="n"/>
      <c r="M213" s="245" t="n"/>
      <c r="N213" s="245" t="n"/>
      <c r="O213" s="245" t="n"/>
      <c r="P213" s="245" t="n"/>
      <c r="Q213" s="245" t="n"/>
      <c r="R213" s="245" t="n"/>
      <c r="S213" s="245" t="n"/>
      <c r="T213" s="245" t="n"/>
      <c r="U213" s="245" t="n"/>
      <c r="V213" s="245" t="n"/>
      <c r="W213" s="245" t="inlineStr">
        <is>
          <t>ETD : 15-08-2026</t>
        </is>
      </c>
      <c r="X213" s="245" t="n"/>
      <c r="Y213" s="245" t="n"/>
      <c r="Z213" s="245" t="n"/>
    </row>
    <row r="214" ht="17.1" customHeight="1" s="202">
      <c r="A214" s="253" t="n"/>
      <c r="B214" s="253" t="n"/>
      <c r="C214" s="253" t="n"/>
      <c r="D214" s="253" t="n"/>
      <c r="E214" s="253" t="n"/>
      <c r="F214" s="253" t="n"/>
      <c r="G214" s="253" t="n"/>
      <c r="H214" s="254">
        <f>SUM(H212:H213)</f>
        <v/>
      </c>
      <c r="I214" s="253">
        <f>COUNTA(I212:I213)</f>
        <v/>
      </c>
      <c r="J214" s="253" t="n"/>
      <c r="K214" s="253" t="n"/>
      <c r="L214" s="253" t="n"/>
      <c r="M214" s="253" t="n"/>
      <c r="N214" s="253" t="n"/>
      <c r="O214" s="255">
        <f>SUM(O212:O213)</f>
        <v/>
      </c>
      <c r="P214" s="255">
        <f>SUM(P212:P213)</f>
        <v/>
      </c>
      <c r="Q214" s="253" t="n"/>
      <c r="R214" s="256">
        <f>SUM(R212:R213)</f>
        <v/>
      </c>
      <c r="S214" s="253" t="n"/>
      <c r="T214" s="257">
        <f>SUM(T212:T213)</f>
        <v/>
      </c>
      <c r="U214" s="253" t="n"/>
      <c r="V214" s="253" t="n"/>
      <c r="W214" s="253" t="n"/>
      <c r="X214" s="253" t="n"/>
      <c r="Y214" s="253" t="n"/>
      <c r="Z214" s="253" t="n"/>
    </row>
    <row r="215" ht="16.5" customHeight="1" s="202">
      <c r="A215" s="245" t="n">
        <v>26</v>
      </c>
      <c r="B215" s="245" t="inlineStr">
        <is>
          <t>000030ZIK48020260807000594</t>
        </is>
      </c>
      <c r="C215" s="245" t="n">
        <v>498800</v>
      </c>
      <c r="D215" s="245" t="n">
        <v>498752</v>
      </c>
      <c r="E215" s="246" t="n">
        <v>46244</v>
      </c>
      <c r="F215" s="245" t="inlineStr">
        <is>
          <t>ID2608-8074</t>
        </is>
      </c>
      <c r="G215" s="246" t="n">
        <v>46241</v>
      </c>
      <c r="H215" s="247" t="n">
        <v>450</v>
      </c>
      <c r="I215" s="245" t="inlineStr">
        <is>
          <t>CMAU7830180</t>
        </is>
      </c>
      <c r="J215" s="245" t="inlineStr">
        <is>
          <t>40FT</t>
        </is>
      </c>
      <c r="K215" s="245" t="inlineStr">
        <is>
          <t>8IN GREEN TEA MF MATTRESS QN</t>
        </is>
      </c>
      <c r="L215" s="245" t="inlineStr">
        <is>
          <t>SCF-STR-800Q</t>
        </is>
      </c>
      <c r="M215" s="248" t="inlineStr">
        <is>
          <t>0993631228</t>
        </is>
      </c>
      <c r="N215" s="245" t="inlineStr">
        <is>
          <t>F.MFM.08Q.000.WS</t>
        </is>
      </c>
      <c r="O215" s="249" t="n">
        <v>10755</v>
      </c>
      <c r="P215" s="249" t="n">
        <v>9594</v>
      </c>
      <c r="Q215" s="250">
        <f>R215/H215</f>
        <v/>
      </c>
      <c r="R215" s="251" t="n">
        <v>42286.5</v>
      </c>
      <c r="S215" s="249" t="n">
        <v>18062</v>
      </c>
      <c r="T215" s="252">
        <f>S215*R215</f>
        <v/>
      </c>
      <c r="U215" s="245" t="inlineStr">
        <is>
          <t>040300/KPPBC</t>
        </is>
      </c>
      <c r="V215" s="245" t="inlineStr">
        <is>
          <t>TG. PRIOK</t>
        </is>
      </c>
      <c r="W215" s="245" t="inlineStr">
        <is>
          <t>LOS ANGELES, US</t>
        </is>
      </c>
      <c r="X215" s="245" t="inlineStr">
        <is>
          <t>WALMART, INC.</t>
        </is>
      </c>
      <c r="Y215" s="245" t="inlineStr">
        <is>
          <t>CMDUDJA1512157</t>
        </is>
      </c>
      <c r="Z215" s="246" t="n">
        <v>46244</v>
      </c>
    </row>
    <row r="216" ht="16.5" customHeight="1" s="202">
      <c r="A216" s="245" t="n"/>
      <c r="B216" s="245" t="n"/>
      <c r="C216" s="245" t="n"/>
      <c r="D216" s="245" t="n"/>
      <c r="E216" s="245" t="n"/>
      <c r="F216" s="245" t="n"/>
      <c r="G216" s="245" t="n"/>
      <c r="H216" s="245" t="n"/>
      <c r="I216" s="245" t="n"/>
      <c r="J216" s="245" t="n"/>
      <c r="K216" s="245" t="n"/>
      <c r="L216" s="245" t="n"/>
      <c r="M216" s="245" t="n"/>
      <c r="N216" s="245" t="n"/>
      <c r="O216" s="245" t="n"/>
      <c r="P216" s="245" t="n"/>
      <c r="Q216" s="245" t="n"/>
      <c r="R216" s="245" t="n"/>
      <c r="S216" s="245" t="n"/>
      <c r="T216" s="245" t="n"/>
      <c r="U216" s="245" t="n"/>
      <c r="V216" s="245" t="n"/>
      <c r="W216" s="245" t="inlineStr">
        <is>
          <t>ETD : 15-08-2026</t>
        </is>
      </c>
      <c r="X216" s="245" t="n"/>
      <c r="Y216" s="245" t="n"/>
      <c r="Z216" s="245" t="n"/>
    </row>
    <row r="217" ht="17.1" customHeight="1" s="202">
      <c r="A217" s="253" t="n"/>
      <c r="B217" s="253" t="n"/>
      <c r="C217" s="253" t="n"/>
      <c r="D217" s="253" t="n"/>
      <c r="E217" s="253" t="n"/>
      <c r="F217" s="253" t="n"/>
      <c r="G217" s="253" t="n"/>
      <c r="H217" s="254">
        <f>SUM(H215:H216)</f>
        <v/>
      </c>
      <c r="I217" s="253">
        <f>COUNTA(I215:I216)</f>
        <v/>
      </c>
      <c r="J217" s="253" t="n"/>
      <c r="K217" s="253" t="n"/>
      <c r="L217" s="253" t="n"/>
      <c r="M217" s="253" t="n"/>
      <c r="N217" s="253" t="n"/>
      <c r="O217" s="255">
        <f>SUM(O215:O216)</f>
        <v/>
      </c>
      <c r="P217" s="255">
        <f>SUM(P215:P216)</f>
        <v/>
      </c>
      <c r="Q217" s="253" t="n"/>
      <c r="R217" s="256">
        <f>SUM(R215:R216)</f>
        <v/>
      </c>
      <c r="S217" s="253" t="n"/>
      <c r="T217" s="257">
        <f>SUM(T215:T216)</f>
        <v/>
      </c>
      <c r="U217" s="253" t="n"/>
      <c r="V217" s="253" t="n"/>
      <c r="W217" s="253" t="n"/>
      <c r="X217" s="253" t="n"/>
      <c r="Y217" s="253" t="n"/>
      <c r="Z217" s="253" t="n"/>
    </row>
    <row r="218" ht="16.5" customHeight="1" s="202">
      <c r="A218" s="245" t="n">
        <v>27</v>
      </c>
      <c r="B218" s="245" t="inlineStr">
        <is>
          <t>000030ZIK48020260807000595</t>
        </is>
      </c>
      <c r="C218" s="245" t="n">
        <v>498851</v>
      </c>
      <c r="D218" s="245" t="n">
        <v>498803</v>
      </c>
      <c r="E218" s="246" t="n">
        <v>46244</v>
      </c>
      <c r="F218" s="245" t="inlineStr">
        <is>
          <t>ID2608-8075</t>
        </is>
      </c>
      <c r="G218" s="246" t="n">
        <v>46241</v>
      </c>
      <c r="H218" s="247" t="n">
        <v>1040</v>
      </c>
      <c r="I218" s="245" t="inlineStr">
        <is>
          <t>TIIU4739312</t>
        </is>
      </c>
      <c r="J218" s="245" t="inlineStr">
        <is>
          <t>40FT</t>
        </is>
      </c>
      <c r="K218" s="245" t="inlineStr">
        <is>
          <t>8IN GREEN TEA MF MATTRESS FL</t>
        </is>
      </c>
      <c r="L218" s="245" t="inlineStr">
        <is>
          <t>SCF-STR-800F</t>
        </is>
      </c>
      <c r="M218" s="248" t="inlineStr">
        <is>
          <t>0993630697</t>
        </is>
      </c>
      <c r="N218" s="245" t="inlineStr">
        <is>
          <t>F.MFM.08F.000.WS</t>
        </is>
      </c>
      <c r="O218" s="249" t="n">
        <v>21236.8</v>
      </c>
      <c r="P218" s="249" t="n">
        <v>18740.8</v>
      </c>
      <c r="Q218" s="250">
        <f>R218/H218</f>
        <v/>
      </c>
      <c r="R218" s="251" t="n">
        <v>82960.8</v>
      </c>
      <c r="S218" s="249" t="n">
        <v>18062</v>
      </c>
      <c r="T218" s="252">
        <f>S218*R218</f>
        <v/>
      </c>
      <c r="U218" s="245" t="inlineStr">
        <is>
          <t>040300/KPPBC</t>
        </is>
      </c>
      <c r="V218" s="245" t="inlineStr">
        <is>
          <t>TG. PRIOK</t>
        </is>
      </c>
      <c r="W218" s="245" t="inlineStr">
        <is>
          <t>HOUSTON, US</t>
        </is>
      </c>
      <c r="X218" s="245" t="inlineStr">
        <is>
          <t>WALMART, INC.</t>
        </is>
      </c>
      <c r="Y218" s="245" t="inlineStr">
        <is>
          <t>CMDUDJA1512625A</t>
        </is>
      </c>
      <c r="Z218" s="246" t="n">
        <v>46244</v>
      </c>
    </row>
    <row r="219" ht="16.5" customHeight="1" s="202">
      <c r="A219" s="245" t="n"/>
      <c r="B219" s="245" t="n"/>
      <c r="C219" s="245" t="n"/>
      <c r="D219" s="245" t="n"/>
      <c r="E219" s="245" t="n"/>
      <c r="F219" s="245" t="n"/>
      <c r="G219" s="245" t="n"/>
      <c r="H219" s="245" t="n"/>
      <c r="I219" s="245" t="inlineStr">
        <is>
          <t>TRHU8952763</t>
        </is>
      </c>
      <c r="J219" s="245" t="inlineStr">
        <is>
          <t>40FT</t>
        </is>
      </c>
      <c r="K219" s="245" t="n"/>
      <c r="L219" s="245" t="n"/>
      <c r="M219" s="245" t="n"/>
      <c r="N219" s="245" t="n"/>
      <c r="O219" s="245" t="n"/>
      <c r="P219" s="245" t="n"/>
      <c r="Q219" s="245" t="n"/>
      <c r="R219" s="245" t="n"/>
      <c r="S219" s="245" t="n"/>
      <c r="T219" s="245" t="n"/>
      <c r="U219" s="245" t="n"/>
      <c r="V219" s="245" t="n"/>
      <c r="W219" s="245" t="inlineStr">
        <is>
          <t>ETD : 15-08-2026</t>
        </is>
      </c>
      <c r="X219" s="245" t="n"/>
      <c r="Y219" s="245" t="n"/>
      <c r="Z219" s="245" t="n"/>
    </row>
    <row r="220" ht="17.1" customHeight="1" s="202">
      <c r="A220" s="253" t="n"/>
      <c r="B220" s="253" t="n"/>
      <c r="C220" s="253" t="n"/>
      <c r="D220" s="253" t="n"/>
      <c r="E220" s="253" t="n"/>
      <c r="F220" s="253" t="n"/>
      <c r="G220" s="253" t="n"/>
      <c r="H220" s="254">
        <f>SUM(H218:H219)</f>
        <v/>
      </c>
      <c r="I220" s="253">
        <f>COUNTA(I218:I219)</f>
        <v/>
      </c>
      <c r="J220" s="253" t="n"/>
      <c r="K220" s="253" t="n"/>
      <c r="L220" s="253" t="n"/>
      <c r="M220" s="253" t="n"/>
      <c r="N220" s="253" t="n"/>
      <c r="O220" s="255">
        <f>SUM(O218:O219)</f>
        <v/>
      </c>
      <c r="P220" s="255">
        <f>SUM(P218:P219)</f>
        <v/>
      </c>
      <c r="Q220" s="253" t="n"/>
      <c r="R220" s="256">
        <f>SUM(R218:R219)</f>
        <v/>
      </c>
      <c r="S220" s="253" t="n"/>
      <c r="T220" s="257">
        <f>SUM(T218:T219)</f>
        <v/>
      </c>
      <c r="U220" s="253" t="n"/>
      <c r="V220" s="253" t="n"/>
      <c r="W220" s="253" t="n"/>
      <c r="X220" s="253" t="n"/>
      <c r="Y220" s="253" t="n"/>
      <c r="Z220" s="253" t="n"/>
    </row>
    <row r="221" ht="16.5" customHeight="1" s="202">
      <c r="A221" s="245" t="n">
        <v>28</v>
      </c>
      <c r="B221" s="245" t="inlineStr">
        <is>
          <t>000030ZIK48020260807000596</t>
        </is>
      </c>
      <c r="C221" s="245" t="n">
        <v>498828</v>
      </c>
      <c r="D221" s="245" t="n">
        <v>498780</v>
      </c>
      <c r="E221" s="246" t="n">
        <v>46244</v>
      </c>
      <c r="F221" s="245" t="inlineStr">
        <is>
          <t>ID2608-8076</t>
        </is>
      </c>
      <c r="G221" s="246" t="n">
        <v>46241</v>
      </c>
      <c r="H221" s="247" t="n">
        <v>900</v>
      </c>
      <c r="I221" s="245" t="inlineStr">
        <is>
          <t>TRHU8279420</t>
        </is>
      </c>
      <c r="J221" s="245" t="inlineStr">
        <is>
          <t>40FT</t>
        </is>
      </c>
      <c r="K221" s="245" t="inlineStr">
        <is>
          <t>8IN GREEN TEA MF MATTRESS QN</t>
        </is>
      </c>
      <c r="L221" s="245" t="inlineStr">
        <is>
          <t>SCF-STR-800Q</t>
        </is>
      </c>
      <c r="M221" s="248" t="inlineStr">
        <is>
          <t>0993631152</t>
        </is>
      </c>
      <c r="N221" s="245" t="inlineStr">
        <is>
          <t>F.MFM.08Q.000.WS</t>
        </is>
      </c>
      <c r="O221" s="249" t="n">
        <v>21510</v>
      </c>
      <c r="P221" s="249" t="n">
        <v>19188</v>
      </c>
      <c r="Q221" s="250">
        <f>R221/H221</f>
        <v/>
      </c>
      <c r="R221" s="251" t="n">
        <v>84573</v>
      </c>
      <c r="S221" s="249" t="n">
        <v>18062</v>
      </c>
      <c r="T221" s="252">
        <f>S221*R221</f>
        <v/>
      </c>
      <c r="U221" s="245" t="inlineStr">
        <is>
          <t>040300/KPPBC</t>
        </is>
      </c>
      <c r="V221" s="245" t="inlineStr">
        <is>
          <t>TG. PRIOK</t>
        </is>
      </c>
      <c r="W221" s="245" t="inlineStr">
        <is>
          <t>HOUSTON, US</t>
        </is>
      </c>
      <c r="X221" s="245" t="inlineStr">
        <is>
          <t>WALMART, INC.</t>
        </is>
      </c>
      <c r="Y221" s="245" t="inlineStr">
        <is>
          <t>CMDUDJA1512625B</t>
        </is>
      </c>
      <c r="Z221" s="246" t="n">
        <v>46244</v>
      </c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5" t="n"/>
      <c r="I222" s="245" t="inlineStr">
        <is>
          <t>TGBU9311987</t>
        </is>
      </c>
      <c r="J222" s="245" t="inlineStr">
        <is>
          <t>40FT</t>
        </is>
      </c>
      <c r="K222" s="245" t="n"/>
      <c r="L222" s="245" t="n"/>
      <c r="M222" s="245" t="n"/>
      <c r="N222" s="245" t="n"/>
      <c r="O222" s="245" t="n"/>
      <c r="P222" s="245" t="n"/>
      <c r="Q222" s="245" t="n"/>
      <c r="R222" s="245" t="n"/>
      <c r="S222" s="245" t="n"/>
      <c r="T222" s="245" t="n"/>
      <c r="U222" s="245" t="n"/>
      <c r="V222" s="245" t="n"/>
      <c r="W222" s="245" t="inlineStr">
        <is>
          <t>ETD : 15-08-2026</t>
        </is>
      </c>
      <c r="X222" s="245" t="n"/>
      <c r="Y222" s="245" t="n"/>
      <c r="Z222" s="245" t="n"/>
    </row>
    <row r="223" ht="17.1" customHeight="1" s="202">
      <c r="A223" s="253" t="n"/>
      <c r="B223" s="253" t="n"/>
      <c r="C223" s="253" t="n"/>
      <c r="D223" s="253" t="n"/>
      <c r="E223" s="253" t="n"/>
      <c r="F223" s="253" t="n"/>
      <c r="G223" s="253" t="n"/>
      <c r="H223" s="254">
        <f>SUM(H221:H222)</f>
        <v/>
      </c>
      <c r="I223" s="253">
        <f>COUNTA(I221:I222)</f>
        <v/>
      </c>
      <c r="J223" s="253" t="n"/>
      <c r="K223" s="253" t="n"/>
      <c r="L223" s="253" t="n"/>
      <c r="M223" s="253" t="n"/>
      <c r="N223" s="253" t="n"/>
      <c r="O223" s="255">
        <f>SUM(O221:O222)</f>
        <v/>
      </c>
      <c r="P223" s="255">
        <f>SUM(P221:P222)</f>
        <v/>
      </c>
      <c r="Q223" s="253" t="n"/>
      <c r="R223" s="256">
        <f>SUM(R221:R222)</f>
        <v/>
      </c>
      <c r="S223" s="253" t="n"/>
      <c r="T223" s="257">
        <f>SUM(T221:T222)</f>
        <v/>
      </c>
      <c r="U223" s="253" t="n"/>
      <c r="V223" s="253" t="n"/>
      <c r="W223" s="253" t="n"/>
      <c r="X223" s="253" t="n"/>
      <c r="Y223" s="253" t="n"/>
      <c r="Z223" s="253" t="n"/>
    </row>
    <row r="224" ht="16.5" customHeight="1" s="202">
      <c r="A224" s="245" t="n">
        <v>29</v>
      </c>
      <c r="B224" s="245" t="inlineStr">
        <is>
          <t>000030ZIK48020260807000597</t>
        </is>
      </c>
      <c r="C224" s="245" t="n">
        <v>498987</v>
      </c>
      <c r="D224" s="245" t="n">
        <v>498939</v>
      </c>
      <c r="E224" s="246" t="n">
        <v>46244</v>
      </c>
      <c r="F224" s="245" t="inlineStr">
        <is>
          <t>ID2608-8077</t>
        </is>
      </c>
      <c r="G224" s="246" t="n">
        <v>46241</v>
      </c>
      <c r="H224" s="247" t="n">
        <v>900</v>
      </c>
      <c r="I224" s="245" t="inlineStr">
        <is>
          <t>SEKU4321234</t>
        </is>
      </c>
      <c r="J224" s="245" t="inlineStr">
        <is>
          <t>40FT</t>
        </is>
      </c>
      <c r="K224" s="245" t="inlineStr">
        <is>
          <t>8IN GREEN TEA MF MATTRESS QN</t>
        </is>
      </c>
      <c r="L224" s="245" t="inlineStr">
        <is>
          <t>SCF-STR-800Q</t>
        </is>
      </c>
      <c r="M224" s="248" t="inlineStr">
        <is>
          <t>0993630479</t>
        </is>
      </c>
      <c r="N224" s="245" t="inlineStr">
        <is>
          <t>F.MFM.08Q.000.WS</t>
        </is>
      </c>
      <c r="O224" s="249" t="n">
        <v>21510</v>
      </c>
      <c r="P224" s="249" t="n">
        <v>19188</v>
      </c>
      <c r="Q224" s="250">
        <f>R224/H224</f>
        <v/>
      </c>
      <c r="R224" s="251" t="n">
        <v>84573</v>
      </c>
      <c r="S224" s="249" t="n">
        <v>18062</v>
      </c>
      <c r="T224" s="252">
        <f>S224*R224</f>
        <v/>
      </c>
      <c r="U224" s="245" t="inlineStr">
        <is>
          <t>040300/KPPBC</t>
        </is>
      </c>
      <c r="V224" s="245" t="inlineStr">
        <is>
          <t>TG. PRIOK</t>
        </is>
      </c>
      <c r="W224" s="245" t="inlineStr">
        <is>
          <t>CHARLESTON, US</t>
        </is>
      </c>
      <c r="X224" s="245" t="inlineStr">
        <is>
          <t>WALMART, INC.</t>
        </is>
      </c>
      <c r="Y224" s="245" t="inlineStr">
        <is>
          <t>CMDUDJA1516054A</t>
        </is>
      </c>
      <c r="Z224" s="246" t="n">
        <v>46244</v>
      </c>
    </row>
    <row r="225" ht="16.5" customHeight="1" s="202">
      <c r="A225" s="245" t="n"/>
      <c r="B225" s="245" t="n"/>
      <c r="C225" s="245" t="n"/>
      <c r="D225" s="245" t="n"/>
      <c r="E225" s="245" t="n"/>
      <c r="F225" s="245" t="n"/>
      <c r="G225" s="245" t="n"/>
      <c r="H225" s="245" t="n"/>
      <c r="I225" s="245" t="inlineStr">
        <is>
          <t>TLLU8305907</t>
        </is>
      </c>
      <c r="J225" s="245" t="inlineStr">
        <is>
          <t>40FT</t>
        </is>
      </c>
      <c r="K225" s="245" t="n"/>
      <c r="L225" s="245" t="n"/>
      <c r="M225" s="245" t="n"/>
      <c r="N225" s="245" t="n"/>
      <c r="O225" s="245" t="n"/>
      <c r="P225" s="245" t="n"/>
      <c r="Q225" s="245" t="n"/>
      <c r="R225" s="245" t="n"/>
      <c r="S225" s="245" t="n"/>
      <c r="T225" s="245" t="n"/>
      <c r="U225" s="245" t="n"/>
      <c r="V225" s="245" t="n"/>
      <c r="W225" s="245" t="inlineStr">
        <is>
          <t>ETD : 15-08-2026</t>
        </is>
      </c>
      <c r="X225" s="245" t="n"/>
      <c r="Y225" s="245" t="n"/>
      <c r="Z225" s="245" t="n"/>
    </row>
    <row r="226" ht="17.1" customHeight="1" s="202">
      <c r="A226" s="253" t="n"/>
      <c r="B226" s="253" t="n"/>
      <c r="C226" s="253" t="n"/>
      <c r="D226" s="253" t="n"/>
      <c r="E226" s="253" t="n"/>
      <c r="F226" s="253" t="n"/>
      <c r="G226" s="253" t="n"/>
      <c r="H226" s="254">
        <f>SUM(H224:H225)</f>
        <v/>
      </c>
      <c r="I226" s="253">
        <f>COUNTA(I224:I225)</f>
        <v/>
      </c>
      <c r="J226" s="253" t="n"/>
      <c r="K226" s="253" t="n"/>
      <c r="L226" s="253" t="n"/>
      <c r="M226" s="253" t="n"/>
      <c r="N226" s="253" t="n"/>
      <c r="O226" s="255">
        <f>SUM(O224:O225)</f>
        <v/>
      </c>
      <c r="P226" s="255">
        <f>SUM(P224:P225)</f>
        <v/>
      </c>
      <c r="Q226" s="253" t="n"/>
      <c r="R226" s="256">
        <f>SUM(R224:R225)</f>
        <v/>
      </c>
      <c r="S226" s="253" t="n"/>
      <c r="T226" s="257">
        <f>SUM(T224:T225)</f>
        <v/>
      </c>
      <c r="U226" s="253" t="n"/>
      <c r="V226" s="253" t="n"/>
      <c r="W226" s="253" t="n"/>
      <c r="X226" s="253" t="n"/>
      <c r="Y226" s="253" t="n"/>
      <c r="Z226" s="253" t="n"/>
    </row>
    <row r="227" ht="16.5" customHeight="1" s="202">
      <c r="A227" s="245" t="n">
        <v>30</v>
      </c>
      <c r="B227" s="245" t="inlineStr">
        <is>
          <t>000030ZIK48020260807000598</t>
        </is>
      </c>
      <c r="C227" s="245" t="n">
        <v>498919</v>
      </c>
      <c r="D227" s="245" t="n">
        <v>498871</v>
      </c>
      <c r="E227" s="246" t="n">
        <v>46244</v>
      </c>
      <c r="F227" s="245" t="inlineStr">
        <is>
          <t>ID2608-8078</t>
        </is>
      </c>
      <c r="G227" s="246" t="n">
        <v>46241</v>
      </c>
      <c r="H227" s="247" t="n">
        <v>693</v>
      </c>
      <c r="I227" s="245" t="inlineStr">
        <is>
          <t>FSCU8648880</t>
        </is>
      </c>
      <c r="J227" s="245" t="inlineStr">
        <is>
          <t>40FT</t>
        </is>
      </c>
      <c r="K227" s="245" t="inlineStr">
        <is>
          <t>8IN GREEN TEA MF MATTRESS TW</t>
        </is>
      </c>
      <c r="L227" s="245" t="inlineStr">
        <is>
          <t>SCF-STR-800T</t>
        </is>
      </c>
      <c r="M227" s="248" t="inlineStr">
        <is>
          <t>0993631104</t>
        </is>
      </c>
      <c r="N227" s="245" t="inlineStr">
        <is>
          <t>F.MFM.08T.000.WS</t>
        </is>
      </c>
      <c r="O227" s="249" t="n">
        <v>10526.67</v>
      </c>
      <c r="P227" s="249" t="n">
        <v>9140.67</v>
      </c>
      <c r="Q227" s="250">
        <f>R227/H227</f>
        <v/>
      </c>
      <c r="R227" s="251" t="n">
        <v>42619.5</v>
      </c>
      <c r="S227" s="249" t="n">
        <v>18062</v>
      </c>
      <c r="T227" s="252">
        <f>S227*R227</f>
        <v/>
      </c>
      <c r="U227" s="245" t="inlineStr">
        <is>
          <t>040300/KPPBC</t>
        </is>
      </c>
      <c r="V227" s="245" t="inlineStr">
        <is>
          <t>TG. PRIOK</t>
        </is>
      </c>
      <c r="W227" s="245" t="inlineStr">
        <is>
          <t>CHARLESTON, US</t>
        </is>
      </c>
      <c r="X227" s="245" t="inlineStr">
        <is>
          <t>WALMART, INC.</t>
        </is>
      </c>
      <c r="Y227" s="245" t="inlineStr">
        <is>
          <t>CMDUDJA1516054B</t>
        </is>
      </c>
      <c r="Z227" s="246" t="n">
        <v>46244</v>
      </c>
    </row>
    <row r="228" ht="16.5" customHeight="1" s="202">
      <c r="A228" s="245" t="n"/>
      <c r="B228" s="245" t="n"/>
      <c r="C228" s="245" t="n"/>
      <c r="D228" s="245" t="n"/>
      <c r="E228" s="245" t="n"/>
      <c r="F228" s="245" t="n"/>
      <c r="G228" s="245" t="n"/>
      <c r="H228" s="245" t="n"/>
      <c r="I228" s="245" t="n"/>
      <c r="J228" s="245" t="n"/>
      <c r="K228" s="245" t="n"/>
      <c r="L228" s="245" t="n"/>
      <c r="M228" s="245" t="n"/>
      <c r="N228" s="245" t="n"/>
      <c r="O228" s="245" t="n"/>
      <c r="P228" s="245" t="n"/>
      <c r="Q228" s="245" t="n"/>
      <c r="R228" s="245" t="n"/>
      <c r="S228" s="245" t="n"/>
      <c r="T228" s="245" t="n"/>
      <c r="U228" s="245" t="n"/>
      <c r="V228" s="245" t="n"/>
      <c r="W228" s="245" t="inlineStr">
        <is>
          <t>ETD : 15-08-2026</t>
        </is>
      </c>
      <c r="X228" s="245" t="n"/>
      <c r="Y228" s="245" t="n"/>
      <c r="Z228" s="245" t="n"/>
    </row>
    <row r="229" ht="17.1" customHeight="1" s="202">
      <c r="A229" s="253" t="n"/>
      <c r="B229" s="253" t="n"/>
      <c r="C229" s="253" t="n"/>
      <c r="D229" s="253" t="n"/>
      <c r="E229" s="253" t="n"/>
      <c r="F229" s="253" t="n"/>
      <c r="G229" s="253" t="n"/>
      <c r="H229" s="254">
        <f>SUM(H227:H228)</f>
        <v/>
      </c>
      <c r="I229" s="253">
        <f>COUNTA(I227:I228)</f>
        <v/>
      </c>
      <c r="J229" s="253" t="n"/>
      <c r="K229" s="253" t="n"/>
      <c r="L229" s="253" t="n"/>
      <c r="M229" s="253" t="n"/>
      <c r="N229" s="253" t="n"/>
      <c r="O229" s="255">
        <f>SUM(O227:O228)</f>
        <v/>
      </c>
      <c r="P229" s="255">
        <f>SUM(P227:P228)</f>
        <v/>
      </c>
      <c r="Q229" s="253" t="n"/>
      <c r="R229" s="256">
        <f>SUM(R227:R228)</f>
        <v/>
      </c>
      <c r="S229" s="253" t="n"/>
      <c r="T229" s="257">
        <f>SUM(T227:T228)</f>
        <v/>
      </c>
      <c r="U229" s="253" t="n"/>
      <c r="V229" s="253" t="n"/>
      <c r="W229" s="253" t="n"/>
      <c r="X229" s="253" t="n"/>
      <c r="Y229" s="253" t="n"/>
      <c r="Z229" s="253" t="n"/>
    </row>
    <row r="230" ht="16.5" customHeight="1" s="202">
      <c r="A230" s="245" t="n">
        <v>31</v>
      </c>
      <c r="B230" s="245" t="inlineStr">
        <is>
          <t>000030ZIK48020260807000599</t>
        </is>
      </c>
      <c r="C230" s="245" t="n">
        <v>498945</v>
      </c>
      <c r="D230" s="245" t="n">
        <v>498897</v>
      </c>
      <c r="E230" s="246" t="n">
        <v>46244</v>
      </c>
      <c r="F230" s="245" t="inlineStr">
        <is>
          <t>ID2608-8079</t>
        </is>
      </c>
      <c r="G230" s="246" t="n">
        <v>46241</v>
      </c>
      <c r="H230" s="247" t="n">
        <v>520</v>
      </c>
      <c r="I230" s="245" t="inlineStr">
        <is>
          <t>TCKU6042513</t>
        </is>
      </c>
      <c r="J230" s="245" t="inlineStr">
        <is>
          <t>40FT</t>
        </is>
      </c>
      <c r="K230" s="245" t="inlineStr">
        <is>
          <t>8IN GREEN TEA MF MATTRESS FL</t>
        </is>
      </c>
      <c r="L230" s="245" t="inlineStr">
        <is>
          <t>SCF-STR-800F</t>
        </is>
      </c>
      <c r="M230" s="248" t="inlineStr">
        <is>
          <t>0993630748</t>
        </is>
      </c>
      <c r="N230" s="245" t="inlineStr">
        <is>
          <t>F.MFM.08F.000.WS</t>
        </is>
      </c>
      <c r="O230" s="249" t="n">
        <v>10618.4</v>
      </c>
      <c r="P230" s="249" t="n">
        <v>9370.4</v>
      </c>
      <c r="Q230" s="250">
        <f>R230/H230</f>
        <v/>
      </c>
      <c r="R230" s="251" t="n">
        <v>41480.4</v>
      </c>
      <c r="S230" s="249" t="n">
        <v>18062</v>
      </c>
      <c r="T230" s="252">
        <f>S230*R230</f>
        <v/>
      </c>
      <c r="U230" s="245" t="inlineStr">
        <is>
          <t>040300/KPPBC</t>
        </is>
      </c>
      <c r="V230" s="245" t="inlineStr">
        <is>
          <t>TG. PRIOK</t>
        </is>
      </c>
      <c r="W230" s="245" t="inlineStr">
        <is>
          <t>CHARLESTON, US</t>
        </is>
      </c>
      <c r="X230" s="245" t="inlineStr">
        <is>
          <t>WALMART, INC.</t>
        </is>
      </c>
      <c r="Y230" s="245" t="inlineStr">
        <is>
          <t>CMDUDJA1516054C</t>
        </is>
      </c>
      <c r="Z230" s="246" t="n">
        <v>46244</v>
      </c>
    </row>
    <row r="231" ht="16.5" customHeight="1" s="202">
      <c r="A231" s="245" t="n"/>
      <c r="B231" s="245" t="n"/>
      <c r="C231" s="245" t="n"/>
      <c r="D231" s="245" t="n"/>
      <c r="E231" s="245" t="n"/>
      <c r="F231" s="245" t="n"/>
      <c r="G231" s="245" t="n"/>
      <c r="H231" s="245" t="n"/>
      <c r="I231" s="245" t="n"/>
      <c r="J231" s="245" t="n"/>
      <c r="K231" s="245" t="n"/>
      <c r="L231" s="245" t="n"/>
      <c r="M231" s="245" t="n"/>
      <c r="N231" s="245" t="n"/>
      <c r="O231" s="245" t="n"/>
      <c r="P231" s="245" t="n"/>
      <c r="Q231" s="245" t="n"/>
      <c r="R231" s="245" t="n"/>
      <c r="S231" s="245" t="n"/>
      <c r="T231" s="245" t="n"/>
      <c r="U231" s="245" t="n"/>
      <c r="V231" s="245" t="n"/>
      <c r="W231" s="245" t="inlineStr">
        <is>
          <t>ETD : 15-08-2026</t>
        </is>
      </c>
      <c r="X231" s="245" t="n"/>
      <c r="Y231" s="245" t="n"/>
      <c r="Z231" s="245" t="n"/>
    </row>
    <row r="232" ht="17.1" customHeight="1" s="202">
      <c r="A232" s="253" t="n"/>
      <c r="B232" s="253" t="n"/>
      <c r="C232" s="253" t="n"/>
      <c r="D232" s="253" t="n"/>
      <c r="E232" s="253" t="n"/>
      <c r="F232" s="253" t="n"/>
      <c r="G232" s="253" t="n"/>
      <c r="H232" s="254">
        <f>SUM(H230:H231)</f>
        <v/>
      </c>
      <c r="I232" s="253">
        <f>COUNTA(I230:I231)</f>
        <v/>
      </c>
      <c r="J232" s="253" t="n"/>
      <c r="K232" s="253" t="n"/>
      <c r="L232" s="253" t="n"/>
      <c r="M232" s="253" t="n"/>
      <c r="N232" s="253" t="n"/>
      <c r="O232" s="255">
        <f>SUM(O230:O231)</f>
        <v/>
      </c>
      <c r="P232" s="255">
        <f>SUM(P230:P231)</f>
        <v/>
      </c>
      <c r="Q232" s="253" t="n"/>
      <c r="R232" s="256">
        <f>SUM(R230:R231)</f>
        <v/>
      </c>
      <c r="S232" s="253" t="n"/>
      <c r="T232" s="257">
        <f>SUM(T230:T231)</f>
        <v/>
      </c>
      <c r="U232" s="253" t="n"/>
      <c r="V232" s="253" t="n"/>
      <c r="W232" s="253" t="n"/>
      <c r="X232" s="253" t="n"/>
      <c r="Y232" s="253" t="n"/>
      <c r="Z232" s="253" t="n"/>
    </row>
    <row r="233" ht="16.5" customHeight="1" s="202">
      <c r="A233" s="245" t="n">
        <v>32</v>
      </c>
      <c r="B233" s="245" t="inlineStr">
        <is>
          <t>000030ZIK48020260810000600</t>
        </is>
      </c>
      <c r="C233" s="245" t="n">
        <v>503376</v>
      </c>
      <c r="D233" s="245" t="n">
        <v>503321</v>
      </c>
      <c r="E233" s="246" t="n">
        <v>46245</v>
      </c>
      <c r="F233" s="245" t="inlineStr">
        <is>
          <t>ID2608-8060</t>
        </is>
      </c>
      <c r="G233" s="246" t="n">
        <v>46240</v>
      </c>
      <c r="H233" s="247" t="n">
        <v>22</v>
      </c>
      <c r="I233" s="245" t="inlineStr">
        <is>
          <t>TLLU4110126</t>
        </is>
      </c>
      <c r="J233" s="245" t="inlineStr">
        <is>
          <t>40FT</t>
        </is>
      </c>
      <c r="K233" s="245" t="inlineStr">
        <is>
          <t>12IN MYGEL FOAM MATTRESS TW</t>
        </is>
      </c>
      <c r="L233" s="245" t="inlineStr">
        <is>
          <t>ZU-MFGN1YZI-12T</t>
        </is>
      </c>
      <c r="M233" s="248" t="inlineStr">
        <is>
          <t>2BWZRZDX</t>
        </is>
      </c>
      <c r="N233" s="245" t="inlineStr">
        <is>
          <t>F.MFG.12T.002.AD</t>
        </is>
      </c>
      <c r="O233" s="249" t="n">
        <v>47632.54</v>
      </c>
      <c r="P233" s="249" t="n">
        <v>42617.98</v>
      </c>
      <c r="Q233" s="250">
        <f>R233/H233</f>
        <v/>
      </c>
      <c r="R233" s="251" t="n">
        <v>1334.52</v>
      </c>
      <c r="S233" s="249" t="n">
        <v>18062</v>
      </c>
      <c r="T233" s="252">
        <f>S233*R233</f>
        <v/>
      </c>
      <c r="U233" s="245" t="inlineStr">
        <is>
          <t>040300/KPPBC</t>
        </is>
      </c>
      <c r="V233" s="245" t="inlineStr">
        <is>
          <t>TG. PRIOK</t>
        </is>
      </c>
      <c r="W233" s="245" t="inlineStr">
        <is>
          <t>NORFOLK, US</t>
        </is>
      </c>
      <c r="X233" s="245" t="inlineStr">
        <is>
          <t>AMAZON.COM SERVICES LLC</t>
        </is>
      </c>
      <c r="Y233" s="245" t="inlineStr">
        <is>
          <t>EGLV080600465666</t>
        </is>
      </c>
      <c r="Z233" s="246" t="n">
        <v>46245</v>
      </c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7" t="n">
        <v>400</v>
      </c>
      <c r="I234" s="245" t="inlineStr">
        <is>
          <t>GAOU6351636</t>
        </is>
      </c>
      <c r="J234" s="245" t="inlineStr">
        <is>
          <t>40FT</t>
        </is>
      </c>
      <c r="K234" s="245" t="inlineStr">
        <is>
          <t>12IN AIRFLOW GEL FOAM MATT QN</t>
        </is>
      </c>
      <c r="L234" s="245" t="inlineStr">
        <is>
          <t>ZU-MFMA1RZI-12Q</t>
        </is>
      </c>
      <c r="M234" s="248" t="inlineStr">
        <is>
          <t>2BWZRZDX</t>
        </is>
      </c>
      <c r="N234" s="245" t="inlineStr">
        <is>
          <t>F.MFM.12Q.011.AD</t>
        </is>
      </c>
      <c r="O234" s="245" t="n"/>
      <c r="P234" s="245" t="n"/>
      <c r="Q234" s="250">
        <f>R234/H234</f>
        <v/>
      </c>
      <c r="R234" s="251" t="n">
        <v>27028</v>
      </c>
      <c r="S234" s="249" t="n">
        <v>18062</v>
      </c>
      <c r="T234" s="252">
        <f>S234*R234</f>
        <v/>
      </c>
      <c r="U234" s="245" t="n"/>
      <c r="V234" s="245" t="n"/>
      <c r="W234" s="245" t="inlineStr">
        <is>
          <t>ETD : 15-08-2026</t>
        </is>
      </c>
      <c r="X234" s="245" t="n"/>
      <c r="Y234" s="245" t="n"/>
      <c r="Z234" s="245" t="n"/>
    </row>
    <row r="235" ht="16.5" customHeight="1" s="202">
      <c r="A235" s="245" t="n"/>
      <c r="B235" s="245" t="n"/>
      <c r="C235" s="245" t="n"/>
      <c r="D235" s="245" t="n"/>
      <c r="E235" s="245" t="n"/>
      <c r="F235" s="245" t="n"/>
      <c r="G235" s="245" t="n"/>
      <c r="H235" s="247" t="n">
        <v>446</v>
      </c>
      <c r="I235" s="245" t="inlineStr">
        <is>
          <t>TIIU6255301</t>
        </is>
      </c>
      <c r="J235" s="245" t="inlineStr">
        <is>
          <t>40FT</t>
        </is>
      </c>
      <c r="K235" s="245" t="inlineStr">
        <is>
          <t>6IN OPP HD TW</t>
        </is>
      </c>
      <c r="L235" s="245" t="inlineStr">
        <is>
          <t>ZU-MFMA1OZI-06T</t>
        </is>
      </c>
      <c r="M235" s="248" t="inlineStr">
        <is>
          <t>2FMIZ83B</t>
        </is>
      </c>
      <c r="N235" s="245" t="inlineStr">
        <is>
          <t>F.MFM.06T.008.AD</t>
        </is>
      </c>
      <c r="O235" s="245" t="n"/>
      <c r="P235" s="245" t="n"/>
      <c r="Q235" s="250">
        <f>R235/H235</f>
        <v/>
      </c>
      <c r="R235" s="251" t="n">
        <v>12019.7</v>
      </c>
      <c r="S235" s="249" t="n">
        <v>18062</v>
      </c>
      <c r="T235" s="252">
        <f>S235*R235</f>
        <v/>
      </c>
      <c r="U235" s="245" t="n"/>
      <c r="V235" s="245" t="n"/>
      <c r="W235" s="245" t="n"/>
      <c r="X235" s="245" t="n"/>
      <c r="Y235" s="245" t="n"/>
      <c r="Z235" s="245" t="n"/>
    </row>
    <row r="236" ht="16.5" customHeight="1" s="202">
      <c r="A236" s="245" t="n"/>
      <c r="B236" s="245" t="n"/>
      <c r="C236" s="245" t="n"/>
      <c r="D236" s="245" t="n"/>
      <c r="E236" s="245" t="n"/>
      <c r="F236" s="245" t="n"/>
      <c r="G236" s="245" t="n"/>
      <c r="H236" s="247" t="n">
        <v>308</v>
      </c>
      <c r="I236" s="245" t="inlineStr">
        <is>
          <t>EGHU9203660</t>
        </is>
      </c>
      <c r="J236" s="245" t="inlineStr">
        <is>
          <t>40FT</t>
        </is>
      </c>
      <c r="K236" s="245" t="inlineStr">
        <is>
          <t>6IN GREEN TEA MF MATTRESS QN</t>
        </is>
      </c>
      <c r="L236" s="245" t="inlineStr">
        <is>
          <t>ZU-MFMA1ZZI-06Q</t>
        </is>
      </c>
      <c r="M236" s="248" t="inlineStr">
        <is>
          <t>2FMIZ83B</t>
        </is>
      </c>
      <c r="N236" s="245" t="inlineStr">
        <is>
          <t>F.MFM.06Q.007.AD</t>
        </is>
      </c>
      <c r="O236" s="245" t="n"/>
      <c r="P236" s="245" t="n"/>
      <c r="Q236" s="250">
        <f>R236/H236</f>
        <v/>
      </c>
      <c r="R236" s="251" t="n">
        <v>14017.08</v>
      </c>
      <c r="S236" s="249" t="n">
        <v>18062</v>
      </c>
      <c r="T236" s="252">
        <f>S236*R236</f>
        <v/>
      </c>
      <c r="U236" s="245" t="n"/>
      <c r="V236" s="245" t="n"/>
      <c r="W236" s="245" t="n"/>
      <c r="X236" s="245" t="n"/>
      <c r="Y236" s="245" t="n"/>
      <c r="Z236" s="245" t="n"/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7" t="n">
        <v>17</v>
      </c>
      <c r="I237" s="245" t="inlineStr"/>
      <c r="J237" s="245" t="inlineStr"/>
      <c r="K237" s="245" t="inlineStr">
        <is>
          <t>6IN OPP HD TW</t>
        </is>
      </c>
      <c r="L237" s="245" t="inlineStr">
        <is>
          <t>ZU-MFMA1OZI-06T</t>
        </is>
      </c>
      <c r="M237" s="248" t="inlineStr">
        <is>
          <t>2WL5JZ9J</t>
        </is>
      </c>
      <c r="N237" s="245" t="inlineStr">
        <is>
          <t>F.MFM.06T.008.AD</t>
        </is>
      </c>
      <c r="O237" s="245" t="n"/>
      <c r="P237" s="245" t="n"/>
      <c r="Q237" s="250">
        <f>R237/H237</f>
        <v/>
      </c>
      <c r="R237" s="251" t="n">
        <v>458.15</v>
      </c>
      <c r="S237" s="249" t="n">
        <v>18062</v>
      </c>
      <c r="T237" s="252">
        <f>S237*R237</f>
        <v/>
      </c>
      <c r="U237" s="245" t="n"/>
      <c r="V237" s="245" t="n"/>
      <c r="W237" s="245" t="n"/>
      <c r="X237" s="245" t="n"/>
      <c r="Y237" s="245" t="n"/>
      <c r="Z237" s="245" t="n"/>
    </row>
    <row r="238" ht="16.5" customHeight="1" s="202">
      <c r="A238" s="245" t="n"/>
      <c r="B238" s="245" t="n"/>
      <c r="C238" s="245" t="n"/>
      <c r="D238" s="245" t="n"/>
      <c r="E238" s="245" t="n"/>
      <c r="F238" s="245" t="n"/>
      <c r="G238" s="245" t="n"/>
      <c r="H238" s="247" t="n">
        <v>17</v>
      </c>
      <c r="I238" s="245" t="inlineStr"/>
      <c r="J238" s="245" t="inlineStr"/>
      <c r="K238" s="245" t="inlineStr">
        <is>
          <t>8IN AIRFLOW GEL FOAM MATT QN</t>
        </is>
      </c>
      <c r="L238" s="245" t="inlineStr">
        <is>
          <t>ZU-MFMA1RZI-08Q</t>
        </is>
      </c>
      <c r="M238" s="248" t="inlineStr">
        <is>
          <t>2WL5JZ9J</t>
        </is>
      </c>
      <c r="N238" s="245" t="inlineStr">
        <is>
          <t>F.MFM.08Q.014.AD</t>
        </is>
      </c>
      <c r="O238" s="245" t="n"/>
      <c r="P238" s="245" t="n"/>
      <c r="Q238" s="250">
        <f>R238/H238</f>
        <v/>
      </c>
      <c r="R238" s="251" t="n">
        <v>763.47</v>
      </c>
      <c r="S238" s="249" t="n">
        <v>18062</v>
      </c>
      <c r="T238" s="252">
        <f>S238*R238</f>
        <v/>
      </c>
      <c r="U238" s="245" t="n"/>
      <c r="V238" s="245" t="n"/>
      <c r="W238" s="245" t="n"/>
      <c r="X238" s="245" t="n"/>
      <c r="Y238" s="245" t="n"/>
      <c r="Z238" s="245" t="n"/>
    </row>
    <row r="239" ht="16.5" customHeight="1" s="202">
      <c r="A239" s="245" t="n"/>
      <c r="B239" s="245" t="n"/>
      <c r="C239" s="245" t="n"/>
      <c r="D239" s="245" t="n"/>
      <c r="E239" s="245" t="n"/>
      <c r="F239" s="245" t="n"/>
      <c r="G239" s="245" t="n"/>
      <c r="H239" s="247" t="n">
        <v>383</v>
      </c>
      <c r="I239" s="245" t="inlineStr"/>
      <c r="J239" s="245" t="inlineStr"/>
      <c r="K239" s="245" t="inlineStr">
        <is>
          <t>10IN GREEN TEA MF MATTRESS QN</t>
        </is>
      </c>
      <c r="L239" s="245" t="inlineStr">
        <is>
          <t>ZU-MFMA1ZZI-10Q</t>
        </is>
      </c>
      <c r="M239" s="248" t="inlineStr">
        <is>
          <t>2WL5JZ9J</t>
        </is>
      </c>
      <c r="N239" s="245" t="inlineStr">
        <is>
          <t>F.MFM.10Q.007.AD</t>
        </is>
      </c>
      <c r="O239" s="245" t="n"/>
      <c r="P239" s="245" t="n"/>
      <c r="Q239" s="250">
        <f>R239/H239</f>
        <v/>
      </c>
      <c r="R239" s="251" t="n">
        <v>25232.04</v>
      </c>
      <c r="S239" s="249" t="n">
        <v>18062</v>
      </c>
      <c r="T239" s="252">
        <f>S239*R239</f>
        <v/>
      </c>
      <c r="U239" s="245" t="n"/>
      <c r="V239" s="245" t="n"/>
      <c r="W239" s="245" t="n"/>
      <c r="X239" s="245" t="n"/>
      <c r="Y239" s="245" t="n"/>
      <c r="Z239" s="245" t="n"/>
    </row>
    <row r="240" ht="16.5" customHeight="1" s="202">
      <c r="A240" s="245" t="n"/>
      <c r="B240" s="245" t="n"/>
      <c r="C240" s="245" t="n"/>
      <c r="D240" s="245" t="n"/>
      <c r="E240" s="245" t="n"/>
      <c r="F240" s="245" t="n"/>
      <c r="G240" s="245" t="n"/>
      <c r="H240" s="247" t="n">
        <v>59</v>
      </c>
      <c r="I240" s="245" t="inlineStr"/>
      <c r="J240" s="245" t="inlineStr"/>
      <c r="K240" s="245" t="inlineStr">
        <is>
          <t>12IN GREEN TEA MF MATTRESS QN</t>
        </is>
      </c>
      <c r="L240" s="245" t="inlineStr">
        <is>
          <t>ZU-MFMA1ZZI-12Q</t>
        </is>
      </c>
      <c r="M240" s="248" t="inlineStr">
        <is>
          <t>2WL5JZ9J</t>
        </is>
      </c>
      <c r="N240" s="245" t="inlineStr">
        <is>
          <t>F.MFM.12Q.006.AD</t>
        </is>
      </c>
      <c r="O240" s="245" t="n"/>
      <c r="P240" s="245" t="n"/>
      <c r="Q240" s="250">
        <f>R240/H240</f>
        <v/>
      </c>
      <c r="R240" s="251" t="n">
        <v>4943.61</v>
      </c>
      <c r="S240" s="249" t="n">
        <v>18062</v>
      </c>
      <c r="T240" s="252">
        <f>S240*R240</f>
        <v/>
      </c>
      <c r="U240" s="245" t="n"/>
      <c r="V240" s="245" t="n"/>
      <c r="W240" s="245" t="n"/>
      <c r="X240" s="245" t="n"/>
      <c r="Y240" s="245" t="n"/>
      <c r="Z240" s="245" t="n"/>
    </row>
    <row r="241" ht="16.5" customHeight="1" s="202">
      <c r="A241" s="245" t="n"/>
      <c r="B241" s="245" t="n"/>
      <c r="C241" s="245" t="n"/>
      <c r="D241" s="245" t="n"/>
      <c r="E241" s="245" t="n"/>
      <c r="F241" s="245" t="n"/>
      <c r="G241" s="245" t="n"/>
      <c r="H241" s="247" t="n">
        <v>1060</v>
      </c>
      <c r="I241" s="245" t="inlineStr"/>
      <c r="J241" s="245" t="inlineStr"/>
      <c r="K241" s="245" t="inlineStr">
        <is>
          <t>5IN GREEN TEA MF MATTRESS TW</t>
        </is>
      </c>
      <c r="L241" s="245" t="inlineStr">
        <is>
          <t>ZU-MFMA1ZZI-05T</t>
        </is>
      </c>
      <c r="M241" s="248" t="inlineStr">
        <is>
          <t>4EW3TW9V</t>
        </is>
      </c>
      <c r="N241" s="245" t="inlineStr">
        <is>
          <t>F.MFM.05T.007.AD</t>
        </is>
      </c>
      <c r="O241" s="245" t="n"/>
      <c r="P241" s="245" t="n"/>
      <c r="Q241" s="250">
        <f>R241/H241</f>
        <v/>
      </c>
      <c r="R241" s="251" t="n">
        <v>25079.6</v>
      </c>
      <c r="S241" s="249" t="n">
        <v>18062</v>
      </c>
      <c r="T241" s="252">
        <f>S241*R241</f>
        <v/>
      </c>
      <c r="U241" s="245" t="n"/>
      <c r="V241" s="245" t="n"/>
      <c r="W241" s="245" t="n"/>
      <c r="X241" s="245" t="n"/>
      <c r="Y241" s="245" t="n"/>
      <c r="Z241" s="245" t="n"/>
    </row>
    <row r="242" ht="17.1" customHeight="1" s="202">
      <c r="A242" s="253" t="n"/>
      <c r="B242" s="253" t="n"/>
      <c r="C242" s="253" t="n"/>
      <c r="D242" s="253" t="n"/>
      <c r="E242" s="253" t="n"/>
      <c r="F242" s="253" t="n"/>
      <c r="G242" s="253" t="n"/>
      <c r="H242" s="254">
        <f>SUM(H233:H241)</f>
        <v/>
      </c>
      <c r="I242" s="253">
        <f>COUNTA(I233:I241)</f>
        <v/>
      </c>
      <c r="J242" s="253" t="n"/>
      <c r="K242" s="253" t="n"/>
      <c r="L242" s="253" t="n"/>
      <c r="M242" s="253" t="n"/>
      <c r="N242" s="253" t="n"/>
      <c r="O242" s="255">
        <f>SUM(O233:O241)</f>
        <v/>
      </c>
      <c r="P242" s="255">
        <f>SUM(P233:P241)</f>
        <v/>
      </c>
      <c r="Q242" s="253" t="n"/>
      <c r="R242" s="256">
        <f>SUM(R233:R241)</f>
        <v/>
      </c>
      <c r="S242" s="253" t="n"/>
      <c r="T242" s="257">
        <f>SUM(T233:T241)</f>
        <v/>
      </c>
      <c r="U242" s="253" t="n"/>
      <c r="V242" s="253" t="n"/>
      <c r="W242" s="253" t="n"/>
      <c r="X242" s="253" t="n"/>
      <c r="Y242" s="253" t="n"/>
      <c r="Z242" s="253" t="n"/>
    </row>
    <row r="243" ht="16.5" customHeight="1" s="202">
      <c r="A243" s="245" t="n">
        <v>33</v>
      </c>
      <c r="B243" s="245" t="inlineStr">
        <is>
          <t>000030ZIK48020260810000601</t>
        </is>
      </c>
      <c r="C243" s="245" t="n">
        <v>502458</v>
      </c>
      <c r="D243" s="245" t="n">
        <v>502404</v>
      </c>
      <c r="E243" s="246" t="n">
        <v>46245</v>
      </c>
      <c r="F243" s="245" t="inlineStr">
        <is>
          <t>ID2608-8061</t>
        </is>
      </c>
      <c r="G243" s="246" t="n">
        <v>46240</v>
      </c>
      <c r="H243" s="247" t="n">
        <v>34</v>
      </c>
      <c r="I243" s="245" t="inlineStr">
        <is>
          <t>GAOU6420228</t>
        </is>
      </c>
      <c r="J243" s="245" t="inlineStr">
        <is>
          <t>40FT</t>
        </is>
      </c>
      <c r="K243" s="245" t="inlineStr">
        <is>
          <t>10IN GREEN TEA MF MATTRESS SQ</t>
        </is>
      </c>
      <c r="L243" s="245" t="inlineStr">
        <is>
          <t>ZU-MFMA1FZI-10S</t>
        </is>
      </c>
      <c r="M243" s="248" t="inlineStr">
        <is>
          <t>15TJZ1CT</t>
        </is>
      </c>
      <c r="N243" s="245" t="inlineStr">
        <is>
          <t>F.MFM.10S.009.AD</t>
        </is>
      </c>
      <c r="O243" s="249" t="n">
        <v>74563.39999999999</v>
      </c>
      <c r="P243" s="249" t="n">
        <v>66788.8</v>
      </c>
      <c r="Q243" s="250">
        <f>R243/H243</f>
        <v/>
      </c>
      <c r="R243" s="251" t="n">
        <v>2482.68</v>
      </c>
      <c r="S243" s="249" t="n">
        <v>18062</v>
      </c>
      <c r="T243" s="252">
        <f>S243*R243</f>
        <v/>
      </c>
      <c r="U243" s="245" t="inlineStr">
        <is>
          <t>040300/KPPBC</t>
        </is>
      </c>
      <c r="V243" s="245" t="inlineStr">
        <is>
          <t>TG. PRIOK</t>
        </is>
      </c>
      <c r="W243" s="245" t="inlineStr">
        <is>
          <t>NORFOLK, US</t>
        </is>
      </c>
      <c r="X243" s="245" t="inlineStr">
        <is>
          <t>AMAZON.COM SERVICES LLC</t>
        </is>
      </c>
      <c r="Y243" s="245" t="inlineStr">
        <is>
          <t>EGLV080600489263</t>
        </is>
      </c>
      <c r="Z243" s="246" t="n">
        <v>46245</v>
      </c>
    </row>
    <row r="244" ht="16.5" customHeight="1" s="202">
      <c r="A244" s="245" t="n"/>
      <c r="B244" s="245" t="n"/>
      <c r="C244" s="245" t="n"/>
      <c r="D244" s="245" t="n"/>
      <c r="E244" s="245" t="n"/>
      <c r="F244" s="245" t="n"/>
      <c r="G244" s="245" t="n"/>
      <c r="H244" s="247" t="n">
        <v>4</v>
      </c>
      <c r="I244" s="245" t="inlineStr">
        <is>
          <t>EGHU9453422</t>
        </is>
      </c>
      <c r="J244" s="245" t="inlineStr">
        <is>
          <t>40FT</t>
        </is>
      </c>
      <c r="K244" s="245" t="inlineStr">
        <is>
          <t>12IN GREEN TEA MF MATTRESS QN</t>
        </is>
      </c>
      <c r="L244" s="245" t="inlineStr">
        <is>
          <t>ZU-MFMA1FZI-12Q</t>
        </is>
      </c>
      <c r="M244" s="248" t="inlineStr">
        <is>
          <t>15TJZ1CT</t>
        </is>
      </c>
      <c r="N244" s="245" t="inlineStr">
        <is>
          <t>F.MFM.12Q.008.AD</t>
        </is>
      </c>
      <c r="O244" s="245" t="n"/>
      <c r="P244" s="245" t="n"/>
      <c r="Q244" s="250">
        <f>R244/H244</f>
        <v/>
      </c>
      <c r="R244" s="251" t="n">
        <v>372.88</v>
      </c>
      <c r="S244" s="249" t="n">
        <v>18062</v>
      </c>
      <c r="T244" s="252">
        <f>S244*R244</f>
        <v/>
      </c>
      <c r="U244" s="245" t="n"/>
      <c r="V244" s="245" t="n"/>
      <c r="W244" s="245" t="inlineStr">
        <is>
          <t>ETD : 15-08-2026</t>
        </is>
      </c>
      <c r="X244" s="245" t="n"/>
      <c r="Y244" s="245" t="n"/>
      <c r="Z244" s="245" t="n"/>
    </row>
    <row r="245" ht="16.5" customHeight="1" s="202">
      <c r="A245" s="245" t="n"/>
      <c r="B245" s="245" t="n"/>
      <c r="C245" s="245" t="n"/>
      <c r="D245" s="245" t="n"/>
      <c r="E245" s="245" t="n"/>
      <c r="F245" s="245" t="n"/>
      <c r="G245" s="245" t="n"/>
      <c r="H245" s="247" t="n">
        <v>130</v>
      </c>
      <c r="I245" s="245" t="inlineStr">
        <is>
          <t>CAAU5392710</t>
        </is>
      </c>
      <c r="J245" s="245" t="inlineStr">
        <is>
          <t>40FT</t>
        </is>
      </c>
      <c r="K245" s="245" t="inlineStr">
        <is>
          <t>6IN OPP HD TW</t>
        </is>
      </c>
      <c r="L245" s="245" t="inlineStr">
        <is>
          <t>ZU-MFMA1OZI-06T</t>
        </is>
      </c>
      <c r="M245" s="248" t="inlineStr">
        <is>
          <t>15TJZ1CT</t>
        </is>
      </c>
      <c r="N245" s="245" t="inlineStr">
        <is>
          <t>F.MFM.06T.008.AD</t>
        </is>
      </c>
      <c r="O245" s="245" t="n"/>
      <c r="P245" s="245" t="n"/>
      <c r="Q245" s="250">
        <f>R245/H245</f>
        <v/>
      </c>
      <c r="R245" s="251" t="n">
        <v>3503.5</v>
      </c>
      <c r="S245" s="249" t="n">
        <v>18062</v>
      </c>
      <c r="T245" s="252">
        <f>S245*R245</f>
        <v/>
      </c>
      <c r="U245" s="245" t="n"/>
      <c r="V245" s="245" t="n"/>
      <c r="W245" s="245" t="n"/>
      <c r="X245" s="245" t="n"/>
      <c r="Y245" s="245" t="n"/>
      <c r="Z245" s="245" t="n"/>
    </row>
    <row r="246" ht="16.5" customHeight="1" s="202">
      <c r="A246" s="245" t="n"/>
      <c r="B246" s="245" t="n"/>
      <c r="C246" s="245" t="n"/>
      <c r="D246" s="245" t="n"/>
      <c r="E246" s="245" t="n"/>
      <c r="F246" s="245" t="n"/>
      <c r="G246" s="245" t="n"/>
      <c r="H246" s="247" t="n">
        <v>840</v>
      </c>
      <c r="I246" s="245" t="inlineStr">
        <is>
          <t>CAAU7045264</t>
        </is>
      </c>
      <c r="J246" s="245" t="inlineStr">
        <is>
          <t>40FT</t>
        </is>
      </c>
      <c r="K246" s="245" t="inlineStr">
        <is>
          <t>5IN GREEN TEA MF MATTRESS TW</t>
        </is>
      </c>
      <c r="L246" s="245" t="inlineStr">
        <is>
          <t>ZU-MFMA1ZZI-05T</t>
        </is>
      </c>
      <c r="M246" s="248" t="inlineStr">
        <is>
          <t>15TJZ1CT</t>
        </is>
      </c>
      <c r="N246" s="245" t="inlineStr">
        <is>
          <t>F.MFM.05T.007.AD</t>
        </is>
      </c>
      <c r="O246" s="245" t="n"/>
      <c r="P246" s="245" t="n"/>
      <c r="Q246" s="250">
        <f>R246/H246</f>
        <v/>
      </c>
      <c r="R246" s="251" t="n">
        <v>19874.4</v>
      </c>
      <c r="S246" s="249" t="n">
        <v>18062</v>
      </c>
      <c r="T246" s="252">
        <f>S246*R246</f>
        <v/>
      </c>
      <c r="U246" s="245" t="n"/>
      <c r="V246" s="245" t="n"/>
      <c r="W246" s="245" t="n"/>
      <c r="X246" s="245" t="n"/>
      <c r="Y246" s="245" t="n"/>
      <c r="Z246" s="245" t="n"/>
    </row>
    <row r="247" ht="16.5" customHeight="1" s="202">
      <c r="A247" s="245" t="n"/>
      <c r="B247" s="245" t="n"/>
      <c r="C247" s="245" t="n"/>
      <c r="D247" s="245" t="n"/>
      <c r="E247" s="245" t="n"/>
      <c r="F247" s="245" t="n"/>
      <c r="G247" s="245" t="n"/>
      <c r="H247" s="247" t="n">
        <v>225</v>
      </c>
      <c r="I247" s="245" t="inlineStr">
        <is>
          <t>EMCU1636777</t>
        </is>
      </c>
      <c r="J247" s="245" t="inlineStr">
        <is>
          <t>40FT</t>
        </is>
      </c>
      <c r="K247" s="245" t="inlineStr">
        <is>
          <t>12IN AIRFLOW GEL FOAM MATT QN</t>
        </is>
      </c>
      <c r="L247" s="245" t="inlineStr">
        <is>
          <t>ZU-MFMA1RZI-12Q</t>
        </is>
      </c>
      <c r="M247" s="248" t="inlineStr">
        <is>
          <t>1TPZDD7G</t>
        </is>
      </c>
      <c r="N247" s="245" t="inlineStr">
        <is>
          <t>F.MFM.12Q.011.AD</t>
        </is>
      </c>
      <c r="O247" s="245" t="n"/>
      <c r="P247" s="245" t="n"/>
      <c r="Q247" s="250">
        <f>R247/H247</f>
        <v/>
      </c>
      <c r="R247" s="251" t="n">
        <v>15203.25</v>
      </c>
      <c r="S247" s="249" t="n">
        <v>18062</v>
      </c>
      <c r="T247" s="252">
        <f>S247*R247</f>
        <v/>
      </c>
      <c r="U247" s="245" t="n"/>
      <c r="V247" s="245" t="n"/>
      <c r="W247" s="245" t="n"/>
      <c r="X247" s="245" t="n"/>
      <c r="Y247" s="245" t="n"/>
      <c r="Z247" s="245" t="n"/>
    </row>
    <row r="248" ht="16.5" customHeight="1" s="202">
      <c r="A248" s="245" t="n"/>
      <c r="B248" s="245" t="n"/>
      <c r="C248" s="245" t="n"/>
      <c r="D248" s="245" t="n"/>
      <c r="E248" s="245" t="n"/>
      <c r="F248" s="245" t="n"/>
      <c r="G248" s="245" t="n"/>
      <c r="H248" s="247" t="n">
        <v>88</v>
      </c>
      <c r="I248" s="245" t="inlineStr">
        <is>
          <t>TGBU8024792</t>
        </is>
      </c>
      <c r="J248" s="245" t="inlineStr">
        <is>
          <t>40FT</t>
        </is>
      </c>
      <c r="K248" s="245" t="inlineStr">
        <is>
          <t>10IN GREEN TEA MF MATTRESS FL</t>
        </is>
      </c>
      <c r="L248" s="245" t="inlineStr">
        <is>
          <t>ZU-MFMA1ZZI-10F</t>
        </is>
      </c>
      <c r="M248" s="248" t="inlineStr">
        <is>
          <t>1TPZDD7G</t>
        </is>
      </c>
      <c r="N248" s="245" t="inlineStr">
        <is>
          <t>F.MFM.10F.007.AD</t>
        </is>
      </c>
      <c r="O248" s="245" t="n"/>
      <c r="P248" s="245" t="n"/>
      <c r="Q248" s="250">
        <f>R248/H248</f>
        <v/>
      </c>
      <c r="R248" s="251" t="n">
        <v>5461.28</v>
      </c>
      <c r="S248" s="249" t="n">
        <v>18062</v>
      </c>
      <c r="T248" s="252">
        <f>S248*R248</f>
        <v/>
      </c>
      <c r="U248" s="245" t="n"/>
      <c r="V248" s="245" t="n"/>
      <c r="W248" s="245" t="n"/>
      <c r="X248" s="245" t="n"/>
      <c r="Y248" s="245" t="n"/>
      <c r="Z248" s="245" t="n"/>
    </row>
    <row r="249" ht="16.5" customHeight="1" s="202">
      <c r="A249" s="245" t="n"/>
      <c r="B249" s="245" t="n"/>
      <c r="C249" s="245" t="n"/>
      <c r="D249" s="245" t="n"/>
      <c r="E249" s="245" t="n"/>
      <c r="F249" s="245" t="n"/>
      <c r="G249" s="245" t="n"/>
      <c r="H249" s="247" t="n">
        <v>67</v>
      </c>
      <c r="I249" s="245" t="inlineStr"/>
      <c r="J249" s="245" t="inlineStr"/>
      <c r="K249" s="245" t="inlineStr">
        <is>
          <t>10IN GREEN TEA MF MATTRESS EK</t>
        </is>
      </c>
      <c r="L249" s="245" t="inlineStr">
        <is>
          <t>ZU-MFMA1ZZI-10K</t>
        </is>
      </c>
      <c r="M249" s="248" t="inlineStr">
        <is>
          <t>1TPZDD7G</t>
        </is>
      </c>
      <c r="N249" s="245" t="inlineStr">
        <is>
          <t>F.MFM.10K.007.AD</t>
        </is>
      </c>
      <c r="O249" s="245" t="n"/>
      <c r="P249" s="245" t="n"/>
      <c r="Q249" s="250">
        <f>R249/H249</f>
        <v/>
      </c>
      <c r="R249" s="251" t="n">
        <v>6506.37</v>
      </c>
      <c r="S249" s="249" t="n">
        <v>18062</v>
      </c>
      <c r="T249" s="252">
        <f>S249*R249</f>
        <v/>
      </c>
      <c r="U249" s="245" t="n"/>
      <c r="V249" s="245" t="n"/>
      <c r="W249" s="245" t="n"/>
      <c r="X249" s="245" t="n"/>
      <c r="Y249" s="245" t="n"/>
      <c r="Z249" s="245" t="n"/>
    </row>
    <row r="250" ht="16.5" customHeight="1" s="202">
      <c r="A250" s="245" t="n"/>
      <c r="B250" s="245" t="n"/>
      <c r="C250" s="245" t="n"/>
      <c r="D250" s="245" t="n"/>
      <c r="E250" s="245" t="n"/>
      <c r="F250" s="245" t="n"/>
      <c r="G250" s="245" t="n"/>
      <c r="H250" s="247" t="n">
        <v>53</v>
      </c>
      <c r="I250" s="245" t="inlineStr"/>
      <c r="J250" s="245" t="inlineStr"/>
      <c r="K250" s="245" t="inlineStr">
        <is>
          <t>12IN GREEN TEA MF MATTRESS EK</t>
        </is>
      </c>
      <c r="L250" s="245" t="inlineStr">
        <is>
          <t>ZU-MFMA1ZZI-12K</t>
        </is>
      </c>
      <c r="M250" s="248" t="inlineStr">
        <is>
          <t>1TPZDD7G</t>
        </is>
      </c>
      <c r="N250" s="245" t="inlineStr">
        <is>
          <t>F.MFM.12K.006.AD</t>
        </is>
      </c>
      <c r="O250" s="245" t="n"/>
      <c r="P250" s="245" t="n"/>
      <c r="Q250" s="250">
        <f>R250/H250</f>
        <v/>
      </c>
      <c r="R250" s="251" t="n">
        <v>5404.41</v>
      </c>
      <c r="S250" s="249" t="n">
        <v>18062</v>
      </c>
      <c r="T250" s="252">
        <f>S250*R250</f>
        <v/>
      </c>
      <c r="U250" s="245" t="n"/>
      <c r="V250" s="245" t="n"/>
      <c r="W250" s="245" t="n"/>
      <c r="X250" s="245" t="n"/>
      <c r="Y250" s="245" t="n"/>
      <c r="Z250" s="245" t="n"/>
    </row>
    <row r="251" ht="16.5" customHeight="1" s="202">
      <c r="A251" s="245" t="n"/>
      <c r="B251" s="245" t="n"/>
      <c r="C251" s="245" t="n"/>
      <c r="D251" s="245" t="n"/>
      <c r="E251" s="245" t="n"/>
      <c r="F251" s="245" t="n"/>
      <c r="G251" s="245" t="n"/>
      <c r="H251" s="247" t="n">
        <v>33</v>
      </c>
      <c r="I251" s="245" t="inlineStr"/>
      <c r="J251" s="245" t="inlineStr"/>
      <c r="K251" s="245" t="inlineStr">
        <is>
          <t>8IN OPP HD FL</t>
        </is>
      </c>
      <c r="L251" s="245" t="inlineStr">
        <is>
          <t>ZU-MFMA1OZI-08F</t>
        </is>
      </c>
      <c r="M251" s="248" t="inlineStr">
        <is>
          <t>4BX25YVA</t>
        </is>
      </c>
      <c r="N251" s="245" t="inlineStr">
        <is>
          <t>F.MFM.08F.013.AD</t>
        </is>
      </c>
      <c r="O251" s="245" t="n"/>
      <c r="P251" s="245" t="n"/>
      <c r="Q251" s="250">
        <f>R251/H251</f>
        <v/>
      </c>
      <c r="R251" s="251" t="n">
        <v>1284.69</v>
      </c>
      <c r="S251" s="249" t="n">
        <v>18062</v>
      </c>
      <c r="T251" s="252">
        <f>S251*R251</f>
        <v/>
      </c>
      <c r="U251" s="245" t="n"/>
      <c r="V251" s="245" t="n"/>
      <c r="W251" s="245" t="n"/>
      <c r="X251" s="245" t="n"/>
      <c r="Y251" s="245" t="n"/>
      <c r="Z251" s="245" t="n"/>
    </row>
    <row r="252" ht="16.5" customHeight="1" s="202">
      <c r="A252" s="245" t="n"/>
      <c r="B252" s="245" t="n"/>
      <c r="C252" s="245" t="n"/>
      <c r="D252" s="245" t="n"/>
      <c r="E252" s="245" t="n"/>
      <c r="F252" s="245" t="n"/>
      <c r="G252" s="245" t="n"/>
      <c r="H252" s="247" t="n">
        <v>345</v>
      </c>
      <c r="I252" s="245" t="inlineStr"/>
      <c r="J252" s="245" t="inlineStr"/>
      <c r="K252" s="245" t="inlineStr">
        <is>
          <t>8IN GREEN TEA MF MATTRESS TW</t>
        </is>
      </c>
      <c r="L252" s="245" t="inlineStr">
        <is>
          <t>ZU-MFMA1ZZI-08T</t>
        </is>
      </c>
      <c r="M252" s="248" t="inlineStr">
        <is>
          <t>4BX25YVA</t>
        </is>
      </c>
      <c r="N252" s="245" t="inlineStr">
        <is>
          <t>F.MFM.08T.008.AD</t>
        </is>
      </c>
      <c r="O252" s="245" t="n"/>
      <c r="P252" s="245" t="n"/>
      <c r="Q252" s="250">
        <f>R252/H252</f>
        <v/>
      </c>
      <c r="R252" s="251" t="n">
        <v>12395.85</v>
      </c>
      <c r="S252" s="249" t="n">
        <v>18062</v>
      </c>
      <c r="T252" s="252">
        <f>S252*R252</f>
        <v/>
      </c>
      <c r="U252" s="245" t="n"/>
      <c r="V252" s="245" t="n"/>
      <c r="W252" s="245" t="n"/>
      <c r="X252" s="245" t="n"/>
      <c r="Y252" s="245" t="n"/>
      <c r="Z252" s="245" t="n"/>
    </row>
    <row r="253" ht="16.5" customHeight="1" s="202">
      <c r="A253" s="245" t="n"/>
      <c r="B253" s="245" t="n"/>
      <c r="C253" s="245" t="n"/>
      <c r="D253" s="245" t="n"/>
      <c r="E253" s="245" t="n"/>
      <c r="F253" s="245" t="n"/>
      <c r="G253" s="245" t="n"/>
      <c r="H253" s="247" t="n">
        <v>11</v>
      </c>
      <c r="I253" s="245" t="inlineStr"/>
      <c r="J253" s="245" t="inlineStr"/>
      <c r="K253" s="245" t="inlineStr">
        <is>
          <t>12IN GREEN TEA MF MATTRESS CK</t>
        </is>
      </c>
      <c r="L253" s="245" t="inlineStr">
        <is>
          <t>ZU-MFMA1ZZI-12C</t>
        </is>
      </c>
      <c r="M253" s="248" t="inlineStr">
        <is>
          <t>4BX25YVA</t>
        </is>
      </c>
      <c r="N253" s="245" t="inlineStr">
        <is>
          <t>F.MFM.12C.006.AD</t>
        </is>
      </c>
      <c r="O253" s="245" t="n"/>
      <c r="P253" s="245" t="n"/>
      <c r="Q253" s="250">
        <f>R253/H253</f>
        <v/>
      </c>
      <c r="R253" s="251" t="n">
        <v>1105.72</v>
      </c>
      <c r="S253" s="249" t="n">
        <v>18062</v>
      </c>
      <c r="T253" s="252">
        <f>S253*R253</f>
        <v/>
      </c>
      <c r="U253" s="245" t="n"/>
      <c r="V253" s="245" t="n"/>
      <c r="W253" s="245" t="n"/>
      <c r="X253" s="245" t="n"/>
      <c r="Y253" s="245" t="n"/>
      <c r="Z253" s="245" t="n"/>
    </row>
    <row r="254" ht="16.5" customHeight="1" s="202">
      <c r="A254" s="245" t="n"/>
      <c r="B254" s="245" t="n"/>
      <c r="C254" s="245" t="n"/>
      <c r="D254" s="245" t="n"/>
      <c r="E254" s="245" t="n"/>
      <c r="F254" s="245" t="n"/>
      <c r="G254" s="245" t="n"/>
      <c r="H254" s="247" t="n">
        <v>129</v>
      </c>
      <c r="I254" s="245" t="inlineStr"/>
      <c r="J254" s="245" t="inlineStr"/>
      <c r="K254" s="245" t="inlineStr">
        <is>
          <t>14IN GREEN TEA FOAM MATTRESS K</t>
        </is>
      </c>
      <c r="L254" s="245" t="inlineStr">
        <is>
          <t>ZU-MFMA1ZZI-14K</t>
        </is>
      </c>
      <c r="M254" s="248" t="inlineStr">
        <is>
          <t>4BX25YVA</t>
        </is>
      </c>
      <c r="N254" s="245" t="inlineStr">
        <is>
          <t>F.MFM.14K.000.AD</t>
        </is>
      </c>
      <c r="O254" s="245" t="n"/>
      <c r="P254" s="245" t="n"/>
      <c r="Q254" s="250">
        <f>R254/H254</f>
        <v/>
      </c>
      <c r="R254" s="251" t="n">
        <v>16682.28</v>
      </c>
      <c r="S254" s="249" t="n">
        <v>18062</v>
      </c>
      <c r="T254" s="252">
        <f>S254*R254</f>
        <v/>
      </c>
      <c r="U254" s="245" t="n"/>
      <c r="V254" s="245" t="n"/>
      <c r="W254" s="245" t="n"/>
      <c r="X254" s="245" t="n"/>
      <c r="Y254" s="245" t="n"/>
      <c r="Z254" s="245" t="n"/>
    </row>
    <row r="255" ht="16.5" customHeight="1" s="202">
      <c r="A255" s="245" t="n"/>
      <c r="B255" s="245" t="n"/>
      <c r="C255" s="245" t="n"/>
      <c r="D255" s="245" t="n"/>
      <c r="E255" s="245" t="n"/>
      <c r="F255" s="245" t="n"/>
      <c r="G255" s="245" t="n"/>
      <c r="H255" s="247" t="n">
        <v>17</v>
      </c>
      <c r="I255" s="245" t="inlineStr"/>
      <c r="J255" s="245" t="inlineStr"/>
      <c r="K255" s="245" t="inlineStr">
        <is>
          <t>10IN OPP HD FL</t>
        </is>
      </c>
      <c r="L255" s="245" t="inlineStr">
        <is>
          <t>ZU-MFMA1OZI-10F</t>
        </is>
      </c>
      <c r="M255" s="248" t="inlineStr">
        <is>
          <t>4LXTW7DD</t>
        </is>
      </c>
      <c r="N255" s="245" t="inlineStr">
        <is>
          <t>F.MFM.10F.013.AD</t>
        </is>
      </c>
      <c r="O255" s="245" t="n"/>
      <c r="P255" s="245" t="n"/>
      <c r="Q255" s="250">
        <f>R255/H255</f>
        <v/>
      </c>
      <c r="R255" s="251" t="n">
        <v>814.47</v>
      </c>
      <c r="S255" s="249" t="n">
        <v>18062</v>
      </c>
      <c r="T255" s="252">
        <f>S255*R255</f>
        <v/>
      </c>
      <c r="U255" s="245" t="n"/>
      <c r="V255" s="245" t="n"/>
      <c r="W255" s="245" t="n"/>
      <c r="X255" s="245" t="n"/>
      <c r="Y255" s="245" t="n"/>
      <c r="Z255" s="245" t="n"/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7" t="n">
        <v>1</v>
      </c>
      <c r="I256" s="245" t="inlineStr"/>
      <c r="J256" s="245" t="inlineStr"/>
      <c r="K256" s="245" t="inlineStr">
        <is>
          <t>12IN AIRFLOW GEL FOAM MATT QN</t>
        </is>
      </c>
      <c r="L256" s="245" t="inlineStr">
        <is>
          <t>ZU-MFMA1RZI-12Q</t>
        </is>
      </c>
      <c r="M256" s="248" t="inlineStr">
        <is>
          <t>4LXTW7DD</t>
        </is>
      </c>
      <c r="N256" s="245" t="inlineStr">
        <is>
          <t>F.MFM.12Q.011.AD</t>
        </is>
      </c>
      <c r="O256" s="245" t="n"/>
      <c r="P256" s="245" t="n"/>
      <c r="Q256" s="250">
        <f>R256/H256</f>
        <v/>
      </c>
      <c r="R256" s="251" t="n">
        <v>67.56999999999999</v>
      </c>
      <c r="S256" s="249" t="n">
        <v>18062</v>
      </c>
      <c r="T256" s="252">
        <f>S256*R256</f>
        <v/>
      </c>
      <c r="U256" s="245" t="n"/>
      <c r="V256" s="245" t="n"/>
      <c r="W256" s="245" t="n"/>
      <c r="X256" s="245" t="n"/>
      <c r="Y256" s="245" t="n"/>
      <c r="Z256" s="245" t="n"/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7" t="n">
        <v>190</v>
      </c>
      <c r="I257" s="245" t="inlineStr"/>
      <c r="J257" s="245" t="inlineStr"/>
      <c r="K257" s="245" t="inlineStr">
        <is>
          <t>8IN GREEN TEA MF MATTRESS FL</t>
        </is>
      </c>
      <c r="L257" s="245" t="inlineStr">
        <is>
          <t>ZU-MFMA1ZZI-08F</t>
        </is>
      </c>
      <c r="M257" s="248" t="inlineStr">
        <is>
          <t>4LXTW7DD</t>
        </is>
      </c>
      <c r="N257" s="245" t="inlineStr">
        <is>
          <t>F.MFM.08F.008.AD</t>
        </is>
      </c>
      <c r="O257" s="245" t="n"/>
      <c r="P257" s="245" t="n"/>
      <c r="Q257" s="250">
        <f>R257/H257</f>
        <v/>
      </c>
      <c r="R257" s="251" t="n">
        <v>10638.1</v>
      </c>
      <c r="S257" s="249" t="n">
        <v>18062</v>
      </c>
      <c r="T257" s="252">
        <f>S257*R257</f>
        <v/>
      </c>
      <c r="U257" s="245" t="n"/>
      <c r="V257" s="245" t="n"/>
      <c r="W257" s="245" t="n"/>
      <c r="X257" s="245" t="n"/>
      <c r="Y257" s="245" t="n"/>
      <c r="Z257" s="245" t="n"/>
    </row>
    <row r="258" ht="16.5" customHeight="1" s="202">
      <c r="A258" s="245" t="n"/>
      <c r="B258" s="245" t="n"/>
      <c r="C258" s="245" t="n"/>
      <c r="D258" s="245" t="n"/>
      <c r="E258" s="245" t="n"/>
      <c r="F258" s="245" t="n"/>
      <c r="G258" s="245" t="n"/>
      <c r="H258" s="247" t="n">
        <v>280</v>
      </c>
      <c r="I258" s="245" t="inlineStr"/>
      <c r="J258" s="245" t="inlineStr"/>
      <c r="K258" s="245" t="inlineStr">
        <is>
          <t>12IN GREEN TEA MF MATTRESS QN</t>
        </is>
      </c>
      <c r="L258" s="245" t="inlineStr">
        <is>
          <t>ZU-MFMA1ZZI-12Q</t>
        </is>
      </c>
      <c r="M258" s="248" t="inlineStr">
        <is>
          <t>4LXTW7DD</t>
        </is>
      </c>
      <c r="N258" s="245" t="inlineStr">
        <is>
          <t>F.MFM.12Q.006.AD</t>
        </is>
      </c>
      <c r="O258" s="245" t="n"/>
      <c r="P258" s="245" t="n"/>
      <c r="Q258" s="250">
        <f>R258/H258</f>
        <v/>
      </c>
      <c r="R258" s="251" t="n">
        <v>23461.2</v>
      </c>
      <c r="S258" s="249" t="n">
        <v>18062</v>
      </c>
      <c r="T258" s="252">
        <f>S258*R258</f>
        <v/>
      </c>
      <c r="U258" s="245" t="n"/>
      <c r="V258" s="245" t="n"/>
      <c r="W258" s="245" t="n"/>
      <c r="X258" s="245" t="n"/>
      <c r="Y258" s="245" t="n"/>
      <c r="Z258" s="245" t="n"/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101</v>
      </c>
      <c r="I259" s="245" t="inlineStr"/>
      <c r="J259" s="245" t="inlineStr"/>
      <c r="K259" s="245" t="inlineStr">
        <is>
          <t>10IN GREEN TEA MF MATTRESS SQ</t>
        </is>
      </c>
      <c r="L259" s="245" t="inlineStr">
        <is>
          <t>ZU-MFMA1FZI-10S</t>
        </is>
      </c>
      <c r="M259" s="248" t="inlineStr">
        <is>
          <t>4XNXSFFV</t>
        </is>
      </c>
      <c r="N259" s="245" t="inlineStr">
        <is>
          <t>F.MFM.10S.009.AD</t>
        </is>
      </c>
      <c r="O259" s="245" t="n"/>
      <c r="P259" s="245" t="n"/>
      <c r="Q259" s="250">
        <f>R259/H259</f>
        <v/>
      </c>
      <c r="R259" s="251" t="n">
        <v>7375.02</v>
      </c>
      <c r="S259" s="249" t="n">
        <v>18062</v>
      </c>
      <c r="T259" s="252">
        <f>S259*R259</f>
        <v/>
      </c>
      <c r="U259" s="245" t="n"/>
      <c r="V259" s="245" t="n"/>
      <c r="W259" s="245" t="n"/>
      <c r="X259" s="245" t="n"/>
      <c r="Y259" s="245" t="n"/>
      <c r="Z259" s="245" t="n"/>
    </row>
    <row r="260" ht="16.5" customHeight="1" s="202">
      <c r="A260" s="245" t="n"/>
      <c r="B260" s="245" t="n"/>
      <c r="C260" s="245" t="n"/>
      <c r="D260" s="245" t="n"/>
      <c r="E260" s="245" t="n"/>
      <c r="F260" s="245" t="n"/>
      <c r="G260" s="245" t="n"/>
      <c r="H260" s="247" t="n">
        <v>101</v>
      </c>
      <c r="I260" s="245" t="inlineStr"/>
      <c r="J260" s="245" t="inlineStr"/>
      <c r="K260" s="245" t="inlineStr">
        <is>
          <t>12IN OPP HD TW</t>
        </is>
      </c>
      <c r="L260" s="245" t="inlineStr">
        <is>
          <t>ZU-MFMA1OZI-12T</t>
        </is>
      </c>
      <c r="M260" s="248" t="inlineStr">
        <is>
          <t>4XNXSFFV</t>
        </is>
      </c>
      <c r="N260" s="245" t="inlineStr">
        <is>
          <t>F.MFM.12T.010.AD</t>
        </is>
      </c>
      <c r="O260" s="245" t="n"/>
      <c r="P260" s="245" t="n"/>
      <c r="Q260" s="250">
        <f>R260/H260</f>
        <v/>
      </c>
      <c r="R260" s="251" t="n">
        <v>4233.92</v>
      </c>
      <c r="S260" s="249" t="n">
        <v>18062</v>
      </c>
      <c r="T260" s="252">
        <f>S260*R260</f>
        <v/>
      </c>
      <c r="U260" s="245" t="n"/>
      <c r="V260" s="245" t="n"/>
      <c r="W260" s="245" t="n"/>
      <c r="X260" s="245" t="n"/>
      <c r="Y260" s="245" t="n"/>
      <c r="Z260" s="245" t="n"/>
    </row>
    <row r="261" ht="16.5" customHeight="1" s="202">
      <c r="A261" s="245" t="n"/>
      <c r="B261" s="245" t="n"/>
      <c r="C261" s="245" t="n"/>
      <c r="D261" s="245" t="n"/>
      <c r="E261" s="245" t="n"/>
      <c r="F261" s="245" t="n"/>
      <c r="G261" s="245" t="n"/>
      <c r="H261" s="247" t="n">
        <v>71</v>
      </c>
      <c r="I261" s="245" t="inlineStr"/>
      <c r="J261" s="245" t="inlineStr"/>
      <c r="K261" s="245" t="inlineStr">
        <is>
          <t>6IN GREEN TEA MF MATTRESS QN</t>
        </is>
      </c>
      <c r="L261" s="245" t="inlineStr">
        <is>
          <t>ZU-MFMA1ZZI-06Q</t>
        </is>
      </c>
      <c r="M261" s="248" t="inlineStr">
        <is>
          <t>4XNXSFFV</t>
        </is>
      </c>
      <c r="N261" s="245" t="inlineStr">
        <is>
          <t>F.MFM.06Q.007.AD</t>
        </is>
      </c>
      <c r="O261" s="245" t="n"/>
      <c r="P261" s="245" t="n"/>
      <c r="Q261" s="250">
        <f>R261/H261</f>
        <v/>
      </c>
      <c r="R261" s="251" t="n">
        <v>3231.21</v>
      </c>
      <c r="S261" s="249" t="n">
        <v>18062</v>
      </c>
      <c r="T261" s="252">
        <f>S261*R261</f>
        <v/>
      </c>
      <c r="U261" s="245" t="n"/>
      <c r="V261" s="245" t="n"/>
      <c r="W261" s="245" t="n"/>
      <c r="X261" s="245" t="n"/>
      <c r="Y261" s="245" t="n"/>
      <c r="Z261" s="245" t="n"/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7" t="n">
        <v>204</v>
      </c>
      <c r="I262" s="245" t="inlineStr"/>
      <c r="J262" s="245" t="inlineStr"/>
      <c r="K262" s="245" t="inlineStr">
        <is>
          <t>12IN GREEN TEA MF MATTRESS FL</t>
        </is>
      </c>
      <c r="L262" s="245" t="inlineStr">
        <is>
          <t>ZU-MFMA1ZZI-12F</t>
        </is>
      </c>
      <c r="M262" s="248" t="inlineStr">
        <is>
          <t>4XNXSFFV</t>
        </is>
      </c>
      <c r="N262" s="245" t="inlineStr">
        <is>
          <t>F.MFM.12F.006.AD</t>
        </is>
      </c>
      <c r="O262" s="245" t="n"/>
      <c r="P262" s="245" t="n"/>
      <c r="Q262" s="250">
        <f>R262/H262</f>
        <v/>
      </c>
      <c r="R262" s="251" t="n">
        <v>14475.84</v>
      </c>
      <c r="S262" s="249" t="n">
        <v>18062</v>
      </c>
      <c r="T262" s="252">
        <f>S262*R262</f>
        <v/>
      </c>
      <c r="U262" s="245" t="n"/>
      <c r="V262" s="245" t="n"/>
      <c r="W262" s="245" t="n"/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7" t="n">
        <v>38</v>
      </c>
      <c r="I263" s="245" t="inlineStr"/>
      <c r="J263" s="245" t="inlineStr"/>
      <c r="K263" s="245" t="inlineStr">
        <is>
          <t>12IN OPP HD EK</t>
        </is>
      </c>
      <c r="L263" s="245" t="inlineStr">
        <is>
          <t>ZU-MFMA1OZI-12K</t>
        </is>
      </c>
      <c r="M263" s="248" t="inlineStr">
        <is>
          <t>75AYUN9G</t>
        </is>
      </c>
      <c r="N263" s="245" t="inlineStr">
        <is>
          <t>F.MFM.12K.010.AD</t>
        </is>
      </c>
      <c r="O263" s="245" t="n"/>
      <c r="P263" s="245" t="n"/>
      <c r="Q263" s="250">
        <f>R263/H263</f>
        <v/>
      </c>
      <c r="R263" s="251" t="n">
        <v>2844.68</v>
      </c>
      <c r="S263" s="249" t="n">
        <v>18062</v>
      </c>
      <c r="T263" s="252">
        <f>S263*R263</f>
        <v/>
      </c>
      <c r="U263" s="245" t="n"/>
      <c r="V263" s="245" t="n"/>
      <c r="W263" s="245" t="n"/>
      <c r="X263" s="245" t="n"/>
      <c r="Y263" s="245" t="n"/>
      <c r="Z263" s="245" t="n"/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7" t="n">
        <v>280</v>
      </c>
      <c r="I264" s="245" t="inlineStr"/>
      <c r="J264" s="245" t="inlineStr"/>
      <c r="K264" s="245" t="inlineStr">
        <is>
          <t>12IN AIRFLOW GEL FOAM MATT EK</t>
        </is>
      </c>
      <c r="L264" s="245" t="inlineStr">
        <is>
          <t>ZU-MFMA1RZI-12K</t>
        </is>
      </c>
      <c r="M264" s="248" t="inlineStr">
        <is>
          <t>75AYUN9G</t>
        </is>
      </c>
      <c r="N264" s="245" t="inlineStr">
        <is>
          <t>F.MFM.12K.011.AD</t>
        </is>
      </c>
      <c r="O264" s="245" t="n"/>
      <c r="P264" s="245" t="n"/>
      <c r="Q264" s="250">
        <f>R264/H264</f>
        <v/>
      </c>
      <c r="R264" s="251" t="n">
        <v>20960.8</v>
      </c>
      <c r="S264" s="249" t="n">
        <v>18062</v>
      </c>
      <c r="T264" s="252">
        <f>S264*R264</f>
        <v/>
      </c>
      <c r="U264" s="245" t="n"/>
      <c r="V264" s="245" t="n"/>
      <c r="W264" s="245" t="n"/>
      <c r="X264" s="245" t="n"/>
      <c r="Y264" s="245" t="n"/>
      <c r="Z264" s="245" t="n"/>
    </row>
    <row r="265" ht="16.5" customHeight="1" s="202">
      <c r="A265" s="245" t="n"/>
      <c r="B265" s="245" t="n"/>
      <c r="C265" s="245" t="n"/>
      <c r="D265" s="245" t="n"/>
      <c r="E265" s="245" t="n"/>
      <c r="F265" s="245" t="n"/>
      <c r="G265" s="245" t="n"/>
      <c r="H265" s="247" t="n">
        <v>65</v>
      </c>
      <c r="I265" s="245" t="inlineStr"/>
      <c r="J265" s="245" t="inlineStr"/>
      <c r="K265" s="245" t="inlineStr">
        <is>
          <t>6IN GREEN TEA MF MATTRESS QN</t>
        </is>
      </c>
      <c r="L265" s="245" t="inlineStr">
        <is>
          <t>ZU-MFMA1ZZI-06Q</t>
        </is>
      </c>
      <c r="M265" s="248" t="inlineStr">
        <is>
          <t>75AYUN9G</t>
        </is>
      </c>
      <c r="N265" s="245" t="inlineStr">
        <is>
          <t>F.MFM.06Q.007.AD</t>
        </is>
      </c>
      <c r="O265" s="245" t="n"/>
      <c r="P265" s="245" t="n"/>
      <c r="Q265" s="250">
        <f>R265/H265</f>
        <v/>
      </c>
      <c r="R265" s="251" t="n">
        <v>2958.15</v>
      </c>
      <c r="S265" s="249" t="n">
        <v>18062</v>
      </c>
      <c r="T265" s="252">
        <f>S265*R265</f>
        <v/>
      </c>
      <c r="U265" s="245" t="n"/>
      <c r="V265" s="245" t="n"/>
      <c r="W265" s="245" t="n"/>
      <c r="X265" s="245" t="n"/>
      <c r="Y265" s="245" t="n"/>
      <c r="Z265" s="245" t="n"/>
    </row>
    <row r="266" ht="17.1" customHeight="1" s="202">
      <c r="A266" s="253" t="n"/>
      <c r="B266" s="253" t="n"/>
      <c r="C266" s="253" t="n"/>
      <c r="D266" s="253" t="n"/>
      <c r="E266" s="253" t="n"/>
      <c r="F266" s="253" t="n"/>
      <c r="G266" s="253" t="n"/>
      <c r="H266" s="254">
        <f>SUM(H243:H265)</f>
        <v/>
      </c>
      <c r="I266" s="253">
        <f>COUNTA(I243:I265)</f>
        <v/>
      </c>
      <c r="J266" s="253" t="n"/>
      <c r="K266" s="253" t="n"/>
      <c r="L266" s="253" t="n"/>
      <c r="M266" s="253" t="n"/>
      <c r="N266" s="253" t="n"/>
      <c r="O266" s="255">
        <f>SUM(O243:O265)</f>
        <v/>
      </c>
      <c r="P266" s="255">
        <f>SUM(P243:P265)</f>
        <v/>
      </c>
      <c r="Q266" s="253" t="n"/>
      <c r="R266" s="256">
        <f>SUM(R243:R265)</f>
        <v/>
      </c>
      <c r="S266" s="253" t="n"/>
      <c r="T266" s="257">
        <f>SUM(T243:T265)</f>
        <v/>
      </c>
      <c r="U266" s="253" t="n"/>
      <c r="V266" s="253" t="n"/>
      <c r="W266" s="253" t="n"/>
      <c r="X266" s="253" t="n"/>
      <c r="Y266" s="253" t="n"/>
      <c r="Z266" s="253" t="n"/>
    </row>
    <row r="267" ht="16.5" customHeight="1" s="202">
      <c r="A267" s="245" t="n">
        <v>34</v>
      </c>
      <c r="B267" s="245" t="inlineStr">
        <is>
          <t>000030ZIK48020260810000602</t>
        </is>
      </c>
      <c r="C267" s="245" t="n">
        <v>502425</v>
      </c>
      <c r="D267" s="245" t="n">
        <v>502371</v>
      </c>
      <c r="E267" s="246" t="n">
        <v>46245</v>
      </c>
      <c r="F267" s="245" t="inlineStr">
        <is>
          <t>ID2607-7994</t>
        </is>
      </c>
      <c r="G267" s="246" t="n">
        <v>46234</v>
      </c>
      <c r="H267" s="247" t="n">
        <v>100</v>
      </c>
      <c r="I267" s="245" t="inlineStr">
        <is>
          <t>MRKU2962250</t>
        </is>
      </c>
      <c r="J267" s="245" t="inlineStr">
        <is>
          <t>40FT</t>
        </is>
      </c>
      <c r="K267" s="245" t="inlineStr">
        <is>
          <t>8IN GREEN TEA MF MATTRESS FL</t>
        </is>
      </c>
      <c r="L267" s="245" t="inlineStr">
        <is>
          <t>WMC-FMN-8F</t>
        </is>
      </c>
      <c r="M267" s="248" t="inlineStr">
        <is>
          <t>1006422540</t>
        </is>
      </c>
      <c r="N267" s="245" t="inlineStr">
        <is>
          <t>F.MFM.08F.002.WN</t>
        </is>
      </c>
      <c r="O267" s="249" t="n">
        <v>75915.8</v>
      </c>
      <c r="P267" s="249" t="n">
        <v>62819.96</v>
      </c>
      <c r="Q267" s="250">
        <f>R267/H267</f>
        <v/>
      </c>
      <c r="R267" s="251" t="n">
        <v>4989</v>
      </c>
      <c r="S267" s="249" t="n">
        <v>18062</v>
      </c>
      <c r="T267" s="252">
        <f>S267*R267</f>
        <v/>
      </c>
      <c r="U267" s="245" t="inlineStr">
        <is>
          <t>040300/KPPBC</t>
        </is>
      </c>
      <c r="V267" s="245" t="inlineStr">
        <is>
          <t>TG. PRIOK</t>
        </is>
      </c>
      <c r="W267" s="245" t="inlineStr">
        <is>
          <t>VANCOUVER, CA</t>
        </is>
      </c>
      <c r="X267" s="245" t="inlineStr">
        <is>
          <t>WAL-MART CANADA CORP</t>
        </is>
      </c>
      <c r="Y267" s="245" t="inlineStr">
        <is>
          <t>MAEU274246643</t>
        </is>
      </c>
      <c r="Z267" s="246" t="n">
        <v>46245</v>
      </c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7" t="n">
        <v>100</v>
      </c>
      <c r="I268" s="245" t="inlineStr">
        <is>
          <t>HASU4052328</t>
        </is>
      </c>
      <c r="J268" s="245" t="inlineStr">
        <is>
          <t>40FT</t>
        </is>
      </c>
      <c r="K268" s="245" t="inlineStr">
        <is>
          <t>8IN GREEN TEA MF MATTRESS QN</t>
        </is>
      </c>
      <c r="L268" s="245" t="inlineStr">
        <is>
          <t>WMC-FMN-8Q</t>
        </is>
      </c>
      <c r="M268" s="248" t="inlineStr">
        <is>
          <t>1006422540</t>
        </is>
      </c>
      <c r="N268" s="245" t="inlineStr">
        <is>
          <t>F.MFM.08Q.002.WN</t>
        </is>
      </c>
      <c r="O268" s="245" t="n"/>
      <c r="P268" s="245" t="n"/>
      <c r="Q268" s="250">
        <f>R268/H268</f>
        <v/>
      </c>
      <c r="R268" s="251" t="n">
        <v>5749</v>
      </c>
      <c r="S268" s="249" t="n">
        <v>18062</v>
      </c>
      <c r="T268" s="252">
        <f>S268*R268</f>
        <v/>
      </c>
      <c r="U268" s="245" t="n"/>
      <c r="V268" s="245" t="n"/>
      <c r="W268" s="245" t="inlineStr">
        <is>
          <t>ETD : 15-08-2026</t>
        </is>
      </c>
      <c r="X268" s="245" t="n"/>
      <c r="Y268" s="245" t="n"/>
      <c r="Z268" s="245" t="n"/>
    </row>
    <row r="269" ht="16.5" customHeight="1" s="202">
      <c r="A269" s="245" t="n"/>
      <c r="B269" s="245" t="n"/>
      <c r="C269" s="245" t="n"/>
      <c r="D269" s="245" t="n"/>
      <c r="E269" s="245" t="n"/>
      <c r="F269" s="245" t="n"/>
      <c r="G269" s="245" t="n"/>
      <c r="H269" s="247" t="n">
        <v>1020</v>
      </c>
      <c r="I269" s="245" t="inlineStr">
        <is>
          <t>TRHU7742145</t>
        </is>
      </c>
      <c r="J269" s="245" t="inlineStr">
        <is>
          <t>40FT</t>
        </is>
      </c>
      <c r="K269" s="245" t="inlineStr">
        <is>
          <t>6IN SP TT MSS TW</t>
        </is>
      </c>
      <c r="L269" s="245" t="inlineStr">
        <is>
          <t>WMC-BLBN-6T</t>
        </is>
      </c>
      <c r="M269" s="248" t="inlineStr">
        <is>
          <t>1006422540</t>
        </is>
      </c>
      <c r="N269" s="245" t="inlineStr">
        <is>
          <t>F.MSS.06T.002.WN</t>
        </is>
      </c>
      <c r="O269" s="245" t="n"/>
      <c r="P269" s="245" t="n"/>
      <c r="Q269" s="250">
        <f>R269/H269</f>
        <v/>
      </c>
      <c r="R269" s="251" t="n">
        <v>27356.4</v>
      </c>
      <c r="S269" s="249" t="n">
        <v>18062</v>
      </c>
      <c r="T269" s="252">
        <f>S269*R269</f>
        <v/>
      </c>
      <c r="U269" s="245" t="n"/>
      <c r="V269" s="245" t="n"/>
      <c r="W269" s="245" t="n"/>
      <c r="X269" s="245" t="n"/>
      <c r="Y269" s="245" t="n"/>
      <c r="Z269" s="245" t="n"/>
    </row>
    <row r="270" ht="16.5" customHeight="1" s="202">
      <c r="A270" s="245" t="n"/>
      <c r="B270" s="245" t="n"/>
      <c r="C270" s="245" t="n"/>
      <c r="D270" s="245" t="n"/>
      <c r="E270" s="245" t="n"/>
      <c r="F270" s="245" t="n"/>
      <c r="G270" s="245" t="n"/>
      <c r="H270" s="247" t="n">
        <v>620</v>
      </c>
      <c r="I270" s="245" t="inlineStr">
        <is>
          <t>MNBU4439905</t>
        </is>
      </c>
      <c r="J270" s="245" t="inlineStr">
        <is>
          <t>40FT</t>
        </is>
      </c>
      <c r="K270" s="245" t="inlineStr">
        <is>
          <t>8IN TIGHT TOP POCKET FL</t>
        </is>
      </c>
      <c r="L270" s="245" t="inlineStr">
        <is>
          <t>WMC-SMT-8F</t>
        </is>
      </c>
      <c r="M270" s="248" t="inlineStr">
        <is>
          <t>CKET</t>
        </is>
      </c>
      <c r="N270" s="245" t="inlineStr">
        <is>
          <t>F.MSS.08F.002.WN</t>
        </is>
      </c>
      <c r="O270" s="245" t="n"/>
      <c r="P270" s="245" t="n"/>
      <c r="Q270" s="250">
        <f>R270/H270</f>
        <v/>
      </c>
      <c r="R270" s="251" t="n">
        <v>29443.8</v>
      </c>
      <c r="S270" s="249" t="n">
        <v>18062</v>
      </c>
      <c r="T270" s="252">
        <f>S270*R270</f>
        <v/>
      </c>
      <c r="U270" s="245" t="n"/>
      <c r="V270" s="245" t="n"/>
      <c r="W270" s="245" t="n"/>
      <c r="X270" s="245" t="n"/>
      <c r="Y270" s="245" t="n"/>
      <c r="Z270" s="245" t="n"/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7" t="n">
        <v>618</v>
      </c>
      <c r="I271" s="245" t="inlineStr">
        <is>
          <t>TLLU1220726</t>
        </is>
      </c>
      <c r="J271" s="245" t="inlineStr">
        <is>
          <t>40FT</t>
        </is>
      </c>
      <c r="K271" s="245" t="inlineStr">
        <is>
          <t>8IN TIGHT TOP POCKET QN</t>
        </is>
      </c>
      <c r="L271" s="245" t="inlineStr">
        <is>
          <t>WMC-SMT-8Q</t>
        </is>
      </c>
      <c r="M271" s="248" t="inlineStr">
        <is>
          <t>CKET</t>
        </is>
      </c>
      <c r="N271" s="245" t="inlineStr">
        <is>
          <t>F.MSS.08Q.002.WN</t>
        </is>
      </c>
      <c r="O271" s="245" t="n"/>
      <c r="P271" s="245" t="n"/>
      <c r="Q271" s="250">
        <f>R271/H271</f>
        <v/>
      </c>
      <c r="R271" s="251" t="n">
        <v>32859.06</v>
      </c>
      <c r="S271" s="249" t="n">
        <v>18062</v>
      </c>
      <c r="T271" s="252">
        <f>S271*R271</f>
        <v/>
      </c>
      <c r="U271" s="245" t="n"/>
      <c r="V271" s="245" t="n"/>
      <c r="W271" s="245" t="n"/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7" t="n">
        <v>616</v>
      </c>
      <c r="I272" s="245" t="inlineStr"/>
      <c r="J272" s="245" t="inlineStr"/>
      <c r="K272" s="245" t="inlineStr">
        <is>
          <t>8IN TIGHT TOP POCKET TW</t>
        </is>
      </c>
      <c r="L272" s="245" t="inlineStr">
        <is>
          <t>WMC-SMT-8T</t>
        </is>
      </c>
      <c r="M272" s="248" t="inlineStr">
        <is>
          <t>CKET</t>
        </is>
      </c>
      <c r="N272" s="245" t="inlineStr">
        <is>
          <t>F.MSS.08T.002.WN</t>
        </is>
      </c>
      <c r="O272" s="245" t="n"/>
      <c r="P272" s="245" t="n"/>
      <c r="Q272" s="250">
        <f>R272/H272</f>
        <v/>
      </c>
      <c r="R272" s="251" t="n">
        <v>22040.48</v>
      </c>
      <c r="S272" s="249" t="n">
        <v>18062</v>
      </c>
      <c r="T272" s="252">
        <f>S272*R272</f>
        <v/>
      </c>
      <c r="U272" s="245" t="n"/>
      <c r="V272" s="245" t="n"/>
      <c r="W272" s="245" t="n"/>
      <c r="X272" s="245" t="n"/>
      <c r="Y272" s="245" t="n"/>
      <c r="Z272" s="245" t="n"/>
    </row>
    <row r="273" ht="17.1" customHeight="1" s="202">
      <c r="A273" s="253" t="n"/>
      <c r="B273" s="253" t="n"/>
      <c r="C273" s="253" t="n"/>
      <c r="D273" s="253" t="n"/>
      <c r="E273" s="253" t="n"/>
      <c r="F273" s="253" t="n"/>
      <c r="G273" s="253" t="n"/>
      <c r="H273" s="254">
        <f>SUM(H267:H272)</f>
        <v/>
      </c>
      <c r="I273" s="253">
        <f>COUNTA(I267:I272)</f>
        <v/>
      </c>
      <c r="J273" s="253" t="n"/>
      <c r="K273" s="253" t="n"/>
      <c r="L273" s="253" t="n"/>
      <c r="M273" s="253" t="n"/>
      <c r="N273" s="253" t="n"/>
      <c r="O273" s="255">
        <f>SUM(O267:O272)</f>
        <v/>
      </c>
      <c r="P273" s="255">
        <f>SUM(P267:P272)</f>
        <v/>
      </c>
      <c r="Q273" s="253" t="n"/>
      <c r="R273" s="256">
        <f>SUM(R267:R272)</f>
        <v/>
      </c>
      <c r="S273" s="253" t="n"/>
      <c r="T273" s="257">
        <f>SUM(T267:T272)</f>
        <v/>
      </c>
      <c r="U273" s="253" t="n"/>
      <c r="V273" s="253" t="n"/>
      <c r="W273" s="253" t="n"/>
      <c r="X273" s="253" t="n"/>
      <c r="Y273" s="253" t="n"/>
      <c r="Z273" s="253" t="n"/>
    </row>
    <row r="274" ht="16.5" customHeight="1" s="202">
      <c r="A274" s="245" t="n">
        <v>35</v>
      </c>
      <c r="B274" s="245" t="inlineStr">
        <is>
          <t>000030ZIK48020260811000603</t>
        </is>
      </c>
      <c r="C274" s="245" t="n">
        <v>503075</v>
      </c>
      <c r="D274" s="245" t="n">
        <v>503019</v>
      </c>
      <c r="E274" s="246" t="n">
        <v>46245</v>
      </c>
      <c r="F274" s="245" t="inlineStr">
        <is>
          <t>ID2608-8104</t>
        </is>
      </c>
      <c r="G274" s="246" t="n">
        <v>46245</v>
      </c>
      <c r="H274" s="247" t="n">
        <v>1040</v>
      </c>
      <c r="I274" s="245" t="inlineStr">
        <is>
          <t>TLLU5107030</t>
        </is>
      </c>
      <c r="J274" s="245" t="inlineStr">
        <is>
          <t>40FT</t>
        </is>
      </c>
      <c r="K274" s="245" t="inlineStr">
        <is>
          <t>8IN GREEN TEA MF MATTRESS FL</t>
        </is>
      </c>
      <c r="L274" s="245" t="inlineStr">
        <is>
          <t>SCF-STR-800F</t>
        </is>
      </c>
      <c r="M274" s="248" t="inlineStr">
        <is>
          <t>0993630707</t>
        </is>
      </c>
      <c r="N274" s="245" t="inlineStr">
        <is>
          <t>F.MFM.08F.000.WS</t>
        </is>
      </c>
      <c r="O274" s="249" t="n">
        <v>21236.8</v>
      </c>
      <c r="P274" s="249" t="n">
        <v>18740.8</v>
      </c>
      <c r="Q274" s="250">
        <f>R274/H274</f>
        <v/>
      </c>
      <c r="R274" s="251" t="n">
        <v>82960.8</v>
      </c>
      <c r="S274" s="249" t="n">
        <v>18062</v>
      </c>
      <c r="T274" s="252">
        <f>S274*R274</f>
        <v/>
      </c>
      <c r="U274" s="245" t="inlineStr">
        <is>
          <t>040300/KPPBC</t>
        </is>
      </c>
      <c r="V274" s="245" t="inlineStr">
        <is>
          <t>TG. PRIOK</t>
        </is>
      </c>
      <c r="W274" s="245" t="inlineStr">
        <is>
          <t>NORFOLK, US</t>
        </is>
      </c>
      <c r="X274" s="245" t="inlineStr">
        <is>
          <t>WALMART, INC.</t>
        </is>
      </c>
      <c r="Y274" s="245" t="inlineStr">
        <is>
          <t>CMDUDJA1516955</t>
        </is>
      </c>
      <c r="Z274" s="246" t="n">
        <v>46245</v>
      </c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5" t="n"/>
      <c r="I275" s="245" t="inlineStr">
        <is>
          <t>CMAU7376484</t>
        </is>
      </c>
      <c r="J275" s="245" t="inlineStr">
        <is>
          <t>40FT</t>
        </is>
      </c>
      <c r="K275" s="245" t="n"/>
      <c r="L275" s="245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inlineStr">
        <is>
          <t>ETD : 15-08-2026</t>
        </is>
      </c>
      <c r="X275" s="245" t="n"/>
      <c r="Y275" s="245" t="n"/>
      <c r="Z275" s="245" t="n"/>
    </row>
    <row r="276" ht="17.1" customHeight="1" s="202">
      <c r="A276" s="253" t="n"/>
      <c r="B276" s="253" t="n"/>
      <c r="C276" s="253" t="n"/>
      <c r="D276" s="253" t="n"/>
      <c r="E276" s="253" t="n"/>
      <c r="F276" s="253" t="n"/>
      <c r="G276" s="253" t="n"/>
      <c r="H276" s="254">
        <f>SUM(H274:H275)</f>
        <v/>
      </c>
      <c r="I276" s="253">
        <f>COUNTA(I274:I275)</f>
        <v/>
      </c>
      <c r="J276" s="253" t="n"/>
      <c r="K276" s="253" t="n"/>
      <c r="L276" s="253" t="n"/>
      <c r="M276" s="253" t="n"/>
      <c r="N276" s="253" t="n"/>
      <c r="O276" s="255">
        <f>SUM(O274:O275)</f>
        <v/>
      </c>
      <c r="P276" s="255">
        <f>SUM(P274:P275)</f>
        <v/>
      </c>
      <c r="Q276" s="253" t="n"/>
      <c r="R276" s="256">
        <f>SUM(R274:R275)</f>
        <v/>
      </c>
      <c r="S276" s="253" t="n"/>
      <c r="T276" s="257">
        <f>SUM(T274:T275)</f>
        <v/>
      </c>
      <c r="U276" s="253" t="n"/>
      <c r="V276" s="253" t="n"/>
      <c r="W276" s="253" t="n"/>
      <c r="X276" s="253" t="n"/>
      <c r="Y276" s="253" t="n"/>
      <c r="Z276" s="253" t="n"/>
    </row>
    <row r="277" ht="16.5" customHeight="1" s="202">
      <c r="A277" s="245" t="n">
        <v>36</v>
      </c>
      <c r="B277" s="245" t="inlineStr">
        <is>
          <t>000030ZIK48020260811000604</t>
        </is>
      </c>
      <c r="C277" s="245" t="n">
        <v>504014</v>
      </c>
      <c r="D277" s="245" t="n">
        <v>503962</v>
      </c>
      <c r="E277" s="246" t="n">
        <v>46246</v>
      </c>
      <c r="F277" s="245" t="inlineStr">
        <is>
          <t>ID2608-8108</t>
        </is>
      </c>
      <c r="G277" s="246" t="n">
        <v>46245</v>
      </c>
      <c r="H277" s="247" t="n">
        <v>81</v>
      </c>
      <c r="I277" s="245" t="inlineStr">
        <is>
          <t>MSNU9023917</t>
        </is>
      </c>
      <c r="J277" s="245" t="inlineStr">
        <is>
          <t>40FT</t>
        </is>
      </c>
      <c r="K277" s="245" t="inlineStr">
        <is>
          <t>10IN MEDIUM MFM FL</t>
        </is>
      </c>
      <c r="L277" s="245" t="inlineStr">
        <is>
          <t>WA-MMF-10F-IN</t>
        </is>
      </c>
      <c r="M277" s="248" t="inlineStr">
        <is>
          <t>MIWU00190</t>
        </is>
      </c>
      <c r="N277" s="245" t="inlineStr">
        <is>
          <t>F.MFM.10F.005.BU</t>
        </is>
      </c>
      <c r="O277" s="249" t="n">
        <v>12046.7</v>
      </c>
      <c r="P277" s="249" t="n">
        <v>10876.8</v>
      </c>
      <c r="Q277" s="250">
        <f>R277/H277</f>
        <v/>
      </c>
      <c r="R277" s="251" t="n">
        <v>4890.78</v>
      </c>
      <c r="S277" s="249" t="n">
        <v>17960</v>
      </c>
      <c r="T277" s="252">
        <f>S277*R277</f>
        <v/>
      </c>
      <c r="U277" s="245" t="inlineStr">
        <is>
          <t>040300/KPPBC</t>
        </is>
      </c>
      <c r="V277" s="245" t="inlineStr">
        <is>
          <t>TG. PRIOK</t>
        </is>
      </c>
      <c r="W277" s="245" t="inlineStr">
        <is>
          <t>LONG BEACH, US</t>
        </is>
      </c>
      <c r="X277" s="245" t="inlineStr">
        <is>
          <t>MELLOW INC</t>
        </is>
      </c>
      <c r="Y277" s="245" t="inlineStr">
        <is>
          <t>MEDUKU526167</t>
        </is>
      </c>
      <c r="Z277" s="246" t="n">
        <v>46246</v>
      </c>
    </row>
    <row r="278" ht="16.5" customHeight="1" s="202">
      <c r="A278" s="245" t="n"/>
      <c r="B278" s="245" t="n"/>
      <c r="C278" s="245" t="n"/>
      <c r="D278" s="245" t="n"/>
      <c r="E278" s="245" t="n"/>
      <c r="F278" s="245" t="n"/>
      <c r="G278" s="245" t="n"/>
      <c r="H278" s="247" t="n">
        <v>42</v>
      </c>
      <c r="I278" s="245" t="inlineStr"/>
      <c r="J278" s="245" t="inlineStr"/>
      <c r="K278" s="245" t="inlineStr">
        <is>
          <t>10IN MEDIUM MFM EK</t>
        </is>
      </c>
      <c r="L278" s="245" t="inlineStr">
        <is>
          <t>WA-MMF-10K-IN</t>
        </is>
      </c>
      <c r="M278" s="248" t="inlineStr">
        <is>
          <t>MIWU00190</t>
        </is>
      </c>
      <c r="N278" s="245" t="inlineStr">
        <is>
          <t>F.MFM.10K.005.BU</t>
        </is>
      </c>
      <c r="O278" s="245" t="n"/>
      <c r="P278" s="245" t="n"/>
      <c r="Q278" s="250">
        <f>R278/H278</f>
        <v/>
      </c>
      <c r="R278" s="251" t="n">
        <v>3673.74</v>
      </c>
      <c r="S278" s="249" t="n">
        <v>17960</v>
      </c>
      <c r="T278" s="252">
        <f>S278*R278</f>
        <v/>
      </c>
      <c r="U278" s="245" t="n"/>
      <c r="V278" s="245" t="n"/>
      <c r="W278" s="245" t="inlineStr">
        <is>
          <t>ETD : 18-08-2026</t>
        </is>
      </c>
      <c r="X278" s="245" t="n"/>
      <c r="Y278" s="245" t="n"/>
      <c r="Z278" s="245" t="n"/>
    </row>
    <row r="279" ht="16.5" customHeight="1" s="202">
      <c r="A279" s="245" t="n"/>
      <c r="B279" s="245" t="n"/>
      <c r="C279" s="245" t="n"/>
      <c r="D279" s="245" t="n"/>
      <c r="E279" s="245" t="n"/>
      <c r="F279" s="245" t="n"/>
      <c r="G279" s="245" t="n"/>
      <c r="H279" s="247" t="n">
        <v>65</v>
      </c>
      <c r="I279" s="245" t="inlineStr"/>
      <c r="J279" s="245" t="inlineStr"/>
      <c r="K279" s="245" t="inlineStr">
        <is>
          <t>10IN MEDIUM MFM QN</t>
        </is>
      </c>
      <c r="L279" s="245" t="inlineStr">
        <is>
          <t>WA-MMF-10Q-IN</t>
        </is>
      </c>
      <c r="M279" s="248" t="inlineStr">
        <is>
          <t>MIWU00190</t>
        </is>
      </c>
      <c r="N279" s="245" t="inlineStr">
        <is>
          <t>F.MFM.10Q.005.BU</t>
        </is>
      </c>
      <c r="O279" s="245" t="n"/>
      <c r="P279" s="245" t="n"/>
      <c r="Q279" s="250">
        <f>R279/H279</f>
        <v/>
      </c>
      <c r="R279" s="251" t="n">
        <v>4651.4</v>
      </c>
      <c r="S279" s="249" t="n">
        <v>17960</v>
      </c>
      <c r="T279" s="252">
        <f>S279*R279</f>
        <v/>
      </c>
      <c r="U279" s="245" t="n"/>
      <c r="V279" s="245" t="n"/>
      <c r="W279" s="245" t="n"/>
      <c r="X279" s="245" t="n"/>
      <c r="Y279" s="245" t="n"/>
      <c r="Z279" s="245" t="n"/>
    </row>
    <row r="280" ht="16.5" customHeight="1" s="202">
      <c r="A280" s="245" t="n"/>
      <c r="B280" s="245" t="n"/>
      <c r="C280" s="245" t="n"/>
      <c r="D280" s="245" t="n"/>
      <c r="E280" s="245" t="n"/>
      <c r="F280" s="245" t="n"/>
      <c r="G280" s="245" t="n"/>
      <c r="H280" s="247" t="n">
        <v>51</v>
      </c>
      <c r="I280" s="245" t="inlineStr"/>
      <c r="J280" s="245" t="inlineStr"/>
      <c r="K280" s="245" t="inlineStr">
        <is>
          <t>10IN MEDIUM MFM TW</t>
        </is>
      </c>
      <c r="L280" s="245" t="inlineStr">
        <is>
          <t>WA-MMF-10T-IN</t>
        </is>
      </c>
      <c r="M280" s="248" t="inlineStr">
        <is>
          <t>MIWU00190</t>
        </is>
      </c>
      <c r="N280" s="245" t="inlineStr">
        <is>
          <t>F.MFM.10T.005.BU</t>
        </is>
      </c>
      <c r="O280" s="245" t="n"/>
      <c r="P280" s="245" t="n"/>
      <c r="Q280" s="250">
        <f>R280/H280</f>
        <v/>
      </c>
      <c r="R280" s="251" t="n">
        <v>2347.02</v>
      </c>
      <c r="S280" s="249" t="n">
        <v>17960</v>
      </c>
      <c r="T280" s="252">
        <f>S280*R280</f>
        <v/>
      </c>
      <c r="U280" s="245" t="n"/>
      <c r="V280" s="245" t="n"/>
      <c r="W280" s="245" t="n"/>
      <c r="X280" s="245" t="n"/>
      <c r="Y280" s="245" t="n"/>
      <c r="Z280" s="245" t="n"/>
    </row>
    <row r="281" ht="16.5" customHeight="1" s="202">
      <c r="A281" s="245" t="n"/>
      <c r="B281" s="245" t="n"/>
      <c r="C281" s="245" t="n"/>
      <c r="D281" s="245" t="n"/>
      <c r="E281" s="245" t="n"/>
      <c r="F281" s="245" t="n"/>
      <c r="G281" s="245" t="n"/>
      <c r="H281" s="247" t="n">
        <v>31</v>
      </c>
      <c r="I281" s="245" t="inlineStr"/>
      <c r="J281" s="245" t="inlineStr"/>
      <c r="K281" s="245" t="inlineStr">
        <is>
          <t>12IN MEDIUM MFM FL</t>
        </is>
      </c>
      <c r="L281" s="245" t="inlineStr">
        <is>
          <t>WA-MMF-12F-IN</t>
        </is>
      </c>
      <c r="M281" s="248" t="inlineStr">
        <is>
          <t>MIWU00190</t>
        </is>
      </c>
      <c r="N281" s="245" t="inlineStr">
        <is>
          <t>F.MFM.12F.005.BU</t>
        </is>
      </c>
      <c r="O281" s="245" t="n"/>
      <c r="P281" s="245" t="n"/>
      <c r="Q281" s="250">
        <f>R281/H281</f>
        <v/>
      </c>
      <c r="R281" s="251" t="n">
        <v>2159.15</v>
      </c>
      <c r="S281" s="249" t="n">
        <v>17960</v>
      </c>
      <c r="T281" s="252">
        <f>S281*R281</f>
        <v/>
      </c>
      <c r="U281" s="245" t="n"/>
      <c r="V281" s="245" t="n"/>
      <c r="W281" s="245" t="n"/>
      <c r="X281" s="245" t="n"/>
      <c r="Y281" s="245" t="n"/>
      <c r="Z281" s="245" t="n"/>
    </row>
    <row r="282" ht="16.5" customHeight="1" s="202">
      <c r="A282" s="245" t="n"/>
      <c r="B282" s="245" t="n"/>
      <c r="C282" s="245" t="n"/>
      <c r="D282" s="245" t="n"/>
      <c r="E282" s="245" t="n"/>
      <c r="F282" s="245" t="n"/>
      <c r="G282" s="245" t="n"/>
      <c r="H282" s="247" t="n">
        <v>24</v>
      </c>
      <c r="I282" s="245" t="inlineStr"/>
      <c r="J282" s="245" t="inlineStr"/>
      <c r="K282" s="245" t="inlineStr">
        <is>
          <t>12IN MEDIUM MFM EK</t>
        </is>
      </c>
      <c r="L282" s="245" t="inlineStr">
        <is>
          <t>WA-MMF-12K-IN</t>
        </is>
      </c>
      <c r="M282" s="248" t="inlineStr">
        <is>
          <t>MIWU00190</t>
        </is>
      </c>
      <c r="N282" s="245" t="inlineStr">
        <is>
          <t>F.MFM.12K.005.BU</t>
        </is>
      </c>
      <c r="O282" s="245" t="n"/>
      <c r="P282" s="245" t="n"/>
      <c r="Q282" s="250">
        <f>R282/H282</f>
        <v/>
      </c>
      <c r="R282" s="251" t="n">
        <v>2372.64</v>
      </c>
      <c r="S282" s="249" t="n">
        <v>17960</v>
      </c>
      <c r="T282" s="252">
        <f>S282*R282</f>
        <v/>
      </c>
      <c r="U282" s="245" t="n"/>
      <c r="V282" s="245" t="n"/>
      <c r="W282" s="245" t="n"/>
      <c r="X282" s="245" t="n"/>
      <c r="Y282" s="245" t="n"/>
      <c r="Z282" s="245" t="n"/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7" t="n">
        <v>70</v>
      </c>
      <c r="I283" s="245" t="inlineStr"/>
      <c r="J283" s="245" t="inlineStr"/>
      <c r="K283" s="245" t="inlineStr">
        <is>
          <t>6IN MEDIUM MFM FL</t>
        </is>
      </c>
      <c r="L283" s="245" t="inlineStr">
        <is>
          <t>WA-MMF-6F-IN</t>
        </is>
      </c>
      <c r="M283" s="248" t="inlineStr">
        <is>
          <t>MIWU00190</t>
        </is>
      </c>
      <c r="N283" s="245" t="inlineStr">
        <is>
          <t>F.MFM.06F.002.BU</t>
        </is>
      </c>
      <c r="O283" s="245" t="n"/>
      <c r="P283" s="245" t="n"/>
      <c r="Q283" s="250">
        <f>R283/H283</f>
        <v/>
      </c>
      <c r="R283" s="251" t="n">
        <v>2983.4</v>
      </c>
      <c r="S283" s="249" t="n">
        <v>17960</v>
      </c>
      <c r="T283" s="252">
        <f>S283*R283</f>
        <v/>
      </c>
      <c r="U283" s="245" t="n"/>
      <c r="V283" s="245" t="n"/>
      <c r="W283" s="245" t="n"/>
      <c r="X283" s="245" t="n"/>
      <c r="Y283" s="245" t="n"/>
      <c r="Z283" s="245" t="n"/>
    </row>
    <row r="284" ht="16.5" customHeight="1" s="202">
      <c r="A284" s="245" t="n"/>
      <c r="B284" s="245" t="n"/>
      <c r="C284" s="245" t="n"/>
      <c r="D284" s="245" t="n"/>
      <c r="E284" s="245" t="n"/>
      <c r="F284" s="245" t="n"/>
      <c r="G284" s="245" t="n"/>
      <c r="H284" s="247" t="n">
        <v>77</v>
      </c>
      <c r="I284" s="245" t="inlineStr"/>
      <c r="J284" s="245" t="inlineStr"/>
      <c r="K284" s="245" t="inlineStr">
        <is>
          <t>6IN MEDIUM MFM TW</t>
        </is>
      </c>
      <c r="L284" s="245" t="inlineStr">
        <is>
          <t>WA-MMF-6T-IN</t>
        </is>
      </c>
      <c r="M284" s="248" t="inlineStr">
        <is>
          <t>MIWU00190</t>
        </is>
      </c>
      <c r="N284" s="245" t="inlineStr">
        <is>
          <t>F.MFM.06T.002.BU</t>
        </is>
      </c>
      <c r="O284" s="245" t="n"/>
      <c r="P284" s="245" t="n"/>
      <c r="Q284" s="250">
        <f>R284/H284</f>
        <v/>
      </c>
      <c r="R284" s="251" t="n">
        <v>2471.7</v>
      </c>
      <c r="S284" s="249" t="n">
        <v>17960</v>
      </c>
      <c r="T284" s="252">
        <f>S284*R284</f>
        <v/>
      </c>
      <c r="U284" s="245" t="n"/>
      <c r="V284" s="245" t="n"/>
      <c r="W284" s="245" t="n"/>
      <c r="X284" s="245" t="n"/>
      <c r="Y284" s="245" t="n"/>
      <c r="Z284" s="245" t="n"/>
    </row>
    <row r="285" ht="16.5" customHeight="1" s="202">
      <c r="A285" s="245" t="n"/>
      <c r="B285" s="245" t="n"/>
      <c r="C285" s="245" t="n"/>
      <c r="D285" s="245" t="n"/>
      <c r="E285" s="245" t="n"/>
      <c r="F285" s="245" t="n"/>
      <c r="G285" s="245" t="n"/>
      <c r="H285" s="247" t="n">
        <v>20</v>
      </c>
      <c r="I285" s="245" t="inlineStr"/>
      <c r="J285" s="245" t="inlineStr"/>
      <c r="K285" s="245" t="inlineStr">
        <is>
          <t>6IN MEDIUM MFM TX</t>
        </is>
      </c>
      <c r="L285" s="245" t="inlineStr">
        <is>
          <t>WA-MMF-6TXL-IN</t>
        </is>
      </c>
      <c r="M285" s="248" t="inlineStr">
        <is>
          <t>MIWU00190</t>
        </is>
      </c>
      <c r="N285" s="245" t="inlineStr">
        <is>
          <t>F.MFM.06X.002.BU</t>
        </is>
      </c>
      <c r="O285" s="245" t="n"/>
      <c r="P285" s="245" t="n"/>
      <c r="Q285" s="250">
        <f>R285/H285</f>
        <v/>
      </c>
      <c r="R285" s="251" t="n">
        <v>680.2</v>
      </c>
      <c r="S285" s="249" t="n">
        <v>17960</v>
      </c>
      <c r="T285" s="252">
        <f>S285*R285</f>
        <v/>
      </c>
      <c r="U285" s="245" t="n"/>
      <c r="V285" s="245" t="n"/>
      <c r="W285" s="245" t="n"/>
      <c r="X285" s="245" t="n"/>
      <c r="Y285" s="245" t="n"/>
      <c r="Z285" s="245" t="n"/>
    </row>
    <row r="286" ht="16.5" customHeight="1" s="202">
      <c r="A286" s="245" t="n"/>
      <c r="B286" s="245" t="n"/>
      <c r="C286" s="245" t="n"/>
      <c r="D286" s="245" t="n"/>
      <c r="E286" s="245" t="n"/>
      <c r="F286" s="245" t="n"/>
      <c r="G286" s="245" t="n"/>
      <c r="H286" s="247" t="n">
        <v>50</v>
      </c>
      <c r="I286" s="245" t="inlineStr"/>
      <c r="J286" s="245" t="inlineStr"/>
      <c r="K286" s="245" t="inlineStr">
        <is>
          <t>8IN MEDIUM MFM FL</t>
        </is>
      </c>
      <c r="L286" s="245" t="inlineStr">
        <is>
          <t>WA-MMF-8F-IN</t>
        </is>
      </c>
      <c r="M286" s="248" t="inlineStr">
        <is>
          <t>MIWU00190</t>
        </is>
      </c>
      <c r="N286" s="245" t="inlineStr">
        <is>
          <t>F.MFM.08F.005.BU</t>
        </is>
      </c>
      <c r="O286" s="245" t="n"/>
      <c r="P286" s="245" t="n"/>
      <c r="Q286" s="250">
        <f>R286/H286</f>
        <v/>
      </c>
      <c r="R286" s="251" t="n">
        <v>2605</v>
      </c>
      <c r="S286" s="249" t="n">
        <v>17960</v>
      </c>
      <c r="T286" s="252">
        <f>S286*R286</f>
        <v/>
      </c>
      <c r="U286" s="245" t="n"/>
      <c r="V286" s="245" t="n"/>
      <c r="W286" s="245" t="n"/>
      <c r="X286" s="245" t="n"/>
      <c r="Y286" s="245" t="n"/>
      <c r="Z286" s="245" t="n"/>
    </row>
    <row r="287" ht="16.5" customHeight="1" s="202">
      <c r="A287" s="245" t="n"/>
      <c r="B287" s="245" t="n"/>
      <c r="C287" s="245" t="n"/>
      <c r="D287" s="245" t="n"/>
      <c r="E287" s="245" t="n"/>
      <c r="F287" s="245" t="n"/>
      <c r="G287" s="245" t="n"/>
      <c r="H287" s="247" t="n">
        <v>22</v>
      </c>
      <c r="I287" s="245" t="inlineStr"/>
      <c r="J287" s="245" t="inlineStr"/>
      <c r="K287" s="245" t="inlineStr">
        <is>
          <t>8IN MEDIUM MFM QN</t>
        </is>
      </c>
      <c r="L287" s="245" t="inlineStr">
        <is>
          <t>WA-MMF-8Q-IN</t>
        </is>
      </c>
      <c r="M287" s="248" t="inlineStr">
        <is>
          <t>MIWU00190</t>
        </is>
      </c>
      <c r="N287" s="245" t="inlineStr">
        <is>
          <t>F.MFM.08Q.005.BU</t>
        </is>
      </c>
      <c r="O287" s="245" t="n"/>
      <c r="P287" s="245" t="n"/>
      <c r="Q287" s="250">
        <f>R287/H287</f>
        <v/>
      </c>
      <c r="R287" s="251" t="n">
        <v>1357.18</v>
      </c>
      <c r="S287" s="249" t="n">
        <v>17960</v>
      </c>
      <c r="T287" s="252">
        <f>S287*R287</f>
        <v/>
      </c>
      <c r="U287" s="245" t="n"/>
      <c r="V287" s="245" t="n"/>
      <c r="W287" s="245" t="n"/>
      <c r="X287" s="245" t="n"/>
      <c r="Y287" s="245" t="n"/>
      <c r="Z287" s="245" t="n"/>
    </row>
    <row r="288" ht="16.5" customHeight="1" s="202">
      <c r="A288" s="245" t="n"/>
      <c r="B288" s="245" t="n"/>
      <c r="C288" s="245" t="n"/>
      <c r="D288" s="245" t="n"/>
      <c r="E288" s="245" t="n"/>
      <c r="F288" s="245" t="n"/>
      <c r="G288" s="245" t="n"/>
      <c r="H288" s="247" t="n">
        <v>81</v>
      </c>
      <c r="I288" s="245" t="inlineStr"/>
      <c r="J288" s="245" t="inlineStr"/>
      <c r="K288" s="245" t="inlineStr">
        <is>
          <t>8IN MEDIUM MFM TW</t>
        </is>
      </c>
      <c r="L288" s="245" t="inlineStr">
        <is>
          <t>WA-MMF-8T-IN</t>
        </is>
      </c>
      <c r="M288" s="248" t="inlineStr">
        <is>
          <t>MIWU00190</t>
        </is>
      </c>
      <c r="N288" s="245" t="inlineStr">
        <is>
          <t>F.MFM.08T.005.BU</t>
        </is>
      </c>
      <c r="O288" s="245" t="n"/>
      <c r="P288" s="245" t="n"/>
      <c r="Q288" s="250">
        <f>R288/H288</f>
        <v/>
      </c>
      <c r="R288" s="251" t="n">
        <v>3149.28</v>
      </c>
      <c r="S288" s="249" t="n">
        <v>17960</v>
      </c>
      <c r="T288" s="252">
        <f>S288*R288</f>
        <v/>
      </c>
      <c r="U288" s="245" t="n"/>
      <c r="V288" s="245" t="n"/>
      <c r="W288" s="245" t="n"/>
      <c r="X288" s="245" t="n"/>
      <c r="Y288" s="245" t="n"/>
      <c r="Z288" s="245" t="n"/>
    </row>
    <row r="289" ht="17.1" customHeight="1" s="202">
      <c r="A289" s="253" t="n"/>
      <c r="B289" s="253" t="n"/>
      <c r="C289" s="253" t="n"/>
      <c r="D289" s="253" t="n"/>
      <c r="E289" s="253" t="n"/>
      <c r="F289" s="253" t="n"/>
      <c r="G289" s="253" t="n"/>
      <c r="H289" s="254">
        <f>SUM(H277:H288)</f>
        <v/>
      </c>
      <c r="I289" s="253">
        <f>COUNTA(I277:I288)</f>
        <v/>
      </c>
      <c r="J289" s="253" t="n"/>
      <c r="K289" s="253" t="n"/>
      <c r="L289" s="253" t="n"/>
      <c r="M289" s="253" t="n"/>
      <c r="N289" s="253" t="n"/>
      <c r="O289" s="255">
        <f>SUM(O277:O288)</f>
        <v/>
      </c>
      <c r="P289" s="255">
        <f>SUM(P277:P288)</f>
        <v/>
      </c>
      <c r="Q289" s="253" t="n"/>
      <c r="R289" s="256">
        <f>SUM(R277:R288)</f>
        <v/>
      </c>
      <c r="S289" s="253" t="n"/>
      <c r="T289" s="257">
        <f>SUM(T277:T288)</f>
        <v/>
      </c>
      <c r="U289" s="253" t="n"/>
      <c r="V289" s="253" t="n"/>
      <c r="W289" s="253" t="n"/>
      <c r="X289" s="253" t="n"/>
      <c r="Y289" s="253" t="n"/>
      <c r="Z289" s="253" t="n"/>
    </row>
    <row r="290" ht="16.5" customHeight="1" s="202">
      <c r="A290" s="245" t="n">
        <v>37</v>
      </c>
      <c r="B290" s="245" t="inlineStr">
        <is>
          <t>000030ZIK48020260811000605</t>
        </is>
      </c>
      <c r="C290" s="245" t="n">
        <v>504781</v>
      </c>
      <c r="D290" s="245" t="n">
        <v>504727</v>
      </c>
      <c r="E290" s="246" t="n">
        <v>46246</v>
      </c>
      <c r="F290" s="245" t="inlineStr">
        <is>
          <t>ID2608-8109</t>
        </is>
      </c>
      <c r="G290" s="246" t="n">
        <v>46245</v>
      </c>
      <c r="H290" s="247" t="n">
        <v>81</v>
      </c>
      <c r="I290" s="245" t="inlineStr">
        <is>
          <t>MEDU7756348</t>
        </is>
      </c>
      <c r="J290" s="245" t="inlineStr">
        <is>
          <t>40FT</t>
        </is>
      </c>
      <c r="K290" s="245" t="inlineStr">
        <is>
          <t>10IN MEDIUM MFM FL</t>
        </is>
      </c>
      <c r="L290" s="245" t="inlineStr">
        <is>
          <t>WA-MMF-10F-IN</t>
        </is>
      </c>
      <c r="M290" s="248" t="inlineStr">
        <is>
          <t>MIWU00193</t>
        </is>
      </c>
      <c r="N290" s="245" t="inlineStr">
        <is>
          <t>F.MFM.10F.005.BU</t>
        </is>
      </c>
      <c r="O290" s="249" t="n">
        <v>12046.7</v>
      </c>
      <c r="P290" s="249" t="n">
        <v>10876.8</v>
      </c>
      <c r="Q290" s="250">
        <f>R290/H290</f>
        <v/>
      </c>
      <c r="R290" s="251" t="n">
        <v>4890.78</v>
      </c>
      <c r="S290" s="249" t="n">
        <v>17960</v>
      </c>
      <c r="T290" s="252">
        <f>S290*R290</f>
        <v/>
      </c>
      <c r="U290" s="245" t="inlineStr">
        <is>
          <t>040300/KPPBC</t>
        </is>
      </c>
      <c r="V290" s="245" t="inlineStr">
        <is>
          <t>TG. PRIOK</t>
        </is>
      </c>
      <c r="W290" s="245" t="inlineStr">
        <is>
          <t>LONG BEACH, US</t>
        </is>
      </c>
      <c r="X290" s="245" t="inlineStr">
        <is>
          <t>MELLOW INC</t>
        </is>
      </c>
      <c r="Y290" s="245" t="inlineStr">
        <is>
          <t>MEDUKU526134</t>
        </is>
      </c>
      <c r="Z290" s="246" t="n">
        <v>46246</v>
      </c>
    </row>
    <row r="291" ht="16.5" customHeight="1" s="202">
      <c r="A291" s="245" t="n"/>
      <c r="B291" s="245" t="n"/>
      <c r="C291" s="245" t="n"/>
      <c r="D291" s="245" t="n"/>
      <c r="E291" s="245" t="n"/>
      <c r="F291" s="245" t="n"/>
      <c r="G291" s="245" t="n"/>
      <c r="H291" s="247" t="n">
        <v>42</v>
      </c>
      <c r="I291" s="245" t="inlineStr"/>
      <c r="J291" s="245" t="inlineStr"/>
      <c r="K291" s="245" t="inlineStr">
        <is>
          <t>10IN MEDIUM MFM EK</t>
        </is>
      </c>
      <c r="L291" s="245" t="inlineStr">
        <is>
          <t>WA-MMF-10K-IN</t>
        </is>
      </c>
      <c r="M291" s="248" t="inlineStr">
        <is>
          <t>MIWU00193</t>
        </is>
      </c>
      <c r="N291" s="245" t="inlineStr">
        <is>
          <t>F.MFM.10K.005.BU</t>
        </is>
      </c>
      <c r="O291" s="245" t="n"/>
      <c r="P291" s="245" t="n"/>
      <c r="Q291" s="250">
        <f>R291/H291</f>
        <v/>
      </c>
      <c r="R291" s="251" t="n">
        <v>3673.74</v>
      </c>
      <c r="S291" s="249" t="n">
        <v>17960</v>
      </c>
      <c r="T291" s="252">
        <f>S291*R291</f>
        <v/>
      </c>
      <c r="U291" s="245" t="n"/>
      <c r="V291" s="245" t="n"/>
      <c r="W291" s="245" t="inlineStr">
        <is>
          <t>ETD : 18-08-2026</t>
        </is>
      </c>
      <c r="X291" s="245" t="n"/>
      <c r="Y291" s="245" t="n"/>
      <c r="Z291" s="245" t="n"/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7" t="n">
        <v>65</v>
      </c>
      <c r="I292" s="245" t="inlineStr"/>
      <c r="J292" s="245" t="inlineStr"/>
      <c r="K292" s="245" t="inlineStr">
        <is>
          <t>10IN MEDIUM MFM QN</t>
        </is>
      </c>
      <c r="L292" s="245" t="inlineStr">
        <is>
          <t>WA-MMF-10Q-IN</t>
        </is>
      </c>
      <c r="M292" s="248" t="inlineStr">
        <is>
          <t>MIWU00193</t>
        </is>
      </c>
      <c r="N292" s="245" t="inlineStr">
        <is>
          <t>F.MFM.10Q.005.BU</t>
        </is>
      </c>
      <c r="O292" s="245" t="n"/>
      <c r="P292" s="245" t="n"/>
      <c r="Q292" s="250">
        <f>R292/H292</f>
        <v/>
      </c>
      <c r="R292" s="251" t="n">
        <v>4651.4</v>
      </c>
      <c r="S292" s="249" t="n">
        <v>17960</v>
      </c>
      <c r="T292" s="252">
        <f>S292*R292</f>
        <v/>
      </c>
      <c r="U292" s="245" t="n"/>
      <c r="V292" s="245" t="n"/>
      <c r="W292" s="245" t="n"/>
      <c r="X292" s="245" t="n"/>
      <c r="Y292" s="245" t="n"/>
      <c r="Z292" s="245" t="n"/>
    </row>
    <row r="293" ht="16.5" customHeight="1" s="202">
      <c r="A293" s="245" t="n"/>
      <c r="B293" s="245" t="n"/>
      <c r="C293" s="245" t="n"/>
      <c r="D293" s="245" t="n"/>
      <c r="E293" s="245" t="n"/>
      <c r="F293" s="245" t="n"/>
      <c r="G293" s="245" t="n"/>
      <c r="H293" s="247" t="n">
        <v>51</v>
      </c>
      <c r="I293" s="245" t="inlineStr"/>
      <c r="J293" s="245" t="inlineStr"/>
      <c r="K293" s="245" t="inlineStr">
        <is>
          <t>10IN MEDIUM MFM TW</t>
        </is>
      </c>
      <c r="L293" s="245" t="inlineStr">
        <is>
          <t>WA-MMF-10T-IN</t>
        </is>
      </c>
      <c r="M293" s="248" t="inlineStr">
        <is>
          <t>MIWU00193</t>
        </is>
      </c>
      <c r="N293" s="245" t="inlineStr">
        <is>
          <t>F.MFM.10T.005.BU</t>
        </is>
      </c>
      <c r="O293" s="245" t="n"/>
      <c r="P293" s="245" t="n"/>
      <c r="Q293" s="250">
        <f>R293/H293</f>
        <v/>
      </c>
      <c r="R293" s="251" t="n">
        <v>2347.02</v>
      </c>
      <c r="S293" s="249" t="n">
        <v>17960</v>
      </c>
      <c r="T293" s="252">
        <f>S293*R293</f>
        <v/>
      </c>
      <c r="U293" s="245" t="n"/>
      <c r="V293" s="245" t="n"/>
      <c r="W293" s="245" t="n"/>
      <c r="X293" s="245" t="n"/>
      <c r="Y293" s="245" t="n"/>
      <c r="Z293" s="245" t="n"/>
    </row>
    <row r="294" ht="16.5" customHeight="1" s="202">
      <c r="A294" s="245" t="n"/>
      <c r="B294" s="245" t="n"/>
      <c r="C294" s="245" t="n"/>
      <c r="D294" s="245" t="n"/>
      <c r="E294" s="245" t="n"/>
      <c r="F294" s="245" t="n"/>
      <c r="G294" s="245" t="n"/>
      <c r="H294" s="247" t="n">
        <v>31</v>
      </c>
      <c r="I294" s="245" t="inlineStr"/>
      <c r="J294" s="245" t="inlineStr"/>
      <c r="K294" s="245" t="inlineStr">
        <is>
          <t>12IN MEDIUM MFM FL</t>
        </is>
      </c>
      <c r="L294" s="245" t="inlineStr">
        <is>
          <t>WA-MMF-12F-IN</t>
        </is>
      </c>
      <c r="M294" s="248" t="inlineStr">
        <is>
          <t>MIWU00193</t>
        </is>
      </c>
      <c r="N294" s="245" t="inlineStr">
        <is>
          <t>F.MFM.12F.005.BU</t>
        </is>
      </c>
      <c r="O294" s="245" t="n"/>
      <c r="P294" s="245" t="n"/>
      <c r="Q294" s="250">
        <f>R294/H294</f>
        <v/>
      </c>
      <c r="R294" s="251" t="n">
        <v>2159.15</v>
      </c>
      <c r="S294" s="249" t="n">
        <v>17960</v>
      </c>
      <c r="T294" s="252">
        <f>S294*R294</f>
        <v/>
      </c>
      <c r="U294" s="245" t="n"/>
      <c r="V294" s="245" t="n"/>
      <c r="W294" s="245" t="n"/>
      <c r="X294" s="245" t="n"/>
      <c r="Y294" s="245" t="n"/>
      <c r="Z294" s="245" t="n"/>
    </row>
    <row r="295" ht="16.5" customHeight="1" s="202">
      <c r="A295" s="245" t="n"/>
      <c r="B295" s="245" t="n"/>
      <c r="C295" s="245" t="n"/>
      <c r="D295" s="245" t="n"/>
      <c r="E295" s="245" t="n"/>
      <c r="F295" s="245" t="n"/>
      <c r="G295" s="245" t="n"/>
      <c r="H295" s="247" t="n">
        <v>24</v>
      </c>
      <c r="I295" s="245" t="inlineStr"/>
      <c r="J295" s="245" t="inlineStr"/>
      <c r="K295" s="245" t="inlineStr">
        <is>
          <t>12IN MEDIUM MFM EK</t>
        </is>
      </c>
      <c r="L295" s="245" t="inlineStr">
        <is>
          <t>WA-MMF-12K-IN</t>
        </is>
      </c>
      <c r="M295" s="248" t="inlineStr">
        <is>
          <t>MIWU00193</t>
        </is>
      </c>
      <c r="N295" s="245" t="inlineStr">
        <is>
          <t>F.MFM.12K.005.BU</t>
        </is>
      </c>
      <c r="O295" s="245" t="n"/>
      <c r="P295" s="245" t="n"/>
      <c r="Q295" s="250">
        <f>R295/H295</f>
        <v/>
      </c>
      <c r="R295" s="251" t="n">
        <v>2372.64</v>
      </c>
      <c r="S295" s="249" t="n">
        <v>17960</v>
      </c>
      <c r="T295" s="252">
        <f>S295*R295</f>
        <v/>
      </c>
      <c r="U295" s="245" t="n"/>
      <c r="V295" s="245" t="n"/>
      <c r="W295" s="245" t="n"/>
      <c r="X295" s="245" t="n"/>
      <c r="Y295" s="245" t="n"/>
      <c r="Z295" s="245" t="n"/>
    </row>
    <row r="296" ht="16.5" customHeight="1" s="202">
      <c r="A296" s="245" t="n"/>
      <c r="B296" s="245" t="n"/>
      <c r="C296" s="245" t="n"/>
      <c r="D296" s="245" t="n"/>
      <c r="E296" s="245" t="n"/>
      <c r="F296" s="245" t="n"/>
      <c r="G296" s="245" t="n"/>
      <c r="H296" s="247" t="n">
        <v>70</v>
      </c>
      <c r="I296" s="245" t="inlineStr"/>
      <c r="J296" s="245" t="inlineStr"/>
      <c r="K296" s="245" t="inlineStr">
        <is>
          <t>6IN MEDIUM MFM FL</t>
        </is>
      </c>
      <c r="L296" s="245" t="inlineStr">
        <is>
          <t>WA-MMF-6F-IN</t>
        </is>
      </c>
      <c r="M296" s="248" t="inlineStr">
        <is>
          <t>MIWU00193</t>
        </is>
      </c>
      <c r="N296" s="245" t="inlineStr">
        <is>
          <t>F.MFM.06F.002.BU</t>
        </is>
      </c>
      <c r="O296" s="245" t="n"/>
      <c r="P296" s="245" t="n"/>
      <c r="Q296" s="250">
        <f>R296/H296</f>
        <v/>
      </c>
      <c r="R296" s="251" t="n">
        <v>2983.4</v>
      </c>
      <c r="S296" s="249" t="n">
        <v>17960</v>
      </c>
      <c r="T296" s="252">
        <f>S296*R296</f>
        <v/>
      </c>
      <c r="U296" s="245" t="n"/>
      <c r="V296" s="245" t="n"/>
      <c r="W296" s="245" t="n"/>
      <c r="X296" s="245" t="n"/>
      <c r="Y296" s="245" t="n"/>
      <c r="Z296" s="245" t="n"/>
    </row>
    <row r="297" ht="16.5" customHeight="1" s="202">
      <c r="A297" s="245" t="n"/>
      <c r="B297" s="245" t="n"/>
      <c r="C297" s="245" t="n"/>
      <c r="D297" s="245" t="n"/>
      <c r="E297" s="245" t="n"/>
      <c r="F297" s="245" t="n"/>
      <c r="G297" s="245" t="n"/>
      <c r="H297" s="247" t="n">
        <v>77</v>
      </c>
      <c r="I297" s="245" t="inlineStr"/>
      <c r="J297" s="245" t="inlineStr"/>
      <c r="K297" s="245" t="inlineStr">
        <is>
          <t>6IN MEDIUM MFM TW</t>
        </is>
      </c>
      <c r="L297" s="245" t="inlineStr">
        <is>
          <t>WA-MMF-6T-IN</t>
        </is>
      </c>
      <c r="M297" s="248" t="inlineStr">
        <is>
          <t>MIWU00193</t>
        </is>
      </c>
      <c r="N297" s="245" t="inlineStr">
        <is>
          <t>F.MFM.06T.002.BU</t>
        </is>
      </c>
      <c r="O297" s="245" t="n"/>
      <c r="P297" s="245" t="n"/>
      <c r="Q297" s="250">
        <f>R297/H297</f>
        <v/>
      </c>
      <c r="R297" s="251" t="n">
        <v>2471.7</v>
      </c>
      <c r="S297" s="249" t="n">
        <v>17960</v>
      </c>
      <c r="T297" s="252">
        <f>S297*R297</f>
        <v/>
      </c>
      <c r="U297" s="245" t="n"/>
      <c r="V297" s="245" t="n"/>
      <c r="W297" s="245" t="n"/>
      <c r="X297" s="245" t="n"/>
      <c r="Y297" s="245" t="n"/>
      <c r="Z297" s="245" t="n"/>
    </row>
    <row r="298" ht="16.5" customHeight="1" s="202">
      <c r="A298" s="245" t="n"/>
      <c r="B298" s="245" t="n"/>
      <c r="C298" s="245" t="n"/>
      <c r="D298" s="245" t="n"/>
      <c r="E298" s="245" t="n"/>
      <c r="F298" s="245" t="n"/>
      <c r="G298" s="245" t="n"/>
      <c r="H298" s="247" t="n">
        <v>20</v>
      </c>
      <c r="I298" s="245" t="inlineStr"/>
      <c r="J298" s="245" t="inlineStr"/>
      <c r="K298" s="245" t="inlineStr">
        <is>
          <t>6IN MEDIUM MFM TX</t>
        </is>
      </c>
      <c r="L298" s="245" t="inlineStr">
        <is>
          <t>WA-MMF-6TXL-IN</t>
        </is>
      </c>
      <c r="M298" s="248" t="inlineStr">
        <is>
          <t>MIWU00193</t>
        </is>
      </c>
      <c r="N298" s="245" t="inlineStr">
        <is>
          <t>F.MFM.06X.002.BU</t>
        </is>
      </c>
      <c r="O298" s="245" t="n"/>
      <c r="P298" s="245" t="n"/>
      <c r="Q298" s="250">
        <f>R298/H298</f>
        <v/>
      </c>
      <c r="R298" s="251" t="n">
        <v>680.2</v>
      </c>
      <c r="S298" s="249" t="n">
        <v>17960</v>
      </c>
      <c r="T298" s="252">
        <f>S298*R298</f>
        <v/>
      </c>
      <c r="U298" s="245" t="n"/>
      <c r="V298" s="245" t="n"/>
      <c r="W298" s="245" t="n"/>
      <c r="X298" s="245" t="n"/>
      <c r="Y298" s="245" t="n"/>
      <c r="Z298" s="245" t="n"/>
    </row>
    <row r="299" ht="16.5" customHeight="1" s="202">
      <c r="A299" s="245" t="n"/>
      <c r="B299" s="245" t="n"/>
      <c r="C299" s="245" t="n"/>
      <c r="D299" s="245" t="n"/>
      <c r="E299" s="245" t="n"/>
      <c r="F299" s="245" t="n"/>
      <c r="G299" s="245" t="n"/>
      <c r="H299" s="247" t="n">
        <v>50</v>
      </c>
      <c r="I299" s="245" t="inlineStr"/>
      <c r="J299" s="245" t="inlineStr"/>
      <c r="K299" s="245" t="inlineStr">
        <is>
          <t>8IN MEDIUM MFM FL</t>
        </is>
      </c>
      <c r="L299" s="245" t="inlineStr">
        <is>
          <t>WA-MMF-8F-IN</t>
        </is>
      </c>
      <c r="M299" s="248" t="inlineStr">
        <is>
          <t>MIWU00193</t>
        </is>
      </c>
      <c r="N299" s="245" t="inlineStr">
        <is>
          <t>F.MFM.08F.005.BU</t>
        </is>
      </c>
      <c r="O299" s="245" t="n"/>
      <c r="P299" s="245" t="n"/>
      <c r="Q299" s="250">
        <f>R299/H299</f>
        <v/>
      </c>
      <c r="R299" s="251" t="n">
        <v>2605</v>
      </c>
      <c r="S299" s="249" t="n">
        <v>17960</v>
      </c>
      <c r="T299" s="252">
        <f>S299*R299</f>
        <v/>
      </c>
      <c r="U299" s="245" t="n"/>
      <c r="V299" s="245" t="n"/>
      <c r="W299" s="245" t="n"/>
      <c r="X299" s="245" t="n"/>
      <c r="Y299" s="245" t="n"/>
      <c r="Z299" s="245" t="n"/>
    </row>
    <row r="300" ht="16.5" customHeight="1" s="202">
      <c r="A300" s="245" t="n"/>
      <c r="B300" s="245" t="n"/>
      <c r="C300" s="245" t="n"/>
      <c r="D300" s="245" t="n"/>
      <c r="E300" s="245" t="n"/>
      <c r="F300" s="245" t="n"/>
      <c r="G300" s="245" t="n"/>
      <c r="H300" s="247" t="n">
        <v>22</v>
      </c>
      <c r="I300" s="245" t="inlineStr"/>
      <c r="J300" s="245" t="inlineStr"/>
      <c r="K300" s="245" t="inlineStr">
        <is>
          <t>8IN MEDIUM MFM QN</t>
        </is>
      </c>
      <c r="L300" s="245" t="inlineStr">
        <is>
          <t>WA-MMF-8Q-IN</t>
        </is>
      </c>
      <c r="M300" s="248" t="inlineStr">
        <is>
          <t>MIWU00193</t>
        </is>
      </c>
      <c r="N300" s="245" t="inlineStr">
        <is>
          <t>F.MFM.08Q.005.BU</t>
        </is>
      </c>
      <c r="O300" s="245" t="n"/>
      <c r="P300" s="245" t="n"/>
      <c r="Q300" s="250">
        <f>R300/H300</f>
        <v/>
      </c>
      <c r="R300" s="251" t="n">
        <v>1357.18</v>
      </c>
      <c r="S300" s="249" t="n">
        <v>17960</v>
      </c>
      <c r="T300" s="252">
        <f>S300*R300</f>
        <v/>
      </c>
      <c r="U300" s="245" t="n"/>
      <c r="V300" s="245" t="n"/>
      <c r="W300" s="245" t="n"/>
      <c r="X300" s="245" t="n"/>
      <c r="Y300" s="245" t="n"/>
      <c r="Z300" s="245" t="n"/>
    </row>
    <row r="301" ht="16.5" customHeight="1" s="202">
      <c r="A301" s="245" t="n"/>
      <c r="B301" s="245" t="n"/>
      <c r="C301" s="245" t="n"/>
      <c r="D301" s="245" t="n"/>
      <c r="E301" s="245" t="n"/>
      <c r="F301" s="245" t="n"/>
      <c r="G301" s="245" t="n"/>
      <c r="H301" s="247" t="n">
        <v>81</v>
      </c>
      <c r="I301" s="245" t="inlineStr"/>
      <c r="J301" s="245" t="inlineStr"/>
      <c r="K301" s="245" t="inlineStr">
        <is>
          <t>8IN MEDIUM MFM TW</t>
        </is>
      </c>
      <c r="L301" s="245" t="inlineStr">
        <is>
          <t>WA-MMF-8T-IN</t>
        </is>
      </c>
      <c r="M301" s="248" t="inlineStr">
        <is>
          <t>MIWU00193</t>
        </is>
      </c>
      <c r="N301" s="245" t="inlineStr">
        <is>
          <t>F.MFM.08T.005.BU</t>
        </is>
      </c>
      <c r="O301" s="245" t="n"/>
      <c r="P301" s="245" t="n"/>
      <c r="Q301" s="250">
        <f>R301/H301</f>
        <v/>
      </c>
      <c r="R301" s="251" t="n">
        <v>3149.28</v>
      </c>
      <c r="S301" s="249" t="n">
        <v>17960</v>
      </c>
      <c r="T301" s="252">
        <f>S301*R301</f>
        <v/>
      </c>
      <c r="U301" s="245" t="n"/>
      <c r="V301" s="245" t="n"/>
      <c r="W301" s="245" t="n"/>
      <c r="X301" s="245" t="n"/>
      <c r="Y301" s="245" t="n"/>
      <c r="Z301" s="245" t="n"/>
    </row>
    <row r="302" ht="17.1" customHeight="1" s="202">
      <c r="A302" s="253" t="n"/>
      <c r="B302" s="253" t="n"/>
      <c r="C302" s="253" t="n"/>
      <c r="D302" s="253" t="n"/>
      <c r="E302" s="253" t="n"/>
      <c r="F302" s="253" t="n"/>
      <c r="G302" s="253" t="n"/>
      <c r="H302" s="254">
        <f>SUM(H290:H301)</f>
        <v/>
      </c>
      <c r="I302" s="253">
        <f>COUNTA(I290:I301)</f>
        <v/>
      </c>
      <c r="J302" s="253" t="n"/>
      <c r="K302" s="253" t="n"/>
      <c r="L302" s="253" t="n"/>
      <c r="M302" s="253" t="n"/>
      <c r="N302" s="253" t="n"/>
      <c r="O302" s="255">
        <f>SUM(O290:O301)</f>
        <v/>
      </c>
      <c r="P302" s="255">
        <f>SUM(P290:P301)</f>
        <v/>
      </c>
      <c r="Q302" s="253" t="n"/>
      <c r="R302" s="256">
        <f>SUM(R290:R301)</f>
        <v/>
      </c>
      <c r="S302" s="253" t="n"/>
      <c r="T302" s="257">
        <f>SUM(T290:T301)</f>
        <v/>
      </c>
      <c r="U302" s="253" t="n"/>
      <c r="V302" s="253" t="n"/>
      <c r="W302" s="253" t="n"/>
      <c r="X302" s="253" t="n"/>
      <c r="Y302" s="253" t="n"/>
      <c r="Z302" s="253" t="n"/>
    </row>
    <row r="303" ht="16.5" customHeight="1" s="202">
      <c r="A303" s="245" t="n">
        <v>38</v>
      </c>
      <c r="B303" s="245" t="inlineStr">
        <is>
          <t>000030ZIK48020260811000606</t>
        </is>
      </c>
      <c r="C303" s="245" t="n">
        <v>505636</v>
      </c>
      <c r="D303" s="245" t="n">
        <v>505579</v>
      </c>
      <c r="E303" s="246" t="n">
        <v>46246</v>
      </c>
      <c r="F303" s="245" t="inlineStr">
        <is>
          <t>ID2608-8103</t>
        </is>
      </c>
      <c r="G303" s="246" t="n">
        <v>46245</v>
      </c>
      <c r="H303" s="247" t="n">
        <v>10</v>
      </c>
      <c r="I303" s="245" t="inlineStr">
        <is>
          <t>TCKU6118434</t>
        </is>
      </c>
      <c r="J303" s="245" t="inlineStr">
        <is>
          <t>40FT</t>
        </is>
      </c>
      <c r="K303" s="245" t="inlineStr">
        <is>
          <t>8IN GREEN TEA MF MATTRESS QN</t>
        </is>
      </c>
      <c r="L303" s="245" t="inlineStr">
        <is>
          <t>BPM-FMS-8Q-IN</t>
        </is>
      </c>
      <c r="M303" s="248" t="inlineStr">
        <is>
          <t>2C1W1KFC</t>
        </is>
      </c>
      <c r="N303" s="245" t="inlineStr">
        <is>
          <t>F.MFM.08Q.002.BD</t>
        </is>
      </c>
      <c r="O303" s="249" t="n">
        <v>86360.53999999999</v>
      </c>
      <c r="P303" s="249" t="n">
        <v>70872.48</v>
      </c>
      <c r="Q303" s="250">
        <f>R303/H303</f>
        <v/>
      </c>
      <c r="R303" s="251" t="n">
        <v>710.2</v>
      </c>
      <c r="S303" s="249" t="n">
        <v>17960</v>
      </c>
      <c r="T303" s="252">
        <f>S303*R303</f>
        <v/>
      </c>
      <c r="U303" s="245" t="inlineStr">
        <is>
          <t>040300/KPPBC</t>
        </is>
      </c>
      <c r="V303" s="245" t="inlineStr">
        <is>
          <t>TG. PRIOK</t>
        </is>
      </c>
      <c r="W303" s="245" t="inlineStr">
        <is>
          <t>LOS ANGELES, US</t>
        </is>
      </c>
      <c r="X303" s="245" t="inlineStr">
        <is>
          <t>AMAZON.COM SERVICES LLC</t>
        </is>
      </c>
      <c r="Y303" s="245" t="inlineStr">
        <is>
          <t>HDMUJKTM99498000</t>
        </is>
      </c>
      <c r="Z303" s="246" t="n">
        <v>46246</v>
      </c>
    </row>
    <row r="304" ht="16.5" customHeight="1" s="202">
      <c r="A304" s="245" t="n"/>
      <c r="B304" s="245" t="n"/>
      <c r="C304" s="245" t="n"/>
      <c r="D304" s="245" t="n"/>
      <c r="E304" s="245" t="n"/>
      <c r="F304" s="245" t="n"/>
      <c r="G304" s="245" t="n"/>
      <c r="H304" s="247" t="n">
        <v>10</v>
      </c>
      <c r="I304" s="245" t="inlineStr">
        <is>
          <t>HMMU6330376</t>
        </is>
      </c>
      <c r="J304" s="245" t="inlineStr">
        <is>
          <t>40FT</t>
        </is>
      </c>
      <c r="K304" s="245" t="inlineStr">
        <is>
          <t>8IN GREEN TEA MF MATTRESS TX</t>
        </is>
      </c>
      <c r="L304" s="245" t="inlineStr">
        <is>
          <t>BPM-FMS-8TXL-IN</t>
        </is>
      </c>
      <c r="M304" s="248" t="inlineStr">
        <is>
          <t>2C1W1KFC</t>
        </is>
      </c>
      <c r="N304" s="245" t="inlineStr">
        <is>
          <t>F.MFM.08X.002.BD</t>
        </is>
      </c>
      <c r="O304" s="245" t="n"/>
      <c r="P304" s="245" t="n"/>
      <c r="Q304" s="250">
        <f>R304/H304</f>
        <v/>
      </c>
      <c r="R304" s="251" t="n">
        <v>452.9</v>
      </c>
      <c r="S304" s="249" t="n">
        <v>17960</v>
      </c>
      <c r="T304" s="252">
        <f>S304*R304</f>
        <v/>
      </c>
      <c r="U304" s="245" t="n"/>
      <c r="V304" s="245" t="n"/>
      <c r="W304" s="245" t="inlineStr">
        <is>
          <t>ETD : 19-08-2026</t>
        </is>
      </c>
      <c r="X304" s="245" t="n"/>
      <c r="Y304" s="245" t="n"/>
      <c r="Z304" s="245" t="n"/>
    </row>
    <row r="305" ht="16.5" customHeight="1" s="202">
      <c r="A305" s="245" t="n"/>
      <c r="B305" s="245" t="n"/>
      <c r="C305" s="245" t="n"/>
      <c r="D305" s="245" t="n"/>
      <c r="E305" s="245" t="n"/>
      <c r="F305" s="245" t="n"/>
      <c r="G305" s="245" t="n"/>
      <c r="H305" s="247" t="n">
        <v>54</v>
      </c>
      <c r="I305" s="245" t="inlineStr">
        <is>
          <t>HMMU6453998</t>
        </is>
      </c>
      <c r="J305" s="245" t="inlineStr">
        <is>
          <t>40FT</t>
        </is>
      </c>
      <c r="K305" s="245" t="inlineStr">
        <is>
          <t>6IN GREEN TEA MF MATTRESS FL</t>
        </is>
      </c>
      <c r="L305" s="245" t="inlineStr">
        <is>
          <t>EB-FMS-0600F-IN</t>
        </is>
      </c>
      <c r="M305" s="248" t="inlineStr">
        <is>
          <t>2C1W1KFC</t>
        </is>
      </c>
      <c r="N305" s="245" t="inlineStr">
        <is>
          <t>F.MFM.06F.002.BD</t>
        </is>
      </c>
      <c r="O305" s="245" t="n"/>
      <c r="P305" s="245" t="n"/>
      <c r="Q305" s="250">
        <f>R305/H305</f>
        <v/>
      </c>
      <c r="R305" s="251" t="n">
        <v>2542.32</v>
      </c>
      <c r="S305" s="249" t="n">
        <v>17960</v>
      </c>
      <c r="T305" s="252">
        <f>S305*R305</f>
        <v/>
      </c>
      <c r="U305" s="245" t="n"/>
      <c r="V305" s="245" t="n"/>
      <c r="W305" s="245" t="n"/>
      <c r="X305" s="245" t="n"/>
      <c r="Y305" s="245" t="n"/>
      <c r="Z305" s="245" t="n"/>
    </row>
    <row r="306" ht="16.5" customHeight="1" s="202">
      <c r="A306" s="245" t="n"/>
      <c r="B306" s="245" t="n"/>
      <c r="C306" s="245" t="n"/>
      <c r="D306" s="245" t="n"/>
      <c r="E306" s="245" t="n"/>
      <c r="F306" s="245" t="n"/>
      <c r="G306" s="245" t="n"/>
      <c r="H306" s="247" t="n">
        <v>10</v>
      </c>
      <c r="I306" s="245" t="inlineStr">
        <is>
          <t>KOCU4401203</t>
        </is>
      </c>
      <c r="J306" s="245" t="inlineStr">
        <is>
          <t>40FT</t>
        </is>
      </c>
      <c r="K306" s="245" t="inlineStr">
        <is>
          <t>6IN GREEN TEA MF MATTRESS QN</t>
        </is>
      </c>
      <c r="L306" s="245" t="inlineStr">
        <is>
          <t>EB-FMS-0600Q-IN</t>
        </is>
      </c>
      <c r="M306" s="248" t="inlineStr">
        <is>
          <t>2C1W1KFC</t>
        </is>
      </c>
      <c r="N306" s="245" t="inlineStr">
        <is>
          <t>F.MFM.06Q.002.BD</t>
        </is>
      </c>
      <c r="O306" s="245" t="n"/>
      <c r="P306" s="245" t="n"/>
      <c r="Q306" s="250">
        <f>R306/H306</f>
        <v/>
      </c>
      <c r="R306" s="251" t="n">
        <v>573.2</v>
      </c>
      <c r="S306" s="249" t="n">
        <v>17960</v>
      </c>
      <c r="T306" s="252">
        <f>S306*R306</f>
        <v/>
      </c>
      <c r="U306" s="245" t="n"/>
      <c r="V306" s="245" t="n"/>
      <c r="W306" s="245" t="n"/>
      <c r="X306" s="245" t="n"/>
      <c r="Y306" s="245" t="n"/>
      <c r="Z306" s="245" t="n"/>
    </row>
    <row r="307" ht="16.5" customHeight="1" s="202">
      <c r="A307" s="245" t="n"/>
      <c r="B307" s="245" t="n"/>
      <c r="C307" s="245" t="n"/>
      <c r="D307" s="245" t="n"/>
      <c r="E307" s="245" t="n"/>
      <c r="F307" s="245" t="n"/>
      <c r="G307" s="245" t="n"/>
      <c r="H307" s="247" t="n">
        <v>4</v>
      </c>
      <c r="I307" s="245" t="inlineStr">
        <is>
          <t>KOCU4594669</t>
        </is>
      </c>
      <c r="J307" s="245" t="inlineStr">
        <is>
          <t>40FT</t>
        </is>
      </c>
      <c r="K307" s="245" t="inlineStr">
        <is>
          <t>12IN GEL FOAM MATTRESS TW</t>
        </is>
      </c>
      <c r="L307" s="245" t="inlineStr">
        <is>
          <t>GFM-12T</t>
        </is>
      </c>
      <c r="M307" s="248" t="inlineStr">
        <is>
          <t>2C1W1KFC</t>
        </is>
      </c>
      <c r="N307" s="245" t="inlineStr">
        <is>
          <t>F.MFG.12T.000.BD</t>
        </is>
      </c>
      <c r="O307" s="245" t="n"/>
      <c r="P307" s="245" t="n"/>
      <c r="Q307" s="250">
        <f>R307/H307</f>
        <v/>
      </c>
      <c r="R307" s="251" t="n">
        <v>206.96</v>
      </c>
      <c r="S307" s="249" t="n">
        <v>17960</v>
      </c>
      <c r="T307" s="252">
        <f>S307*R307</f>
        <v/>
      </c>
      <c r="U307" s="245" t="n"/>
      <c r="V307" s="245" t="n"/>
      <c r="W307" s="245" t="n"/>
      <c r="X307" s="245" t="n"/>
      <c r="Y307" s="245" t="n"/>
      <c r="Z307" s="245" t="n"/>
    </row>
    <row r="308" ht="16.5" customHeight="1" s="202">
      <c r="A308" s="245" t="n"/>
      <c r="B308" s="245" t="n"/>
      <c r="C308" s="245" t="n"/>
      <c r="D308" s="245" t="n"/>
      <c r="E308" s="245" t="n"/>
      <c r="F308" s="245" t="n"/>
      <c r="G308" s="245" t="n"/>
      <c r="H308" s="247" t="n">
        <v>183</v>
      </c>
      <c r="I308" s="245" t="inlineStr">
        <is>
          <t>HMMU6502794</t>
        </is>
      </c>
      <c r="J308" s="245" t="inlineStr">
        <is>
          <t>40FT</t>
        </is>
      </c>
      <c r="K308" s="245" t="inlineStr">
        <is>
          <t>6IN GEL FOAM MATTRESS TW</t>
        </is>
      </c>
      <c r="L308" s="245" t="inlineStr">
        <is>
          <t>GFM-6T</t>
        </is>
      </c>
      <c r="M308" s="248" t="inlineStr">
        <is>
          <t>2C1W1KFC</t>
        </is>
      </c>
      <c r="N308" s="245" t="inlineStr">
        <is>
          <t>F.MFG.06T.000.BD</t>
        </is>
      </c>
      <c r="O308" s="245" t="n"/>
      <c r="P308" s="245" t="n"/>
      <c r="Q308" s="250">
        <f>R308/H308</f>
        <v/>
      </c>
      <c r="R308" s="251" t="n">
        <v>5963.97</v>
      </c>
      <c r="S308" s="249" t="n">
        <v>17960</v>
      </c>
      <c r="T308" s="252">
        <f>S308*R308</f>
        <v/>
      </c>
      <c r="U308" s="245" t="n"/>
      <c r="V308" s="245" t="n"/>
      <c r="W308" s="245" t="n"/>
      <c r="X308" s="245" t="n"/>
      <c r="Y308" s="245" t="n"/>
      <c r="Z308" s="245" t="n"/>
    </row>
    <row r="309" ht="16.5" customHeight="1" s="202">
      <c r="A309" s="245" t="n"/>
      <c r="B309" s="245" t="n"/>
      <c r="C309" s="245" t="n"/>
      <c r="D309" s="245" t="n"/>
      <c r="E309" s="245" t="n"/>
      <c r="F309" s="245" t="n"/>
      <c r="G309" s="245" t="n"/>
      <c r="H309" s="247" t="n">
        <v>5</v>
      </c>
      <c r="I309" s="245" t="inlineStr">
        <is>
          <t>KOCU4796377</t>
        </is>
      </c>
      <c r="J309" s="245" t="inlineStr">
        <is>
          <t>40FT</t>
        </is>
      </c>
      <c r="K309" s="245" t="inlineStr">
        <is>
          <t>8IN GEL FOAM MATTRESS TW</t>
        </is>
      </c>
      <c r="L309" s="245" t="inlineStr">
        <is>
          <t>GFM-8T</t>
        </is>
      </c>
      <c r="M309" s="248" t="inlineStr">
        <is>
          <t>2C1W1KFC</t>
        </is>
      </c>
      <c r="N309" s="245" t="inlineStr">
        <is>
          <t>F.MFG.08T.000.BD</t>
        </is>
      </c>
      <c r="O309" s="245" t="n"/>
      <c r="P309" s="245" t="n"/>
      <c r="Q309" s="250">
        <f>R309/H309</f>
        <v/>
      </c>
      <c r="R309" s="251" t="n">
        <v>194.4</v>
      </c>
      <c r="S309" s="249" t="n">
        <v>17960</v>
      </c>
      <c r="T309" s="252">
        <f>S309*R309</f>
        <v/>
      </c>
      <c r="U309" s="245" t="n"/>
      <c r="V309" s="245" t="n"/>
      <c r="W309" s="245" t="n"/>
      <c r="X309" s="245" t="n"/>
      <c r="Y309" s="245" t="n"/>
      <c r="Z309" s="245" t="n"/>
    </row>
    <row r="310" ht="16.5" customHeight="1" s="202">
      <c r="A310" s="245" t="n"/>
      <c r="B310" s="245" t="n"/>
      <c r="C310" s="245" t="n"/>
      <c r="D310" s="245" t="n"/>
      <c r="E310" s="245" t="n"/>
      <c r="F310" s="245" t="n"/>
      <c r="G310" s="245" t="n"/>
      <c r="H310" s="247" t="n">
        <v>44</v>
      </c>
      <c r="I310" s="245" t="inlineStr"/>
      <c r="J310" s="245" t="inlineStr"/>
      <c r="K310" s="245" t="inlineStr">
        <is>
          <t>10IN GREEN TEA MF MATTRESS TX</t>
        </is>
      </c>
      <c r="L310" s="245" t="inlineStr">
        <is>
          <t>OLC-FMS-1000TXL-IN</t>
        </is>
      </c>
      <c r="M310" s="248" t="inlineStr">
        <is>
          <t>2C1W1KFC</t>
        </is>
      </c>
      <c r="N310" s="245" t="inlineStr">
        <is>
          <t>F.MFM.10X.003.BD</t>
        </is>
      </c>
      <c r="O310" s="245" t="n"/>
      <c r="P310" s="245" t="n"/>
      <c r="Q310" s="250">
        <f>R310/H310</f>
        <v/>
      </c>
      <c r="R310" s="251" t="n">
        <v>2523.4</v>
      </c>
      <c r="S310" s="249" t="n">
        <v>17960</v>
      </c>
      <c r="T310" s="252">
        <f>S310*R310</f>
        <v/>
      </c>
      <c r="U310" s="245" t="n"/>
      <c r="V310" s="245" t="n"/>
      <c r="W310" s="245" t="n"/>
      <c r="X310" s="245" t="n"/>
      <c r="Y310" s="245" t="n"/>
      <c r="Z310" s="245" t="n"/>
    </row>
    <row r="311" ht="16.5" customHeight="1" s="202">
      <c r="A311" s="245" t="n"/>
      <c r="B311" s="245" t="n"/>
      <c r="C311" s="245" t="n"/>
      <c r="D311" s="245" t="n"/>
      <c r="E311" s="245" t="n"/>
      <c r="F311" s="245" t="n"/>
      <c r="G311" s="245" t="n"/>
      <c r="H311" s="247" t="n">
        <v>5</v>
      </c>
      <c r="I311" s="245" t="inlineStr"/>
      <c r="J311" s="245" t="inlineStr"/>
      <c r="K311" s="245" t="inlineStr">
        <is>
          <t>12IN GREEN TEA MF MATTRESS FL</t>
        </is>
      </c>
      <c r="L311" s="245" t="inlineStr">
        <is>
          <t>OLC-FMS-1200F-IN</t>
        </is>
      </c>
      <c r="M311" s="248" t="inlineStr">
        <is>
          <t>2C1W1KFC</t>
        </is>
      </c>
      <c r="N311" s="245" t="inlineStr">
        <is>
          <t>F.MFM.12F.002.BD</t>
        </is>
      </c>
      <c r="O311" s="245" t="n"/>
      <c r="P311" s="245" t="n"/>
      <c r="Q311" s="250">
        <f>R311/H311</f>
        <v/>
      </c>
      <c r="R311" s="251" t="n">
        <v>400.9</v>
      </c>
      <c r="S311" s="249" t="n">
        <v>17960</v>
      </c>
      <c r="T311" s="252">
        <f>S311*R311</f>
        <v/>
      </c>
      <c r="U311" s="245" t="n"/>
      <c r="V311" s="245" t="n"/>
      <c r="W311" s="245" t="n"/>
      <c r="X311" s="245" t="n"/>
      <c r="Y311" s="245" t="n"/>
      <c r="Z311" s="245" t="n"/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14</v>
      </c>
      <c r="I312" s="245" t="inlineStr"/>
      <c r="J312" s="245" t="inlineStr"/>
      <c r="K312" s="245" t="inlineStr">
        <is>
          <t>8IN GREEN TEA MF MATTRESS QN</t>
        </is>
      </c>
      <c r="L312" s="245" t="inlineStr">
        <is>
          <t>BPM-FMS-8Q-IN</t>
        </is>
      </c>
      <c r="M312" s="248" t="inlineStr">
        <is>
          <t>2NG8S11R</t>
        </is>
      </c>
      <c r="N312" s="245" t="inlineStr">
        <is>
          <t>F.MFM.08Q.002.BD</t>
        </is>
      </c>
      <c r="O312" s="245" t="n"/>
      <c r="P312" s="245" t="n"/>
      <c r="Q312" s="250">
        <f>R312/H312</f>
        <v/>
      </c>
      <c r="R312" s="251" t="n">
        <v>994.28</v>
      </c>
      <c r="S312" s="249" t="n">
        <v>17960</v>
      </c>
      <c r="T312" s="252">
        <f>S312*R312</f>
        <v/>
      </c>
      <c r="U312" s="245" t="n"/>
      <c r="V312" s="245" t="n"/>
      <c r="W312" s="245" t="n"/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182</v>
      </c>
      <c r="I313" s="245" t="inlineStr"/>
      <c r="J313" s="245" t="inlineStr"/>
      <c r="K313" s="245" t="inlineStr">
        <is>
          <t>8IN GREEN TEA MF MATTRESS TX</t>
        </is>
      </c>
      <c r="L313" s="245" t="inlineStr">
        <is>
          <t>BPM-FMS-8TXL-IN</t>
        </is>
      </c>
      <c r="M313" s="248" t="inlineStr">
        <is>
          <t>2NG8S11R</t>
        </is>
      </c>
      <c r="N313" s="245" t="inlineStr">
        <is>
          <t>F.MFM.08X.002.BD</t>
        </is>
      </c>
      <c r="O313" s="245" t="n"/>
      <c r="P313" s="245" t="n"/>
      <c r="Q313" s="250">
        <f>R313/H313</f>
        <v/>
      </c>
      <c r="R313" s="251" t="n">
        <v>8242.780000000001</v>
      </c>
      <c r="S313" s="249" t="n">
        <v>17960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88</v>
      </c>
      <c r="I314" s="245" t="inlineStr"/>
      <c r="J314" s="245" t="inlineStr"/>
      <c r="K314" s="245" t="inlineStr">
        <is>
          <t>12IN GEL FOAM MATTRESS TW</t>
        </is>
      </c>
      <c r="L314" s="245" t="inlineStr">
        <is>
          <t>GFM-12T</t>
        </is>
      </c>
      <c r="M314" s="248" t="inlineStr">
        <is>
          <t>2NG8S11R</t>
        </is>
      </c>
      <c r="N314" s="245" t="inlineStr">
        <is>
          <t>F.MFG.12T.000.BD</t>
        </is>
      </c>
      <c r="O314" s="245" t="n"/>
      <c r="P314" s="245" t="n"/>
      <c r="Q314" s="250">
        <f>R314/H314</f>
        <v/>
      </c>
      <c r="R314" s="251" t="n">
        <v>4553.12</v>
      </c>
      <c r="S314" s="249" t="n">
        <v>17960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55</v>
      </c>
      <c r="I315" s="245" t="inlineStr"/>
      <c r="J315" s="245" t="inlineStr"/>
      <c r="K315" s="245" t="inlineStr">
        <is>
          <t>8IN GREEN TEA MF MATTRESS QN</t>
        </is>
      </c>
      <c r="L315" s="245" t="inlineStr">
        <is>
          <t>BPM-FMS-8Q-IN</t>
        </is>
      </c>
      <c r="M315" s="248" t="inlineStr">
        <is>
          <t>3CDBPDYC</t>
        </is>
      </c>
      <c r="N315" s="245" t="inlineStr">
        <is>
          <t>F.MFM.08Q.002.BD</t>
        </is>
      </c>
      <c r="O315" s="245" t="n"/>
      <c r="P315" s="245" t="n"/>
      <c r="Q315" s="250">
        <f>R315/H315</f>
        <v/>
      </c>
      <c r="R315" s="251" t="n">
        <v>3906.1</v>
      </c>
      <c r="S315" s="249" t="n">
        <v>17960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244</v>
      </c>
      <c r="I316" s="245" t="inlineStr"/>
      <c r="J316" s="245" t="inlineStr"/>
      <c r="K316" s="245" t="inlineStr">
        <is>
          <t>8IN GREEN TEA MF MATTRESS TX</t>
        </is>
      </c>
      <c r="L316" s="245" t="inlineStr">
        <is>
          <t>BPM-FMS-8TXL-IN</t>
        </is>
      </c>
      <c r="M316" s="248" t="inlineStr">
        <is>
          <t>3GJ2IHFJ</t>
        </is>
      </c>
      <c r="N316" s="245" t="inlineStr">
        <is>
          <t>F.MFM.08X.002.BD</t>
        </is>
      </c>
      <c r="O316" s="245" t="n"/>
      <c r="P316" s="245" t="n"/>
      <c r="Q316" s="250">
        <f>R316/H316</f>
        <v/>
      </c>
      <c r="R316" s="251" t="n">
        <v>11050.76</v>
      </c>
      <c r="S316" s="249" t="n">
        <v>17960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32</v>
      </c>
      <c r="I317" s="245" t="inlineStr"/>
      <c r="J317" s="245" t="inlineStr"/>
      <c r="K317" s="245" t="inlineStr">
        <is>
          <t>6IN GREEN TEA MF MATTRESS QN</t>
        </is>
      </c>
      <c r="L317" s="245" t="inlineStr">
        <is>
          <t>EB-FMS-0600Q-IN</t>
        </is>
      </c>
      <c r="M317" s="248" t="inlineStr">
        <is>
          <t>3GJ2IHFJ</t>
        </is>
      </c>
      <c r="N317" s="245" t="inlineStr">
        <is>
          <t>F.MFM.06Q.002.BD</t>
        </is>
      </c>
      <c r="O317" s="245" t="n"/>
      <c r="P317" s="245" t="n"/>
      <c r="Q317" s="250">
        <f>R317/H317</f>
        <v/>
      </c>
      <c r="R317" s="251" t="n">
        <v>1834.24</v>
      </c>
      <c r="S317" s="249" t="n">
        <v>17960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6.5" customHeight="1" s="202">
      <c r="A318" s="245" t="n"/>
      <c r="B318" s="245" t="n"/>
      <c r="C318" s="245" t="n"/>
      <c r="D318" s="245" t="n"/>
      <c r="E318" s="245" t="n"/>
      <c r="F318" s="245" t="n"/>
      <c r="G318" s="245" t="n"/>
      <c r="H318" s="247" t="n">
        <v>6</v>
      </c>
      <c r="I318" s="245" t="inlineStr"/>
      <c r="J318" s="245" t="inlineStr"/>
      <c r="K318" s="245" t="inlineStr">
        <is>
          <t>6IN GREEN TEA MF MATTRESS FL</t>
        </is>
      </c>
      <c r="L318" s="245" t="inlineStr">
        <is>
          <t>EB-FMS-0600F-IN</t>
        </is>
      </c>
      <c r="M318" s="248" t="inlineStr">
        <is>
          <t>3RH6O2AV</t>
        </is>
      </c>
      <c r="N318" s="245" t="inlineStr">
        <is>
          <t>F.MFM.06F.002.BD</t>
        </is>
      </c>
      <c r="O318" s="245" t="n"/>
      <c r="P318" s="245" t="n"/>
      <c r="Q318" s="250">
        <f>R318/H318</f>
        <v/>
      </c>
      <c r="R318" s="251" t="n">
        <v>282.48</v>
      </c>
      <c r="S318" s="249" t="n">
        <v>17960</v>
      </c>
      <c r="T318" s="252">
        <f>S318*R318</f>
        <v/>
      </c>
      <c r="U318" s="245" t="n"/>
      <c r="V318" s="245" t="n"/>
      <c r="W318" s="245" t="n"/>
      <c r="X318" s="245" t="n"/>
      <c r="Y318" s="245" t="n"/>
      <c r="Z318" s="245" t="n"/>
    </row>
    <row r="319" ht="16.5" customHeight="1" s="202">
      <c r="A319" s="245" t="n"/>
      <c r="B319" s="245" t="n"/>
      <c r="C319" s="245" t="n"/>
      <c r="D319" s="245" t="n"/>
      <c r="E319" s="245" t="n"/>
      <c r="F319" s="245" t="n"/>
      <c r="G319" s="245" t="n"/>
      <c r="H319" s="247" t="n">
        <v>349</v>
      </c>
      <c r="I319" s="245" t="inlineStr"/>
      <c r="J319" s="245" t="inlineStr"/>
      <c r="K319" s="245" t="inlineStr">
        <is>
          <t>6IN GEL FOAM MATTRESS TW</t>
        </is>
      </c>
      <c r="L319" s="245" t="inlineStr">
        <is>
          <t>GFM-6T</t>
        </is>
      </c>
      <c r="M319" s="248" t="inlineStr">
        <is>
          <t>3RH6O2AV</t>
        </is>
      </c>
      <c r="N319" s="245" t="inlineStr">
        <is>
          <t>F.MFG.06T.000.BD</t>
        </is>
      </c>
      <c r="O319" s="245" t="n"/>
      <c r="P319" s="245" t="n"/>
      <c r="Q319" s="250">
        <f>R319/H319</f>
        <v/>
      </c>
      <c r="R319" s="251" t="n">
        <v>11373.91</v>
      </c>
      <c r="S319" s="249" t="n">
        <v>17960</v>
      </c>
      <c r="T319" s="252">
        <f>S319*R319</f>
        <v/>
      </c>
      <c r="U319" s="245" t="n"/>
      <c r="V319" s="245" t="n"/>
      <c r="W319" s="245" t="n"/>
      <c r="X319" s="245" t="n"/>
      <c r="Y319" s="245" t="n"/>
      <c r="Z319" s="245" t="n"/>
    </row>
    <row r="320" ht="16.5" customHeight="1" s="202">
      <c r="A320" s="245" t="n"/>
      <c r="B320" s="245" t="n"/>
      <c r="C320" s="245" t="n"/>
      <c r="D320" s="245" t="n"/>
      <c r="E320" s="245" t="n"/>
      <c r="F320" s="245" t="n"/>
      <c r="G320" s="245" t="n"/>
      <c r="H320" s="247" t="n">
        <v>174</v>
      </c>
      <c r="I320" s="245" t="inlineStr"/>
      <c r="J320" s="245" t="inlineStr"/>
      <c r="K320" s="245" t="inlineStr">
        <is>
          <t>8IN GREEN TEA MF MATTRESS TX</t>
        </is>
      </c>
      <c r="L320" s="245" t="inlineStr">
        <is>
          <t>BPM-FMS-8TXL-IN</t>
        </is>
      </c>
      <c r="M320" s="248" t="inlineStr">
        <is>
          <t>64LGW2BO</t>
        </is>
      </c>
      <c r="N320" s="245" t="inlineStr">
        <is>
          <t>F.MFM.08X.002.BD</t>
        </is>
      </c>
      <c r="O320" s="245" t="n"/>
      <c r="P320" s="245" t="n"/>
      <c r="Q320" s="250">
        <f>R320/H320</f>
        <v/>
      </c>
      <c r="R320" s="251" t="n">
        <v>7880.46</v>
      </c>
      <c r="S320" s="249" t="n">
        <v>17960</v>
      </c>
      <c r="T320" s="252">
        <f>S320*R320</f>
        <v/>
      </c>
      <c r="U320" s="245" t="n"/>
      <c r="V320" s="245" t="n"/>
      <c r="W320" s="245" t="n"/>
      <c r="X320" s="245" t="n"/>
      <c r="Y320" s="245" t="n"/>
      <c r="Z320" s="245" t="n"/>
    </row>
    <row r="321" ht="16.5" customHeight="1" s="202">
      <c r="A321" s="245" t="n"/>
      <c r="B321" s="245" t="n"/>
      <c r="C321" s="245" t="n"/>
      <c r="D321" s="245" t="n"/>
      <c r="E321" s="245" t="n"/>
      <c r="F321" s="245" t="n"/>
      <c r="G321" s="245" t="n"/>
      <c r="H321" s="247" t="n">
        <v>540</v>
      </c>
      <c r="I321" s="245" t="inlineStr"/>
      <c r="J321" s="245" t="inlineStr"/>
      <c r="K321" s="245" t="inlineStr">
        <is>
          <t>6IN GREEN TEA MF MATTRESS FL</t>
        </is>
      </c>
      <c r="L321" s="245" t="inlineStr">
        <is>
          <t>EB-FMS-0600F-IN</t>
        </is>
      </c>
      <c r="M321" s="248" t="inlineStr">
        <is>
          <t>64LGW2BO</t>
        </is>
      </c>
      <c r="N321" s="245" t="inlineStr">
        <is>
          <t>F.MFM.06F.002.BD</t>
        </is>
      </c>
      <c r="O321" s="245" t="n"/>
      <c r="P321" s="245" t="n"/>
      <c r="Q321" s="250">
        <f>R321/H321</f>
        <v/>
      </c>
      <c r="R321" s="251" t="n">
        <v>25423.2</v>
      </c>
      <c r="S321" s="249" t="n">
        <v>17960</v>
      </c>
      <c r="T321" s="252">
        <f>S321*R321</f>
        <v/>
      </c>
      <c r="U321" s="245" t="n"/>
      <c r="V321" s="245" t="n"/>
      <c r="W321" s="245" t="n"/>
      <c r="X321" s="245" t="n"/>
      <c r="Y321" s="245" t="n"/>
      <c r="Z321" s="245" t="n"/>
    </row>
    <row r="322" ht="16.5" customHeight="1" s="202">
      <c r="A322" s="245" t="n"/>
      <c r="B322" s="245" t="n"/>
      <c r="C322" s="245" t="n"/>
      <c r="D322" s="245" t="n"/>
      <c r="E322" s="245" t="n"/>
      <c r="F322" s="245" t="n"/>
      <c r="G322" s="245" t="n"/>
      <c r="H322" s="247" t="n">
        <v>80</v>
      </c>
      <c r="I322" s="245" t="inlineStr"/>
      <c r="J322" s="245" t="inlineStr"/>
      <c r="K322" s="245" t="inlineStr">
        <is>
          <t>12IN GEL FOAM MATTRESS TW</t>
        </is>
      </c>
      <c r="L322" s="245" t="inlineStr">
        <is>
          <t>GFM-12T</t>
        </is>
      </c>
      <c r="M322" s="248" t="inlineStr">
        <is>
          <t>64LGW2BO</t>
        </is>
      </c>
      <c r="N322" s="245" t="inlineStr">
        <is>
          <t>F.MFG.12T.000.BD</t>
        </is>
      </c>
      <c r="O322" s="245" t="n"/>
      <c r="P322" s="245" t="n"/>
      <c r="Q322" s="250">
        <f>R322/H322</f>
        <v/>
      </c>
      <c r="R322" s="251" t="n">
        <v>4139.2</v>
      </c>
      <c r="S322" s="249" t="n">
        <v>17960</v>
      </c>
      <c r="T322" s="252">
        <f>S322*R322</f>
        <v/>
      </c>
      <c r="U322" s="245" t="n"/>
      <c r="V322" s="245" t="n"/>
      <c r="W322" s="245" t="n"/>
      <c r="X322" s="245" t="n"/>
      <c r="Y322" s="245" t="n"/>
      <c r="Z322" s="245" t="n"/>
    </row>
    <row r="323" ht="16.5" customHeight="1" s="202">
      <c r="A323" s="245" t="n"/>
      <c r="B323" s="245" t="n"/>
      <c r="C323" s="245" t="n"/>
      <c r="D323" s="245" t="n"/>
      <c r="E323" s="245" t="n"/>
      <c r="F323" s="245" t="n"/>
      <c r="G323" s="245" t="n"/>
      <c r="H323" s="247" t="n">
        <v>595</v>
      </c>
      <c r="I323" s="245" t="inlineStr"/>
      <c r="J323" s="245" t="inlineStr"/>
      <c r="K323" s="245" t="inlineStr">
        <is>
          <t>6IN GREEN TEA MF MATTRESS FL</t>
        </is>
      </c>
      <c r="L323" s="245" t="inlineStr">
        <is>
          <t>EB-FMS-0600F-IN</t>
        </is>
      </c>
      <c r="M323" s="248" t="inlineStr">
        <is>
          <t>6JPBUPMH</t>
        </is>
      </c>
      <c r="N323" s="245" t="inlineStr">
        <is>
          <t>F.MFM.06F.002.BD</t>
        </is>
      </c>
      <c r="O323" s="245" t="n"/>
      <c r="P323" s="245" t="n"/>
      <c r="Q323" s="250">
        <f>R323/H323</f>
        <v/>
      </c>
      <c r="R323" s="251" t="n">
        <v>28012.6</v>
      </c>
      <c r="S323" s="249" t="n">
        <v>17960</v>
      </c>
      <c r="T323" s="252">
        <f>S323*R323</f>
        <v/>
      </c>
      <c r="U323" s="245" t="n"/>
      <c r="V323" s="245" t="n"/>
      <c r="W323" s="245" t="n"/>
      <c r="X323" s="245" t="n"/>
      <c r="Y323" s="245" t="n"/>
      <c r="Z323" s="245" t="n"/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7" t="n">
        <v>83</v>
      </c>
      <c r="I324" s="245" t="inlineStr"/>
      <c r="J324" s="245" t="inlineStr"/>
      <c r="K324" s="245" t="inlineStr">
        <is>
          <t>12IN GEL FOAM MATTRESS TW</t>
        </is>
      </c>
      <c r="L324" s="245" t="inlineStr">
        <is>
          <t>GFM-12T</t>
        </is>
      </c>
      <c r="M324" s="248" t="inlineStr">
        <is>
          <t>6JPBUPMH</t>
        </is>
      </c>
      <c r="N324" s="245" t="inlineStr">
        <is>
          <t>F.MFG.12T.000.BD</t>
        </is>
      </c>
      <c r="O324" s="245" t="n"/>
      <c r="P324" s="245" t="n"/>
      <c r="Q324" s="250">
        <f>R324/H324</f>
        <v/>
      </c>
      <c r="R324" s="251" t="n">
        <v>4294.42</v>
      </c>
      <c r="S324" s="249" t="n">
        <v>17960</v>
      </c>
      <c r="T324" s="252">
        <f>S324*R324</f>
        <v/>
      </c>
      <c r="U324" s="245" t="n"/>
      <c r="V324" s="245" t="n"/>
      <c r="W324" s="245" t="n"/>
      <c r="X324" s="245" t="n"/>
      <c r="Y324" s="245" t="n"/>
      <c r="Z324" s="245" t="n"/>
    </row>
    <row r="325" ht="16.5" customHeight="1" s="202">
      <c r="A325" s="245" t="n"/>
      <c r="B325" s="245" t="n"/>
      <c r="C325" s="245" t="n"/>
      <c r="D325" s="245" t="n"/>
      <c r="E325" s="245" t="n"/>
      <c r="F325" s="245" t="n"/>
      <c r="G325" s="245" t="n"/>
      <c r="H325" s="247" t="n">
        <v>148</v>
      </c>
      <c r="I325" s="245" t="inlineStr"/>
      <c r="J325" s="245" t="inlineStr"/>
      <c r="K325" s="245" t="inlineStr">
        <is>
          <t>10IN GREEN TEA MF MATTRESS TX</t>
        </is>
      </c>
      <c r="L325" s="245" t="inlineStr">
        <is>
          <t>OLC-FMS-1000TXL-IN</t>
        </is>
      </c>
      <c r="M325" s="248" t="inlineStr">
        <is>
          <t>6JPBUPMH</t>
        </is>
      </c>
      <c r="N325" s="245" t="inlineStr">
        <is>
          <t>F.MFM.10X.003.BD</t>
        </is>
      </c>
      <c r="O325" s="245" t="n"/>
      <c r="P325" s="245" t="n"/>
      <c r="Q325" s="250">
        <f>R325/H325</f>
        <v/>
      </c>
      <c r="R325" s="251" t="n">
        <v>8487.799999999999</v>
      </c>
      <c r="S325" s="249" t="n">
        <v>17960</v>
      </c>
      <c r="T325" s="252">
        <f>S325*R325</f>
        <v/>
      </c>
      <c r="U325" s="245" t="n"/>
      <c r="V325" s="245" t="n"/>
      <c r="W325" s="245" t="n"/>
      <c r="X325" s="245" t="n"/>
      <c r="Y325" s="245" t="n"/>
      <c r="Z325" s="245" t="n"/>
    </row>
    <row r="326" ht="16.5" customHeight="1" s="202">
      <c r="A326" s="245" t="n"/>
      <c r="B326" s="245" t="n"/>
      <c r="C326" s="245" t="n"/>
      <c r="D326" s="245" t="n"/>
      <c r="E326" s="245" t="n"/>
      <c r="F326" s="245" t="n"/>
      <c r="G326" s="245" t="n"/>
      <c r="H326" s="247" t="n">
        <v>2</v>
      </c>
      <c r="I326" s="245" t="inlineStr"/>
      <c r="J326" s="245" t="inlineStr"/>
      <c r="K326" s="245" t="inlineStr">
        <is>
          <t>12IN GREEN TEA MF MATTRESS FL</t>
        </is>
      </c>
      <c r="L326" s="245" t="inlineStr">
        <is>
          <t>OLC-FMS-1200F-IN</t>
        </is>
      </c>
      <c r="M326" s="248" t="inlineStr">
        <is>
          <t>6JPBUPMH</t>
        </is>
      </c>
      <c r="N326" s="245" t="inlineStr">
        <is>
          <t>F.MFM.12F.002.BD</t>
        </is>
      </c>
      <c r="O326" s="245" t="n"/>
      <c r="P326" s="245" t="n"/>
      <c r="Q326" s="250">
        <f>R326/H326</f>
        <v/>
      </c>
      <c r="R326" s="251" t="n">
        <v>160.36</v>
      </c>
      <c r="S326" s="249" t="n">
        <v>17960</v>
      </c>
      <c r="T326" s="252">
        <f>S326*R326</f>
        <v/>
      </c>
      <c r="U326" s="245" t="n"/>
      <c r="V326" s="245" t="n"/>
      <c r="W326" s="245" t="n"/>
      <c r="X326" s="245" t="n"/>
      <c r="Y326" s="245" t="n"/>
      <c r="Z326" s="245" t="n"/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7" t="n">
        <v>855</v>
      </c>
      <c r="I327" s="245" t="inlineStr"/>
      <c r="J327" s="245" t="inlineStr"/>
      <c r="K327" s="245" t="inlineStr">
        <is>
          <t>6IN GREEN TEA MF MATTRESS FL</t>
        </is>
      </c>
      <c r="L327" s="245" t="inlineStr">
        <is>
          <t>EB-FMS-0600F-IN</t>
        </is>
      </c>
      <c r="M327" s="248" t="inlineStr">
        <is>
          <t>7AFRWC4W</t>
        </is>
      </c>
      <c r="N327" s="245" t="inlineStr">
        <is>
          <t>F.MFM.06F.002.BD</t>
        </is>
      </c>
      <c r="O327" s="245" t="n"/>
      <c r="P327" s="245" t="n"/>
      <c r="Q327" s="250">
        <f>R327/H327</f>
        <v/>
      </c>
      <c r="R327" s="251" t="n">
        <v>40253.4</v>
      </c>
      <c r="S327" s="249" t="n">
        <v>17960</v>
      </c>
      <c r="T327" s="252">
        <f>S327*R327</f>
        <v/>
      </c>
      <c r="U327" s="245" t="n"/>
      <c r="V327" s="245" t="n"/>
      <c r="W327" s="245" t="n"/>
      <c r="X327" s="245" t="n"/>
      <c r="Y327" s="245" t="n"/>
      <c r="Z327" s="245" t="n"/>
    </row>
    <row r="328" ht="16.5" customHeight="1" s="202">
      <c r="A328" s="245" t="n"/>
      <c r="B328" s="245" t="n"/>
      <c r="C328" s="245" t="n"/>
      <c r="D328" s="245" t="n"/>
      <c r="E328" s="245" t="n"/>
      <c r="F328" s="245" t="n"/>
      <c r="G328" s="245" t="n"/>
      <c r="H328" s="247" t="n">
        <v>138</v>
      </c>
      <c r="I328" s="245" t="inlineStr"/>
      <c r="J328" s="245" t="inlineStr"/>
      <c r="K328" s="245" t="inlineStr">
        <is>
          <t>8IN GEL FOAM MATTRESS TW</t>
        </is>
      </c>
      <c r="L328" s="245" t="inlineStr">
        <is>
          <t>GFM-8T</t>
        </is>
      </c>
      <c r="M328" s="248" t="inlineStr">
        <is>
          <t>7AFRWC4W</t>
        </is>
      </c>
      <c r="N328" s="245" t="inlineStr">
        <is>
          <t>F.MFG.08T.000.BD</t>
        </is>
      </c>
      <c r="O328" s="245" t="n"/>
      <c r="P328" s="245" t="n"/>
      <c r="Q328" s="250">
        <f>R328/H328</f>
        <v/>
      </c>
      <c r="R328" s="251" t="n">
        <v>5365.44</v>
      </c>
      <c r="S328" s="249" t="n">
        <v>17960</v>
      </c>
      <c r="T328" s="252">
        <f>S328*R328</f>
        <v/>
      </c>
      <c r="U328" s="245" t="n"/>
      <c r="V328" s="245" t="n"/>
      <c r="W328" s="245" t="n"/>
      <c r="X328" s="245" t="n"/>
      <c r="Y328" s="245" t="n"/>
      <c r="Z328" s="245" t="n"/>
    </row>
    <row r="329" ht="16.5" customHeight="1" s="202">
      <c r="A329" s="245" t="n"/>
      <c r="B329" s="245" t="n"/>
      <c r="C329" s="245" t="n"/>
      <c r="D329" s="245" t="n"/>
      <c r="E329" s="245" t="n"/>
      <c r="F329" s="245" t="n"/>
      <c r="G329" s="245" t="n"/>
      <c r="H329" s="247" t="n">
        <v>112</v>
      </c>
      <c r="I329" s="245" t="inlineStr"/>
      <c r="J329" s="245" t="inlineStr"/>
      <c r="K329" s="245" t="inlineStr">
        <is>
          <t>3IN CV LAVENDER MF TOPPER FL</t>
        </is>
      </c>
      <c r="L329" s="245" t="inlineStr">
        <is>
          <t>ECMF-03FL-IN</t>
        </is>
      </c>
      <c r="M329" s="248" t="inlineStr">
        <is>
          <t>2C1W1KFC</t>
        </is>
      </c>
      <c r="N329" s="245" t="inlineStr">
        <is>
          <t>F.TMT.03F.010.BD</t>
        </is>
      </c>
      <c r="O329" s="245" t="n"/>
      <c r="P329" s="245" t="n"/>
      <c r="Q329" s="250">
        <f>R329/H329</f>
        <v/>
      </c>
      <c r="R329" s="251" t="n">
        <v>1636.32</v>
      </c>
      <c r="S329" s="249" t="n">
        <v>17960</v>
      </c>
      <c r="T329" s="252">
        <f>S329*R329</f>
        <v/>
      </c>
      <c r="U329" s="245" t="n"/>
      <c r="V329" s="245" t="n"/>
      <c r="W329" s="245" t="n"/>
      <c r="X329" s="245" t="n"/>
      <c r="Y329" s="245" t="n"/>
      <c r="Z329" s="245" t="n"/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7" t="n">
        <v>15</v>
      </c>
      <c r="I330" s="245" t="inlineStr"/>
      <c r="J330" s="245" t="inlineStr"/>
      <c r="K330" s="245" t="inlineStr">
        <is>
          <t>3IN CV LAVENDER MF TOPPER EK</t>
        </is>
      </c>
      <c r="L330" s="245" t="inlineStr">
        <is>
          <t>ECMF-03KL-IN</t>
        </is>
      </c>
      <c r="M330" s="248" t="inlineStr">
        <is>
          <t>2C1W1KFC</t>
        </is>
      </c>
      <c r="N330" s="245" t="inlineStr">
        <is>
          <t>F.TMT.03K.010.BD</t>
        </is>
      </c>
      <c r="O330" s="245" t="n"/>
      <c r="P330" s="245" t="n"/>
      <c r="Q330" s="250">
        <f>R330/H330</f>
        <v/>
      </c>
      <c r="R330" s="251" t="n">
        <v>311.1</v>
      </c>
      <c r="S330" s="249" t="n">
        <v>17960</v>
      </c>
      <c r="T330" s="252">
        <f>S330*R330</f>
        <v/>
      </c>
      <c r="U330" s="245" t="n"/>
      <c r="V330" s="245" t="n"/>
      <c r="W330" s="245" t="n"/>
      <c r="X330" s="245" t="n"/>
      <c r="Y330" s="245" t="n"/>
      <c r="Z330" s="245" t="n"/>
    </row>
    <row r="331" ht="16.5" customHeight="1" s="202">
      <c r="A331" s="245" t="n"/>
      <c r="B331" s="245" t="n"/>
      <c r="C331" s="245" t="n"/>
      <c r="D331" s="245" t="n"/>
      <c r="E331" s="245" t="n"/>
      <c r="F331" s="245" t="n"/>
      <c r="G331" s="245" t="n"/>
      <c r="H331" s="247" t="n">
        <v>146</v>
      </c>
      <c r="I331" s="245" t="inlineStr"/>
      <c r="J331" s="245" t="inlineStr"/>
      <c r="K331" s="245" t="inlineStr">
        <is>
          <t>3IN CV LAVENDER MF TOPPER QN</t>
        </is>
      </c>
      <c r="L331" s="245" t="inlineStr">
        <is>
          <t>ECMF-03QL-IN</t>
        </is>
      </c>
      <c r="M331" s="248" t="inlineStr">
        <is>
          <t>2C1W1KFC</t>
        </is>
      </c>
      <c r="N331" s="245" t="inlineStr">
        <is>
          <t>F.TMT.03Q.010.BD</t>
        </is>
      </c>
      <c r="O331" s="245" t="n"/>
      <c r="P331" s="245" t="n"/>
      <c r="Q331" s="250">
        <f>R331/H331</f>
        <v/>
      </c>
      <c r="R331" s="251" t="n">
        <v>2727.28</v>
      </c>
      <c r="S331" s="249" t="n">
        <v>17960</v>
      </c>
      <c r="T331" s="252">
        <f>S331*R331</f>
        <v/>
      </c>
      <c r="U331" s="245" t="n"/>
      <c r="V331" s="245" t="n"/>
      <c r="W331" s="245" t="n"/>
      <c r="X331" s="245" t="n"/>
      <c r="Y331" s="245" t="n"/>
      <c r="Z331" s="245" t="n"/>
    </row>
    <row r="332" ht="16.5" customHeight="1" s="202">
      <c r="A332" s="245" t="n"/>
      <c r="B332" s="245" t="n"/>
      <c r="C332" s="245" t="n"/>
      <c r="D332" s="245" t="n"/>
      <c r="E332" s="245" t="n"/>
      <c r="F332" s="245" t="n"/>
      <c r="G332" s="245" t="n"/>
      <c r="H332" s="247" t="n">
        <v>277</v>
      </c>
      <c r="I332" s="245" t="inlineStr"/>
      <c r="J332" s="245" t="inlineStr"/>
      <c r="K332" s="245" t="inlineStr">
        <is>
          <t>3IN CV LAVENDER MF TOPPER TW</t>
        </is>
      </c>
      <c r="L332" s="245" t="inlineStr">
        <is>
          <t>ECMF-03TL-IN</t>
        </is>
      </c>
      <c r="M332" s="248" t="inlineStr">
        <is>
          <t>2C1W1KFC</t>
        </is>
      </c>
      <c r="N332" s="245" t="inlineStr">
        <is>
          <t>F.TMT.03T.010.BD</t>
        </is>
      </c>
      <c r="O332" s="245" t="n"/>
      <c r="P332" s="245" t="n"/>
      <c r="Q332" s="250">
        <f>R332/H332</f>
        <v/>
      </c>
      <c r="R332" s="251" t="n">
        <v>3060.85</v>
      </c>
      <c r="S332" s="249" t="n">
        <v>17960</v>
      </c>
      <c r="T332" s="252">
        <f>S332*R332</f>
        <v/>
      </c>
      <c r="U332" s="245" t="n"/>
      <c r="V332" s="245" t="n"/>
      <c r="W332" s="245" t="n"/>
      <c r="X332" s="245" t="n"/>
      <c r="Y332" s="245" t="n"/>
      <c r="Z332" s="245" t="n"/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24</v>
      </c>
      <c r="I333" s="245" t="inlineStr"/>
      <c r="J333" s="245" t="inlineStr"/>
      <c r="K333" s="245" t="inlineStr">
        <is>
          <t>3IN CV LAVENDER MF TOPPER TX</t>
        </is>
      </c>
      <c r="L333" s="245" t="inlineStr">
        <is>
          <t>ECMF-03TXLL-IN</t>
        </is>
      </c>
      <c r="M333" s="248" t="inlineStr">
        <is>
          <t>2C1W1KFC</t>
        </is>
      </c>
      <c r="N333" s="245" t="inlineStr">
        <is>
          <t>F.TMT.03X.010.BD</t>
        </is>
      </c>
      <c r="O333" s="245" t="n"/>
      <c r="P333" s="245" t="n"/>
      <c r="Q333" s="250">
        <f>R333/H333</f>
        <v/>
      </c>
      <c r="R333" s="251" t="n">
        <v>288.48</v>
      </c>
      <c r="S333" s="249" t="n">
        <v>17960</v>
      </c>
      <c r="T333" s="252">
        <f>S333*R333</f>
        <v/>
      </c>
      <c r="U333" s="245" t="n"/>
      <c r="V333" s="245" t="n"/>
      <c r="W333" s="245" t="n"/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181</v>
      </c>
      <c r="I334" s="245" t="inlineStr"/>
      <c r="J334" s="245" t="inlineStr"/>
      <c r="K334" s="245" t="inlineStr">
        <is>
          <t>2IN CV LAVENDER MF TOPPER FL</t>
        </is>
      </c>
      <c r="L334" s="245" t="inlineStr">
        <is>
          <t>ECMF-LV2F-IN</t>
        </is>
      </c>
      <c r="M334" s="248" t="inlineStr">
        <is>
          <t>2C1W1KFC</t>
        </is>
      </c>
      <c r="N334" s="245" t="inlineStr">
        <is>
          <t>F.TMT.02F.008.BD</t>
        </is>
      </c>
      <c r="O334" s="245" t="n"/>
      <c r="P334" s="245" t="n"/>
      <c r="Q334" s="250">
        <f>R334/H334</f>
        <v/>
      </c>
      <c r="R334" s="251" t="n">
        <v>1790.09</v>
      </c>
      <c r="S334" s="249" t="n">
        <v>17960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17</v>
      </c>
      <c r="I335" s="245" t="inlineStr"/>
      <c r="J335" s="245" t="inlineStr"/>
      <c r="K335" s="245" t="inlineStr">
        <is>
          <t>2IN CV LAVENDER MF TOPPER EK</t>
        </is>
      </c>
      <c r="L335" s="245" t="inlineStr">
        <is>
          <t>ECMF-LV2K-IN</t>
        </is>
      </c>
      <c r="M335" s="248" t="inlineStr">
        <is>
          <t>2C1W1KFC</t>
        </is>
      </c>
      <c r="N335" s="245" t="inlineStr">
        <is>
          <t>F.TMT.02K.008.BD</t>
        </is>
      </c>
      <c r="O335" s="245" t="n"/>
      <c r="P335" s="245" t="n"/>
      <c r="Q335" s="250">
        <f>R335/H335</f>
        <v/>
      </c>
      <c r="R335" s="251" t="n">
        <v>236.47</v>
      </c>
      <c r="S335" s="249" t="n">
        <v>17960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18</v>
      </c>
      <c r="I336" s="245" t="inlineStr"/>
      <c r="J336" s="245" t="inlineStr"/>
      <c r="K336" s="245" t="inlineStr">
        <is>
          <t>2IN CV LAVENDER MF TOPPER QN</t>
        </is>
      </c>
      <c r="L336" s="245" t="inlineStr">
        <is>
          <t>ECMF-LV2Q-IN</t>
        </is>
      </c>
      <c r="M336" s="248" t="inlineStr">
        <is>
          <t>2C1W1KFC</t>
        </is>
      </c>
      <c r="N336" s="245" t="inlineStr">
        <is>
          <t>F.TMT.02Q.008.BD</t>
        </is>
      </c>
      <c r="O336" s="245" t="n"/>
      <c r="P336" s="245" t="n"/>
      <c r="Q336" s="250">
        <f>R336/H336</f>
        <v/>
      </c>
      <c r="R336" s="251" t="n">
        <v>218.34</v>
      </c>
      <c r="S336" s="249" t="n">
        <v>17960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4</v>
      </c>
      <c r="I337" s="245" t="inlineStr"/>
      <c r="J337" s="245" t="inlineStr"/>
      <c r="K337" s="245" t="inlineStr">
        <is>
          <t>4IN CV LAVENDER MF TOPPER QN</t>
        </is>
      </c>
      <c r="L337" s="245" t="inlineStr">
        <is>
          <t>ECMF-LV4Q-IN</t>
        </is>
      </c>
      <c r="M337" s="248" t="inlineStr">
        <is>
          <t>2C1W1KFC</t>
        </is>
      </c>
      <c r="N337" s="245" t="inlineStr">
        <is>
          <t>F.TMT.04Q.012.BD</t>
        </is>
      </c>
      <c r="O337" s="245" t="n"/>
      <c r="P337" s="245" t="n"/>
      <c r="Q337" s="250">
        <f>R337/H337</f>
        <v/>
      </c>
      <c r="R337" s="251" t="n">
        <v>88.59999999999999</v>
      </c>
      <c r="S337" s="249" t="n">
        <v>17960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6.5" customHeight="1" s="202">
      <c r="A338" s="245" t="n"/>
      <c r="B338" s="245" t="n"/>
      <c r="C338" s="245" t="n"/>
      <c r="D338" s="245" t="n"/>
      <c r="E338" s="245" t="n"/>
      <c r="F338" s="245" t="n"/>
      <c r="G338" s="245" t="n"/>
      <c r="H338" s="247" t="n">
        <v>14</v>
      </c>
      <c r="I338" s="245" t="inlineStr"/>
      <c r="J338" s="245" t="inlineStr"/>
      <c r="K338" s="245" t="inlineStr">
        <is>
          <t>4IN CV LAVENDER MF TOPPER TW</t>
        </is>
      </c>
      <c r="L338" s="245" t="inlineStr">
        <is>
          <t>ECMF-LV4T-IN</t>
        </is>
      </c>
      <c r="M338" s="248" t="inlineStr">
        <is>
          <t>2C1W1KFC</t>
        </is>
      </c>
      <c r="N338" s="245" t="inlineStr">
        <is>
          <t>F.TMT.04T.012.BD</t>
        </is>
      </c>
      <c r="O338" s="245" t="n"/>
      <c r="P338" s="245" t="n"/>
      <c r="Q338" s="250">
        <f>R338/H338</f>
        <v/>
      </c>
      <c r="R338" s="251" t="n">
        <v>197.96</v>
      </c>
      <c r="S338" s="249" t="n">
        <v>17960</v>
      </c>
      <c r="T338" s="252">
        <f>S338*R338</f>
        <v/>
      </c>
      <c r="U338" s="245" t="n"/>
      <c r="V338" s="245" t="n"/>
      <c r="W338" s="245" t="n"/>
      <c r="X338" s="245" t="n"/>
      <c r="Y338" s="245" t="n"/>
      <c r="Z338" s="245" t="n"/>
    </row>
    <row r="339" ht="16.5" customHeight="1" s="202">
      <c r="A339" s="245" t="n"/>
      <c r="B339" s="245" t="n"/>
      <c r="C339" s="245" t="n"/>
      <c r="D339" s="245" t="n"/>
      <c r="E339" s="245" t="n"/>
      <c r="F339" s="245" t="n"/>
      <c r="G339" s="245" t="n"/>
      <c r="H339" s="247" t="n">
        <v>46</v>
      </c>
      <c r="I339" s="245" t="inlineStr"/>
      <c r="J339" s="245" t="inlineStr"/>
      <c r="K339" s="245" t="inlineStr">
        <is>
          <t>1.5IN VT GEL MF TOPPER FL</t>
        </is>
      </c>
      <c r="L339" s="245" t="inlineStr">
        <is>
          <t>GMT1.5F-IN</t>
        </is>
      </c>
      <c r="M339" s="248" t="inlineStr">
        <is>
          <t>2C1W1KFC</t>
        </is>
      </c>
      <c r="N339" s="245" t="inlineStr">
        <is>
          <t>F.TGT.01F.004.BD</t>
        </is>
      </c>
      <c r="O339" s="245" t="n"/>
      <c r="P339" s="245" t="n"/>
      <c r="Q339" s="250">
        <f>R339/H339</f>
        <v/>
      </c>
      <c r="R339" s="251" t="n">
        <v>479.78</v>
      </c>
      <c r="S339" s="249" t="n">
        <v>17960</v>
      </c>
      <c r="T339" s="252">
        <f>S339*R339</f>
        <v/>
      </c>
      <c r="U339" s="245" t="n"/>
      <c r="V339" s="245" t="n"/>
      <c r="W339" s="245" t="n"/>
      <c r="X339" s="245" t="n"/>
      <c r="Y339" s="245" t="n"/>
      <c r="Z339" s="245" t="n"/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12</v>
      </c>
      <c r="I340" s="245" t="inlineStr"/>
      <c r="J340" s="245" t="inlineStr"/>
      <c r="K340" s="245" t="inlineStr">
        <is>
          <t>1.5IN VT GEL MF TOPPER TW</t>
        </is>
      </c>
      <c r="L340" s="245" t="inlineStr">
        <is>
          <t>GMT1.5T-IN</t>
        </is>
      </c>
      <c r="M340" s="248" t="inlineStr">
        <is>
          <t>2C1W1KFC</t>
        </is>
      </c>
      <c r="N340" s="245" t="inlineStr">
        <is>
          <t>F.TGT.01T.004.BD</t>
        </is>
      </c>
      <c r="O340" s="245" t="n"/>
      <c r="P340" s="245" t="n"/>
      <c r="Q340" s="250">
        <f>R340/H340</f>
        <v/>
      </c>
      <c r="R340" s="251" t="n">
        <v>100.2</v>
      </c>
      <c r="S340" s="249" t="n">
        <v>17960</v>
      </c>
      <c r="T340" s="252">
        <f>S340*R340</f>
        <v/>
      </c>
      <c r="U340" s="245" t="n"/>
      <c r="V340" s="245" t="n"/>
      <c r="W340" s="245" t="n"/>
      <c r="X340" s="245" t="n"/>
      <c r="Y340" s="245" t="n"/>
      <c r="Z340" s="245" t="n"/>
    </row>
    <row r="341" ht="16.5" customHeight="1" s="202">
      <c r="A341" s="245" t="n"/>
      <c r="B341" s="245" t="n"/>
      <c r="C341" s="245" t="n"/>
      <c r="D341" s="245" t="n"/>
      <c r="E341" s="245" t="n"/>
      <c r="F341" s="245" t="n"/>
      <c r="G341" s="245" t="n"/>
      <c r="H341" s="247" t="n">
        <v>38</v>
      </c>
      <c r="I341" s="245" t="inlineStr"/>
      <c r="J341" s="245" t="inlineStr"/>
      <c r="K341" s="245" t="inlineStr">
        <is>
          <t>3IN VT GEL MF TOPPER FL</t>
        </is>
      </c>
      <c r="L341" s="245" t="inlineStr">
        <is>
          <t>GMT3F-IN</t>
        </is>
      </c>
      <c r="M341" s="248" t="inlineStr">
        <is>
          <t>2C1W1KFC</t>
        </is>
      </c>
      <c r="N341" s="245" t="inlineStr">
        <is>
          <t>F.TGT.03F.006.BD</t>
        </is>
      </c>
      <c r="O341" s="245" t="n"/>
      <c r="P341" s="245" t="n"/>
      <c r="Q341" s="250">
        <f>R341/H341</f>
        <v/>
      </c>
      <c r="R341" s="251" t="n">
        <v>747.46</v>
      </c>
      <c r="S341" s="249" t="n">
        <v>17960</v>
      </c>
      <c r="T341" s="252">
        <f>S341*R341</f>
        <v/>
      </c>
      <c r="U341" s="245" t="n"/>
      <c r="V341" s="245" t="n"/>
      <c r="W341" s="245" t="n"/>
      <c r="X341" s="245" t="n"/>
      <c r="Y341" s="245" t="n"/>
      <c r="Z341" s="245" t="n"/>
    </row>
    <row r="342" ht="16.5" customHeight="1" s="202">
      <c r="A342" s="245" t="n"/>
      <c r="B342" s="245" t="n"/>
      <c r="C342" s="245" t="n"/>
      <c r="D342" s="245" t="n"/>
      <c r="E342" s="245" t="n"/>
      <c r="F342" s="245" t="n"/>
      <c r="G342" s="245" t="n"/>
      <c r="H342" s="247" t="n">
        <v>2</v>
      </c>
      <c r="I342" s="245" t="inlineStr"/>
      <c r="J342" s="245" t="inlineStr"/>
      <c r="K342" s="245" t="inlineStr">
        <is>
          <t>4IN VT GEL MF TOPPER EK</t>
        </is>
      </c>
      <c r="L342" s="245" t="inlineStr">
        <is>
          <t>GMT4K-IN</t>
        </is>
      </c>
      <c r="M342" s="248" t="inlineStr">
        <is>
          <t>2C1W1KFC</t>
        </is>
      </c>
      <c r="N342" s="245" t="inlineStr">
        <is>
          <t>F.TGT.04K.005.BD</t>
        </is>
      </c>
      <c r="O342" s="245" t="n"/>
      <c r="P342" s="245" t="n"/>
      <c r="Q342" s="250">
        <f>R342/H342</f>
        <v/>
      </c>
      <c r="R342" s="251" t="n">
        <v>66.09999999999999</v>
      </c>
      <c r="S342" s="249" t="n">
        <v>17960</v>
      </c>
      <c r="T342" s="252">
        <f>S342*R342</f>
        <v/>
      </c>
      <c r="U342" s="245" t="n"/>
      <c r="V342" s="245" t="n"/>
      <c r="W342" s="245" t="n"/>
      <c r="X342" s="245" t="n"/>
      <c r="Y342" s="245" t="n"/>
      <c r="Z342" s="245" t="n"/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1</v>
      </c>
      <c r="I343" s="245" t="inlineStr"/>
      <c r="J343" s="245" t="inlineStr"/>
      <c r="K343" s="245" t="inlineStr">
        <is>
          <t>4IN VT GEL MF TOPPER QN</t>
        </is>
      </c>
      <c r="L343" s="245" t="inlineStr">
        <is>
          <t>GMT4Q-IN</t>
        </is>
      </c>
      <c r="M343" s="248" t="inlineStr">
        <is>
          <t>2C1W1KFC</t>
        </is>
      </c>
      <c r="N343" s="245" t="inlineStr">
        <is>
          <t>F.TGT.04Q.005.BD</t>
        </is>
      </c>
      <c r="O343" s="245" t="n"/>
      <c r="P343" s="245" t="n"/>
      <c r="Q343" s="250">
        <f>R343/H343</f>
        <v/>
      </c>
      <c r="R343" s="251" t="n">
        <v>26.26</v>
      </c>
      <c r="S343" s="249" t="n">
        <v>17960</v>
      </c>
      <c r="T343" s="252">
        <f>S343*R343</f>
        <v/>
      </c>
      <c r="U343" s="245" t="n"/>
      <c r="V343" s="245" t="n"/>
      <c r="W343" s="245" t="n"/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192</v>
      </c>
      <c r="I344" s="245" t="inlineStr"/>
      <c r="J344" s="245" t="inlineStr"/>
      <c r="K344" s="245" t="inlineStr">
        <is>
          <t>3IN CV LAVENDER MF TOPPER EK</t>
        </is>
      </c>
      <c r="L344" s="245" t="inlineStr">
        <is>
          <t>ECMF-03KL-IN</t>
        </is>
      </c>
      <c r="M344" s="248" t="inlineStr">
        <is>
          <t>2NG8S11R</t>
        </is>
      </c>
      <c r="N344" s="245" t="inlineStr">
        <is>
          <t>F.TMT.03K.010.BD</t>
        </is>
      </c>
      <c r="O344" s="245" t="n"/>
      <c r="P344" s="245" t="n"/>
      <c r="Q344" s="250">
        <f>R344/H344</f>
        <v/>
      </c>
      <c r="R344" s="251" t="n">
        <v>3982.08</v>
      </c>
      <c r="S344" s="249" t="n">
        <v>17960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806</v>
      </c>
      <c r="I345" s="245" t="inlineStr"/>
      <c r="J345" s="245" t="inlineStr"/>
      <c r="K345" s="245" t="inlineStr">
        <is>
          <t>3IN CV LAVENDER MF TOPPER TW</t>
        </is>
      </c>
      <c r="L345" s="245" t="inlineStr">
        <is>
          <t>ECMF-03TL-IN</t>
        </is>
      </c>
      <c r="M345" s="248" t="inlineStr">
        <is>
          <t>2NG8S11R</t>
        </is>
      </c>
      <c r="N345" s="245" t="inlineStr">
        <is>
          <t>F.TMT.03T.010.BD</t>
        </is>
      </c>
      <c r="O345" s="245" t="n"/>
      <c r="P345" s="245" t="n"/>
      <c r="Q345" s="250">
        <f>R345/H345</f>
        <v/>
      </c>
      <c r="R345" s="251" t="n">
        <v>8906.299999999999</v>
      </c>
      <c r="S345" s="249" t="n">
        <v>17960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18</v>
      </c>
      <c r="I346" s="245" t="inlineStr"/>
      <c r="J346" s="245" t="inlineStr"/>
      <c r="K346" s="245" t="inlineStr">
        <is>
          <t>1.5IN VT GEL MF TOPPER FL</t>
        </is>
      </c>
      <c r="L346" s="245" t="inlineStr">
        <is>
          <t>GMT1.5F-IN</t>
        </is>
      </c>
      <c r="M346" s="248" t="inlineStr">
        <is>
          <t>2NG8S11R</t>
        </is>
      </c>
      <c r="N346" s="245" t="inlineStr">
        <is>
          <t>F.TGT.01F.004.BD</t>
        </is>
      </c>
      <c r="O346" s="245" t="n"/>
      <c r="P346" s="245" t="n"/>
      <c r="Q346" s="250">
        <f>R346/H346</f>
        <v/>
      </c>
      <c r="R346" s="251" t="n">
        <v>187.74</v>
      </c>
      <c r="S346" s="249" t="n">
        <v>17960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4</v>
      </c>
      <c r="I347" s="245" t="inlineStr"/>
      <c r="J347" s="245" t="inlineStr"/>
      <c r="K347" s="245" t="inlineStr">
        <is>
          <t>4IN VT GEL MF TOPPER EK</t>
        </is>
      </c>
      <c r="L347" s="245" t="inlineStr">
        <is>
          <t>GMT4K-IN</t>
        </is>
      </c>
      <c r="M347" s="248" t="inlineStr">
        <is>
          <t>2NG8S11R</t>
        </is>
      </c>
      <c r="N347" s="245" t="inlineStr">
        <is>
          <t>F.TGT.04K.005.BD</t>
        </is>
      </c>
      <c r="O347" s="245" t="n"/>
      <c r="P347" s="245" t="n"/>
      <c r="Q347" s="250">
        <f>R347/H347</f>
        <v/>
      </c>
      <c r="R347" s="251" t="n">
        <v>132.2</v>
      </c>
      <c r="S347" s="249" t="n">
        <v>17960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6.5" customHeight="1" s="202">
      <c r="A348" s="245" t="n"/>
      <c r="B348" s="245" t="n"/>
      <c r="C348" s="245" t="n"/>
      <c r="D348" s="245" t="n"/>
      <c r="E348" s="245" t="n"/>
      <c r="F348" s="245" t="n"/>
      <c r="G348" s="245" t="n"/>
      <c r="H348" s="247" t="n">
        <v>193</v>
      </c>
      <c r="I348" s="245" t="inlineStr"/>
      <c r="J348" s="245" t="inlineStr"/>
      <c r="K348" s="245" t="inlineStr">
        <is>
          <t>3IN CV LAVENDER MF TOPPER EK</t>
        </is>
      </c>
      <c r="L348" s="245" t="inlineStr">
        <is>
          <t>ECMF-03KL-IN</t>
        </is>
      </c>
      <c r="M348" s="248" t="inlineStr">
        <is>
          <t>3CDBPDYC</t>
        </is>
      </c>
      <c r="N348" s="245" t="inlineStr">
        <is>
          <t>F.TMT.03K.010.BD</t>
        </is>
      </c>
      <c r="O348" s="245" t="n"/>
      <c r="P348" s="245" t="n"/>
      <c r="Q348" s="250">
        <f>R348/H348</f>
        <v/>
      </c>
      <c r="R348" s="251" t="n">
        <v>4002.82</v>
      </c>
      <c r="S348" s="249" t="n">
        <v>17960</v>
      </c>
      <c r="T348" s="252">
        <f>S348*R348</f>
        <v/>
      </c>
      <c r="U348" s="245" t="n"/>
      <c r="V348" s="245" t="n"/>
      <c r="W348" s="245" t="n"/>
      <c r="X348" s="245" t="n"/>
      <c r="Y348" s="245" t="n"/>
      <c r="Z348" s="245" t="n"/>
    </row>
    <row r="349" ht="16.5" customHeight="1" s="202">
      <c r="A349" s="245" t="n"/>
      <c r="B349" s="245" t="n"/>
      <c r="C349" s="245" t="n"/>
      <c r="D349" s="245" t="n"/>
      <c r="E349" s="245" t="n"/>
      <c r="F349" s="245" t="n"/>
      <c r="G349" s="245" t="n"/>
      <c r="H349" s="247" t="n">
        <v>336</v>
      </c>
      <c r="I349" s="245" t="inlineStr"/>
      <c r="J349" s="245" t="inlineStr"/>
      <c r="K349" s="245" t="inlineStr">
        <is>
          <t>3IN CV LAVENDER MF TOPPER QN</t>
        </is>
      </c>
      <c r="L349" s="245" t="inlineStr">
        <is>
          <t>ECMF-03QL-IN</t>
        </is>
      </c>
      <c r="M349" s="248" t="inlineStr">
        <is>
          <t>3CDBPDYC</t>
        </is>
      </c>
      <c r="N349" s="245" t="inlineStr">
        <is>
          <t>F.TMT.03Q.010.BD</t>
        </is>
      </c>
      <c r="O349" s="245" t="n"/>
      <c r="P349" s="245" t="n"/>
      <c r="Q349" s="250">
        <f>R349/H349</f>
        <v/>
      </c>
      <c r="R349" s="251" t="n">
        <v>6276.48</v>
      </c>
      <c r="S349" s="249" t="n">
        <v>17960</v>
      </c>
      <c r="T349" s="252">
        <f>S349*R349</f>
        <v/>
      </c>
      <c r="U349" s="245" t="n"/>
      <c r="V349" s="245" t="n"/>
      <c r="W349" s="245" t="n"/>
      <c r="X349" s="245" t="n"/>
      <c r="Y349" s="245" t="n"/>
      <c r="Z349" s="245" t="n"/>
    </row>
    <row r="350" ht="16.5" customHeight="1" s="202">
      <c r="A350" s="245" t="n"/>
      <c r="B350" s="245" t="n"/>
      <c r="C350" s="245" t="n"/>
      <c r="D350" s="245" t="n"/>
      <c r="E350" s="245" t="n"/>
      <c r="F350" s="245" t="n"/>
      <c r="G350" s="245" t="n"/>
      <c r="H350" s="247" t="n">
        <v>139</v>
      </c>
      <c r="I350" s="245" t="inlineStr"/>
      <c r="J350" s="245" t="inlineStr"/>
      <c r="K350" s="245" t="inlineStr">
        <is>
          <t>2IN CV LAVENDER MF TOPPER FL</t>
        </is>
      </c>
      <c r="L350" s="245" t="inlineStr">
        <is>
          <t>ECMF-LV2F-IN</t>
        </is>
      </c>
      <c r="M350" s="248" t="inlineStr">
        <is>
          <t>3CDBPDYC</t>
        </is>
      </c>
      <c r="N350" s="245" t="inlineStr">
        <is>
          <t>F.TMT.02F.008.BD</t>
        </is>
      </c>
      <c r="O350" s="245" t="n"/>
      <c r="P350" s="245" t="n"/>
      <c r="Q350" s="250">
        <f>R350/H350</f>
        <v/>
      </c>
      <c r="R350" s="251" t="n">
        <v>1374.71</v>
      </c>
      <c r="S350" s="249" t="n">
        <v>17960</v>
      </c>
      <c r="T350" s="252">
        <f>S350*R350</f>
        <v/>
      </c>
      <c r="U350" s="245" t="n"/>
      <c r="V350" s="245" t="n"/>
      <c r="W350" s="245" t="n"/>
      <c r="X350" s="245" t="n"/>
      <c r="Y350" s="245" t="n"/>
      <c r="Z350" s="245" t="n"/>
    </row>
    <row r="351" ht="16.5" customHeight="1" s="202">
      <c r="A351" s="245" t="n"/>
      <c r="B351" s="245" t="n"/>
      <c r="C351" s="245" t="n"/>
      <c r="D351" s="245" t="n"/>
      <c r="E351" s="245" t="n"/>
      <c r="F351" s="245" t="n"/>
      <c r="G351" s="245" t="n"/>
      <c r="H351" s="247" t="n">
        <v>9</v>
      </c>
      <c r="I351" s="245" t="inlineStr"/>
      <c r="J351" s="245" t="inlineStr"/>
      <c r="K351" s="245" t="inlineStr">
        <is>
          <t>2IN CV LAVENDER MF TOPPER QN</t>
        </is>
      </c>
      <c r="L351" s="245" t="inlineStr">
        <is>
          <t>ECMF-LV2Q-IN</t>
        </is>
      </c>
      <c r="M351" s="248" t="inlineStr">
        <is>
          <t>3CDBPDYC</t>
        </is>
      </c>
      <c r="N351" s="245" t="inlineStr">
        <is>
          <t>F.TMT.02Q.008.BD</t>
        </is>
      </c>
      <c r="O351" s="245" t="n"/>
      <c r="P351" s="245" t="n"/>
      <c r="Q351" s="250">
        <f>R351/H351</f>
        <v/>
      </c>
      <c r="R351" s="251" t="n">
        <v>109.17</v>
      </c>
      <c r="S351" s="249" t="n">
        <v>17960</v>
      </c>
      <c r="T351" s="252">
        <f>S351*R351</f>
        <v/>
      </c>
      <c r="U351" s="245" t="n"/>
      <c r="V351" s="245" t="n"/>
      <c r="W351" s="245" t="n"/>
      <c r="X351" s="245" t="n"/>
      <c r="Y351" s="245" t="n"/>
      <c r="Z351" s="245" t="n"/>
    </row>
    <row r="352" ht="16.5" customHeight="1" s="202">
      <c r="A352" s="245" t="n"/>
      <c r="B352" s="245" t="n"/>
      <c r="C352" s="245" t="n"/>
      <c r="D352" s="245" t="n"/>
      <c r="E352" s="245" t="n"/>
      <c r="F352" s="245" t="n"/>
      <c r="G352" s="245" t="n"/>
      <c r="H352" s="247" t="n">
        <v>73</v>
      </c>
      <c r="I352" s="245" t="inlineStr"/>
      <c r="J352" s="245" t="inlineStr"/>
      <c r="K352" s="245" t="inlineStr">
        <is>
          <t>4IN CV LAVENDER MF TOPPER QN</t>
        </is>
      </c>
      <c r="L352" s="245" t="inlineStr">
        <is>
          <t>ECMF-LV4Q-IN</t>
        </is>
      </c>
      <c r="M352" s="248" t="inlineStr">
        <is>
          <t>3CDBPDYC</t>
        </is>
      </c>
      <c r="N352" s="245" t="inlineStr">
        <is>
          <t>F.TMT.04Q.012.BD</t>
        </is>
      </c>
      <c r="O352" s="245" t="n"/>
      <c r="P352" s="245" t="n"/>
      <c r="Q352" s="250">
        <f>R352/H352</f>
        <v/>
      </c>
      <c r="R352" s="251" t="n">
        <v>1616.95</v>
      </c>
      <c r="S352" s="249" t="n">
        <v>17960</v>
      </c>
      <c r="T352" s="252">
        <f>S352*R352</f>
        <v/>
      </c>
      <c r="U352" s="245" t="n"/>
      <c r="V352" s="245" t="n"/>
      <c r="W352" s="245" t="n"/>
      <c r="X352" s="245" t="n"/>
      <c r="Y352" s="245" t="n"/>
      <c r="Z352" s="245" t="n"/>
    </row>
    <row r="353" ht="16.5" customHeight="1" s="202">
      <c r="A353" s="245" t="n"/>
      <c r="B353" s="245" t="n"/>
      <c r="C353" s="245" t="n"/>
      <c r="D353" s="245" t="n"/>
      <c r="E353" s="245" t="n"/>
      <c r="F353" s="245" t="n"/>
      <c r="G353" s="245" t="n"/>
      <c r="H353" s="247" t="n">
        <v>27</v>
      </c>
      <c r="I353" s="245" t="inlineStr"/>
      <c r="J353" s="245" t="inlineStr"/>
      <c r="K353" s="245" t="inlineStr">
        <is>
          <t>4IN CV LAVENDER MF TOPPER TW</t>
        </is>
      </c>
      <c r="L353" s="245" t="inlineStr">
        <is>
          <t>ECMF-LV4T-IN</t>
        </is>
      </c>
      <c r="M353" s="248" t="inlineStr">
        <is>
          <t>3CDBPDYC</t>
        </is>
      </c>
      <c r="N353" s="245" t="inlineStr">
        <is>
          <t>F.TMT.04T.012.BD</t>
        </is>
      </c>
      <c r="O353" s="245" t="n"/>
      <c r="P353" s="245" t="n"/>
      <c r="Q353" s="250">
        <f>R353/H353</f>
        <v/>
      </c>
      <c r="R353" s="251" t="n">
        <v>381.78</v>
      </c>
      <c r="S353" s="249" t="n">
        <v>17960</v>
      </c>
      <c r="T353" s="252">
        <f>S353*R353</f>
        <v/>
      </c>
      <c r="U353" s="245" t="n"/>
      <c r="V353" s="245" t="n"/>
      <c r="W353" s="245" t="n"/>
      <c r="X353" s="245" t="n"/>
      <c r="Y353" s="245" t="n"/>
      <c r="Z353" s="245" t="n"/>
    </row>
    <row r="354" ht="16.5" customHeight="1" s="202">
      <c r="A354" s="245" t="n"/>
      <c r="B354" s="245" t="n"/>
      <c r="C354" s="245" t="n"/>
      <c r="D354" s="245" t="n"/>
      <c r="E354" s="245" t="n"/>
      <c r="F354" s="245" t="n"/>
      <c r="G354" s="245" t="n"/>
      <c r="H354" s="247" t="n">
        <v>65</v>
      </c>
      <c r="I354" s="245" t="inlineStr"/>
      <c r="J354" s="245" t="inlineStr"/>
      <c r="K354" s="245" t="inlineStr">
        <is>
          <t>4IN VT GEL MF TOPPER QN</t>
        </is>
      </c>
      <c r="L354" s="245" t="inlineStr">
        <is>
          <t>GMT4Q-IN</t>
        </is>
      </c>
      <c r="M354" s="248" t="inlineStr">
        <is>
          <t>3CDBPDYC</t>
        </is>
      </c>
      <c r="N354" s="245" t="inlineStr">
        <is>
          <t>F.TGT.04Q.005.BD</t>
        </is>
      </c>
      <c r="O354" s="245" t="n"/>
      <c r="P354" s="245" t="n"/>
      <c r="Q354" s="250">
        <f>R354/H354</f>
        <v/>
      </c>
      <c r="R354" s="251" t="n">
        <v>1706.9</v>
      </c>
      <c r="S354" s="249" t="n">
        <v>17960</v>
      </c>
      <c r="T354" s="252">
        <f>S354*R354</f>
        <v/>
      </c>
      <c r="U354" s="245" t="n"/>
      <c r="V354" s="245" t="n"/>
      <c r="W354" s="245" t="n"/>
      <c r="X354" s="245" t="n"/>
      <c r="Y354" s="245" t="n"/>
      <c r="Z354" s="245" t="n"/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146</v>
      </c>
      <c r="I355" s="245" t="inlineStr"/>
      <c r="J355" s="245" t="inlineStr"/>
      <c r="K355" s="245" t="inlineStr">
        <is>
          <t>3IN CV LAVENDER MF TOPPER EK</t>
        </is>
      </c>
      <c r="L355" s="245" t="inlineStr">
        <is>
          <t>ECMF-03KL-IN</t>
        </is>
      </c>
      <c r="M355" s="248" t="inlineStr">
        <is>
          <t>3GJ2IHFJ</t>
        </is>
      </c>
      <c r="N355" s="245" t="inlineStr">
        <is>
          <t>F.TMT.03K.010.BD</t>
        </is>
      </c>
      <c r="O355" s="245" t="n"/>
      <c r="P355" s="245" t="n"/>
      <c r="Q355" s="250">
        <f>R355/H355</f>
        <v/>
      </c>
      <c r="R355" s="251" t="n">
        <v>3028.04</v>
      </c>
      <c r="S355" s="249" t="n">
        <v>17960</v>
      </c>
      <c r="T355" s="252">
        <f>S355*R355</f>
        <v/>
      </c>
      <c r="U355" s="245" t="n"/>
      <c r="V355" s="245" t="n"/>
      <c r="W355" s="245" t="n"/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38</v>
      </c>
      <c r="I356" s="245" t="inlineStr"/>
      <c r="J356" s="245" t="inlineStr"/>
      <c r="K356" s="245" t="inlineStr">
        <is>
          <t>3IN CV LAVENDER MF TOPPER TX</t>
        </is>
      </c>
      <c r="L356" s="245" t="inlineStr">
        <is>
          <t>ECMF-03TXLL-IN</t>
        </is>
      </c>
      <c r="M356" s="248" t="inlineStr">
        <is>
          <t>3GJ2IHFJ</t>
        </is>
      </c>
      <c r="N356" s="245" t="inlineStr">
        <is>
          <t>F.TMT.03X.010.BD</t>
        </is>
      </c>
      <c r="O356" s="245" t="n"/>
      <c r="P356" s="245" t="n"/>
      <c r="Q356" s="250">
        <f>R356/H356</f>
        <v/>
      </c>
      <c r="R356" s="251" t="n">
        <v>456.76</v>
      </c>
      <c r="S356" s="249" t="n">
        <v>17960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74</v>
      </c>
      <c r="I357" s="245" t="inlineStr"/>
      <c r="J357" s="245" t="inlineStr"/>
      <c r="K357" s="245" t="inlineStr">
        <is>
          <t>2IN CV LAVENDER MF TOPPER EK</t>
        </is>
      </c>
      <c r="L357" s="245" t="inlineStr">
        <is>
          <t>ECMF-LV2K-IN</t>
        </is>
      </c>
      <c r="M357" s="248" t="inlineStr">
        <is>
          <t>3GJ2IHFJ</t>
        </is>
      </c>
      <c r="N357" s="245" t="inlineStr">
        <is>
          <t>F.TMT.02K.008.BD</t>
        </is>
      </c>
      <c r="O357" s="245" t="n"/>
      <c r="P357" s="245" t="n"/>
      <c r="Q357" s="250">
        <f>R357/H357</f>
        <v/>
      </c>
      <c r="R357" s="251" t="n">
        <v>1029.34</v>
      </c>
      <c r="S357" s="249" t="n">
        <v>17960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26</v>
      </c>
      <c r="I358" s="245" t="inlineStr"/>
      <c r="J358" s="245" t="inlineStr"/>
      <c r="K358" s="245" t="inlineStr">
        <is>
          <t>4IN CV LAVENDER MF TOPPER TW</t>
        </is>
      </c>
      <c r="L358" s="245" t="inlineStr">
        <is>
          <t>ECMF-LV4T-IN</t>
        </is>
      </c>
      <c r="M358" s="248" t="inlineStr">
        <is>
          <t>3GJ2IHFJ</t>
        </is>
      </c>
      <c r="N358" s="245" t="inlineStr">
        <is>
          <t>F.TMT.04T.012.BD</t>
        </is>
      </c>
      <c r="O358" s="245" t="n"/>
      <c r="P358" s="245" t="n"/>
      <c r="Q358" s="250">
        <f>R358/H358</f>
        <v/>
      </c>
      <c r="R358" s="251" t="n">
        <v>367.64</v>
      </c>
      <c r="S358" s="249" t="n">
        <v>17960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6.5" customHeight="1" s="202">
      <c r="A359" s="245" t="n"/>
      <c r="B359" s="245" t="n"/>
      <c r="C359" s="245" t="n"/>
      <c r="D359" s="245" t="n"/>
      <c r="E359" s="245" t="n"/>
      <c r="F359" s="245" t="n"/>
      <c r="G359" s="245" t="n"/>
      <c r="H359" s="247" t="n">
        <v>107</v>
      </c>
      <c r="I359" s="245" t="inlineStr"/>
      <c r="J359" s="245" t="inlineStr"/>
      <c r="K359" s="245" t="inlineStr">
        <is>
          <t>3IN VT GEL MF TOPPER FL</t>
        </is>
      </c>
      <c r="L359" s="245" t="inlineStr">
        <is>
          <t>GMT3F-IN</t>
        </is>
      </c>
      <c r="M359" s="248" t="inlineStr">
        <is>
          <t>3GJ2IHFJ</t>
        </is>
      </c>
      <c r="N359" s="245" t="inlineStr">
        <is>
          <t>F.TGT.03F.006.BD</t>
        </is>
      </c>
      <c r="O359" s="245" t="n"/>
      <c r="P359" s="245" t="n"/>
      <c r="Q359" s="250">
        <f>R359/H359</f>
        <v/>
      </c>
      <c r="R359" s="251" t="n">
        <v>2104.69</v>
      </c>
      <c r="S359" s="249" t="n">
        <v>17960</v>
      </c>
      <c r="T359" s="252">
        <f>S359*R359</f>
        <v/>
      </c>
      <c r="U359" s="245" t="n"/>
      <c r="V359" s="245" t="n"/>
      <c r="W359" s="245" t="n"/>
      <c r="X359" s="245" t="n"/>
      <c r="Y359" s="245" t="n"/>
      <c r="Z359" s="245" t="n"/>
    </row>
    <row r="360" ht="16.5" customHeight="1" s="202">
      <c r="A360" s="245" t="n"/>
      <c r="B360" s="245" t="n"/>
      <c r="C360" s="245" t="n"/>
      <c r="D360" s="245" t="n"/>
      <c r="E360" s="245" t="n"/>
      <c r="F360" s="245" t="n"/>
      <c r="G360" s="245" t="n"/>
      <c r="H360" s="247" t="n">
        <v>95</v>
      </c>
      <c r="I360" s="245" t="inlineStr"/>
      <c r="J360" s="245" t="inlineStr"/>
      <c r="K360" s="245" t="inlineStr">
        <is>
          <t>4IN VT GEL MF TOPPER EK</t>
        </is>
      </c>
      <c r="L360" s="245" t="inlineStr">
        <is>
          <t>GMT4K-IN</t>
        </is>
      </c>
      <c r="M360" s="248" t="inlineStr">
        <is>
          <t>3GJ2IHFJ</t>
        </is>
      </c>
      <c r="N360" s="245" t="inlineStr">
        <is>
          <t>F.TGT.04K.005.BD</t>
        </is>
      </c>
      <c r="O360" s="245" t="n"/>
      <c r="P360" s="245" t="n"/>
      <c r="Q360" s="250">
        <f>R360/H360</f>
        <v/>
      </c>
      <c r="R360" s="251" t="n">
        <v>3139.75</v>
      </c>
      <c r="S360" s="249" t="n">
        <v>17960</v>
      </c>
      <c r="T360" s="252">
        <f>S360*R360</f>
        <v/>
      </c>
      <c r="U360" s="245" t="n"/>
      <c r="V360" s="245" t="n"/>
      <c r="W360" s="245" t="n"/>
      <c r="X360" s="245" t="n"/>
      <c r="Y360" s="245" t="n"/>
      <c r="Z360" s="245" t="n"/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7" t="n">
        <v>246</v>
      </c>
      <c r="I361" s="245" t="inlineStr"/>
      <c r="J361" s="245" t="inlineStr"/>
      <c r="K361" s="245" t="inlineStr">
        <is>
          <t>3IN CV LAVENDER MF TOPPER QN</t>
        </is>
      </c>
      <c r="L361" s="245" t="inlineStr">
        <is>
          <t>ECMF-03QL-IN</t>
        </is>
      </c>
      <c r="M361" s="248" t="inlineStr">
        <is>
          <t>3RH6O2AV</t>
        </is>
      </c>
      <c r="N361" s="245" t="inlineStr">
        <is>
          <t>F.TMT.03Q.010.BD</t>
        </is>
      </c>
      <c r="O361" s="245" t="n"/>
      <c r="P361" s="245" t="n"/>
      <c r="Q361" s="250">
        <f>R361/H361</f>
        <v/>
      </c>
      <c r="R361" s="251" t="n">
        <v>4595.28</v>
      </c>
      <c r="S361" s="249" t="n">
        <v>17960</v>
      </c>
      <c r="T361" s="252">
        <f>S361*R361</f>
        <v/>
      </c>
      <c r="U361" s="245" t="n"/>
      <c r="V361" s="245" t="n"/>
      <c r="W361" s="245" t="n"/>
      <c r="X361" s="245" t="n"/>
      <c r="Y361" s="245" t="n"/>
      <c r="Z361" s="245" t="n"/>
    </row>
    <row r="362" ht="16.5" customHeight="1" s="202">
      <c r="A362" s="245" t="n"/>
      <c r="B362" s="245" t="n"/>
      <c r="C362" s="245" t="n"/>
      <c r="D362" s="245" t="n"/>
      <c r="E362" s="245" t="n"/>
      <c r="F362" s="245" t="n"/>
      <c r="G362" s="245" t="n"/>
      <c r="H362" s="247" t="n">
        <v>37</v>
      </c>
      <c r="I362" s="245" t="inlineStr"/>
      <c r="J362" s="245" t="inlineStr"/>
      <c r="K362" s="245" t="inlineStr">
        <is>
          <t>3IN CV LAVENDER MF TOPPER TX</t>
        </is>
      </c>
      <c r="L362" s="245" t="inlineStr">
        <is>
          <t>ECMF-03TXLL-IN</t>
        </is>
      </c>
      <c r="M362" s="248" t="inlineStr">
        <is>
          <t>3RH6O2AV</t>
        </is>
      </c>
      <c r="N362" s="245" t="inlineStr">
        <is>
          <t>F.TMT.03X.010.BD</t>
        </is>
      </c>
      <c r="O362" s="245" t="n"/>
      <c r="P362" s="245" t="n"/>
      <c r="Q362" s="250">
        <f>R362/H362</f>
        <v/>
      </c>
      <c r="R362" s="251" t="n">
        <v>444.74</v>
      </c>
      <c r="S362" s="249" t="n">
        <v>17960</v>
      </c>
      <c r="T362" s="252">
        <f>S362*R362</f>
        <v/>
      </c>
      <c r="U362" s="245" t="n"/>
      <c r="V362" s="245" t="n"/>
      <c r="W362" s="245" t="n"/>
      <c r="X362" s="245" t="n"/>
      <c r="Y362" s="245" t="n"/>
      <c r="Z362" s="245" t="n"/>
    </row>
    <row r="363" ht="16.5" customHeight="1" s="202">
      <c r="A363" s="245" t="n"/>
      <c r="B363" s="245" t="n"/>
      <c r="C363" s="245" t="n"/>
      <c r="D363" s="245" t="n"/>
      <c r="E363" s="245" t="n"/>
      <c r="F363" s="245" t="n"/>
      <c r="G363" s="245" t="n"/>
      <c r="H363" s="247" t="n">
        <v>40</v>
      </c>
      <c r="I363" s="245" t="inlineStr"/>
      <c r="J363" s="245" t="inlineStr"/>
      <c r="K363" s="245" t="inlineStr">
        <is>
          <t>4IN VT GEL MF TOPPER QN</t>
        </is>
      </c>
      <c r="L363" s="245" t="inlineStr">
        <is>
          <t>GMT4Q-IN</t>
        </is>
      </c>
      <c r="M363" s="248" t="inlineStr">
        <is>
          <t>3RH6O2AV</t>
        </is>
      </c>
      <c r="N363" s="245" t="inlineStr">
        <is>
          <t>F.TGT.04Q.005.BD</t>
        </is>
      </c>
      <c r="O363" s="245" t="n"/>
      <c r="P363" s="245" t="n"/>
      <c r="Q363" s="250">
        <f>R363/H363</f>
        <v/>
      </c>
      <c r="R363" s="251" t="n">
        <v>1050.4</v>
      </c>
      <c r="S363" s="249" t="n">
        <v>17960</v>
      </c>
      <c r="T363" s="252">
        <f>S363*R363</f>
        <v/>
      </c>
      <c r="U363" s="245" t="n"/>
      <c r="V363" s="245" t="n"/>
      <c r="W363" s="245" t="n"/>
      <c r="X363" s="245" t="n"/>
      <c r="Y363" s="245" t="n"/>
      <c r="Z363" s="245" t="n"/>
    </row>
    <row r="364" ht="16.5" customHeight="1" s="202">
      <c r="A364" s="245" t="n"/>
      <c r="B364" s="245" t="n"/>
      <c r="C364" s="245" t="n"/>
      <c r="D364" s="245" t="n"/>
      <c r="E364" s="245" t="n"/>
      <c r="F364" s="245" t="n"/>
      <c r="G364" s="245" t="n"/>
      <c r="H364" s="247" t="n">
        <v>54</v>
      </c>
      <c r="I364" s="245" t="inlineStr"/>
      <c r="J364" s="245" t="inlineStr"/>
      <c r="K364" s="245" t="inlineStr">
        <is>
          <t>3IN CV LAVENDER MF TOPPER TX</t>
        </is>
      </c>
      <c r="L364" s="245" t="inlineStr">
        <is>
          <t>ECMF-03TXLL-IN</t>
        </is>
      </c>
      <c r="M364" s="248" t="inlineStr">
        <is>
          <t>64LGW2BO</t>
        </is>
      </c>
      <c r="N364" s="245" t="inlineStr">
        <is>
          <t>F.TMT.03X.010.BD</t>
        </is>
      </c>
      <c r="O364" s="245" t="n"/>
      <c r="P364" s="245" t="n"/>
      <c r="Q364" s="250">
        <f>R364/H364</f>
        <v/>
      </c>
      <c r="R364" s="251" t="n">
        <v>649.08</v>
      </c>
      <c r="S364" s="249" t="n">
        <v>17960</v>
      </c>
      <c r="T364" s="252">
        <f>S364*R364</f>
        <v/>
      </c>
      <c r="U364" s="245" t="n"/>
      <c r="V364" s="245" t="n"/>
      <c r="W364" s="245" t="n"/>
      <c r="X364" s="245" t="n"/>
      <c r="Y364" s="245" t="n"/>
      <c r="Z364" s="245" t="n"/>
    </row>
    <row r="365" ht="16.5" customHeight="1" s="202">
      <c r="A365" s="245" t="n"/>
      <c r="B365" s="245" t="n"/>
      <c r="C365" s="245" t="n"/>
      <c r="D365" s="245" t="n"/>
      <c r="E365" s="245" t="n"/>
      <c r="F365" s="245" t="n"/>
      <c r="G365" s="245" t="n"/>
      <c r="H365" s="247" t="n">
        <v>27</v>
      </c>
      <c r="I365" s="245" t="inlineStr"/>
      <c r="J365" s="245" t="inlineStr"/>
      <c r="K365" s="245" t="inlineStr">
        <is>
          <t>1.5IN VT GEL MF TOPPER FL</t>
        </is>
      </c>
      <c r="L365" s="245" t="inlineStr">
        <is>
          <t>GMT1.5F-IN</t>
        </is>
      </c>
      <c r="M365" s="248" t="inlineStr">
        <is>
          <t>64LGW2BO</t>
        </is>
      </c>
      <c r="N365" s="245" t="inlineStr">
        <is>
          <t>F.TGT.01F.004.BD</t>
        </is>
      </c>
      <c r="O365" s="245" t="n"/>
      <c r="P365" s="245" t="n"/>
      <c r="Q365" s="250">
        <f>R365/H365</f>
        <v/>
      </c>
      <c r="R365" s="251" t="n">
        <v>281.61</v>
      </c>
      <c r="S365" s="249" t="n">
        <v>17960</v>
      </c>
      <c r="T365" s="252">
        <f>S365*R365</f>
        <v/>
      </c>
      <c r="U365" s="245" t="n"/>
      <c r="V365" s="245" t="n"/>
      <c r="W365" s="245" t="n"/>
      <c r="X365" s="245" t="n"/>
      <c r="Y365" s="245" t="n"/>
      <c r="Z365" s="245" t="n"/>
    </row>
    <row r="366" ht="16.5" customHeight="1" s="202">
      <c r="A366" s="245" t="n"/>
      <c r="B366" s="245" t="n"/>
      <c r="C366" s="245" t="n"/>
      <c r="D366" s="245" t="n"/>
      <c r="E366" s="245" t="n"/>
      <c r="F366" s="245" t="n"/>
      <c r="G366" s="245" t="n"/>
      <c r="H366" s="247" t="n">
        <v>69</v>
      </c>
      <c r="I366" s="245" t="inlineStr"/>
      <c r="J366" s="245" t="inlineStr"/>
      <c r="K366" s="245" t="inlineStr">
        <is>
          <t>1.5IN VT GEL MF TOPPER TW</t>
        </is>
      </c>
      <c r="L366" s="245" t="inlineStr">
        <is>
          <t>GMT1.5T-IN</t>
        </is>
      </c>
      <c r="M366" s="248" t="inlineStr">
        <is>
          <t>64LGW2BO</t>
        </is>
      </c>
      <c r="N366" s="245" t="inlineStr">
        <is>
          <t>F.TGT.01T.004.BD</t>
        </is>
      </c>
      <c r="O366" s="245" t="n"/>
      <c r="P366" s="245" t="n"/>
      <c r="Q366" s="250">
        <f>R366/H366</f>
        <v/>
      </c>
      <c r="R366" s="251" t="n">
        <v>576.15</v>
      </c>
      <c r="S366" s="249" t="n">
        <v>17960</v>
      </c>
      <c r="T366" s="252">
        <f>S366*R366</f>
        <v/>
      </c>
      <c r="U366" s="245" t="n"/>
      <c r="V366" s="245" t="n"/>
      <c r="W366" s="245" t="n"/>
      <c r="X366" s="245" t="n"/>
      <c r="Y366" s="245" t="n"/>
      <c r="Z366" s="245" t="n"/>
    </row>
    <row r="367" ht="16.5" customHeight="1" s="202">
      <c r="A367" s="245" t="n"/>
      <c r="B367" s="245" t="n"/>
      <c r="C367" s="245" t="n"/>
      <c r="D367" s="245" t="n"/>
      <c r="E367" s="245" t="n"/>
      <c r="F367" s="245" t="n"/>
      <c r="G367" s="245" t="n"/>
      <c r="H367" s="247" t="n">
        <v>10</v>
      </c>
      <c r="I367" s="245" t="inlineStr"/>
      <c r="J367" s="245" t="inlineStr"/>
      <c r="K367" s="245" t="inlineStr">
        <is>
          <t>2IN CV LAVENDER MF TOPPER QN</t>
        </is>
      </c>
      <c r="L367" s="245" t="inlineStr">
        <is>
          <t>ECMF-LV2Q-IN</t>
        </is>
      </c>
      <c r="M367" s="248" t="inlineStr">
        <is>
          <t>6JPBUPMH</t>
        </is>
      </c>
      <c r="N367" s="245" t="inlineStr">
        <is>
          <t>F.TMT.02Q.008.BD</t>
        </is>
      </c>
      <c r="O367" s="245" t="n"/>
      <c r="P367" s="245" t="n"/>
      <c r="Q367" s="250">
        <f>R367/H367</f>
        <v/>
      </c>
      <c r="R367" s="251" t="n">
        <v>121.3</v>
      </c>
      <c r="S367" s="249" t="n">
        <v>17960</v>
      </c>
      <c r="T367" s="252">
        <f>S367*R367</f>
        <v/>
      </c>
      <c r="U367" s="245" t="n"/>
      <c r="V367" s="245" t="n"/>
      <c r="W367" s="245" t="n"/>
      <c r="X367" s="245" t="n"/>
      <c r="Y367" s="245" t="n"/>
      <c r="Z367" s="245" t="n"/>
    </row>
    <row r="368" ht="17.1" customHeight="1" s="202">
      <c r="A368" s="253" t="n"/>
      <c r="B368" s="253" t="n"/>
      <c r="C368" s="253" t="n"/>
      <c r="D368" s="253" t="n"/>
      <c r="E368" s="253" t="n"/>
      <c r="F368" s="253" t="n"/>
      <c r="G368" s="253" t="n"/>
      <c r="H368" s="254">
        <f>SUM(H303:H367)</f>
        <v/>
      </c>
      <c r="I368" s="253">
        <f>COUNTA(I303:I367)</f>
        <v/>
      </c>
      <c r="J368" s="253" t="n"/>
      <c r="K368" s="253" t="n"/>
      <c r="L368" s="253" t="n"/>
      <c r="M368" s="253" t="n"/>
      <c r="N368" s="253" t="n"/>
      <c r="O368" s="255">
        <f>SUM(O303:O367)</f>
        <v/>
      </c>
      <c r="P368" s="255">
        <f>SUM(P303:P367)</f>
        <v/>
      </c>
      <c r="Q368" s="253" t="n"/>
      <c r="R368" s="256">
        <f>SUM(R303:R367)</f>
        <v/>
      </c>
      <c r="S368" s="253" t="n"/>
      <c r="T368" s="257">
        <f>SUM(T303:T367)</f>
        <v/>
      </c>
      <c r="U368" s="253" t="n"/>
      <c r="V368" s="253" t="n"/>
      <c r="W368" s="253" t="n"/>
      <c r="X368" s="253" t="n"/>
      <c r="Y368" s="253" t="n"/>
      <c r="Z368" s="253" t="n"/>
    </row>
    <row r="369" ht="16.5" customHeight="1" s="202">
      <c r="A369" s="245" t="n">
        <v>39</v>
      </c>
      <c r="B369" s="245" t="inlineStr">
        <is>
          <t>000030ZIK48020260811000607</t>
        </is>
      </c>
      <c r="C369" s="245" t="n">
        <v>504421</v>
      </c>
      <c r="D369" s="245" t="n">
        <v>504368</v>
      </c>
      <c r="E369" s="246" t="n">
        <v>46246</v>
      </c>
      <c r="F369" s="245" t="inlineStr">
        <is>
          <t>ID2607-7989</t>
        </is>
      </c>
      <c r="G369" s="246" t="n">
        <v>46234</v>
      </c>
      <c r="H369" s="247" t="n">
        <v>900</v>
      </c>
      <c r="I369" s="245" t="inlineStr">
        <is>
          <t>CAAU9033489</t>
        </is>
      </c>
      <c r="J369" s="245" t="inlineStr">
        <is>
          <t>40FT</t>
        </is>
      </c>
      <c r="K369" s="245" t="inlineStr">
        <is>
          <t>8IN GREEN TEA MF MATTRESS QN</t>
        </is>
      </c>
      <c r="L369" s="245" t="inlineStr">
        <is>
          <t>SCF-STR-800Q</t>
        </is>
      </c>
      <c r="M369" s="248" t="inlineStr">
        <is>
          <t>0993631087</t>
        </is>
      </c>
      <c r="N369" s="245" t="inlineStr">
        <is>
          <t>F.MFM.08Q.000.WS</t>
        </is>
      </c>
      <c r="O369" s="249" t="n">
        <v>21510</v>
      </c>
      <c r="P369" s="249" t="n">
        <v>19188</v>
      </c>
      <c r="Q369" s="250">
        <f>R369/H369</f>
        <v/>
      </c>
      <c r="R369" s="251" t="n">
        <v>84573</v>
      </c>
      <c r="S369" s="249" t="n">
        <v>17960</v>
      </c>
      <c r="T369" s="252">
        <f>S369*R369</f>
        <v/>
      </c>
      <c r="U369" s="245" t="inlineStr">
        <is>
          <t>040300/KPPBC</t>
        </is>
      </c>
      <c r="V369" s="245" t="inlineStr">
        <is>
          <t>TG. PRIOK</t>
        </is>
      </c>
      <c r="W369" s="245" t="inlineStr">
        <is>
          <t>CHICAGO, US</t>
        </is>
      </c>
      <c r="X369" s="245" t="inlineStr">
        <is>
          <t>WALMART, INC.</t>
        </is>
      </c>
      <c r="Y369" s="245" t="inlineStr">
        <is>
          <t>MAEU274246766</t>
        </is>
      </c>
      <c r="Z369" s="246" t="n">
        <v>46246</v>
      </c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5" t="n"/>
      <c r="I370" s="245" t="inlineStr">
        <is>
          <t>MRKU2065982</t>
        </is>
      </c>
      <c r="J370" s="245" t="inlineStr">
        <is>
          <t>40FT</t>
        </is>
      </c>
      <c r="K370" s="245" t="n"/>
      <c r="L370" s="245" t="n"/>
      <c r="M370" s="245" t="n"/>
      <c r="N370" s="245" t="n"/>
      <c r="O370" s="245" t="n"/>
      <c r="P370" s="245" t="n"/>
      <c r="Q370" s="245" t="n"/>
      <c r="R370" s="245" t="n"/>
      <c r="S370" s="245" t="n"/>
      <c r="T370" s="245" t="n"/>
      <c r="U370" s="245" t="n"/>
      <c r="V370" s="245" t="n"/>
      <c r="W370" s="245" t="inlineStr">
        <is>
          <t>ETD : 15-08-2026</t>
        </is>
      </c>
      <c r="X370" s="245" t="n"/>
      <c r="Y370" s="245" t="n"/>
      <c r="Z370" s="245" t="n"/>
    </row>
    <row r="371" ht="17.1" customHeight="1" s="202">
      <c r="A371" s="253" t="n"/>
      <c r="B371" s="253" t="n"/>
      <c r="C371" s="253" t="n"/>
      <c r="D371" s="253" t="n"/>
      <c r="E371" s="253" t="n"/>
      <c r="F371" s="253" t="n"/>
      <c r="G371" s="253" t="n"/>
      <c r="H371" s="254">
        <f>SUM(H369:H370)</f>
        <v/>
      </c>
      <c r="I371" s="253">
        <f>COUNTA(I369:I370)</f>
        <v/>
      </c>
      <c r="J371" s="253" t="n"/>
      <c r="K371" s="253" t="n"/>
      <c r="L371" s="253" t="n"/>
      <c r="M371" s="253" t="n"/>
      <c r="N371" s="253" t="n"/>
      <c r="O371" s="255">
        <f>SUM(O369:O370)</f>
        <v/>
      </c>
      <c r="P371" s="255">
        <f>SUM(P369:P370)</f>
        <v/>
      </c>
      <c r="Q371" s="253" t="n"/>
      <c r="R371" s="256">
        <f>SUM(R369:R370)</f>
        <v/>
      </c>
      <c r="S371" s="253" t="n"/>
      <c r="T371" s="257">
        <f>SUM(T369:T370)</f>
        <v/>
      </c>
      <c r="U371" s="253" t="n"/>
      <c r="V371" s="253" t="n"/>
      <c r="W371" s="253" t="n"/>
      <c r="X371" s="253" t="n"/>
      <c r="Y371" s="253" t="n"/>
      <c r="Z371" s="253" t="n"/>
    </row>
    <row r="372" ht="16.5" customHeight="1" s="202">
      <c r="A372" s="245" t="n">
        <v>40</v>
      </c>
      <c r="B372" s="245" t="inlineStr">
        <is>
          <t>000030ZIK48020260811000608</t>
        </is>
      </c>
      <c r="C372" s="245" t="n">
        <v>504458</v>
      </c>
      <c r="D372" s="245" t="n">
        <v>504405</v>
      </c>
      <c r="E372" s="246" t="n">
        <v>46246</v>
      </c>
      <c r="F372" s="245" t="inlineStr">
        <is>
          <t>ID2607-7990</t>
        </is>
      </c>
      <c r="G372" s="246" t="n">
        <v>46234</v>
      </c>
      <c r="H372" s="247" t="n">
        <v>872</v>
      </c>
      <c r="I372" s="245" t="inlineStr">
        <is>
          <t>HASU4270741</t>
        </is>
      </c>
      <c r="J372" s="245" t="inlineStr">
        <is>
          <t>40FT</t>
        </is>
      </c>
      <c r="K372" s="245" t="inlineStr">
        <is>
          <t>6IN MSS24-6TW</t>
        </is>
      </c>
      <c r="L372" s="245" t="inlineStr">
        <is>
          <t>MS24-6T</t>
        </is>
      </c>
      <c r="M372" s="248" t="inlineStr">
        <is>
          <t>1004113826</t>
        </is>
      </c>
      <c r="N372" s="245" t="inlineStr">
        <is>
          <t>F.MSS.06T.002.WS</t>
        </is>
      </c>
      <c r="O372" s="249" t="n">
        <v>15626.24</v>
      </c>
      <c r="P372" s="249" t="n">
        <v>13952</v>
      </c>
      <c r="Q372" s="250">
        <f>R372/H372</f>
        <v/>
      </c>
      <c r="R372" s="251" t="n">
        <v>27590.08</v>
      </c>
      <c r="S372" s="249" t="n">
        <v>17960</v>
      </c>
      <c r="T372" s="252">
        <f>S372*R372</f>
        <v/>
      </c>
      <c r="U372" s="245" t="inlineStr">
        <is>
          <t>040300/KPPBC</t>
        </is>
      </c>
      <c r="V372" s="245" t="inlineStr">
        <is>
          <t>TG. PRIOK</t>
        </is>
      </c>
      <c r="W372" s="245" t="inlineStr">
        <is>
          <t>CHICAGO, US</t>
        </is>
      </c>
      <c r="X372" s="245" t="inlineStr">
        <is>
          <t>WALMART, INC.</t>
        </is>
      </c>
      <c r="Y372" s="245" t="inlineStr">
        <is>
          <t>WMT100598</t>
        </is>
      </c>
      <c r="Z372" s="246" t="n">
        <v>46246</v>
      </c>
    </row>
    <row r="373" ht="16.5" customHeight="1" s="202">
      <c r="A373" s="245" t="n"/>
      <c r="B373" s="245" t="n"/>
      <c r="C373" s="245" t="n"/>
      <c r="D373" s="245" t="n"/>
      <c r="E373" s="245" t="n"/>
      <c r="F373" s="245" t="n"/>
      <c r="G373" s="245" t="n"/>
      <c r="H373" s="245" t="n"/>
      <c r="I373" s="245" t="n"/>
      <c r="J373" s="245" t="n"/>
      <c r="K373" s="245" t="n"/>
      <c r="L373" s="245" t="n"/>
      <c r="M373" s="245" t="n"/>
      <c r="N373" s="245" t="n"/>
      <c r="O373" s="245" t="n"/>
      <c r="P373" s="245" t="n"/>
      <c r="Q373" s="245" t="n"/>
      <c r="R373" s="245" t="n"/>
      <c r="S373" s="245" t="n"/>
      <c r="T373" s="245" t="n"/>
      <c r="U373" s="245" t="n"/>
      <c r="V373" s="245" t="n"/>
      <c r="W373" s="245" t="inlineStr">
        <is>
          <t>ETD : 15-08-2026</t>
        </is>
      </c>
      <c r="X373" s="245" t="n"/>
      <c r="Y373" s="245" t="n"/>
      <c r="Z373" s="245" t="n"/>
    </row>
    <row r="374" ht="17.1" customHeight="1" s="202">
      <c r="A374" s="253" t="n"/>
      <c r="B374" s="253" t="n"/>
      <c r="C374" s="253" t="n"/>
      <c r="D374" s="253" t="n"/>
      <c r="E374" s="253" t="n"/>
      <c r="F374" s="253" t="n"/>
      <c r="G374" s="253" t="n"/>
      <c r="H374" s="254">
        <f>SUM(H372:H373)</f>
        <v/>
      </c>
      <c r="I374" s="253">
        <f>COUNTA(I372:I373)</f>
        <v/>
      </c>
      <c r="J374" s="253" t="n"/>
      <c r="K374" s="253" t="n"/>
      <c r="L374" s="253" t="n"/>
      <c r="M374" s="253" t="n"/>
      <c r="N374" s="253" t="n"/>
      <c r="O374" s="255">
        <f>SUM(O372:O373)</f>
        <v/>
      </c>
      <c r="P374" s="255">
        <f>SUM(P372:P373)</f>
        <v/>
      </c>
      <c r="Q374" s="253" t="n"/>
      <c r="R374" s="256">
        <f>SUM(R372:R373)</f>
        <v/>
      </c>
      <c r="S374" s="253" t="n"/>
      <c r="T374" s="257">
        <f>SUM(T372:T373)</f>
        <v/>
      </c>
      <c r="U374" s="253" t="n"/>
      <c r="V374" s="253" t="n"/>
      <c r="W374" s="253" t="n"/>
      <c r="X374" s="253" t="n"/>
      <c r="Y374" s="253" t="n"/>
      <c r="Z374" s="253" t="n"/>
    </row>
    <row r="375" ht="16.5" customHeight="1" s="202">
      <c r="A375" s="245" t="n">
        <v>41</v>
      </c>
      <c r="B375" s="245" t="inlineStr">
        <is>
          <t>000030ZIK48020260812000609</t>
        </is>
      </c>
      <c r="C375" s="245" t="n">
        <v>511315</v>
      </c>
      <c r="D375" s="245" t="n">
        <v>511259</v>
      </c>
      <c r="E375" s="246" t="n">
        <v>46247</v>
      </c>
      <c r="F375" s="245" t="inlineStr">
        <is>
          <t>ID2608-8023</t>
        </is>
      </c>
      <c r="G375" s="246" t="n">
        <v>46238</v>
      </c>
      <c r="H375" s="247" t="n">
        <v>378</v>
      </c>
      <c r="I375" s="245" t="inlineStr">
        <is>
          <t>MSDU4200270</t>
        </is>
      </c>
      <c r="J375" s="245" t="inlineStr">
        <is>
          <t>40FT</t>
        </is>
      </c>
      <c r="K375" s="245" t="inlineStr">
        <is>
          <t>6IN GEL FOAM MATTRESS TW</t>
        </is>
      </c>
      <c r="L375" s="245" t="inlineStr">
        <is>
          <t>GFM-6T</t>
        </is>
      </c>
      <c r="M375" s="248" t="inlineStr">
        <is>
          <t>1HT4JZ6R</t>
        </is>
      </c>
      <c r="N375" s="245" t="inlineStr">
        <is>
          <t>F.MFG.06T.000.BD</t>
        </is>
      </c>
      <c r="O375" s="249" t="n">
        <v>10105.2</v>
      </c>
      <c r="P375" s="249" t="n">
        <v>7777.24</v>
      </c>
      <c r="Q375" s="250">
        <f>R375/H375</f>
        <v/>
      </c>
      <c r="R375" s="251" t="n">
        <v>12319.02</v>
      </c>
      <c r="S375" s="249" t="n">
        <v>17960</v>
      </c>
      <c r="T375" s="252">
        <f>S375*R375</f>
        <v/>
      </c>
      <c r="U375" s="245" t="inlineStr">
        <is>
          <t>040300/KPPBC</t>
        </is>
      </c>
      <c r="V375" s="245" t="inlineStr">
        <is>
          <t>TG. PRIOK</t>
        </is>
      </c>
      <c r="W375" s="245" t="inlineStr">
        <is>
          <t>LONG BEACH, US</t>
        </is>
      </c>
      <c r="X375" s="245" t="inlineStr">
        <is>
          <t>AMAZON.COM SERVICES LLC</t>
        </is>
      </c>
      <c r="Y375" s="245" t="inlineStr">
        <is>
          <t>MEDUKU519287</t>
        </is>
      </c>
      <c r="Z375" s="246" t="n">
        <v>46247</v>
      </c>
    </row>
    <row r="376" ht="16.5" customHeight="1" s="202">
      <c r="A376" s="245" t="n"/>
      <c r="B376" s="245" t="n"/>
      <c r="C376" s="245" t="n"/>
      <c r="D376" s="245" t="n"/>
      <c r="E376" s="245" t="n"/>
      <c r="F376" s="245" t="n"/>
      <c r="G376" s="245" t="n"/>
      <c r="H376" s="247" t="n">
        <v>80</v>
      </c>
      <c r="I376" s="245" t="inlineStr"/>
      <c r="J376" s="245" t="inlineStr"/>
      <c r="K376" s="245" t="inlineStr">
        <is>
          <t>8IN GREEN TEA MF MATTRESS TX</t>
        </is>
      </c>
      <c r="L376" s="245" t="inlineStr">
        <is>
          <t>BPM-FMS-8TXL-IN</t>
        </is>
      </c>
      <c r="M376" s="248" t="inlineStr">
        <is>
          <t>6ZRH8BEZ</t>
        </is>
      </c>
      <c r="N376" s="245" t="inlineStr">
        <is>
          <t>F.MFM.08X.002.BD</t>
        </is>
      </c>
      <c r="O376" s="245" t="n"/>
      <c r="P376" s="245" t="n"/>
      <c r="Q376" s="250">
        <f>R376/H376</f>
        <v/>
      </c>
      <c r="R376" s="251" t="n">
        <v>3623.2</v>
      </c>
      <c r="S376" s="249" t="n">
        <v>17960</v>
      </c>
      <c r="T376" s="252">
        <f>S376*R376</f>
        <v/>
      </c>
      <c r="U376" s="245" t="n"/>
      <c r="V376" s="245" t="n"/>
      <c r="W376" s="245" t="inlineStr">
        <is>
          <t>ETD : 20-08-2026</t>
        </is>
      </c>
      <c r="X376" s="245" t="n"/>
      <c r="Y376" s="245" t="n"/>
      <c r="Z376" s="245" t="n"/>
    </row>
    <row r="377" ht="16.5" customHeight="1" s="202">
      <c r="A377" s="245" t="n"/>
      <c r="B377" s="245" t="n"/>
      <c r="C377" s="245" t="n"/>
      <c r="D377" s="245" t="n"/>
      <c r="E377" s="245" t="n"/>
      <c r="F377" s="245" t="n"/>
      <c r="G377" s="245" t="n"/>
      <c r="H377" s="247" t="n">
        <v>28</v>
      </c>
      <c r="I377" s="245" t="inlineStr"/>
      <c r="J377" s="245" t="inlineStr"/>
      <c r="K377" s="245" t="inlineStr">
        <is>
          <t>12IN GEL FOAM MATTRESS TW</t>
        </is>
      </c>
      <c r="L377" s="245" t="inlineStr">
        <is>
          <t>GFM-12T</t>
        </is>
      </c>
      <c r="M377" s="248" t="inlineStr">
        <is>
          <t>6ZRH8BEZ</t>
        </is>
      </c>
      <c r="N377" s="245" t="inlineStr">
        <is>
          <t>F.MFG.12T.000.BD</t>
        </is>
      </c>
      <c r="O377" s="245" t="n"/>
      <c r="P377" s="245" t="n"/>
      <c r="Q377" s="250">
        <f>R377/H377</f>
        <v/>
      </c>
      <c r="R377" s="251" t="n">
        <v>1448.72</v>
      </c>
      <c r="S377" s="249" t="n">
        <v>17960</v>
      </c>
      <c r="T377" s="252">
        <f>S377*R377</f>
        <v/>
      </c>
      <c r="U377" s="245" t="n"/>
      <c r="V377" s="245" t="n"/>
      <c r="W377" s="245" t="n"/>
      <c r="X377" s="245" t="n"/>
      <c r="Y377" s="245" t="n"/>
      <c r="Z377" s="245" t="n"/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198</v>
      </c>
      <c r="I378" s="245" t="inlineStr"/>
      <c r="J378" s="245" t="inlineStr"/>
      <c r="K378" s="245" t="inlineStr">
        <is>
          <t>6IN GEL FOAM MATTRESS TW</t>
        </is>
      </c>
      <c r="L378" s="245" t="inlineStr">
        <is>
          <t>GFM-6T</t>
        </is>
      </c>
      <c r="M378" s="248" t="inlineStr">
        <is>
          <t>6ZRH8BEZ</t>
        </is>
      </c>
      <c r="N378" s="245" t="inlineStr">
        <is>
          <t>F.MFG.06T.000.BD</t>
        </is>
      </c>
      <c r="O378" s="245" t="n"/>
      <c r="P378" s="245" t="n"/>
      <c r="Q378" s="250">
        <f>R378/H378</f>
        <v/>
      </c>
      <c r="R378" s="251" t="n">
        <v>6452.82</v>
      </c>
      <c r="S378" s="249" t="n">
        <v>17960</v>
      </c>
      <c r="T378" s="252">
        <f>S378*R378</f>
        <v/>
      </c>
      <c r="U378" s="245" t="n"/>
      <c r="V378" s="245" t="n"/>
      <c r="W378" s="245" t="n"/>
      <c r="X378" s="245" t="n"/>
      <c r="Y378" s="245" t="n"/>
      <c r="Z378" s="245" t="n"/>
    </row>
    <row r="379" ht="16.5" customHeight="1" s="202">
      <c r="A379" s="245" t="n"/>
      <c r="B379" s="245" t="n"/>
      <c r="C379" s="245" t="n"/>
      <c r="D379" s="245" t="n"/>
      <c r="E379" s="245" t="n"/>
      <c r="F379" s="245" t="n"/>
      <c r="G379" s="245" t="n"/>
      <c r="H379" s="247" t="n">
        <v>32</v>
      </c>
      <c r="I379" s="245" t="inlineStr"/>
      <c r="J379" s="245" t="inlineStr"/>
      <c r="K379" s="245" t="inlineStr">
        <is>
          <t>10IN GREEN TEA MF MATTRESS TX</t>
        </is>
      </c>
      <c r="L379" s="245" t="inlineStr">
        <is>
          <t>OLC-FMS-1000TXL-IN</t>
        </is>
      </c>
      <c r="M379" s="248" t="inlineStr">
        <is>
          <t>6ZRH8BEZ</t>
        </is>
      </c>
      <c r="N379" s="245" t="inlineStr">
        <is>
          <t>F.MFM.10X.003.BD</t>
        </is>
      </c>
      <c r="O379" s="245" t="n"/>
      <c r="P379" s="245" t="n"/>
      <c r="Q379" s="250">
        <f>R379/H379</f>
        <v/>
      </c>
      <c r="R379" s="251" t="n">
        <v>1835.2</v>
      </c>
      <c r="S379" s="249" t="n">
        <v>17960</v>
      </c>
      <c r="T379" s="252">
        <f>S379*R379</f>
        <v/>
      </c>
      <c r="U379" s="245" t="n"/>
      <c r="V379" s="245" t="n"/>
      <c r="W379" s="245" t="n"/>
      <c r="X379" s="245" t="n"/>
      <c r="Y379" s="245" t="n"/>
      <c r="Z379" s="245" t="n"/>
    </row>
    <row r="380" ht="17.1" customHeight="1" s="202">
      <c r="A380" s="253" t="n"/>
      <c r="B380" s="253" t="n"/>
      <c r="C380" s="253" t="n"/>
      <c r="D380" s="253" t="n"/>
      <c r="E380" s="253" t="n"/>
      <c r="F380" s="253" t="n"/>
      <c r="G380" s="253" t="n"/>
      <c r="H380" s="254">
        <f>SUM(H375:H379)</f>
        <v/>
      </c>
      <c r="I380" s="253">
        <f>COUNTA(I375:I379)</f>
        <v/>
      </c>
      <c r="J380" s="253" t="n"/>
      <c r="K380" s="253" t="n"/>
      <c r="L380" s="253" t="n"/>
      <c r="M380" s="253" t="n"/>
      <c r="N380" s="253" t="n"/>
      <c r="O380" s="255">
        <f>SUM(O375:O379)</f>
        <v/>
      </c>
      <c r="P380" s="255">
        <f>SUM(P375:P379)</f>
        <v/>
      </c>
      <c r="Q380" s="253" t="n"/>
      <c r="R380" s="256">
        <f>SUM(R375:R379)</f>
        <v/>
      </c>
      <c r="S380" s="253" t="n"/>
      <c r="T380" s="257">
        <f>SUM(T375:T379)</f>
        <v/>
      </c>
      <c r="U380" s="253" t="n"/>
      <c r="V380" s="253" t="n"/>
      <c r="W380" s="253" t="n"/>
      <c r="X380" s="253" t="n"/>
      <c r="Y380" s="253" t="n"/>
      <c r="Z380" s="253" t="n"/>
    </row>
    <row r="381" ht="16.5" customHeight="1" s="202">
      <c r="A381" s="245" t="n">
        <v>42</v>
      </c>
      <c r="B381" s="245" t="inlineStr">
        <is>
          <t>000030ZIK48020260812000610</t>
        </is>
      </c>
      <c r="C381" s="245" t="n">
        <v>508398</v>
      </c>
      <c r="D381" s="245" t="n">
        <v>508343</v>
      </c>
      <c r="E381" s="246" t="n">
        <v>46247</v>
      </c>
      <c r="F381" s="245" t="inlineStr">
        <is>
          <t>ID2608-8024</t>
        </is>
      </c>
      <c r="G381" s="246" t="n">
        <v>46238</v>
      </c>
      <c r="H381" s="247" t="n">
        <v>962</v>
      </c>
      <c r="I381" s="245" t="inlineStr">
        <is>
          <t>MSDU6539730</t>
        </is>
      </c>
      <c r="J381" s="245" t="inlineStr">
        <is>
          <t>40FT</t>
        </is>
      </c>
      <c r="K381" s="245" t="inlineStr">
        <is>
          <t>8IN MYGEL FOAM MATTRESS TW</t>
        </is>
      </c>
      <c r="L381" s="245" t="inlineStr">
        <is>
          <t>ZU-MFGN1YZI-08T</t>
        </is>
      </c>
      <c r="M381" s="248" t="inlineStr">
        <is>
          <t>288HKRNT</t>
        </is>
      </c>
      <c r="N381" s="245" t="inlineStr">
        <is>
          <t>F.MFG.08T.003.AD</t>
        </is>
      </c>
      <c r="O381" s="249" t="n">
        <v>86832.99000000001</v>
      </c>
      <c r="P381" s="249" t="n">
        <v>77393.69</v>
      </c>
      <c r="Q381" s="250">
        <f>R381/H381</f>
        <v/>
      </c>
      <c r="R381" s="251" t="n">
        <v>34564.66</v>
      </c>
      <c r="S381" s="249" t="n">
        <v>17960</v>
      </c>
      <c r="T381" s="252">
        <f>S381*R381</f>
        <v/>
      </c>
      <c r="U381" s="245" t="inlineStr">
        <is>
          <t>040300/KPPBC</t>
        </is>
      </c>
      <c r="V381" s="245" t="inlineStr">
        <is>
          <t>TG. PRIOK</t>
        </is>
      </c>
      <c r="W381" s="245" t="inlineStr">
        <is>
          <t>LONG BEACH, US</t>
        </is>
      </c>
      <c r="X381" s="245" t="inlineStr">
        <is>
          <t>AMAZON.COM SERVICES LLC</t>
        </is>
      </c>
      <c r="Y381" s="245" t="inlineStr">
        <is>
          <t>MEDUKU519949</t>
        </is>
      </c>
      <c r="Z381" s="246" t="n">
        <v>46247</v>
      </c>
    </row>
    <row r="382" ht="16.5" customHeight="1" s="202">
      <c r="A382" s="245" t="n"/>
      <c r="B382" s="245" t="n"/>
      <c r="C382" s="245" t="n"/>
      <c r="D382" s="245" t="n"/>
      <c r="E382" s="245" t="n"/>
      <c r="F382" s="245" t="n"/>
      <c r="G382" s="245" t="n"/>
      <c r="H382" s="247" t="n">
        <v>909</v>
      </c>
      <c r="I382" s="245" t="inlineStr">
        <is>
          <t>TXGU5461220</t>
        </is>
      </c>
      <c r="J382" s="245" t="inlineStr">
        <is>
          <t>40FT</t>
        </is>
      </c>
      <c r="K382" s="245" t="inlineStr">
        <is>
          <t>5IN GREEN TEA MF MATTRESS TW</t>
        </is>
      </c>
      <c r="L382" s="245" t="inlineStr">
        <is>
          <t>ZU-MFMA1ZZI-05T</t>
        </is>
      </c>
      <c r="M382" s="248" t="inlineStr">
        <is>
          <t>3ONYLXZJ</t>
        </is>
      </c>
      <c r="N382" s="245" t="inlineStr">
        <is>
          <t>F.MFM.05T.007.AD</t>
        </is>
      </c>
      <c r="O382" s="245" t="n"/>
      <c r="P382" s="245" t="n"/>
      <c r="Q382" s="250">
        <f>R382/H382</f>
        <v/>
      </c>
      <c r="R382" s="251" t="n">
        <v>21506.94</v>
      </c>
      <c r="S382" s="249" t="n">
        <v>17960</v>
      </c>
      <c r="T382" s="252">
        <f>S382*R382</f>
        <v/>
      </c>
      <c r="U382" s="245" t="n"/>
      <c r="V382" s="245" t="n"/>
      <c r="W382" s="245" t="inlineStr">
        <is>
          <t>ETD : 20-08-2026</t>
        </is>
      </c>
      <c r="X382" s="245" t="n"/>
      <c r="Y382" s="245" t="n"/>
      <c r="Z382" s="245" t="n"/>
    </row>
    <row r="383" ht="16.5" customHeight="1" s="202">
      <c r="A383" s="245" t="n"/>
      <c r="B383" s="245" t="n"/>
      <c r="C383" s="245" t="n"/>
      <c r="D383" s="245" t="n"/>
      <c r="E383" s="245" t="n"/>
      <c r="F383" s="245" t="n"/>
      <c r="G383" s="245" t="n"/>
      <c r="H383" s="247" t="n">
        <v>158</v>
      </c>
      <c r="I383" s="245" t="inlineStr">
        <is>
          <t>MSMU4398814</t>
        </is>
      </c>
      <c r="J383" s="245" t="inlineStr">
        <is>
          <t>40FT</t>
        </is>
      </c>
      <c r="K383" s="245" t="inlineStr">
        <is>
          <t>12IN GREEN TEA MF MATTRESS TW</t>
        </is>
      </c>
      <c r="L383" s="245" t="inlineStr">
        <is>
          <t>ZU-MFMA1ZZI-12T</t>
        </is>
      </c>
      <c r="M383" s="248" t="inlineStr">
        <is>
          <t>3ONYLXZJ</t>
        </is>
      </c>
      <c r="N383" s="245" t="inlineStr">
        <is>
          <t>F.MFM.12T.006.AD</t>
        </is>
      </c>
      <c r="O383" s="245" t="n"/>
      <c r="P383" s="245" t="n"/>
      <c r="Q383" s="250">
        <f>R383/H383</f>
        <v/>
      </c>
      <c r="R383" s="251" t="n">
        <v>9985.6</v>
      </c>
      <c r="S383" s="249" t="n">
        <v>17960</v>
      </c>
      <c r="T383" s="252">
        <f>S383*R383</f>
        <v/>
      </c>
      <c r="U383" s="245" t="n"/>
      <c r="V383" s="245" t="n"/>
      <c r="W383" s="245" t="n"/>
      <c r="X383" s="245" t="n"/>
      <c r="Y383" s="245" t="n"/>
      <c r="Z383" s="245" t="n"/>
    </row>
    <row r="384" ht="16.5" customHeight="1" s="202">
      <c r="A384" s="245" t="n"/>
      <c r="B384" s="245" t="n"/>
      <c r="C384" s="245" t="n"/>
      <c r="D384" s="245" t="n"/>
      <c r="E384" s="245" t="n"/>
      <c r="F384" s="245" t="n"/>
      <c r="G384" s="245" t="n"/>
      <c r="H384" s="247" t="n">
        <v>568</v>
      </c>
      <c r="I384" s="245" t="inlineStr">
        <is>
          <t>SEKU6826061</t>
        </is>
      </c>
      <c r="J384" s="245" t="inlineStr">
        <is>
          <t>40FT</t>
        </is>
      </c>
      <c r="K384" s="245" t="inlineStr">
        <is>
          <t>12IN GREEN TEA MF MATTRESS FL</t>
        </is>
      </c>
      <c r="L384" s="245" t="inlineStr">
        <is>
          <t>ZU-MFMA1ZZI-12F</t>
        </is>
      </c>
      <c r="M384" s="248" t="inlineStr">
        <is>
          <t>3VB1AQ8L</t>
        </is>
      </c>
      <c r="N384" s="245" t="inlineStr">
        <is>
          <t>F.MFM.12F.006.AD</t>
        </is>
      </c>
      <c r="O384" s="245" t="n"/>
      <c r="P384" s="245" t="n"/>
      <c r="Q384" s="250">
        <f>R384/H384</f>
        <v/>
      </c>
      <c r="R384" s="251" t="n">
        <v>40305.28</v>
      </c>
      <c r="S384" s="249" t="n">
        <v>17960</v>
      </c>
      <c r="T384" s="252">
        <f>S384*R384</f>
        <v/>
      </c>
      <c r="U384" s="245" t="n"/>
      <c r="V384" s="245" t="n"/>
      <c r="W384" s="245" t="n"/>
      <c r="X384" s="245" t="n"/>
      <c r="Y384" s="245" t="n"/>
      <c r="Z384" s="245" t="n"/>
    </row>
    <row r="385" ht="16.5" customHeight="1" s="202">
      <c r="A385" s="245" t="n"/>
      <c r="B385" s="245" t="n"/>
      <c r="C385" s="245" t="n"/>
      <c r="D385" s="245" t="n"/>
      <c r="E385" s="245" t="n"/>
      <c r="F385" s="245" t="n"/>
      <c r="G385" s="245" t="n"/>
      <c r="H385" s="247" t="n">
        <v>947</v>
      </c>
      <c r="I385" s="245" t="inlineStr">
        <is>
          <t>MSBU7088608</t>
        </is>
      </c>
      <c r="J385" s="245" t="inlineStr">
        <is>
          <t>40FT</t>
        </is>
      </c>
      <c r="K385" s="245" t="inlineStr">
        <is>
          <t>8IN MYGEL FOAM MATTRESS TW</t>
        </is>
      </c>
      <c r="L385" s="245" t="inlineStr">
        <is>
          <t>ZU-MFGN1YZI-08T</t>
        </is>
      </c>
      <c r="M385" s="248" t="inlineStr">
        <is>
          <t>4D2C8SEG</t>
        </is>
      </c>
      <c r="N385" s="245" t="inlineStr">
        <is>
          <t>F.MFG.08T.003.AD</t>
        </is>
      </c>
      <c r="O385" s="245" t="n"/>
      <c r="P385" s="245" t="n"/>
      <c r="Q385" s="250">
        <f>R385/H385</f>
        <v/>
      </c>
      <c r="R385" s="251" t="n">
        <v>34025.71</v>
      </c>
      <c r="S385" s="249" t="n">
        <v>17960</v>
      </c>
      <c r="T385" s="252">
        <f>S385*R385</f>
        <v/>
      </c>
      <c r="U385" s="245" t="n"/>
      <c r="V385" s="245" t="n"/>
      <c r="W385" s="245" t="n"/>
      <c r="X385" s="245" t="n"/>
      <c r="Y385" s="245" t="n"/>
      <c r="Z385" s="245" t="n"/>
    </row>
    <row r="386" ht="16.5" customHeight="1" s="202">
      <c r="A386" s="245" t="n"/>
      <c r="B386" s="245" t="n"/>
      <c r="C386" s="245" t="n"/>
      <c r="D386" s="245" t="n"/>
      <c r="E386" s="245" t="n"/>
      <c r="F386" s="245" t="n"/>
      <c r="G386" s="245" t="n"/>
      <c r="H386" s="247" t="n">
        <v>1</v>
      </c>
      <c r="I386" s="245" t="inlineStr">
        <is>
          <t>MSBU5153896</t>
        </is>
      </c>
      <c r="J386" s="245" t="inlineStr">
        <is>
          <t>40FT</t>
        </is>
      </c>
      <c r="K386" s="245" t="inlineStr">
        <is>
          <t>12IN OPP HD QN</t>
        </is>
      </c>
      <c r="L386" s="245" t="inlineStr">
        <is>
          <t>ZU-MFMA1OZI-12Q</t>
        </is>
      </c>
      <c r="M386" s="248" t="inlineStr">
        <is>
          <t>4JZ62D3L</t>
        </is>
      </c>
      <c r="N386" s="245" t="inlineStr">
        <is>
          <t>F.MFM.12Q.010.AD</t>
        </is>
      </c>
      <c r="O386" s="245" t="n"/>
      <c r="P386" s="245" t="n"/>
      <c r="Q386" s="250">
        <f>R386/H386</f>
        <v/>
      </c>
      <c r="R386" s="251" t="n">
        <v>67.56999999999999</v>
      </c>
      <c r="S386" s="249" t="n">
        <v>17960</v>
      </c>
      <c r="T386" s="252">
        <f>S386*R386</f>
        <v/>
      </c>
      <c r="U386" s="245" t="n"/>
      <c r="V386" s="245" t="n"/>
      <c r="W386" s="245" t="n"/>
      <c r="X386" s="245" t="n"/>
      <c r="Y386" s="245" t="n"/>
      <c r="Z386" s="245" t="n"/>
    </row>
    <row r="387" ht="16.5" customHeight="1" s="202">
      <c r="A387" s="245" t="n"/>
      <c r="B387" s="245" t="n"/>
      <c r="C387" s="245" t="n"/>
      <c r="D387" s="245" t="n"/>
      <c r="E387" s="245" t="n"/>
      <c r="F387" s="245" t="n"/>
      <c r="G387" s="245" t="n"/>
      <c r="H387" s="247" t="n">
        <v>345</v>
      </c>
      <c r="I387" s="245" t="inlineStr">
        <is>
          <t>MSNU5092632</t>
        </is>
      </c>
      <c r="J387" s="245" t="inlineStr">
        <is>
          <t>40FT</t>
        </is>
      </c>
      <c r="K387" s="245" t="inlineStr">
        <is>
          <t>12IN AIRFLOW GEL FOAM MATT QN</t>
        </is>
      </c>
      <c r="L387" s="245" t="inlineStr">
        <is>
          <t>ZU-MFMA1RZI-12Q</t>
        </is>
      </c>
      <c r="M387" s="248" t="inlineStr">
        <is>
          <t>4JZ62D3L</t>
        </is>
      </c>
      <c r="N387" s="245" t="inlineStr">
        <is>
          <t>F.MFM.12Q.011.AD</t>
        </is>
      </c>
      <c r="O387" s="245" t="n"/>
      <c r="P387" s="245" t="n"/>
      <c r="Q387" s="250">
        <f>R387/H387</f>
        <v/>
      </c>
      <c r="R387" s="251" t="n">
        <v>23311.65</v>
      </c>
      <c r="S387" s="249" t="n">
        <v>17960</v>
      </c>
      <c r="T387" s="252">
        <f>S387*R387</f>
        <v/>
      </c>
      <c r="U387" s="245" t="n"/>
      <c r="V387" s="245" t="n"/>
      <c r="W387" s="245" t="n"/>
      <c r="X387" s="245" t="n"/>
      <c r="Y387" s="245" t="n"/>
      <c r="Z387" s="245" t="n"/>
    </row>
    <row r="388" ht="16.5" customHeight="1" s="202">
      <c r="A388" s="245" t="n"/>
      <c r="B388" s="245" t="n"/>
      <c r="C388" s="245" t="n"/>
      <c r="D388" s="245" t="n"/>
      <c r="E388" s="245" t="n"/>
      <c r="F388" s="245" t="n"/>
      <c r="G388" s="245" t="n"/>
      <c r="H388" s="247" t="n">
        <v>84</v>
      </c>
      <c r="I388" s="245" t="inlineStr"/>
      <c r="J388" s="245" t="inlineStr"/>
      <c r="K388" s="245" t="inlineStr">
        <is>
          <t>12IN GREEN TEA MF MATTRESS EK</t>
        </is>
      </c>
      <c r="L388" s="245" t="inlineStr">
        <is>
          <t>ZU-MFMA1ZZI-12K</t>
        </is>
      </c>
      <c r="M388" s="248" t="inlineStr">
        <is>
          <t>4JZ62D3L</t>
        </is>
      </c>
      <c r="N388" s="245" t="inlineStr">
        <is>
          <t>F.MFM.12K.006.AD</t>
        </is>
      </c>
      <c r="O388" s="245" t="n"/>
      <c r="P388" s="245" t="n"/>
      <c r="Q388" s="250">
        <f>R388/H388</f>
        <v/>
      </c>
      <c r="R388" s="251" t="n">
        <v>8565.48</v>
      </c>
      <c r="S388" s="249" t="n">
        <v>17960</v>
      </c>
      <c r="T388" s="252">
        <f>S388*R388</f>
        <v/>
      </c>
      <c r="U388" s="245" t="n"/>
      <c r="V388" s="245" t="n"/>
      <c r="W388" s="245" t="n"/>
      <c r="X388" s="245" t="n"/>
      <c r="Y388" s="245" t="n"/>
      <c r="Z388" s="245" t="n"/>
    </row>
    <row r="389" ht="16.5" customHeight="1" s="202">
      <c r="A389" s="245" t="n"/>
      <c r="B389" s="245" t="n"/>
      <c r="C389" s="245" t="n"/>
      <c r="D389" s="245" t="n"/>
      <c r="E389" s="245" t="n"/>
      <c r="F389" s="245" t="n"/>
      <c r="G389" s="245" t="n"/>
      <c r="H389" s="247" t="n">
        <v>501</v>
      </c>
      <c r="I389" s="245" t="inlineStr"/>
      <c r="J389" s="245" t="inlineStr"/>
      <c r="K389" s="245" t="inlineStr">
        <is>
          <t>12IN GREEN TEA MF MATTRESS QN</t>
        </is>
      </c>
      <c r="L389" s="245" t="inlineStr">
        <is>
          <t>ZU-MFMA1ZZI-12Q</t>
        </is>
      </c>
      <c r="M389" s="248" t="inlineStr">
        <is>
          <t>6H4R3BVW</t>
        </is>
      </c>
      <c r="N389" s="245" t="inlineStr">
        <is>
          <t>F.MFM.12Q.006.AD</t>
        </is>
      </c>
      <c r="O389" s="245" t="n"/>
      <c r="P389" s="245" t="n"/>
      <c r="Q389" s="250">
        <f>R389/H389</f>
        <v/>
      </c>
      <c r="R389" s="251" t="n">
        <v>41978.79</v>
      </c>
      <c r="S389" s="249" t="n">
        <v>17960</v>
      </c>
      <c r="T389" s="252">
        <f>S389*R389</f>
        <v/>
      </c>
      <c r="U389" s="245" t="n"/>
      <c r="V389" s="245" t="n"/>
      <c r="W389" s="245" t="n"/>
      <c r="X389" s="245" t="n"/>
      <c r="Y389" s="245" t="n"/>
      <c r="Z389" s="245" t="n"/>
    </row>
    <row r="390" ht="16.5" customHeight="1" s="202">
      <c r="A390" s="245" t="n"/>
      <c r="B390" s="245" t="n"/>
      <c r="C390" s="245" t="n"/>
      <c r="D390" s="245" t="n"/>
      <c r="E390" s="245" t="n"/>
      <c r="F390" s="245" t="n"/>
      <c r="G390" s="245" t="n"/>
      <c r="H390" s="247" t="n">
        <v>5</v>
      </c>
      <c r="I390" s="245" t="inlineStr"/>
      <c r="J390" s="245" t="inlineStr"/>
      <c r="K390" s="245" t="inlineStr">
        <is>
          <t>12IN GREEN TEA MF MATTRESS TX</t>
        </is>
      </c>
      <c r="L390" s="245" t="inlineStr">
        <is>
          <t>ZU-MFMA1ZZI-12X</t>
        </is>
      </c>
      <c r="M390" s="248" t="inlineStr">
        <is>
          <t>6H4R3BVW</t>
        </is>
      </c>
      <c r="N390" s="245" t="inlineStr">
        <is>
          <t>F.MFM.12X.006.AD</t>
        </is>
      </c>
      <c r="O390" s="245" t="n"/>
      <c r="P390" s="245" t="n"/>
      <c r="Q390" s="250">
        <f>R390/H390</f>
        <v/>
      </c>
      <c r="R390" s="251" t="n">
        <v>291.5</v>
      </c>
      <c r="S390" s="249" t="n">
        <v>17960</v>
      </c>
      <c r="T390" s="252">
        <f>S390*R390</f>
        <v/>
      </c>
      <c r="U390" s="245" t="n"/>
      <c r="V390" s="245" t="n"/>
      <c r="W390" s="245" t="n"/>
      <c r="X390" s="245" t="n"/>
      <c r="Y390" s="245" t="n"/>
      <c r="Z390" s="245" t="n"/>
    </row>
    <row r="391" ht="17.1" customHeight="1" s="202">
      <c r="A391" s="253" t="n"/>
      <c r="B391" s="253" t="n"/>
      <c r="C391" s="253" t="n"/>
      <c r="D391" s="253" t="n"/>
      <c r="E391" s="253" t="n"/>
      <c r="F391" s="253" t="n"/>
      <c r="G391" s="253" t="n"/>
      <c r="H391" s="254">
        <f>SUM(H381:H390)</f>
        <v/>
      </c>
      <c r="I391" s="253">
        <f>COUNTA(I381:I390)</f>
        <v/>
      </c>
      <c r="J391" s="253" t="n"/>
      <c r="K391" s="253" t="n"/>
      <c r="L391" s="253" t="n"/>
      <c r="M391" s="253" t="n"/>
      <c r="N391" s="253" t="n"/>
      <c r="O391" s="255">
        <f>SUM(O381:O390)</f>
        <v/>
      </c>
      <c r="P391" s="255">
        <f>SUM(P381:P390)</f>
        <v/>
      </c>
      <c r="Q391" s="253" t="n"/>
      <c r="R391" s="256">
        <f>SUM(R381:R390)</f>
        <v/>
      </c>
      <c r="S391" s="253" t="n"/>
      <c r="T391" s="257">
        <f>SUM(T381:T390)</f>
        <v/>
      </c>
      <c r="U391" s="253" t="n"/>
      <c r="V391" s="253" t="n"/>
      <c r="W391" s="253" t="n"/>
      <c r="X391" s="253" t="n"/>
      <c r="Y391" s="253" t="n"/>
      <c r="Z391" s="253" t="n"/>
    </row>
    <row r="392" ht="16.5" customHeight="1" s="202">
      <c r="A392" s="245" t="n">
        <v>43</v>
      </c>
      <c r="B392" s="245" t="inlineStr">
        <is>
          <t>000030ZIK48020260812000611</t>
        </is>
      </c>
      <c r="C392" s="245" t="n">
        <v>509356</v>
      </c>
      <c r="D392" s="245" t="n">
        <v>509296</v>
      </c>
      <c r="E392" s="246" t="n">
        <v>46247</v>
      </c>
      <c r="F392" s="245" t="inlineStr">
        <is>
          <t>ID2608-8025</t>
        </is>
      </c>
      <c r="G392" s="246" t="n">
        <v>46238</v>
      </c>
      <c r="H392" s="247" t="n">
        <v>76</v>
      </c>
      <c r="I392" s="245" t="inlineStr">
        <is>
          <t>MSBU6672849</t>
        </is>
      </c>
      <c r="J392" s="245" t="inlineStr">
        <is>
          <t>40FT</t>
        </is>
      </c>
      <c r="K392" s="245" t="inlineStr">
        <is>
          <t>10IN GREEN TEA MF MATTRESS SQ</t>
        </is>
      </c>
      <c r="L392" s="245" t="inlineStr">
        <is>
          <t>ZU-MFMA1FZI-10S</t>
        </is>
      </c>
      <c r="M392" s="248" t="inlineStr">
        <is>
          <t>1GQO1QUZ</t>
        </is>
      </c>
      <c r="N392" s="245" t="inlineStr">
        <is>
          <t>F.MFM.10S.009.AD</t>
        </is>
      </c>
      <c r="O392" s="249" t="n">
        <v>79963.21000000001</v>
      </c>
      <c r="P392" s="249" t="n">
        <v>71549.77</v>
      </c>
      <c r="Q392" s="250">
        <f>R392/H392</f>
        <v/>
      </c>
      <c r="R392" s="251" t="n">
        <v>5549.52</v>
      </c>
      <c r="S392" s="249" t="n">
        <v>17960</v>
      </c>
      <c r="T392" s="252">
        <f>S392*R392</f>
        <v/>
      </c>
      <c r="U392" s="245" t="inlineStr">
        <is>
          <t>040300/KPPBC</t>
        </is>
      </c>
      <c r="V392" s="245" t="inlineStr">
        <is>
          <t>TG. PRIOK</t>
        </is>
      </c>
      <c r="W392" s="245" t="inlineStr">
        <is>
          <t>LONG BEACH, US</t>
        </is>
      </c>
      <c r="X392" s="245" t="inlineStr">
        <is>
          <t>AMAZON.COM SERVICES LLC</t>
        </is>
      </c>
      <c r="Y392" s="245" t="inlineStr">
        <is>
          <t>MEDUKU519477</t>
        </is>
      </c>
      <c r="Z392" s="246" t="n">
        <v>46247</v>
      </c>
    </row>
    <row r="393" ht="16.5" customHeight="1" s="202">
      <c r="A393" s="245" t="n"/>
      <c r="B393" s="245" t="n"/>
      <c r="C393" s="245" t="n"/>
      <c r="D393" s="245" t="n"/>
      <c r="E393" s="245" t="n"/>
      <c r="F393" s="245" t="n"/>
      <c r="G393" s="245" t="n"/>
      <c r="H393" s="247" t="n">
        <v>930</v>
      </c>
      <c r="I393" s="245" t="inlineStr">
        <is>
          <t>MSMU4234826</t>
        </is>
      </c>
      <c r="J393" s="245" t="inlineStr">
        <is>
          <t>40FT</t>
        </is>
      </c>
      <c r="K393" s="245" t="inlineStr">
        <is>
          <t>5IN GREEN TEA MF MATTRESS TW</t>
        </is>
      </c>
      <c r="L393" s="245" t="inlineStr">
        <is>
          <t>ZU-MFMA1ZZI-05T</t>
        </is>
      </c>
      <c r="M393" s="248" t="inlineStr">
        <is>
          <t>1GQO1QUZ</t>
        </is>
      </c>
      <c r="N393" s="245" t="inlineStr">
        <is>
          <t>F.MFM.05T.007.AD</t>
        </is>
      </c>
      <c r="O393" s="245" t="n"/>
      <c r="P393" s="245" t="n"/>
      <c r="Q393" s="250">
        <f>R393/H393</f>
        <v/>
      </c>
      <c r="R393" s="251" t="n">
        <v>22003.8</v>
      </c>
      <c r="S393" s="249" t="n">
        <v>17960</v>
      </c>
      <c r="T393" s="252">
        <f>S393*R393</f>
        <v/>
      </c>
      <c r="U393" s="245" t="n"/>
      <c r="V393" s="245" t="n"/>
      <c r="W393" s="245" t="inlineStr">
        <is>
          <t>ETD : 20-08-2026</t>
        </is>
      </c>
      <c r="X393" s="245" t="n"/>
      <c r="Y393" s="245" t="n"/>
      <c r="Z393" s="245" t="n"/>
    </row>
    <row r="394" ht="16.5" customHeight="1" s="202">
      <c r="A394" s="245" t="n"/>
      <c r="B394" s="245" t="n"/>
      <c r="C394" s="245" t="n"/>
      <c r="D394" s="245" t="n"/>
      <c r="E394" s="245" t="n"/>
      <c r="F394" s="245" t="n"/>
      <c r="G394" s="245" t="n"/>
      <c r="H394" s="247" t="n">
        <v>39</v>
      </c>
      <c r="I394" s="245" t="inlineStr">
        <is>
          <t>MSDU7164156</t>
        </is>
      </c>
      <c r="J394" s="245" t="inlineStr">
        <is>
          <t>40FT</t>
        </is>
      </c>
      <c r="K394" s="245" t="inlineStr">
        <is>
          <t>10IN GREEN TEA MF MATTRESS SQ</t>
        </is>
      </c>
      <c r="L394" s="245" t="inlineStr">
        <is>
          <t>ZU-MFMA1FZI-10S</t>
        </is>
      </c>
      <c r="M394" s="248" t="inlineStr">
        <is>
          <t>2GEIPVAH</t>
        </is>
      </c>
      <c r="N394" s="245" t="inlineStr">
        <is>
          <t>F.MFM.10S.009.AD</t>
        </is>
      </c>
      <c r="O394" s="245" t="n"/>
      <c r="P394" s="245" t="n"/>
      <c r="Q394" s="250">
        <f>R394/H394</f>
        <v/>
      </c>
      <c r="R394" s="251" t="n">
        <v>2847.78</v>
      </c>
      <c r="S394" s="249" t="n">
        <v>17960</v>
      </c>
      <c r="T394" s="252">
        <f>S394*R394</f>
        <v/>
      </c>
      <c r="U394" s="245" t="n"/>
      <c r="V394" s="245" t="n"/>
      <c r="W394" s="245" t="n"/>
      <c r="X394" s="245" t="n"/>
      <c r="Y394" s="245" t="n"/>
      <c r="Z394" s="245" t="n"/>
    </row>
    <row r="395" ht="16.5" customHeight="1" s="202">
      <c r="A395" s="245" t="n"/>
      <c r="B395" s="245" t="n"/>
      <c r="C395" s="245" t="n"/>
      <c r="D395" s="245" t="n"/>
      <c r="E395" s="245" t="n"/>
      <c r="F395" s="245" t="n"/>
      <c r="G395" s="245" t="n"/>
      <c r="H395" s="247" t="n">
        <v>322</v>
      </c>
      <c r="I395" s="245" t="inlineStr">
        <is>
          <t>MSBU7195972</t>
        </is>
      </c>
      <c r="J395" s="245" t="inlineStr">
        <is>
          <t>40FT</t>
        </is>
      </c>
      <c r="K395" s="245" t="inlineStr">
        <is>
          <t>12IN GREEN TEA MF MATTRESS EK</t>
        </is>
      </c>
      <c r="L395" s="245" t="inlineStr">
        <is>
          <t>ZU-MFMA1ZZI-12K</t>
        </is>
      </c>
      <c r="M395" s="248" t="inlineStr">
        <is>
          <t>2GEIPVAH</t>
        </is>
      </c>
      <c r="N395" s="245" t="inlineStr">
        <is>
          <t>F.MFM.12K.006.AD</t>
        </is>
      </c>
      <c r="O395" s="245" t="n"/>
      <c r="P395" s="245" t="n"/>
      <c r="Q395" s="250">
        <f>R395/H395</f>
        <v/>
      </c>
      <c r="R395" s="251" t="n">
        <v>32834.34</v>
      </c>
      <c r="S395" s="249" t="n">
        <v>17960</v>
      </c>
      <c r="T395" s="252">
        <f>S395*R395</f>
        <v/>
      </c>
      <c r="U395" s="245" t="n"/>
      <c r="V395" s="245" t="n"/>
      <c r="W395" s="245" t="n"/>
      <c r="X395" s="245" t="n"/>
      <c r="Y395" s="245" t="n"/>
      <c r="Z395" s="245" t="n"/>
    </row>
    <row r="396" ht="16.5" customHeight="1" s="202">
      <c r="A396" s="245" t="n"/>
      <c r="B396" s="245" t="n"/>
      <c r="C396" s="245" t="n"/>
      <c r="D396" s="245" t="n"/>
      <c r="E396" s="245" t="n"/>
      <c r="F396" s="245" t="n"/>
      <c r="G396" s="245" t="n"/>
      <c r="H396" s="247" t="n">
        <v>132</v>
      </c>
      <c r="I396" s="245" t="inlineStr">
        <is>
          <t>MSDU7296975</t>
        </is>
      </c>
      <c r="J396" s="245" t="inlineStr">
        <is>
          <t>40FT</t>
        </is>
      </c>
      <c r="K396" s="245" t="inlineStr">
        <is>
          <t>12IN GREEN TEA MF MATTRESS TX</t>
        </is>
      </c>
      <c r="L396" s="245" t="inlineStr">
        <is>
          <t>ZU-MFMA1ZZI-12X</t>
        </is>
      </c>
      <c r="M396" s="248" t="inlineStr">
        <is>
          <t>2GEIPVAH</t>
        </is>
      </c>
      <c r="N396" s="245" t="inlineStr">
        <is>
          <t>F.MFM.12X.006.AD</t>
        </is>
      </c>
      <c r="O396" s="245" t="n"/>
      <c r="P396" s="245" t="n"/>
      <c r="Q396" s="250">
        <f>R396/H396</f>
        <v/>
      </c>
      <c r="R396" s="251" t="n">
        <v>7695.6</v>
      </c>
      <c r="S396" s="249" t="n">
        <v>17960</v>
      </c>
      <c r="T396" s="252">
        <f>S396*R396</f>
        <v/>
      </c>
      <c r="U396" s="245" t="n"/>
      <c r="V396" s="245" t="n"/>
      <c r="W396" s="245" t="n"/>
      <c r="X396" s="245" t="n"/>
      <c r="Y396" s="245" t="n"/>
      <c r="Z396" s="245" t="n"/>
    </row>
    <row r="397" ht="16.5" customHeight="1" s="202">
      <c r="A397" s="245" t="n"/>
      <c r="B397" s="245" t="n"/>
      <c r="C397" s="245" t="n"/>
      <c r="D397" s="245" t="n"/>
      <c r="E397" s="245" t="n"/>
      <c r="F397" s="245" t="n"/>
      <c r="G397" s="245" t="n"/>
      <c r="H397" s="247" t="n">
        <v>326</v>
      </c>
      <c r="I397" s="245" t="inlineStr">
        <is>
          <t>MSMU6934080</t>
        </is>
      </c>
      <c r="J397" s="245" t="inlineStr">
        <is>
          <t>40FT</t>
        </is>
      </c>
      <c r="K397" s="245" t="inlineStr">
        <is>
          <t>8IN GREEN TEA MF MATTRESS SQ</t>
        </is>
      </c>
      <c r="L397" s="245" t="inlineStr">
        <is>
          <t>ZU-MFMA1FZI-08S</t>
        </is>
      </c>
      <c r="M397" s="248" t="inlineStr">
        <is>
          <t>2PHVACAE</t>
        </is>
      </c>
      <c r="N397" s="245" t="inlineStr">
        <is>
          <t>F.MFM.08S.012.AD</t>
        </is>
      </c>
      <c r="O397" s="245" t="n"/>
      <c r="P397" s="245" t="n"/>
      <c r="Q397" s="250">
        <f>R397/H397</f>
        <v/>
      </c>
      <c r="R397" s="251" t="n">
        <v>20260.9</v>
      </c>
      <c r="S397" s="249" t="n">
        <v>17960</v>
      </c>
      <c r="T397" s="252">
        <f>S397*R397</f>
        <v/>
      </c>
      <c r="U397" s="245" t="n"/>
      <c r="V397" s="245" t="n"/>
      <c r="W397" s="245" t="n"/>
      <c r="X397" s="245" t="n"/>
      <c r="Y397" s="245" t="n"/>
      <c r="Z397" s="245" t="n"/>
    </row>
    <row r="398" ht="16.5" customHeight="1" s="202">
      <c r="A398" s="245" t="n"/>
      <c r="B398" s="245" t="n"/>
      <c r="C398" s="245" t="n"/>
      <c r="D398" s="245" t="n"/>
      <c r="E398" s="245" t="n"/>
      <c r="F398" s="245" t="n"/>
      <c r="G398" s="245" t="n"/>
      <c r="H398" s="247" t="n">
        <v>453</v>
      </c>
      <c r="I398" s="245" t="inlineStr">
        <is>
          <t>MSMU5062357</t>
        </is>
      </c>
      <c r="J398" s="245" t="inlineStr">
        <is>
          <t>40FT</t>
        </is>
      </c>
      <c r="K398" s="245" t="inlineStr">
        <is>
          <t>5IN GREEN TEA MF MATTRESS TW</t>
        </is>
      </c>
      <c r="L398" s="245" t="inlineStr">
        <is>
          <t>ZU-MFMA1ZZI-05T</t>
        </is>
      </c>
      <c r="M398" s="248" t="inlineStr">
        <is>
          <t>2PHVACAE</t>
        </is>
      </c>
      <c r="N398" s="245" t="inlineStr">
        <is>
          <t>F.MFM.05T.007.AD</t>
        </is>
      </c>
      <c r="O398" s="245" t="n"/>
      <c r="P398" s="245" t="n"/>
      <c r="Q398" s="250">
        <f>R398/H398</f>
        <v/>
      </c>
      <c r="R398" s="251" t="n">
        <v>10717.98</v>
      </c>
      <c r="S398" s="249" t="n">
        <v>17960</v>
      </c>
      <c r="T398" s="252">
        <f>S398*R398</f>
        <v/>
      </c>
      <c r="U398" s="245" t="n"/>
      <c r="V398" s="245" t="n"/>
      <c r="W398" s="245" t="n"/>
      <c r="X398" s="245" t="n"/>
      <c r="Y398" s="245" t="n"/>
      <c r="Z398" s="245" t="n"/>
    </row>
    <row r="399" ht="16.5" customHeight="1" s="202">
      <c r="A399" s="245" t="n"/>
      <c r="B399" s="245" t="n"/>
      <c r="C399" s="245" t="n"/>
      <c r="D399" s="245" t="n"/>
      <c r="E399" s="245" t="n"/>
      <c r="F399" s="245" t="n"/>
      <c r="G399" s="245" t="n"/>
      <c r="H399" s="247" t="n">
        <v>20</v>
      </c>
      <c r="I399" s="245" t="inlineStr"/>
      <c r="J399" s="245" t="inlineStr"/>
      <c r="K399" s="245" t="inlineStr">
        <is>
          <t>10IN GREEN TEA MF MATTRESS TX</t>
        </is>
      </c>
      <c r="L399" s="245" t="inlineStr">
        <is>
          <t>ZU-MFMA1ZZI-10X</t>
        </is>
      </c>
      <c r="M399" s="248" t="inlineStr">
        <is>
          <t>2PHVACAE</t>
        </is>
      </c>
      <c r="N399" s="245" t="inlineStr">
        <is>
          <t>F.MFM.10X.007.AD</t>
        </is>
      </c>
      <c r="O399" s="245" t="n"/>
      <c r="P399" s="245" t="n"/>
      <c r="Q399" s="250">
        <f>R399/H399</f>
        <v/>
      </c>
      <c r="R399" s="251" t="n">
        <v>1007</v>
      </c>
      <c r="S399" s="249" t="n">
        <v>17960</v>
      </c>
      <c r="T399" s="252">
        <f>S399*R399</f>
        <v/>
      </c>
      <c r="U399" s="245" t="n"/>
      <c r="V399" s="245" t="n"/>
      <c r="W399" s="245" t="n"/>
      <c r="X399" s="245" t="n"/>
      <c r="Y399" s="245" t="n"/>
      <c r="Z399" s="245" t="n"/>
    </row>
    <row r="400" ht="16.5" customHeight="1" s="202">
      <c r="A400" s="245" t="n"/>
      <c r="B400" s="245" t="n"/>
      <c r="C400" s="245" t="n"/>
      <c r="D400" s="245" t="n"/>
      <c r="E400" s="245" t="n"/>
      <c r="F400" s="245" t="n"/>
      <c r="G400" s="245" t="n"/>
      <c r="H400" s="247" t="n">
        <v>2</v>
      </c>
      <c r="I400" s="245" t="inlineStr"/>
      <c r="J400" s="245" t="inlineStr"/>
      <c r="K400" s="245" t="inlineStr">
        <is>
          <t>10IN OPP HD QN</t>
        </is>
      </c>
      <c r="L400" s="245" t="inlineStr">
        <is>
          <t>ZU-MFMA1OZI-10Q</t>
        </is>
      </c>
      <c r="M400" s="248" t="inlineStr">
        <is>
          <t>2R77FCUT</t>
        </is>
      </c>
      <c r="N400" s="245" t="inlineStr">
        <is>
          <t>F.MFM.10Q.013.AD</t>
        </is>
      </c>
      <c r="O400" s="245" t="n"/>
      <c r="P400" s="245" t="n"/>
      <c r="Q400" s="250">
        <f>R400/H400</f>
        <v/>
      </c>
      <c r="R400" s="251" t="n">
        <v>107.8</v>
      </c>
      <c r="S400" s="249" t="n">
        <v>17960</v>
      </c>
      <c r="T400" s="252">
        <f>S400*R400</f>
        <v/>
      </c>
      <c r="U400" s="245" t="n"/>
      <c r="V400" s="245" t="n"/>
      <c r="W400" s="245" t="n"/>
      <c r="X400" s="245" t="n"/>
      <c r="Y400" s="245" t="n"/>
      <c r="Z400" s="245" t="n"/>
    </row>
    <row r="401" ht="16.5" customHeight="1" s="202">
      <c r="A401" s="245" t="n"/>
      <c r="B401" s="245" t="n"/>
      <c r="C401" s="245" t="n"/>
      <c r="D401" s="245" t="n"/>
      <c r="E401" s="245" t="n"/>
      <c r="F401" s="245" t="n"/>
      <c r="G401" s="245" t="n"/>
      <c r="H401" s="247" t="n">
        <v>570</v>
      </c>
      <c r="I401" s="245" t="inlineStr"/>
      <c r="J401" s="245" t="inlineStr"/>
      <c r="K401" s="245" t="inlineStr">
        <is>
          <t>5IN GREEN TEA MF MATTRESS TW</t>
        </is>
      </c>
      <c r="L401" s="245" t="inlineStr">
        <is>
          <t>ZU-MFMA1ZZI-05T</t>
        </is>
      </c>
      <c r="M401" s="248" t="inlineStr">
        <is>
          <t>2R77FCUT</t>
        </is>
      </c>
      <c r="N401" s="245" t="inlineStr">
        <is>
          <t>F.MFM.05T.007.AD</t>
        </is>
      </c>
      <c r="O401" s="245" t="n"/>
      <c r="P401" s="245" t="n"/>
      <c r="Q401" s="250">
        <f>R401/H401</f>
        <v/>
      </c>
      <c r="R401" s="251" t="n">
        <v>13486.2</v>
      </c>
      <c r="S401" s="249" t="n">
        <v>17960</v>
      </c>
      <c r="T401" s="252">
        <f>S401*R401</f>
        <v/>
      </c>
      <c r="U401" s="245" t="n"/>
      <c r="V401" s="245" t="n"/>
      <c r="W401" s="245" t="n"/>
      <c r="X401" s="245" t="n"/>
      <c r="Y401" s="245" t="n"/>
      <c r="Z401" s="245" t="n"/>
    </row>
    <row r="402" ht="16.5" customHeight="1" s="202">
      <c r="A402" s="245" t="n"/>
      <c r="B402" s="245" t="n"/>
      <c r="C402" s="245" t="n"/>
      <c r="D402" s="245" t="n"/>
      <c r="E402" s="245" t="n"/>
      <c r="F402" s="245" t="n"/>
      <c r="G402" s="245" t="n"/>
      <c r="H402" s="247" t="n">
        <v>519</v>
      </c>
      <c r="I402" s="245" t="inlineStr"/>
      <c r="J402" s="245" t="inlineStr"/>
      <c r="K402" s="245" t="inlineStr">
        <is>
          <t>6IN GREEN TEA MF MATTRESS TW</t>
        </is>
      </c>
      <c r="L402" s="245" t="inlineStr">
        <is>
          <t>ZU-MFMA1ZZI-06T</t>
        </is>
      </c>
      <c r="M402" s="248" t="inlineStr">
        <is>
          <t>2R77FCUT</t>
        </is>
      </c>
      <c r="N402" s="245" t="inlineStr">
        <is>
          <t>F.MFM.06T.007.AD</t>
        </is>
      </c>
      <c r="O402" s="245" t="n"/>
      <c r="P402" s="245" t="n"/>
      <c r="Q402" s="250">
        <f>R402/H402</f>
        <v/>
      </c>
      <c r="R402" s="251" t="n">
        <v>15834.69</v>
      </c>
      <c r="S402" s="249" t="n">
        <v>17960</v>
      </c>
      <c r="T402" s="252">
        <f>S402*R402</f>
        <v/>
      </c>
      <c r="U402" s="245" t="n"/>
      <c r="V402" s="245" t="n"/>
      <c r="W402" s="245" t="n"/>
      <c r="X402" s="245" t="n"/>
      <c r="Y402" s="245" t="n"/>
      <c r="Z402" s="245" t="n"/>
    </row>
    <row r="403" ht="16.5" customHeight="1" s="202">
      <c r="A403" s="245" t="n"/>
      <c r="B403" s="245" t="n"/>
      <c r="C403" s="245" t="n"/>
      <c r="D403" s="245" t="n"/>
      <c r="E403" s="245" t="n"/>
      <c r="F403" s="245" t="n"/>
      <c r="G403" s="245" t="n"/>
      <c r="H403" s="247" t="n">
        <v>91</v>
      </c>
      <c r="I403" s="245" t="inlineStr"/>
      <c r="J403" s="245" t="inlineStr"/>
      <c r="K403" s="245" t="inlineStr">
        <is>
          <t>10IN GREEN TEA MF MATTRESS EK</t>
        </is>
      </c>
      <c r="L403" s="245" t="inlineStr">
        <is>
          <t>ZU-MFMA1ZZI-10K</t>
        </is>
      </c>
      <c r="M403" s="248" t="inlineStr">
        <is>
          <t>3FVE7AGP</t>
        </is>
      </c>
      <c r="N403" s="245" t="inlineStr">
        <is>
          <t>F.MFM.10K.007.AD</t>
        </is>
      </c>
      <c r="O403" s="245" t="n"/>
      <c r="P403" s="245" t="n"/>
      <c r="Q403" s="250">
        <f>R403/H403</f>
        <v/>
      </c>
      <c r="R403" s="251" t="n">
        <v>8837.01</v>
      </c>
      <c r="S403" s="249" t="n">
        <v>17960</v>
      </c>
      <c r="T403" s="252">
        <f>S403*R403</f>
        <v/>
      </c>
      <c r="U403" s="245" t="n"/>
      <c r="V403" s="245" t="n"/>
      <c r="W403" s="245" t="n"/>
      <c r="X403" s="245" t="n"/>
      <c r="Y403" s="245" t="n"/>
      <c r="Z403" s="245" t="n"/>
    </row>
    <row r="404" ht="16.5" customHeight="1" s="202">
      <c r="A404" s="245" t="n"/>
      <c r="B404" s="245" t="n"/>
      <c r="C404" s="245" t="n"/>
      <c r="D404" s="245" t="n"/>
      <c r="E404" s="245" t="n"/>
      <c r="F404" s="245" t="n"/>
      <c r="G404" s="245" t="n"/>
      <c r="H404" s="247" t="n">
        <v>411</v>
      </c>
      <c r="I404" s="245" t="inlineStr"/>
      <c r="J404" s="245" t="inlineStr"/>
      <c r="K404" s="245" t="inlineStr">
        <is>
          <t>12IN GREEN TEA MF MATTRESS FL</t>
        </is>
      </c>
      <c r="L404" s="245" t="inlineStr">
        <is>
          <t>ZU-MFMA1ZZI-12F</t>
        </is>
      </c>
      <c r="M404" s="248" t="inlineStr">
        <is>
          <t>3FVE7AGP</t>
        </is>
      </c>
      <c r="N404" s="245" t="inlineStr">
        <is>
          <t>F.MFM.12F.006.AD</t>
        </is>
      </c>
      <c r="O404" s="245" t="n"/>
      <c r="P404" s="245" t="n"/>
      <c r="Q404" s="250">
        <f>R404/H404</f>
        <v/>
      </c>
      <c r="R404" s="251" t="n">
        <v>29164.56</v>
      </c>
      <c r="S404" s="249" t="n">
        <v>17960</v>
      </c>
      <c r="T404" s="252">
        <f>S404*R404</f>
        <v/>
      </c>
      <c r="U404" s="245" t="n"/>
      <c r="V404" s="245" t="n"/>
      <c r="W404" s="245" t="n"/>
      <c r="X404" s="245" t="n"/>
      <c r="Y404" s="245" t="n"/>
      <c r="Z404" s="245" t="n"/>
    </row>
    <row r="405" ht="16.5" customHeight="1" s="202">
      <c r="A405" s="245" t="n"/>
      <c r="B405" s="245" t="n"/>
      <c r="C405" s="245" t="n"/>
      <c r="D405" s="245" t="n"/>
      <c r="E405" s="245" t="n"/>
      <c r="F405" s="245" t="n"/>
      <c r="G405" s="245" t="n"/>
      <c r="H405" s="247" t="n">
        <v>1040</v>
      </c>
      <c r="I405" s="245" t="inlineStr"/>
      <c r="J405" s="245" t="inlineStr"/>
      <c r="K405" s="245" t="inlineStr">
        <is>
          <t>5IN GREEN TEA MF MATTRESS TW</t>
        </is>
      </c>
      <c r="L405" s="245" t="inlineStr">
        <is>
          <t>ZU-MFMA1ZZI-05T</t>
        </is>
      </c>
      <c r="M405" s="248" t="inlineStr">
        <is>
          <t>8IJ4KOJJ</t>
        </is>
      </c>
      <c r="N405" s="245" t="inlineStr">
        <is>
          <t>F.MFM.05T.007.AD</t>
        </is>
      </c>
      <c r="O405" s="245" t="n"/>
      <c r="P405" s="245" t="n"/>
      <c r="Q405" s="250">
        <f>R405/H405</f>
        <v/>
      </c>
      <c r="R405" s="251" t="n">
        <v>24606.4</v>
      </c>
      <c r="S405" s="249" t="n">
        <v>17960</v>
      </c>
      <c r="T405" s="252">
        <f>S405*R405</f>
        <v/>
      </c>
      <c r="U405" s="245" t="n"/>
      <c r="V405" s="245" t="n"/>
      <c r="W405" s="245" t="n"/>
      <c r="X405" s="245" t="n"/>
      <c r="Y405" s="245" t="n"/>
      <c r="Z405" s="245" t="n"/>
    </row>
    <row r="406" ht="16.5" customHeight="1" s="202">
      <c r="A406" s="245" t="n"/>
      <c r="B406" s="245" t="n"/>
      <c r="C406" s="245" t="n"/>
      <c r="D406" s="245" t="n"/>
      <c r="E406" s="245" t="n"/>
      <c r="F406" s="245" t="n"/>
      <c r="G406" s="245" t="n"/>
      <c r="H406" s="247" t="n">
        <v>111</v>
      </c>
      <c r="I406" s="245" t="inlineStr"/>
      <c r="J406" s="245" t="inlineStr"/>
      <c r="K406" s="245" t="inlineStr">
        <is>
          <t>6IN GREEN TEA MF MATTRESS NT</t>
        </is>
      </c>
      <c r="L406" s="245" t="inlineStr">
        <is>
          <t>ZU-MFMA1ZZI-06N</t>
        </is>
      </c>
      <c r="M406" s="248" t="inlineStr">
        <is>
          <t>8IJ4KOJJ</t>
        </is>
      </c>
      <c r="N406" s="245" t="inlineStr">
        <is>
          <t>F.MFM.06N.007.AD</t>
        </is>
      </c>
      <c r="O406" s="245" t="n"/>
      <c r="P406" s="245" t="n"/>
      <c r="Q406" s="250">
        <f>R406/H406</f>
        <v/>
      </c>
      <c r="R406" s="251" t="n">
        <v>2784.99</v>
      </c>
      <c r="S406" s="249" t="n">
        <v>17960</v>
      </c>
      <c r="T406" s="252">
        <f>S406*R406</f>
        <v/>
      </c>
      <c r="U406" s="245" t="n"/>
      <c r="V406" s="245" t="n"/>
      <c r="W406" s="245" t="n"/>
      <c r="X406" s="245" t="n"/>
      <c r="Y406" s="245" t="n"/>
      <c r="Z406" s="245" t="n"/>
    </row>
    <row r="407" ht="17.1" customHeight="1" s="202">
      <c r="A407" s="253" t="n"/>
      <c r="B407" s="253" t="n"/>
      <c r="C407" s="253" t="n"/>
      <c r="D407" s="253" t="n"/>
      <c r="E407" s="253" t="n"/>
      <c r="F407" s="253" t="n"/>
      <c r="G407" s="253" t="n"/>
      <c r="H407" s="254">
        <f>SUM(H392:H406)</f>
        <v/>
      </c>
      <c r="I407" s="253">
        <f>COUNTA(I392:I406)</f>
        <v/>
      </c>
      <c r="J407" s="253" t="n"/>
      <c r="K407" s="253" t="n"/>
      <c r="L407" s="253" t="n"/>
      <c r="M407" s="253" t="n"/>
      <c r="N407" s="253" t="n"/>
      <c r="O407" s="255">
        <f>SUM(O392:O406)</f>
        <v/>
      </c>
      <c r="P407" s="255">
        <f>SUM(P392:P406)</f>
        <v/>
      </c>
      <c r="Q407" s="253" t="n"/>
      <c r="R407" s="256">
        <f>SUM(R392:R406)</f>
        <v/>
      </c>
      <c r="S407" s="253" t="n"/>
      <c r="T407" s="257">
        <f>SUM(T392:T406)</f>
        <v/>
      </c>
      <c r="U407" s="253" t="n"/>
      <c r="V407" s="253" t="n"/>
      <c r="W407" s="253" t="n"/>
      <c r="X407" s="253" t="n"/>
      <c r="Y407" s="253" t="n"/>
      <c r="Z407" s="253" t="n"/>
    </row>
    <row r="408" ht="16.5" customHeight="1" s="202">
      <c r="A408" s="245" t="n">
        <v>44</v>
      </c>
      <c r="B408" s="245" t="inlineStr">
        <is>
          <t>000030ZIK48020260812000612</t>
        </is>
      </c>
      <c r="C408" s="245" t="n">
        <v>511298</v>
      </c>
      <c r="D408" s="245" t="n">
        <v>511242</v>
      </c>
      <c r="E408" s="246" t="n">
        <v>46247</v>
      </c>
      <c r="F408" s="245" t="inlineStr">
        <is>
          <t>ID2608-8026</t>
        </is>
      </c>
      <c r="G408" s="246" t="n">
        <v>46238</v>
      </c>
      <c r="H408" s="247" t="n">
        <v>97</v>
      </c>
      <c r="I408" s="245" t="inlineStr">
        <is>
          <t>MSMU8719933</t>
        </is>
      </c>
      <c r="J408" s="245" t="inlineStr">
        <is>
          <t>40FT</t>
        </is>
      </c>
      <c r="K408" s="245" t="inlineStr">
        <is>
          <t>12IN MYGEL FOAM MATTRESS FL</t>
        </is>
      </c>
      <c r="L408" s="245" t="inlineStr">
        <is>
          <t>ZU-MFGN1YZI-12F</t>
        </is>
      </c>
      <c r="M408" s="248" t="inlineStr">
        <is>
          <t>1FYOB3NT</t>
        </is>
      </c>
      <c r="N408" s="245" t="inlineStr">
        <is>
          <t>F.MFG.12F.002.AD</t>
        </is>
      </c>
      <c r="O408" s="249" t="n">
        <v>86577.74000000001</v>
      </c>
      <c r="P408" s="249" t="n">
        <v>78134.14999999999</v>
      </c>
      <c r="Q408" s="250">
        <f>R408/H408</f>
        <v/>
      </c>
      <c r="R408" s="251" t="n">
        <v>6868.57</v>
      </c>
      <c r="S408" s="249" t="n">
        <v>17960</v>
      </c>
      <c r="T408" s="252">
        <f>S408*R408</f>
        <v/>
      </c>
      <c r="U408" s="245" t="inlineStr">
        <is>
          <t>040300/KPPBC</t>
        </is>
      </c>
      <c r="V408" s="245" t="inlineStr">
        <is>
          <t>TG. PRIOK</t>
        </is>
      </c>
      <c r="W408" s="245" t="inlineStr">
        <is>
          <t>LONG BEACH, US</t>
        </is>
      </c>
      <c r="X408" s="245" t="inlineStr">
        <is>
          <t>AMAZON.COM SERVICES LLC</t>
        </is>
      </c>
      <c r="Y408" s="245" t="inlineStr">
        <is>
          <t>MEDUKU519592</t>
        </is>
      </c>
      <c r="Z408" s="246" t="n">
        <v>46247</v>
      </c>
    </row>
    <row r="409" ht="16.5" customHeight="1" s="202">
      <c r="A409" s="245" t="n"/>
      <c r="B409" s="245" t="n"/>
      <c r="C409" s="245" t="n"/>
      <c r="D409" s="245" t="n"/>
      <c r="E409" s="245" t="n"/>
      <c r="F409" s="245" t="n"/>
      <c r="G409" s="245" t="n"/>
      <c r="H409" s="247" t="n">
        <v>7</v>
      </c>
      <c r="I409" s="245" t="inlineStr">
        <is>
          <t>CAAU7858562</t>
        </is>
      </c>
      <c r="J409" s="245" t="inlineStr">
        <is>
          <t>40FT</t>
        </is>
      </c>
      <c r="K409" s="245" t="inlineStr">
        <is>
          <t>12IN AIRFLOW GEL FOAM MATT TW</t>
        </is>
      </c>
      <c r="L409" s="245" t="inlineStr">
        <is>
          <t>ZU-MFMA1RZI-12T</t>
        </is>
      </c>
      <c r="M409" s="248" t="inlineStr">
        <is>
          <t>1FYOB3NT</t>
        </is>
      </c>
      <c r="N409" s="245" t="inlineStr">
        <is>
          <t>F.MFM.12T.011.AD</t>
        </is>
      </c>
      <c r="O409" s="245" t="n"/>
      <c r="P409" s="245" t="n"/>
      <c r="Q409" s="250">
        <f>R409/H409</f>
        <v/>
      </c>
      <c r="R409" s="251" t="n">
        <v>293.44</v>
      </c>
      <c r="S409" s="249" t="n">
        <v>17960</v>
      </c>
      <c r="T409" s="252">
        <f>S409*R409</f>
        <v/>
      </c>
      <c r="U409" s="245" t="n"/>
      <c r="V409" s="245" t="n"/>
      <c r="W409" s="245" t="inlineStr">
        <is>
          <t>ETD : 20-08-2026</t>
        </is>
      </c>
      <c r="X409" s="245" t="n"/>
      <c r="Y409" s="245" t="n"/>
      <c r="Z409" s="245" t="n"/>
    </row>
    <row r="410" ht="16.5" customHeight="1" s="202">
      <c r="A410" s="245" t="n"/>
      <c r="B410" s="245" t="n"/>
      <c r="C410" s="245" t="n"/>
      <c r="D410" s="245" t="n"/>
      <c r="E410" s="245" t="n"/>
      <c r="F410" s="245" t="n"/>
      <c r="G410" s="245" t="n"/>
      <c r="H410" s="247" t="n">
        <v>295</v>
      </c>
      <c r="I410" s="245" t="inlineStr">
        <is>
          <t>MSMU5535172</t>
        </is>
      </c>
      <c r="J410" s="245" t="inlineStr">
        <is>
          <t>40FT</t>
        </is>
      </c>
      <c r="K410" s="245" t="inlineStr">
        <is>
          <t>12IN GREEN TEA MF MATTRESS EK</t>
        </is>
      </c>
      <c r="L410" s="245" t="inlineStr">
        <is>
          <t>ZU-MFMA1ZZI-12K</t>
        </is>
      </c>
      <c r="M410" s="248" t="inlineStr">
        <is>
          <t>1FYOB3NT</t>
        </is>
      </c>
      <c r="N410" s="245" t="inlineStr">
        <is>
          <t>F.MFM.12K.006.AD</t>
        </is>
      </c>
      <c r="O410" s="245" t="n"/>
      <c r="P410" s="245" t="n"/>
      <c r="Q410" s="250">
        <f>R410/H410</f>
        <v/>
      </c>
      <c r="R410" s="251" t="n">
        <v>30081.15</v>
      </c>
      <c r="S410" s="249" t="n">
        <v>17960</v>
      </c>
      <c r="T410" s="252">
        <f>S410*R410</f>
        <v/>
      </c>
      <c r="U410" s="245" t="n"/>
      <c r="V410" s="245" t="n"/>
      <c r="W410" s="245" t="n"/>
      <c r="X410" s="245" t="n"/>
      <c r="Y410" s="245" t="n"/>
      <c r="Z410" s="245" t="n"/>
    </row>
    <row r="411" ht="16.5" customHeight="1" s="202">
      <c r="A411" s="245" t="n"/>
      <c r="B411" s="245" t="n"/>
      <c r="C411" s="245" t="n"/>
      <c r="D411" s="245" t="n"/>
      <c r="E411" s="245" t="n"/>
      <c r="F411" s="245" t="n"/>
      <c r="G411" s="245" t="n"/>
      <c r="H411" s="247" t="n">
        <v>61</v>
      </c>
      <c r="I411" s="245" t="inlineStr">
        <is>
          <t>MSCU5454527</t>
        </is>
      </c>
      <c r="J411" s="245" t="inlineStr">
        <is>
          <t>40FT</t>
        </is>
      </c>
      <c r="K411" s="245" t="inlineStr">
        <is>
          <t>12IN GREEN TEA MF MATTRESS TX</t>
        </is>
      </c>
      <c r="L411" s="245" t="inlineStr">
        <is>
          <t>ZU-MFMA1ZZI-12X</t>
        </is>
      </c>
      <c r="M411" s="248" t="inlineStr">
        <is>
          <t>1FYOB3NT</t>
        </is>
      </c>
      <c r="N411" s="245" t="inlineStr">
        <is>
          <t>F.MFM.12X.006.AD</t>
        </is>
      </c>
      <c r="O411" s="245" t="n"/>
      <c r="P411" s="245" t="n"/>
      <c r="Q411" s="250">
        <f>R411/H411</f>
        <v/>
      </c>
      <c r="R411" s="251" t="n">
        <v>3556.3</v>
      </c>
      <c r="S411" s="249" t="n">
        <v>17960</v>
      </c>
      <c r="T411" s="252">
        <f>S411*R411</f>
        <v/>
      </c>
      <c r="U411" s="245" t="n"/>
      <c r="V411" s="245" t="n"/>
      <c r="W411" s="245" t="n"/>
      <c r="X411" s="245" t="n"/>
      <c r="Y411" s="245" t="n"/>
      <c r="Z411" s="245" t="n"/>
    </row>
    <row r="412" ht="16.5" customHeight="1" s="202">
      <c r="A412" s="245" t="n"/>
      <c r="B412" s="245" t="n"/>
      <c r="C412" s="245" t="n"/>
      <c r="D412" s="245" t="n"/>
      <c r="E412" s="245" t="n"/>
      <c r="F412" s="245" t="n"/>
      <c r="G412" s="245" t="n"/>
      <c r="H412" s="247" t="n">
        <v>198</v>
      </c>
      <c r="I412" s="245" t="inlineStr">
        <is>
          <t>UETU6720632</t>
        </is>
      </c>
      <c r="J412" s="245" t="inlineStr">
        <is>
          <t>40FT</t>
        </is>
      </c>
      <c r="K412" s="245" t="inlineStr">
        <is>
          <t>6IN GREEN TEA MF MATTRESS TW</t>
        </is>
      </c>
      <c r="L412" s="245" t="inlineStr">
        <is>
          <t>ZU-MFMA1ZZI-06T</t>
        </is>
      </c>
      <c r="M412" s="248" t="inlineStr">
        <is>
          <t>24TQICES</t>
        </is>
      </c>
      <c r="N412" s="245" t="inlineStr">
        <is>
          <t>F.MFM.06T.007.AD</t>
        </is>
      </c>
      <c r="O412" s="245" t="n"/>
      <c r="P412" s="245" t="n"/>
      <c r="Q412" s="250">
        <f>R412/H412</f>
        <v/>
      </c>
      <c r="R412" s="251" t="n">
        <v>6040.98</v>
      </c>
      <c r="S412" s="249" t="n">
        <v>17960</v>
      </c>
      <c r="T412" s="252">
        <f>S412*R412</f>
        <v/>
      </c>
      <c r="U412" s="245" t="n"/>
      <c r="V412" s="245" t="n"/>
      <c r="W412" s="245" t="n"/>
      <c r="X412" s="245" t="n"/>
      <c r="Y412" s="245" t="n"/>
      <c r="Z412" s="245" t="n"/>
    </row>
    <row r="413" ht="16.5" customHeight="1" s="202">
      <c r="A413" s="245" t="n"/>
      <c r="B413" s="245" t="n"/>
      <c r="C413" s="245" t="n"/>
      <c r="D413" s="245" t="n"/>
      <c r="E413" s="245" t="n"/>
      <c r="F413" s="245" t="n"/>
      <c r="G413" s="245" t="n"/>
      <c r="H413" s="247" t="n">
        <v>375</v>
      </c>
      <c r="I413" s="245" t="inlineStr">
        <is>
          <t>TCNU2351756</t>
        </is>
      </c>
      <c r="J413" s="245" t="inlineStr">
        <is>
          <t>40FT</t>
        </is>
      </c>
      <c r="K413" s="245" t="inlineStr">
        <is>
          <t>10IN GREEN TEA MF MATTRESS QN</t>
        </is>
      </c>
      <c r="L413" s="245" t="inlineStr">
        <is>
          <t>ZU-MFMA1ZZI-10Q</t>
        </is>
      </c>
      <c r="M413" s="248" t="inlineStr">
        <is>
          <t>24TQICES</t>
        </is>
      </c>
      <c r="N413" s="245" t="inlineStr">
        <is>
          <t>F.MFM.10Q.007.AD</t>
        </is>
      </c>
      <c r="O413" s="245" t="n"/>
      <c r="P413" s="245" t="n"/>
      <c r="Q413" s="250">
        <f>R413/H413</f>
        <v/>
      </c>
      <c r="R413" s="251" t="n">
        <v>24705</v>
      </c>
      <c r="S413" s="249" t="n">
        <v>17960</v>
      </c>
      <c r="T413" s="252">
        <f>S413*R413</f>
        <v/>
      </c>
      <c r="U413" s="245" t="n"/>
      <c r="V413" s="245" t="n"/>
      <c r="W413" s="245" t="n"/>
      <c r="X413" s="245" t="n"/>
      <c r="Y413" s="245" t="n"/>
      <c r="Z413" s="245" t="n"/>
    </row>
    <row r="414" ht="16.5" customHeight="1" s="202">
      <c r="A414" s="245" t="n"/>
      <c r="B414" s="245" t="n"/>
      <c r="C414" s="245" t="n"/>
      <c r="D414" s="245" t="n"/>
      <c r="E414" s="245" t="n"/>
      <c r="F414" s="245" t="n"/>
      <c r="G414" s="245" t="n"/>
      <c r="H414" s="247" t="n">
        <v>34</v>
      </c>
      <c r="I414" s="245" t="inlineStr">
        <is>
          <t>TRHU6913623</t>
        </is>
      </c>
      <c r="J414" s="245" t="inlineStr">
        <is>
          <t>40FT</t>
        </is>
      </c>
      <c r="K414" s="245" t="inlineStr">
        <is>
          <t>12IN GREEN TEA MF MATTRESS EK</t>
        </is>
      </c>
      <c r="L414" s="245" t="inlineStr">
        <is>
          <t>ZU-MFMA1ZZI-12K</t>
        </is>
      </c>
      <c r="M414" s="248" t="inlineStr">
        <is>
          <t>24TQICES</t>
        </is>
      </c>
      <c r="N414" s="245" t="inlineStr">
        <is>
          <t>F.MFM.12K.006.AD</t>
        </is>
      </c>
      <c r="O414" s="245" t="n"/>
      <c r="P414" s="245" t="n"/>
      <c r="Q414" s="250">
        <f>R414/H414</f>
        <v/>
      </c>
      <c r="R414" s="251" t="n">
        <v>3466.98</v>
      </c>
      <c r="S414" s="249" t="n">
        <v>17960</v>
      </c>
      <c r="T414" s="252">
        <f>S414*R414</f>
        <v/>
      </c>
      <c r="U414" s="245" t="n"/>
      <c r="V414" s="245" t="n"/>
      <c r="W414" s="245" t="n"/>
      <c r="X414" s="245" t="n"/>
      <c r="Y414" s="245" t="n"/>
      <c r="Z414" s="245" t="n"/>
    </row>
    <row r="415" ht="16.5" customHeight="1" s="202">
      <c r="A415" s="245" t="n"/>
      <c r="B415" s="245" t="n"/>
      <c r="C415" s="245" t="n"/>
      <c r="D415" s="245" t="n"/>
      <c r="E415" s="245" t="n"/>
      <c r="F415" s="245" t="n"/>
      <c r="G415" s="245" t="n"/>
      <c r="H415" s="247" t="n">
        <v>1</v>
      </c>
      <c r="I415" s="245" t="inlineStr"/>
      <c r="J415" s="245" t="inlineStr"/>
      <c r="K415" s="245" t="inlineStr">
        <is>
          <t>6IN GREEN TEA MF MATTRESS TW</t>
        </is>
      </c>
      <c r="L415" s="245" t="inlineStr">
        <is>
          <t>ZU-MFMA1ZZI-06T</t>
        </is>
      </c>
      <c r="M415" s="248" t="inlineStr">
        <is>
          <t>2EEBNO5S</t>
        </is>
      </c>
      <c r="N415" s="245" t="inlineStr">
        <is>
          <t>F.MFM.06T.007.AD</t>
        </is>
      </c>
      <c r="O415" s="245" t="n"/>
      <c r="P415" s="245" t="n"/>
      <c r="Q415" s="250">
        <f>R415/H415</f>
        <v/>
      </c>
      <c r="R415" s="251" t="n">
        <v>30.51</v>
      </c>
      <c r="S415" s="249" t="n">
        <v>17960</v>
      </c>
      <c r="T415" s="252">
        <f>S415*R415</f>
        <v/>
      </c>
      <c r="U415" s="245" t="n"/>
      <c r="V415" s="245" t="n"/>
      <c r="W415" s="245" t="n"/>
      <c r="X415" s="245" t="n"/>
      <c r="Y415" s="245" t="n"/>
      <c r="Z415" s="245" t="n"/>
    </row>
    <row r="416" ht="16.5" customHeight="1" s="202">
      <c r="A416" s="245" t="n"/>
      <c r="B416" s="245" t="n"/>
      <c r="C416" s="245" t="n"/>
      <c r="D416" s="245" t="n"/>
      <c r="E416" s="245" t="n"/>
      <c r="F416" s="245" t="n"/>
      <c r="G416" s="245" t="n"/>
      <c r="H416" s="247" t="n">
        <v>39</v>
      </c>
      <c r="I416" s="245" t="inlineStr"/>
      <c r="J416" s="245" t="inlineStr"/>
      <c r="K416" s="245" t="inlineStr">
        <is>
          <t>10IN GREEN TEA MF MATTRESS TX</t>
        </is>
      </c>
      <c r="L416" s="245" t="inlineStr">
        <is>
          <t>ZU-MFMA1ZZI-10X</t>
        </is>
      </c>
      <c r="M416" s="248" t="inlineStr">
        <is>
          <t>2EEBNO5S</t>
        </is>
      </c>
      <c r="N416" s="245" t="inlineStr">
        <is>
          <t>F.MFM.10X.007.AD</t>
        </is>
      </c>
      <c r="O416" s="245" t="n"/>
      <c r="P416" s="245" t="n"/>
      <c r="Q416" s="250">
        <f>R416/H416</f>
        <v/>
      </c>
      <c r="R416" s="251" t="n">
        <v>1963.65</v>
      </c>
      <c r="S416" s="249" t="n">
        <v>17960</v>
      </c>
      <c r="T416" s="252">
        <f>S416*R416</f>
        <v/>
      </c>
      <c r="U416" s="245" t="n"/>
      <c r="V416" s="245" t="n"/>
      <c r="W416" s="245" t="n"/>
      <c r="X416" s="245" t="n"/>
      <c r="Y416" s="245" t="n"/>
      <c r="Z416" s="245" t="n"/>
    </row>
    <row r="417" ht="16.5" customHeight="1" s="202">
      <c r="A417" s="245" t="n"/>
      <c r="B417" s="245" t="n"/>
      <c r="C417" s="245" t="n"/>
      <c r="D417" s="245" t="n"/>
      <c r="E417" s="245" t="n"/>
      <c r="F417" s="245" t="n"/>
      <c r="G417" s="245" t="n"/>
      <c r="H417" s="247" t="n">
        <v>410</v>
      </c>
      <c r="I417" s="245" t="inlineStr"/>
      <c r="J417" s="245" t="inlineStr"/>
      <c r="K417" s="245" t="inlineStr">
        <is>
          <t>12IN GREEN TEA MF MATTRESS EK</t>
        </is>
      </c>
      <c r="L417" s="245" t="inlineStr">
        <is>
          <t>ZU-MFMA1ZZI-12K</t>
        </is>
      </c>
      <c r="M417" s="248" t="inlineStr">
        <is>
          <t>2EEBNO5S</t>
        </is>
      </c>
      <c r="N417" s="245" t="inlineStr">
        <is>
          <t>F.MFM.12K.006.AD</t>
        </is>
      </c>
      <c r="O417" s="245" t="n"/>
      <c r="P417" s="245" t="n"/>
      <c r="Q417" s="250">
        <f>R417/H417</f>
        <v/>
      </c>
      <c r="R417" s="251" t="n">
        <v>41807.7</v>
      </c>
      <c r="S417" s="249" t="n">
        <v>17960</v>
      </c>
      <c r="T417" s="252">
        <f>S417*R417</f>
        <v/>
      </c>
      <c r="U417" s="245" t="n"/>
      <c r="V417" s="245" t="n"/>
      <c r="W417" s="245" t="n"/>
      <c r="X417" s="245" t="n"/>
      <c r="Y417" s="245" t="n"/>
      <c r="Z417" s="245" t="n"/>
    </row>
    <row r="418" ht="16.5" customHeight="1" s="202">
      <c r="A418" s="245" t="n"/>
      <c r="B418" s="245" t="n"/>
      <c r="C418" s="245" t="n"/>
      <c r="D418" s="245" t="n"/>
      <c r="E418" s="245" t="n"/>
      <c r="F418" s="245" t="n"/>
      <c r="G418" s="245" t="n"/>
      <c r="H418" s="247" t="n">
        <v>6</v>
      </c>
      <c r="I418" s="245" t="inlineStr"/>
      <c r="J418" s="245" t="inlineStr"/>
      <c r="K418" s="245" t="inlineStr">
        <is>
          <t>12IN AIRFLOW GEL FOAM MATT QN</t>
        </is>
      </c>
      <c r="L418" s="245" t="inlineStr">
        <is>
          <t>ZU-MFMA1RZI-12Q</t>
        </is>
      </c>
      <c r="M418" s="248" t="inlineStr">
        <is>
          <t>4LTWNGXA</t>
        </is>
      </c>
      <c r="N418" s="245" t="inlineStr">
        <is>
          <t>F.MFM.12Q.011.AD</t>
        </is>
      </c>
      <c r="O418" s="245" t="n"/>
      <c r="P418" s="245" t="n"/>
      <c r="Q418" s="250">
        <f>R418/H418</f>
        <v/>
      </c>
      <c r="R418" s="251" t="n">
        <v>405.42</v>
      </c>
      <c r="S418" s="249" t="n">
        <v>17960</v>
      </c>
      <c r="T418" s="252">
        <f>S418*R418</f>
        <v/>
      </c>
      <c r="U418" s="245" t="n"/>
      <c r="V418" s="245" t="n"/>
      <c r="W418" s="245" t="n"/>
      <c r="X418" s="245" t="n"/>
      <c r="Y418" s="245" t="n"/>
      <c r="Z418" s="245" t="n"/>
    </row>
    <row r="419" ht="16.5" customHeight="1" s="202">
      <c r="A419" s="245" t="n"/>
      <c r="B419" s="245" t="n"/>
      <c r="C419" s="245" t="n"/>
      <c r="D419" s="245" t="n"/>
      <c r="E419" s="245" t="n"/>
      <c r="F419" s="245" t="n"/>
      <c r="G419" s="245" t="n"/>
      <c r="H419" s="247" t="n">
        <v>572</v>
      </c>
      <c r="I419" s="245" t="inlineStr"/>
      <c r="J419" s="245" t="inlineStr"/>
      <c r="K419" s="245" t="inlineStr">
        <is>
          <t>6IN GREEN TEA MF MATTRESS FL</t>
        </is>
      </c>
      <c r="L419" s="245" t="inlineStr">
        <is>
          <t>ZU-MFMA1ZZI-06F</t>
        </is>
      </c>
      <c r="M419" s="248" t="inlineStr">
        <is>
          <t>4LTWNGXA</t>
        </is>
      </c>
      <c r="N419" s="245" t="inlineStr">
        <is>
          <t>F.MFM.06F.007.AD</t>
        </is>
      </c>
      <c r="O419" s="245" t="n"/>
      <c r="P419" s="245" t="n"/>
      <c r="Q419" s="250">
        <f>R419/H419</f>
        <v/>
      </c>
      <c r="R419" s="251" t="n">
        <v>21924.76</v>
      </c>
      <c r="S419" s="249" t="n">
        <v>17960</v>
      </c>
      <c r="T419" s="252">
        <f>S419*R419</f>
        <v/>
      </c>
      <c r="U419" s="245" t="n"/>
      <c r="V419" s="245" t="n"/>
      <c r="W419" s="245" t="n"/>
      <c r="X419" s="245" t="n"/>
      <c r="Y419" s="245" t="n"/>
      <c r="Z419" s="245" t="n"/>
    </row>
    <row r="420" ht="16.5" customHeight="1" s="202">
      <c r="A420" s="245" t="n"/>
      <c r="B420" s="245" t="n"/>
      <c r="C420" s="245" t="n"/>
      <c r="D420" s="245" t="n"/>
      <c r="E420" s="245" t="n"/>
      <c r="F420" s="245" t="n"/>
      <c r="G420" s="245" t="n"/>
      <c r="H420" s="247" t="n">
        <v>17</v>
      </c>
      <c r="I420" s="245" t="inlineStr"/>
      <c r="J420" s="245" t="inlineStr"/>
      <c r="K420" s="245" t="inlineStr">
        <is>
          <t>8IN GREEN TEA MF MATTRESS SQ</t>
        </is>
      </c>
      <c r="L420" s="245" t="inlineStr">
        <is>
          <t>ZU-MFMA1ZZI-08S</t>
        </is>
      </c>
      <c r="M420" s="248" t="inlineStr">
        <is>
          <t>4LTWNGXA</t>
        </is>
      </c>
      <c r="N420" s="245" t="inlineStr">
        <is>
          <t>F.MFM.08S.011.AD</t>
        </is>
      </c>
      <c r="O420" s="245" t="n"/>
      <c r="P420" s="245" t="n"/>
      <c r="Q420" s="250">
        <f>R420/H420</f>
        <v/>
      </c>
      <c r="R420" s="251" t="n">
        <v>1004.7</v>
      </c>
      <c r="S420" s="249" t="n">
        <v>17960</v>
      </c>
      <c r="T420" s="252">
        <f>S420*R420</f>
        <v/>
      </c>
      <c r="U420" s="245" t="n"/>
      <c r="V420" s="245" t="n"/>
      <c r="W420" s="245" t="n"/>
      <c r="X420" s="245" t="n"/>
      <c r="Y420" s="245" t="n"/>
      <c r="Z420" s="245" t="n"/>
    </row>
    <row r="421" ht="16.5" customHeight="1" s="202">
      <c r="A421" s="245" t="n"/>
      <c r="B421" s="245" t="n"/>
      <c r="C421" s="245" t="n"/>
      <c r="D421" s="245" t="n"/>
      <c r="E421" s="245" t="n"/>
      <c r="F421" s="245" t="n"/>
      <c r="G421" s="245" t="n"/>
      <c r="H421" s="247" t="n">
        <v>148</v>
      </c>
      <c r="I421" s="245" t="inlineStr"/>
      <c r="J421" s="245" t="inlineStr"/>
      <c r="K421" s="245" t="inlineStr">
        <is>
          <t>10IN GREEN TEA MF MATTRESS QN</t>
        </is>
      </c>
      <c r="L421" s="245" t="inlineStr">
        <is>
          <t>ZU-MFMA1ZZI-10Q</t>
        </is>
      </c>
      <c r="M421" s="248" t="inlineStr">
        <is>
          <t>4LTWNGXA</t>
        </is>
      </c>
      <c r="N421" s="245" t="inlineStr">
        <is>
          <t>F.MFM.10Q.007.AD</t>
        </is>
      </c>
      <c r="O421" s="245" t="n"/>
      <c r="P421" s="245" t="n"/>
      <c r="Q421" s="250">
        <f>R421/H421</f>
        <v/>
      </c>
      <c r="R421" s="251" t="n">
        <v>9750.24</v>
      </c>
      <c r="S421" s="249" t="n">
        <v>17960</v>
      </c>
      <c r="T421" s="252">
        <f>S421*R421</f>
        <v/>
      </c>
      <c r="U421" s="245" t="n"/>
      <c r="V421" s="245" t="n"/>
      <c r="W421" s="245" t="n"/>
      <c r="X421" s="245" t="n"/>
      <c r="Y421" s="245" t="n"/>
      <c r="Z421" s="245" t="n"/>
    </row>
    <row r="422" ht="16.5" customHeight="1" s="202">
      <c r="A422" s="245" t="n"/>
      <c r="B422" s="245" t="n"/>
      <c r="C422" s="245" t="n"/>
      <c r="D422" s="245" t="n"/>
      <c r="E422" s="245" t="n"/>
      <c r="F422" s="245" t="n"/>
      <c r="G422" s="245" t="n"/>
      <c r="H422" s="247" t="n">
        <v>180</v>
      </c>
      <c r="I422" s="245" t="inlineStr"/>
      <c r="J422" s="245" t="inlineStr"/>
      <c r="K422" s="245" t="inlineStr">
        <is>
          <t>12IN MYGEL FOAM MATTRESS TW</t>
        </is>
      </c>
      <c r="L422" s="245" t="inlineStr">
        <is>
          <t>ZU-MFGN1YZI-12T</t>
        </is>
      </c>
      <c r="M422" s="248" t="inlineStr">
        <is>
          <t>6QOC8NMW</t>
        </is>
      </c>
      <c r="N422" s="245" t="inlineStr">
        <is>
          <t>F.MFG.12T.002.AD</t>
        </is>
      </c>
      <c r="O422" s="245" t="n"/>
      <c r="P422" s="245" t="n"/>
      <c r="Q422" s="250">
        <f>R422/H422</f>
        <v/>
      </c>
      <c r="R422" s="251" t="n">
        <v>10918.8</v>
      </c>
      <c r="S422" s="249" t="n">
        <v>17960</v>
      </c>
      <c r="T422" s="252">
        <f>S422*R422</f>
        <v/>
      </c>
      <c r="U422" s="245" t="n"/>
      <c r="V422" s="245" t="n"/>
      <c r="W422" s="245" t="n"/>
      <c r="X422" s="245" t="n"/>
      <c r="Y422" s="245" t="n"/>
      <c r="Z422" s="245" t="n"/>
    </row>
    <row r="423" ht="16.5" customHeight="1" s="202">
      <c r="A423" s="245" t="n"/>
      <c r="B423" s="245" t="n"/>
      <c r="C423" s="245" t="n"/>
      <c r="D423" s="245" t="n"/>
      <c r="E423" s="245" t="n"/>
      <c r="F423" s="245" t="n"/>
      <c r="G423" s="245" t="n"/>
      <c r="H423" s="247" t="n">
        <v>330</v>
      </c>
      <c r="I423" s="245" t="inlineStr"/>
      <c r="J423" s="245" t="inlineStr"/>
      <c r="K423" s="245" t="inlineStr">
        <is>
          <t>10IN OPP HD QN</t>
        </is>
      </c>
      <c r="L423" s="245" t="inlineStr">
        <is>
          <t>ZU-MFMA1OZI-10Q</t>
        </is>
      </c>
      <c r="M423" s="248" t="inlineStr">
        <is>
          <t>6QOC8NMW</t>
        </is>
      </c>
      <c r="N423" s="245" t="inlineStr">
        <is>
          <t>F.MFM.10Q.013.AD</t>
        </is>
      </c>
      <c r="O423" s="245" t="n"/>
      <c r="P423" s="245" t="n"/>
      <c r="Q423" s="250">
        <f>R423/H423</f>
        <v/>
      </c>
      <c r="R423" s="251" t="n">
        <v>17787</v>
      </c>
      <c r="S423" s="249" t="n">
        <v>17960</v>
      </c>
      <c r="T423" s="252">
        <f>S423*R423</f>
        <v/>
      </c>
      <c r="U423" s="245" t="n"/>
      <c r="V423" s="245" t="n"/>
      <c r="W423" s="245" t="n"/>
      <c r="X423" s="245" t="n"/>
      <c r="Y423" s="245" t="n"/>
      <c r="Z423" s="245" t="n"/>
    </row>
    <row r="424" ht="16.5" customHeight="1" s="202">
      <c r="A424" s="245" t="n"/>
      <c r="B424" s="245" t="n"/>
      <c r="C424" s="245" t="n"/>
      <c r="D424" s="245" t="n"/>
      <c r="E424" s="245" t="n"/>
      <c r="F424" s="245" t="n"/>
      <c r="G424" s="245" t="n"/>
      <c r="H424" s="247" t="n">
        <v>60</v>
      </c>
      <c r="I424" s="245" t="inlineStr"/>
      <c r="J424" s="245" t="inlineStr"/>
      <c r="K424" s="245" t="inlineStr">
        <is>
          <t>12IN AIRFLOW GEL FOAM MATT TW</t>
        </is>
      </c>
      <c r="L424" s="245" t="inlineStr">
        <is>
          <t>ZU-MFMA1RZI-12T</t>
        </is>
      </c>
      <c r="M424" s="248" t="inlineStr">
        <is>
          <t>6QOC8NMW</t>
        </is>
      </c>
      <c r="N424" s="245" t="inlineStr">
        <is>
          <t>F.MFM.12T.011.AD</t>
        </is>
      </c>
      <c r="O424" s="245" t="n"/>
      <c r="P424" s="245" t="n"/>
      <c r="Q424" s="250">
        <f>R424/H424</f>
        <v/>
      </c>
      <c r="R424" s="251" t="n">
        <v>2515.2</v>
      </c>
      <c r="S424" s="249" t="n">
        <v>17960</v>
      </c>
      <c r="T424" s="252">
        <f>S424*R424</f>
        <v/>
      </c>
      <c r="U424" s="245" t="n"/>
      <c r="V424" s="245" t="n"/>
      <c r="W424" s="245" t="n"/>
      <c r="X424" s="245" t="n"/>
      <c r="Y424" s="245" t="n"/>
      <c r="Z424" s="245" t="n"/>
    </row>
    <row r="425" ht="16.5" customHeight="1" s="202">
      <c r="A425" s="245" t="n"/>
      <c r="B425" s="245" t="n"/>
      <c r="C425" s="245" t="n"/>
      <c r="D425" s="245" t="n"/>
      <c r="E425" s="245" t="n"/>
      <c r="F425" s="245" t="n"/>
      <c r="G425" s="245" t="n"/>
      <c r="H425" s="247" t="n">
        <v>18</v>
      </c>
      <c r="I425" s="245" t="inlineStr"/>
      <c r="J425" s="245" t="inlineStr"/>
      <c r="K425" s="245" t="inlineStr">
        <is>
          <t>10IN GREEN TEA MF MATTRESS TW</t>
        </is>
      </c>
      <c r="L425" s="245" t="inlineStr">
        <is>
          <t>ZU-MFMA1ZZI-10T</t>
        </is>
      </c>
      <c r="M425" s="248" t="inlineStr">
        <is>
          <t>6QOC8NMW</t>
        </is>
      </c>
      <c r="N425" s="245" t="inlineStr">
        <is>
          <t>F.MFM.10T.007.AD</t>
        </is>
      </c>
      <c r="O425" s="245" t="n"/>
      <c r="P425" s="245" t="n"/>
      <c r="Q425" s="250">
        <f>R425/H425</f>
        <v/>
      </c>
      <c r="R425" s="251" t="n">
        <v>994.3200000000001</v>
      </c>
      <c r="S425" s="249" t="n">
        <v>17960</v>
      </c>
      <c r="T425" s="252">
        <f>S425*R425</f>
        <v/>
      </c>
      <c r="U425" s="245" t="n"/>
      <c r="V425" s="245" t="n"/>
      <c r="W425" s="245" t="n"/>
      <c r="X425" s="245" t="n"/>
      <c r="Y425" s="245" t="n"/>
      <c r="Z425" s="245" t="n"/>
    </row>
    <row r="426" ht="16.5" customHeight="1" s="202">
      <c r="A426" s="245" t="n"/>
      <c r="B426" s="245" t="n"/>
      <c r="C426" s="245" t="n"/>
      <c r="D426" s="245" t="n"/>
      <c r="E426" s="245" t="n"/>
      <c r="F426" s="245" t="n"/>
      <c r="G426" s="245" t="n"/>
      <c r="H426" s="247" t="n">
        <v>1</v>
      </c>
      <c r="I426" s="245" t="inlineStr"/>
      <c r="J426" s="245" t="inlineStr"/>
      <c r="K426" s="245" t="inlineStr">
        <is>
          <t>8IN MYGEL FOAM MATTRESS TW</t>
        </is>
      </c>
      <c r="L426" s="245" t="inlineStr">
        <is>
          <t>ZU-MFGN1YZI-08T</t>
        </is>
      </c>
      <c r="M426" s="248" t="inlineStr">
        <is>
          <t>85A1853F</t>
        </is>
      </c>
      <c r="N426" s="245" t="inlineStr">
        <is>
          <t>F.MFG.08T.003.AD</t>
        </is>
      </c>
      <c r="O426" s="245" t="n"/>
      <c r="P426" s="245" t="n"/>
      <c r="Q426" s="250">
        <f>R426/H426</f>
        <v/>
      </c>
      <c r="R426" s="251" t="n">
        <v>35.93</v>
      </c>
      <c r="S426" s="249" t="n">
        <v>17960</v>
      </c>
      <c r="T426" s="252">
        <f>S426*R426</f>
        <v/>
      </c>
      <c r="U426" s="245" t="n"/>
      <c r="V426" s="245" t="n"/>
      <c r="W426" s="245" t="n"/>
      <c r="X426" s="245" t="n"/>
      <c r="Y426" s="245" t="n"/>
      <c r="Z426" s="245" t="n"/>
    </row>
    <row r="427" ht="16.5" customHeight="1" s="202">
      <c r="A427" s="245" t="n"/>
      <c r="B427" s="245" t="n"/>
      <c r="C427" s="245" t="n"/>
      <c r="D427" s="245" t="n"/>
      <c r="E427" s="245" t="n"/>
      <c r="F427" s="245" t="n"/>
      <c r="G427" s="245" t="n"/>
      <c r="H427" s="247" t="n">
        <v>93</v>
      </c>
      <c r="I427" s="245" t="inlineStr"/>
      <c r="J427" s="245" t="inlineStr"/>
      <c r="K427" s="245" t="inlineStr">
        <is>
          <t>10IN OPP HD FL</t>
        </is>
      </c>
      <c r="L427" s="245" t="inlineStr">
        <is>
          <t>ZU-MFMA1OZI-10F</t>
        </is>
      </c>
      <c r="M427" s="248" t="inlineStr">
        <is>
          <t>85A1853F</t>
        </is>
      </c>
      <c r="N427" s="245" t="inlineStr">
        <is>
          <t>F.MFM.10F.013.AD</t>
        </is>
      </c>
      <c r="O427" s="245" t="n"/>
      <c r="P427" s="245" t="n"/>
      <c r="Q427" s="250">
        <f>R427/H427</f>
        <v/>
      </c>
      <c r="R427" s="251" t="n">
        <v>4455.63</v>
      </c>
      <c r="S427" s="249" t="n">
        <v>17960</v>
      </c>
      <c r="T427" s="252">
        <f>S427*R427</f>
        <v/>
      </c>
      <c r="U427" s="245" t="n"/>
      <c r="V427" s="245" t="n"/>
      <c r="W427" s="245" t="n"/>
      <c r="X427" s="245" t="n"/>
      <c r="Y427" s="245" t="n"/>
      <c r="Z427" s="245" t="n"/>
    </row>
    <row r="428" ht="16.5" customHeight="1" s="202">
      <c r="A428" s="245" t="n"/>
      <c r="B428" s="245" t="n"/>
      <c r="C428" s="245" t="n"/>
      <c r="D428" s="245" t="n"/>
      <c r="E428" s="245" t="n"/>
      <c r="F428" s="245" t="n"/>
      <c r="G428" s="245" t="n"/>
      <c r="H428" s="247" t="n">
        <v>1</v>
      </c>
      <c r="I428" s="245" t="inlineStr"/>
      <c r="J428" s="245" t="inlineStr"/>
      <c r="K428" s="245" t="inlineStr">
        <is>
          <t>12IN AIRFLOW GEL FOAM MATT EK</t>
        </is>
      </c>
      <c r="L428" s="245" t="inlineStr">
        <is>
          <t>ZU-MFMA1RZI-12K</t>
        </is>
      </c>
      <c r="M428" s="248" t="inlineStr">
        <is>
          <t>85A1853F</t>
        </is>
      </c>
      <c r="N428" s="245" t="inlineStr">
        <is>
          <t>F.MFM.12K.011.AD</t>
        </is>
      </c>
      <c r="O428" s="245" t="n"/>
      <c r="P428" s="245" t="n"/>
      <c r="Q428" s="250">
        <f>R428/H428</f>
        <v/>
      </c>
      <c r="R428" s="251" t="n">
        <v>74.86</v>
      </c>
      <c r="S428" s="249" t="n">
        <v>17960</v>
      </c>
      <c r="T428" s="252">
        <f>S428*R428</f>
        <v/>
      </c>
      <c r="U428" s="245" t="n"/>
      <c r="V428" s="245" t="n"/>
      <c r="W428" s="245" t="n"/>
      <c r="X428" s="245" t="n"/>
      <c r="Y428" s="245" t="n"/>
      <c r="Z428" s="245" t="n"/>
    </row>
    <row r="429" ht="16.5" customHeight="1" s="202">
      <c r="A429" s="245" t="n"/>
      <c r="B429" s="245" t="n"/>
      <c r="C429" s="245" t="n"/>
      <c r="D429" s="245" t="n"/>
      <c r="E429" s="245" t="n"/>
      <c r="F429" s="245" t="n"/>
      <c r="G429" s="245" t="n"/>
      <c r="H429" s="247" t="n">
        <v>982</v>
      </c>
      <c r="I429" s="245" t="inlineStr"/>
      <c r="J429" s="245" t="inlineStr"/>
      <c r="K429" s="245" t="inlineStr">
        <is>
          <t>5IN GREEN TEA MF MATTRESS TW</t>
        </is>
      </c>
      <c r="L429" s="245" t="inlineStr">
        <is>
          <t>ZU-MFMA1ZZI-05T</t>
        </is>
      </c>
      <c r="M429" s="248" t="inlineStr">
        <is>
          <t>85A1853F</t>
        </is>
      </c>
      <c r="N429" s="245" t="inlineStr">
        <is>
          <t>F.MFM.05T.007.AD</t>
        </is>
      </c>
      <c r="O429" s="245" t="n"/>
      <c r="P429" s="245" t="n"/>
      <c r="Q429" s="250">
        <f>R429/H429</f>
        <v/>
      </c>
      <c r="R429" s="251" t="n">
        <v>23234.12</v>
      </c>
      <c r="S429" s="249" t="n">
        <v>17960</v>
      </c>
      <c r="T429" s="252">
        <f>S429*R429</f>
        <v/>
      </c>
      <c r="U429" s="245" t="n"/>
      <c r="V429" s="245" t="n"/>
      <c r="W429" s="245" t="n"/>
      <c r="X429" s="245" t="n"/>
      <c r="Y429" s="245" t="n"/>
      <c r="Z429" s="245" t="n"/>
    </row>
    <row r="430" ht="17.1" customHeight="1" s="202">
      <c r="A430" s="253" t="n"/>
      <c r="B430" s="253" t="n"/>
      <c r="C430" s="253" t="n"/>
      <c r="D430" s="253" t="n"/>
      <c r="E430" s="253" t="n"/>
      <c r="F430" s="253" t="n"/>
      <c r="G430" s="253" t="n"/>
      <c r="H430" s="254">
        <f>SUM(H408:H429)</f>
        <v/>
      </c>
      <c r="I430" s="253">
        <f>COUNTA(I408:I429)</f>
        <v/>
      </c>
      <c r="J430" s="253" t="n"/>
      <c r="K430" s="253" t="n"/>
      <c r="L430" s="253" t="n"/>
      <c r="M430" s="253" t="n"/>
      <c r="N430" s="253" t="n"/>
      <c r="O430" s="255">
        <f>SUM(O408:O429)</f>
        <v/>
      </c>
      <c r="P430" s="255">
        <f>SUM(P408:P429)</f>
        <v/>
      </c>
      <c r="Q430" s="253" t="n"/>
      <c r="R430" s="256">
        <f>SUM(R408:R429)</f>
        <v/>
      </c>
      <c r="S430" s="253" t="n"/>
      <c r="T430" s="257">
        <f>SUM(T408:T429)</f>
        <v/>
      </c>
      <c r="U430" s="253" t="n"/>
      <c r="V430" s="253" t="n"/>
      <c r="W430" s="253" t="n"/>
      <c r="X430" s="253" t="n"/>
      <c r="Y430" s="253" t="n"/>
      <c r="Z430" s="253" t="n"/>
    </row>
    <row r="431" ht="16.5" customHeight="1" s="202">
      <c r="A431" s="245" t="n">
        <v>45</v>
      </c>
      <c r="B431" s="245" t="inlineStr">
        <is>
          <t>000030ZIK48020260812000613</t>
        </is>
      </c>
      <c r="C431" s="245" t="n">
        <v>511328</v>
      </c>
      <c r="D431" s="245" t="n">
        <v>511272</v>
      </c>
      <c r="E431" s="246" t="n">
        <v>46247</v>
      </c>
      <c r="F431" s="245" t="inlineStr">
        <is>
          <t>ID2608-8027</t>
        </is>
      </c>
      <c r="G431" s="246" t="n">
        <v>46238</v>
      </c>
      <c r="H431" s="247" t="n">
        <v>128</v>
      </c>
      <c r="I431" s="245" t="inlineStr">
        <is>
          <t>CAIU7581871</t>
        </is>
      </c>
      <c r="J431" s="245" t="inlineStr">
        <is>
          <t>40FT</t>
        </is>
      </c>
      <c r="K431" s="245" t="inlineStr">
        <is>
          <t>NTALAN GULUNG SILINDRIS LAINNYA: BEARING</t>
        </is>
      </c>
      <c r="L431" s="245" t="inlineStr"/>
      <c r="M431" s="248" t="inlineStr"/>
      <c r="N431" s="245" t="inlineStr">
        <is>
          <t>-</t>
        </is>
      </c>
      <c r="O431" s="249" t="n">
        <v>85384.84</v>
      </c>
      <c r="P431" s="249" t="n">
        <v>75881.24000000001</v>
      </c>
      <c r="Q431" s="250">
        <f>R431/H431</f>
        <v/>
      </c>
      <c r="R431" s="251" t="n">
        <v>4983.04</v>
      </c>
      <c r="S431" s="249" t="n">
        <v>17960</v>
      </c>
      <c r="T431" s="252">
        <f>S431*R431</f>
        <v/>
      </c>
      <c r="U431" s="245" t="inlineStr">
        <is>
          <t>040300/KPPBC</t>
        </is>
      </c>
      <c r="V431" s="245" t="inlineStr">
        <is>
          <t>TG. PRIOK</t>
        </is>
      </c>
      <c r="W431" s="245" t="inlineStr">
        <is>
          <t>LONG BEACH, US</t>
        </is>
      </c>
      <c r="X431" s="245" t="inlineStr">
        <is>
          <t>AMAZON.COM SERVICES LLC</t>
        </is>
      </c>
      <c r="Y431" s="245" t="inlineStr">
        <is>
          <t>MEDUKU519832</t>
        </is>
      </c>
      <c r="Z431" s="246" t="n">
        <v>46247</v>
      </c>
    </row>
    <row r="432" ht="16.5" customHeight="1" s="202">
      <c r="A432" s="245" t="n"/>
      <c r="B432" s="245" t="n"/>
      <c r="C432" s="245" t="n"/>
      <c r="D432" s="245" t="n"/>
      <c r="E432" s="245" t="n"/>
      <c r="F432" s="245" t="n"/>
      <c r="G432" s="245" t="n"/>
      <c r="H432" s="247" t="n">
        <v>165</v>
      </c>
      <c r="I432" s="245" t="inlineStr">
        <is>
          <t>CAIU8186660</t>
        </is>
      </c>
      <c r="J432" s="245" t="inlineStr">
        <is>
          <t>40FT</t>
        </is>
      </c>
      <c r="K432" s="245" t="inlineStr">
        <is>
          <t>6IN OPP HD TW</t>
        </is>
      </c>
      <c r="L432" s="245" t="inlineStr">
        <is>
          <t>ZU-MFMA1OZI-06T</t>
        </is>
      </c>
      <c r="M432" s="248" t="inlineStr">
        <is>
          <t>26J2NCYH</t>
        </is>
      </c>
      <c r="N432" s="245" t="inlineStr">
        <is>
          <t>F.MFM.06T.008.AD</t>
        </is>
      </c>
      <c r="O432" s="245" t="n"/>
      <c r="P432" s="245" t="n"/>
      <c r="Q432" s="250">
        <f>R432/H432</f>
        <v/>
      </c>
      <c r="R432" s="251" t="n">
        <v>4446.75</v>
      </c>
      <c r="S432" s="249" t="n">
        <v>17960</v>
      </c>
      <c r="T432" s="252">
        <f>S432*R432</f>
        <v/>
      </c>
      <c r="U432" s="245" t="n"/>
      <c r="V432" s="245" t="n"/>
      <c r="W432" s="245" t="inlineStr">
        <is>
          <t>ETD : 20-08-2026</t>
        </is>
      </c>
      <c r="X432" s="245" t="n"/>
      <c r="Y432" s="245" t="n"/>
      <c r="Z432" s="245" t="n"/>
    </row>
    <row r="433" ht="16.5" customHeight="1" s="202">
      <c r="A433" s="245" t="n"/>
      <c r="B433" s="245" t="n"/>
      <c r="C433" s="245" t="n"/>
      <c r="D433" s="245" t="n"/>
      <c r="E433" s="245" t="n"/>
      <c r="F433" s="245" t="n"/>
      <c r="G433" s="245" t="n"/>
      <c r="H433" s="247" t="n">
        <v>63</v>
      </c>
      <c r="I433" s="245" t="inlineStr">
        <is>
          <t>DFSU7107463</t>
        </is>
      </c>
      <c r="J433" s="245" t="inlineStr">
        <is>
          <t>40FT</t>
        </is>
      </c>
      <c r="K433" s="245" t="inlineStr">
        <is>
          <t>6IN GREEN TEA MF MATTRESS QN</t>
        </is>
      </c>
      <c r="L433" s="245" t="inlineStr">
        <is>
          <t>ZU-MFMA1ZZI-06Q</t>
        </is>
      </c>
      <c r="M433" s="248" t="inlineStr">
        <is>
          <t>26J2NCYH</t>
        </is>
      </c>
      <c r="N433" s="245" t="inlineStr">
        <is>
          <t>F.MFM.06Q.007.AD</t>
        </is>
      </c>
      <c r="O433" s="245" t="n"/>
      <c r="P433" s="245" t="n"/>
      <c r="Q433" s="250">
        <f>R433/H433</f>
        <v/>
      </c>
      <c r="R433" s="251" t="n">
        <v>2867.13</v>
      </c>
      <c r="S433" s="249" t="n">
        <v>17960</v>
      </c>
      <c r="T433" s="252">
        <f>S433*R433</f>
        <v/>
      </c>
      <c r="U433" s="245" t="n"/>
      <c r="V433" s="245" t="n"/>
      <c r="W433" s="245" t="n"/>
      <c r="X433" s="245" t="n"/>
      <c r="Y433" s="245" t="n"/>
      <c r="Z433" s="245" t="n"/>
    </row>
    <row r="434" ht="16.5" customHeight="1" s="202">
      <c r="A434" s="245" t="n"/>
      <c r="B434" s="245" t="n"/>
      <c r="C434" s="245" t="n"/>
      <c r="D434" s="245" t="n"/>
      <c r="E434" s="245" t="n"/>
      <c r="F434" s="245" t="n"/>
      <c r="G434" s="245" t="n"/>
      <c r="H434" s="247" t="n">
        <v>398</v>
      </c>
      <c r="I434" s="245" t="inlineStr">
        <is>
          <t>BEAU5658671</t>
        </is>
      </c>
      <c r="J434" s="245" t="inlineStr">
        <is>
          <t>40FT</t>
        </is>
      </c>
      <c r="K434" s="245" t="inlineStr">
        <is>
          <t>6IN GREEN TEA MF MATTRESS TW</t>
        </is>
      </c>
      <c r="L434" s="245" t="inlineStr">
        <is>
          <t>ZU-MFMA1ZZI-06T</t>
        </is>
      </c>
      <c r="M434" s="248" t="inlineStr">
        <is>
          <t>26J2NCYH</t>
        </is>
      </c>
      <c r="N434" s="245" t="inlineStr">
        <is>
          <t>F.MFM.06T.007.AD</t>
        </is>
      </c>
      <c r="O434" s="245" t="n"/>
      <c r="P434" s="245" t="n"/>
      <c r="Q434" s="250">
        <f>R434/H434</f>
        <v/>
      </c>
      <c r="R434" s="251" t="n">
        <v>12142.98</v>
      </c>
      <c r="S434" s="249" t="n">
        <v>17960</v>
      </c>
      <c r="T434" s="252">
        <f>S434*R434</f>
        <v/>
      </c>
      <c r="U434" s="245" t="n"/>
      <c r="V434" s="245" t="n"/>
      <c r="W434" s="245" t="n"/>
      <c r="X434" s="245" t="n"/>
      <c r="Y434" s="245" t="n"/>
      <c r="Z434" s="245" t="n"/>
    </row>
    <row r="435" ht="16.5" customHeight="1" s="202">
      <c r="A435" s="245" t="n"/>
      <c r="B435" s="245" t="n"/>
      <c r="C435" s="245" t="n"/>
      <c r="D435" s="245" t="n"/>
      <c r="E435" s="245" t="n"/>
      <c r="F435" s="245" t="n"/>
      <c r="G435" s="245" t="n"/>
      <c r="H435" s="247" t="n">
        <v>162</v>
      </c>
      <c r="I435" s="245" t="inlineStr">
        <is>
          <t>TCNU1310958</t>
        </is>
      </c>
      <c r="J435" s="245" t="inlineStr">
        <is>
          <t>40FT</t>
        </is>
      </c>
      <c r="K435" s="245" t="inlineStr">
        <is>
          <t>8IN GREEN TEA MF MATTRESS TW</t>
        </is>
      </c>
      <c r="L435" s="245" t="inlineStr">
        <is>
          <t>ZU-MFMA1ZZI-08T</t>
        </is>
      </c>
      <c r="M435" s="248" t="inlineStr">
        <is>
          <t>26J2NCYH</t>
        </is>
      </c>
      <c r="N435" s="245" t="inlineStr">
        <is>
          <t>F.MFM.08T.008.AD</t>
        </is>
      </c>
      <c r="O435" s="245" t="n"/>
      <c r="P435" s="245" t="n"/>
      <c r="Q435" s="250">
        <f>R435/H435</f>
        <v/>
      </c>
      <c r="R435" s="251" t="n">
        <v>5820.66</v>
      </c>
      <c r="S435" s="249" t="n">
        <v>17960</v>
      </c>
      <c r="T435" s="252">
        <f>S435*R435</f>
        <v/>
      </c>
      <c r="U435" s="245" t="n"/>
      <c r="V435" s="245" t="n"/>
      <c r="W435" s="245" t="n"/>
      <c r="X435" s="245" t="n"/>
      <c r="Y435" s="245" t="n"/>
      <c r="Z435" s="245" t="n"/>
    </row>
    <row r="436" ht="16.5" customHeight="1" s="202">
      <c r="A436" s="245" t="n"/>
      <c r="B436" s="245" t="n"/>
      <c r="C436" s="245" t="n"/>
      <c r="D436" s="245" t="n"/>
      <c r="E436" s="245" t="n"/>
      <c r="F436" s="245" t="n"/>
      <c r="G436" s="245" t="n"/>
      <c r="H436" s="247" t="n">
        <v>65</v>
      </c>
      <c r="I436" s="245" t="inlineStr">
        <is>
          <t>MSMU5123621</t>
        </is>
      </c>
      <c r="J436" s="245" t="inlineStr">
        <is>
          <t>40FT</t>
        </is>
      </c>
      <c r="K436" s="245" t="inlineStr">
        <is>
          <t>12IN GREEN TEA MF MATTRESS TW</t>
        </is>
      </c>
      <c r="L436" s="245" t="inlineStr">
        <is>
          <t>ZU-MFMA1ZZI-12T</t>
        </is>
      </c>
      <c r="M436" s="248" t="inlineStr">
        <is>
          <t>26J2NCYH</t>
        </is>
      </c>
      <c r="N436" s="245" t="inlineStr">
        <is>
          <t>F.MFM.12T.006.AD</t>
        </is>
      </c>
      <c r="O436" s="245" t="n"/>
      <c r="P436" s="245" t="n"/>
      <c r="Q436" s="250">
        <f>R436/H436</f>
        <v/>
      </c>
      <c r="R436" s="251" t="n">
        <v>4108</v>
      </c>
      <c r="S436" s="249" t="n">
        <v>17960</v>
      </c>
      <c r="T436" s="252">
        <f>S436*R436</f>
        <v/>
      </c>
      <c r="U436" s="245" t="n"/>
      <c r="V436" s="245" t="n"/>
      <c r="W436" s="245" t="n"/>
      <c r="X436" s="245" t="n"/>
      <c r="Y436" s="245" t="n"/>
      <c r="Z436" s="245" t="n"/>
    </row>
    <row r="437" ht="16.5" customHeight="1" s="202">
      <c r="A437" s="245" t="n"/>
      <c r="B437" s="245" t="n"/>
      <c r="C437" s="245" t="n"/>
      <c r="D437" s="245" t="n"/>
      <c r="E437" s="245" t="n"/>
      <c r="F437" s="245" t="n"/>
      <c r="G437" s="245" t="n"/>
      <c r="H437" s="247" t="n">
        <v>32</v>
      </c>
      <c r="I437" s="245" t="inlineStr">
        <is>
          <t>SEGU6226910</t>
        </is>
      </c>
      <c r="J437" s="245" t="inlineStr">
        <is>
          <t>40FT</t>
        </is>
      </c>
      <c r="K437" s="245" t="inlineStr">
        <is>
          <t>Uraian : PENGUKU 1,533.12-6IN MYGEL FOAM MATTRESS QN</t>
        </is>
      </c>
      <c r="L437" s="245" t="inlineStr">
        <is>
          <t>ZU-MFGN1YZI-06Q</t>
        </is>
      </c>
      <c r="M437" s="248" t="inlineStr">
        <is>
          <t>2RHYK5BW</t>
        </is>
      </c>
      <c r="N437" s="245" t="inlineStr">
        <is>
          <t>F.MFG.06Q.002.AD</t>
        </is>
      </c>
      <c r="O437" s="245" t="n"/>
      <c r="P437" s="245" t="n"/>
      <c r="Q437" s="250">
        <f>R437/H437</f>
        <v/>
      </c>
      <c r="R437" s="251" t="n">
        <v>0</v>
      </c>
      <c r="S437" s="249" t="n">
        <v>17960</v>
      </c>
      <c r="T437" s="252">
        <f>S437*R437</f>
        <v/>
      </c>
      <c r="U437" s="245" t="n"/>
      <c r="V437" s="245" t="n"/>
      <c r="W437" s="245" t="n"/>
      <c r="X437" s="245" t="n"/>
      <c r="Y437" s="245" t="n"/>
      <c r="Z437" s="245" t="n"/>
    </row>
    <row r="438" ht="16.5" customHeight="1" s="202">
      <c r="A438" s="245" t="n"/>
      <c r="B438" s="245" t="n"/>
      <c r="C438" s="245" t="n"/>
      <c r="D438" s="245" t="n"/>
      <c r="E438" s="245" t="n"/>
      <c r="F438" s="245" t="n"/>
      <c r="G438" s="245" t="n"/>
      <c r="H438" s="247" t="n">
        <v>237</v>
      </c>
      <c r="I438" s="245" t="inlineStr"/>
      <c r="J438" s="245" t="inlineStr"/>
      <c r="K438" s="245" t="inlineStr">
        <is>
          <t>8IN MYGEL FOAM MATTRESS TW</t>
        </is>
      </c>
      <c r="L438" s="245" t="inlineStr">
        <is>
          <t>ZU-MFGN1YZI-08T</t>
        </is>
      </c>
      <c r="M438" s="248" t="inlineStr">
        <is>
          <t>2RHYK5BW</t>
        </is>
      </c>
      <c r="N438" s="245" t="inlineStr">
        <is>
          <t>F.MFG.08T.003.AD</t>
        </is>
      </c>
      <c r="O438" s="245" t="n"/>
      <c r="P438" s="245" t="n"/>
      <c r="Q438" s="250">
        <f>R438/H438</f>
        <v/>
      </c>
      <c r="R438" s="251" t="n">
        <v>8515.41</v>
      </c>
      <c r="S438" s="249" t="n">
        <v>17960</v>
      </c>
      <c r="T438" s="252">
        <f>S438*R438</f>
        <v/>
      </c>
      <c r="U438" s="245" t="n"/>
      <c r="V438" s="245" t="n"/>
      <c r="W438" s="245" t="n"/>
      <c r="X438" s="245" t="n"/>
      <c r="Y438" s="245" t="n"/>
      <c r="Z438" s="245" t="n"/>
    </row>
    <row r="439" ht="16.5" customHeight="1" s="202">
      <c r="A439" s="245" t="n"/>
      <c r="B439" s="245" t="n"/>
      <c r="C439" s="245" t="n"/>
      <c r="D439" s="245" t="n"/>
      <c r="E439" s="245" t="n"/>
      <c r="F439" s="245" t="n"/>
      <c r="G439" s="245" t="n"/>
      <c r="H439" s="247" t="n">
        <v>41</v>
      </c>
      <c r="I439" s="245" t="inlineStr"/>
      <c r="J439" s="245" t="inlineStr"/>
      <c r="K439" s="245" t="inlineStr">
        <is>
          <t>8IN GREEN TEA MF MATTRESS SQ</t>
        </is>
      </c>
      <c r="L439" s="245" t="inlineStr">
        <is>
          <t>ZU-MFMA1FZI-08S</t>
        </is>
      </c>
      <c r="M439" s="248" t="inlineStr">
        <is>
          <t>2RHYK5BW</t>
        </is>
      </c>
      <c r="N439" s="245" t="inlineStr">
        <is>
          <t>F.MFM.08S.012.AD</t>
        </is>
      </c>
      <c r="O439" s="245" t="n"/>
      <c r="P439" s="245" t="n"/>
      <c r="Q439" s="250">
        <f>R439/H439</f>
        <v/>
      </c>
      <c r="R439" s="251" t="n">
        <v>2548.15</v>
      </c>
      <c r="S439" s="249" t="n">
        <v>17960</v>
      </c>
      <c r="T439" s="252">
        <f>S439*R439</f>
        <v/>
      </c>
      <c r="U439" s="245" t="n"/>
      <c r="V439" s="245" t="n"/>
      <c r="W439" s="245" t="n"/>
      <c r="X439" s="245" t="n"/>
      <c r="Y439" s="245" t="n"/>
      <c r="Z439" s="245" t="n"/>
    </row>
    <row r="440" ht="16.5" customHeight="1" s="202">
      <c r="A440" s="245" t="n"/>
      <c r="B440" s="245" t="n"/>
      <c r="C440" s="245" t="n"/>
      <c r="D440" s="245" t="n"/>
      <c r="E440" s="245" t="n"/>
      <c r="F440" s="245" t="n"/>
      <c r="G440" s="245" t="n"/>
      <c r="H440" s="247" t="n">
        <v>5</v>
      </c>
      <c r="I440" s="245" t="inlineStr"/>
      <c r="J440" s="245" t="inlineStr"/>
      <c r="K440" s="245" t="inlineStr">
        <is>
          <t>10IN GREEN TEA MF MATTRESS FL</t>
        </is>
      </c>
      <c r="L440" s="245" t="inlineStr">
        <is>
          <t>ZU-MFMA1FZI-10F</t>
        </is>
      </c>
      <c r="M440" s="248" t="inlineStr">
        <is>
          <t>2RHYK5BW</t>
        </is>
      </c>
      <c r="N440" s="245" t="inlineStr">
        <is>
          <t>F.MFM.10F.009.AD</t>
        </is>
      </c>
      <c r="O440" s="245" t="n"/>
      <c r="P440" s="245" t="n"/>
      <c r="Q440" s="250">
        <f>R440/H440</f>
        <v/>
      </c>
      <c r="R440" s="251" t="n">
        <v>326.25</v>
      </c>
      <c r="S440" s="249" t="n">
        <v>17960</v>
      </c>
      <c r="T440" s="252">
        <f>S440*R440</f>
        <v/>
      </c>
      <c r="U440" s="245" t="n"/>
      <c r="V440" s="245" t="n"/>
      <c r="W440" s="245" t="n"/>
      <c r="X440" s="245" t="n"/>
      <c r="Y440" s="245" t="n"/>
      <c r="Z440" s="245" t="n"/>
    </row>
    <row r="441" ht="16.5" customHeight="1" s="202">
      <c r="A441" s="245" t="n"/>
      <c r="B441" s="245" t="n"/>
      <c r="C441" s="245" t="n"/>
      <c r="D441" s="245" t="n"/>
      <c r="E441" s="245" t="n"/>
      <c r="F441" s="245" t="n"/>
      <c r="G441" s="245" t="n"/>
      <c r="H441" s="247" t="n">
        <v>18</v>
      </c>
      <c r="I441" s="245" t="inlineStr"/>
      <c r="J441" s="245" t="inlineStr"/>
      <c r="K441" s="245" t="inlineStr">
        <is>
          <t>6IN OPP HD TW</t>
        </is>
      </c>
      <c r="L441" s="245" t="inlineStr">
        <is>
          <t>ZU-MFMA1OZI-06T</t>
        </is>
      </c>
      <c r="M441" s="248" t="inlineStr">
        <is>
          <t>2RHYK5BW</t>
        </is>
      </c>
      <c r="N441" s="245" t="inlineStr">
        <is>
          <t>F.MFM.06T.008.AD</t>
        </is>
      </c>
      <c r="O441" s="245" t="n"/>
      <c r="P441" s="245" t="n"/>
      <c r="Q441" s="250">
        <f>R441/H441</f>
        <v/>
      </c>
      <c r="R441" s="251" t="n">
        <v>485.1</v>
      </c>
      <c r="S441" s="249" t="n">
        <v>17960</v>
      </c>
      <c r="T441" s="252">
        <f>S441*R441</f>
        <v/>
      </c>
      <c r="U441" s="245" t="n"/>
      <c r="V441" s="245" t="n"/>
      <c r="W441" s="245" t="n"/>
      <c r="X441" s="245" t="n"/>
      <c r="Y441" s="245" t="n"/>
      <c r="Z441" s="245" t="n"/>
    </row>
    <row r="442" ht="16.5" customHeight="1" s="202">
      <c r="A442" s="245" t="n"/>
      <c r="B442" s="245" t="n"/>
      <c r="C442" s="245" t="n"/>
      <c r="D442" s="245" t="n"/>
      <c r="E442" s="245" t="n"/>
      <c r="F442" s="245" t="n"/>
      <c r="G442" s="245" t="n"/>
      <c r="H442" s="247" t="n">
        <v>8</v>
      </c>
      <c r="I442" s="245" t="inlineStr"/>
      <c r="J442" s="245" t="inlineStr"/>
      <c r="K442" s="245" t="inlineStr">
        <is>
          <t>10IN OPP HD FL</t>
        </is>
      </c>
      <c r="L442" s="245" t="inlineStr">
        <is>
          <t>ZU-MFMA1OZI-10F</t>
        </is>
      </c>
      <c r="M442" s="248" t="inlineStr">
        <is>
          <t>2RHYK5BW</t>
        </is>
      </c>
      <c r="N442" s="245" t="inlineStr">
        <is>
          <t>F.MFM.10F.013.AD</t>
        </is>
      </c>
      <c r="O442" s="245" t="n"/>
      <c r="P442" s="245" t="n"/>
      <c r="Q442" s="250">
        <f>R442/H442</f>
        <v/>
      </c>
      <c r="R442" s="251" t="n">
        <v>383.28</v>
      </c>
      <c r="S442" s="249" t="n">
        <v>17960</v>
      </c>
      <c r="T442" s="252">
        <f>S442*R442</f>
        <v/>
      </c>
      <c r="U442" s="245" t="n"/>
      <c r="V442" s="245" t="n"/>
      <c r="W442" s="245" t="n"/>
      <c r="X442" s="245" t="n"/>
      <c r="Y442" s="245" t="n"/>
      <c r="Z442" s="245" t="n"/>
    </row>
    <row r="443" ht="16.5" customHeight="1" s="202">
      <c r="A443" s="245" t="n"/>
      <c r="B443" s="245" t="n"/>
      <c r="C443" s="245" t="n"/>
      <c r="D443" s="245" t="n"/>
      <c r="E443" s="245" t="n"/>
      <c r="F443" s="245" t="n"/>
      <c r="G443" s="245" t="n"/>
      <c r="H443" s="247" t="n">
        <v>45</v>
      </c>
      <c r="I443" s="245" t="inlineStr"/>
      <c r="J443" s="245" t="inlineStr"/>
      <c r="K443" s="245" t="inlineStr">
        <is>
          <t>12IN AIRFLOW GEL FOAM MATT TW</t>
        </is>
      </c>
      <c r="L443" s="245" t="inlineStr">
        <is>
          <t>ZU-MFMA1RZI-12T</t>
        </is>
      </c>
      <c r="M443" s="248" t="inlineStr">
        <is>
          <t>2RHYK5BW</t>
        </is>
      </c>
      <c r="N443" s="245" t="inlineStr">
        <is>
          <t>F.MFM.12T.011.AD</t>
        </is>
      </c>
      <c r="O443" s="245" t="n"/>
      <c r="P443" s="245" t="n"/>
      <c r="Q443" s="250">
        <f>R443/H443</f>
        <v/>
      </c>
      <c r="R443" s="251" t="n">
        <v>1886.4</v>
      </c>
      <c r="S443" s="249" t="n">
        <v>17960</v>
      </c>
      <c r="T443" s="252">
        <f>S443*R443</f>
        <v/>
      </c>
      <c r="U443" s="245" t="n"/>
      <c r="V443" s="245" t="n"/>
      <c r="W443" s="245" t="n"/>
      <c r="X443" s="245" t="n"/>
      <c r="Y443" s="245" t="n"/>
      <c r="Z443" s="245" t="n"/>
    </row>
    <row r="444" ht="16.5" customHeight="1" s="202">
      <c r="A444" s="245" t="n"/>
      <c r="B444" s="245" t="n"/>
      <c r="C444" s="245" t="n"/>
      <c r="D444" s="245" t="n"/>
      <c r="E444" s="245" t="n"/>
      <c r="F444" s="245" t="n"/>
      <c r="G444" s="245" t="n"/>
      <c r="H444" s="247" t="n">
        <v>320</v>
      </c>
      <c r="I444" s="245" t="inlineStr"/>
      <c r="J444" s="245" t="inlineStr"/>
      <c r="K444" s="245" t="inlineStr">
        <is>
          <t>6IN GREEN TEA MF MATTRESS FL</t>
        </is>
      </c>
      <c r="L444" s="245" t="inlineStr">
        <is>
          <t>ZU-MFMA1ZZI-06F</t>
        </is>
      </c>
      <c r="M444" s="248" t="inlineStr">
        <is>
          <t>2RHYK5BW</t>
        </is>
      </c>
      <c r="N444" s="245" t="inlineStr">
        <is>
          <t>F.MFM.06F.007.AD</t>
        </is>
      </c>
      <c r="O444" s="245" t="n"/>
      <c r="P444" s="245" t="n"/>
      <c r="Q444" s="250">
        <f>R444/H444</f>
        <v/>
      </c>
      <c r="R444" s="251" t="n">
        <v>12265.6</v>
      </c>
      <c r="S444" s="249" t="n">
        <v>17960</v>
      </c>
      <c r="T444" s="252">
        <f>S444*R444</f>
        <v/>
      </c>
      <c r="U444" s="245" t="n"/>
      <c r="V444" s="245" t="n"/>
      <c r="W444" s="245" t="n"/>
      <c r="X444" s="245" t="n"/>
      <c r="Y444" s="245" t="n"/>
      <c r="Z444" s="245" t="n"/>
    </row>
    <row r="445" ht="16.5" customHeight="1" s="202">
      <c r="A445" s="245" t="n"/>
      <c r="B445" s="245" t="n"/>
      <c r="C445" s="245" t="n"/>
      <c r="D445" s="245" t="n"/>
      <c r="E445" s="245" t="n"/>
      <c r="F445" s="245" t="n"/>
      <c r="G445" s="245" t="n"/>
      <c r="H445" s="247" t="n">
        <v>1</v>
      </c>
      <c r="I445" s="245" t="inlineStr"/>
      <c r="J445" s="245" t="inlineStr"/>
      <c r="K445" s="245" t="inlineStr">
        <is>
          <t>8IN GREEN TEA MF MATTRESS SQ</t>
        </is>
      </c>
      <c r="L445" s="245" t="inlineStr">
        <is>
          <t>ZU-MFMA1ZZI-08S</t>
        </is>
      </c>
      <c r="M445" s="248" t="inlineStr">
        <is>
          <t>2RHYK5BW</t>
        </is>
      </c>
      <c r="N445" s="245" t="inlineStr">
        <is>
          <t>F.MFM.08S.011.AD</t>
        </is>
      </c>
      <c r="O445" s="245" t="n"/>
      <c r="P445" s="245" t="n"/>
      <c r="Q445" s="250">
        <f>R445/H445</f>
        <v/>
      </c>
      <c r="R445" s="251" t="n">
        <v>59.1</v>
      </c>
      <c r="S445" s="249" t="n">
        <v>17960</v>
      </c>
      <c r="T445" s="252">
        <f>S445*R445</f>
        <v/>
      </c>
      <c r="U445" s="245" t="n"/>
      <c r="V445" s="245" t="n"/>
      <c r="W445" s="245" t="n"/>
      <c r="X445" s="245" t="n"/>
      <c r="Y445" s="245" t="n"/>
      <c r="Z445" s="245" t="n"/>
    </row>
    <row r="446" ht="16.5" customHeight="1" s="202">
      <c r="A446" s="245" t="n"/>
      <c r="B446" s="245" t="n"/>
      <c r="C446" s="245" t="n"/>
      <c r="D446" s="245" t="n"/>
      <c r="E446" s="245" t="n"/>
      <c r="F446" s="245" t="n"/>
      <c r="G446" s="245" t="n"/>
      <c r="H446" s="247" t="n">
        <v>97</v>
      </c>
      <c r="I446" s="245" t="inlineStr"/>
      <c r="J446" s="245" t="inlineStr"/>
      <c r="K446" s="245" t="inlineStr">
        <is>
          <t>10IN GREEN TEA MF MATTRESS TW</t>
        </is>
      </c>
      <c r="L446" s="245" t="inlineStr">
        <is>
          <t>ZU-MFMA1ZZI-10T</t>
        </is>
      </c>
      <c r="M446" s="248" t="inlineStr">
        <is>
          <t>2RHYK5BW</t>
        </is>
      </c>
      <c r="N446" s="245" t="inlineStr">
        <is>
          <t>F.MFM.10T.007.AD</t>
        </is>
      </c>
      <c r="O446" s="245" t="n"/>
      <c r="P446" s="245" t="n"/>
      <c r="Q446" s="250">
        <f>R446/H446</f>
        <v/>
      </c>
      <c r="R446" s="251" t="n">
        <v>5358.28</v>
      </c>
      <c r="S446" s="249" t="n">
        <v>17960</v>
      </c>
      <c r="T446" s="252">
        <f>S446*R446</f>
        <v/>
      </c>
      <c r="U446" s="245" t="n"/>
      <c r="V446" s="245" t="n"/>
      <c r="W446" s="245" t="n"/>
      <c r="X446" s="245" t="n"/>
      <c r="Y446" s="245" t="n"/>
      <c r="Z446" s="245" t="n"/>
    </row>
    <row r="447" ht="16.5" customHeight="1" s="202">
      <c r="A447" s="245" t="n"/>
      <c r="B447" s="245" t="n"/>
      <c r="C447" s="245" t="n"/>
      <c r="D447" s="245" t="n"/>
      <c r="E447" s="245" t="n"/>
      <c r="F447" s="245" t="n"/>
      <c r="G447" s="245" t="n"/>
      <c r="H447" s="247" t="n">
        <v>28</v>
      </c>
      <c r="I447" s="245" t="inlineStr"/>
      <c r="J447" s="245" t="inlineStr"/>
      <c r="K447" s="245" t="inlineStr">
        <is>
          <t>10IN GREEN TEA MF MATTRESS TX</t>
        </is>
      </c>
      <c r="L447" s="245" t="inlineStr">
        <is>
          <t>ZU-MFMA1ZZI-10X</t>
        </is>
      </c>
      <c r="M447" s="248" t="inlineStr">
        <is>
          <t>2RHYK5BW</t>
        </is>
      </c>
      <c r="N447" s="245" t="inlineStr">
        <is>
          <t>F.MFM.10X.007.AD</t>
        </is>
      </c>
      <c r="O447" s="245" t="n"/>
      <c r="P447" s="245" t="n"/>
      <c r="Q447" s="250">
        <f>R447/H447</f>
        <v/>
      </c>
      <c r="R447" s="251" t="n">
        <v>1409.8</v>
      </c>
      <c r="S447" s="249" t="n">
        <v>17960</v>
      </c>
      <c r="T447" s="252">
        <f>S447*R447</f>
        <v/>
      </c>
      <c r="U447" s="245" t="n"/>
      <c r="V447" s="245" t="n"/>
      <c r="W447" s="245" t="n"/>
      <c r="X447" s="245" t="n"/>
      <c r="Y447" s="245" t="n"/>
      <c r="Z447" s="245" t="n"/>
    </row>
    <row r="448" ht="16.5" customHeight="1" s="202">
      <c r="A448" s="245" t="n"/>
      <c r="B448" s="245" t="n"/>
      <c r="C448" s="245" t="n"/>
      <c r="D448" s="245" t="n"/>
      <c r="E448" s="245" t="n"/>
      <c r="F448" s="245" t="n"/>
      <c r="G448" s="245" t="n"/>
      <c r="H448" s="247" t="n">
        <v>13</v>
      </c>
      <c r="I448" s="245" t="inlineStr"/>
      <c r="J448" s="245" t="inlineStr"/>
      <c r="K448" s="245" t="inlineStr">
        <is>
          <t>12IN GREEN TEA MF MATTRESS FL</t>
        </is>
      </c>
      <c r="L448" s="245" t="inlineStr">
        <is>
          <t>ZU-MFMA1ZZI-12F</t>
        </is>
      </c>
      <c r="M448" s="248" t="inlineStr">
        <is>
          <t>2RHYK5BW</t>
        </is>
      </c>
      <c r="N448" s="245" t="inlineStr">
        <is>
          <t>F.MFM.12F.006.AD</t>
        </is>
      </c>
      <c r="O448" s="245" t="n"/>
      <c r="P448" s="245" t="n"/>
      <c r="Q448" s="250">
        <f>R448/H448</f>
        <v/>
      </c>
      <c r="R448" s="251" t="n">
        <v>922.48</v>
      </c>
      <c r="S448" s="249" t="n">
        <v>17960</v>
      </c>
      <c r="T448" s="252">
        <f>S448*R448</f>
        <v/>
      </c>
      <c r="U448" s="245" t="n"/>
      <c r="V448" s="245" t="n"/>
      <c r="W448" s="245" t="n"/>
      <c r="X448" s="245" t="n"/>
      <c r="Y448" s="245" t="n"/>
      <c r="Z448" s="245" t="n"/>
    </row>
    <row r="449" ht="16.5" customHeight="1" s="202">
      <c r="A449" s="245" t="n"/>
      <c r="B449" s="245" t="n"/>
      <c r="C449" s="245" t="n"/>
      <c r="D449" s="245" t="n"/>
      <c r="E449" s="245" t="n"/>
      <c r="F449" s="245" t="n"/>
      <c r="G449" s="245" t="n"/>
      <c r="H449" s="247" t="n">
        <v>17</v>
      </c>
      <c r="I449" s="245" t="inlineStr"/>
      <c r="J449" s="245" t="inlineStr"/>
      <c r="K449" s="245" t="inlineStr">
        <is>
          <t>12IN MYGEL FOAM MATTRESS FL</t>
        </is>
      </c>
      <c r="L449" s="245" t="inlineStr">
        <is>
          <t>ZU-MFGN1YZI-12F</t>
        </is>
      </c>
      <c r="M449" s="248" t="inlineStr">
        <is>
          <t>3D9MUIEU</t>
        </is>
      </c>
      <c r="N449" s="245" t="inlineStr">
        <is>
          <t>F.MFG.12F.002.AD</t>
        </is>
      </c>
      <c r="O449" s="245" t="n"/>
      <c r="P449" s="245" t="n"/>
      <c r="Q449" s="250">
        <f>R449/H449</f>
        <v/>
      </c>
      <c r="R449" s="251" t="n">
        <v>1203.77</v>
      </c>
      <c r="S449" s="249" t="n">
        <v>17960</v>
      </c>
      <c r="T449" s="252">
        <f>S449*R449</f>
        <v/>
      </c>
      <c r="U449" s="245" t="n"/>
      <c r="V449" s="245" t="n"/>
      <c r="W449" s="245" t="n"/>
      <c r="X449" s="245" t="n"/>
      <c r="Y449" s="245" t="n"/>
      <c r="Z449" s="245" t="n"/>
    </row>
    <row r="450" ht="16.5" customHeight="1" s="202">
      <c r="A450" s="245" t="n"/>
      <c r="B450" s="245" t="n"/>
      <c r="C450" s="245" t="n"/>
      <c r="D450" s="245" t="n"/>
      <c r="E450" s="245" t="n"/>
      <c r="F450" s="245" t="n"/>
      <c r="G450" s="245" t="n"/>
      <c r="H450" s="247" t="n">
        <v>12</v>
      </c>
      <c r="I450" s="245" t="inlineStr"/>
      <c r="J450" s="245" t="inlineStr"/>
      <c r="K450" s="245" t="inlineStr">
        <is>
          <t>12IN GREEN TEA MF MATTRESS QN</t>
        </is>
      </c>
      <c r="L450" s="245" t="inlineStr">
        <is>
          <t>ZU-MFMA1FZI-12Q</t>
        </is>
      </c>
      <c r="M450" s="248" t="inlineStr">
        <is>
          <t>3D9MUIEU</t>
        </is>
      </c>
      <c r="N450" s="245" t="inlineStr">
        <is>
          <t>F.MFM.12Q.008.AD</t>
        </is>
      </c>
      <c r="O450" s="245" t="n"/>
      <c r="P450" s="245" t="n"/>
      <c r="Q450" s="250">
        <f>R450/H450</f>
        <v/>
      </c>
      <c r="R450" s="251" t="n">
        <v>1118.64</v>
      </c>
      <c r="S450" s="249" t="n">
        <v>17960</v>
      </c>
      <c r="T450" s="252">
        <f>S450*R450</f>
        <v/>
      </c>
      <c r="U450" s="245" t="n"/>
      <c r="V450" s="245" t="n"/>
      <c r="W450" s="245" t="n"/>
      <c r="X450" s="245" t="n"/>
      <c r="Y450" s="245" t="n"/>
      <c r="Z450" s="245" t="n"/>
    </row>
    <row r="451" ht="16.5" customHeight="1" s="202">
      <c r="A451" s="245" t="n"/>
      <c r="B451" s="245" t="n"/>
      <c r="C451" s="245" t="n"/>
      <c r="D451" s="245" t="n"/>
      <c r="E451" s="245" t="n"/>
      <c r="F451" s="245" t="n"/>
      <c r="G451" s="245" t="n"/>
      <c r="H451" s="247" t="n">
        <v>78</v>
      </c>
      <c r="I451" s="245" t="inlineStr"/>
      <c r="J451" s="245" t="inlineStr"/>
      <c r="K451" s="245" t="inlineStr">
        <is>
          <t>12IN OPP HD QN</t>
        </is>
      </c>
      <c r="L451" s="245" t="inlineStr">
        <is>
          <t>ZU-MFMA1OZI-12Q</t>
        </is>
      </c>
      <c r="M451" s="248" t="inlineStr">
        <is>
          <t>3D9MUIEU</t>
        </is>
      </c>
      <c r="N451" s="245" t="inlineStr">
        <is>
          <t>F.MFM.12Q.010.AD</t>
        </is>
      </c>
      <c r="O451" s="245" t="n"/>
      <c r="P451" s="245" t="n"/>
      <c r="Q451" s="250">
        <f>R451/H451</f>
        <v/>
      </c>
      <c r="R451" s="251" t="n">
        <v>5270.46</v>
      </c>
      <c r="S451" s="249" t="n">
        <v>17960</v>
      </c>
      <c r="T451" s="252">
        <f>S451*R451</f>
        <v/>
      </c>
      <c r="U451" s="245" t="n"/>
      <c r="V451" s="245" t="n"/>
      <c r="W451" s="245" t="n"/>
      <c r="X451" s="245" t="n"/>
      <c r="Y451" s="245" t="n"/>
      <c r="Z451" s="245" t="n"/>
    </row>
    <row r="452" ht="16.5" customHeight="1" s="202">
      <c r="A452" s="245" t="n"/>
      <c r="B452" s="245" t="n"/>
      <c r="C452" s="245" t="n"/>
      <c r="D452" s="245" t="n"/>
      <c r="E452" s="245" t="n"/>
      <c r="F452" s="245" t="n"/>
      <c r="G452" s="245" t="n"/>
      <c r="H452" s="247" t="n">
        <v>14</v>
      </c>
      <c r="I452" s="245" t="inlineStr"/>
      <c r="J452" s="245" t="inlineStr"/>
      <c r="K452" s="245" t="inlineStr">
        <is>
          <t>8IN AIRFLOW GEL FOAM MATT QN</t>
        </is>
      </c>
      <c r="L452" s="245" t="inlineStr">
        <is>
          <t>ZU-MFMA1RZI-08Q</t>
        </is>
      </c>
      <c r="M452" s="248" t="inlineStr">
        <is>
          <t>3D9MUIEU</t>
        </is>
      </c>
      <c r="N452" s="245" t="inlineStr">
        <is>
          <t>F.MFM.08Q.014.AD</t>
        </is>
      </c>
      <c r="O452" s="245" t="n"/>
      <c r="P452" s="245" t="n"/>
      <c r="Q452" s="250">
        <f>R452/H452</f>
        <v/>
      </c>
      <c r="R452" s="251" t="n">
        <v>628.74</v>
      </c>
      <c r="S452" s="249" t="n">
        <v>17960</v>
      </c>
      <c r="T452" s="252">
        <f>S452*R452</f>
        <v/>
      </c>
      <c r="U452" s="245" t="n"/>
      <c r="V452" s="245" t="n"/>
      <c r="W452" s="245" t="n"/>
      <c r="X452" s="245" t="n"/>
      <c r="Y452" s="245" t="n"/>
      <c r="Z452" s="245" t="n"/>
    </row>
    <row r="453" ht="16.5" customHeight="1" s="202">
      <c r="A453" s="245" t="n"/>
      <c r="B453" s="245" t="n"/>
      <c r="C453" s="245" t="n"/>
      <c r="D453" s="245" t="n"/>
      <c r="E453" s="245" t="n"/>
      <c r="F453" s="245" t="n"/>
      <c r="G453" s="245" t="n"/>
      <c r="H453" s="247" t="n">
        <v>2</v>
      </c>
      <c r="I453" s="245" t="inlineStr"/>
      <c r="J453" s="245" t="inlineStr"/>
      <c r="K453" s="245" t="inlineStr">
        <is>
          <t>12IN AIRFLOW GEL FOAM MATT EK</t>
        </is>
      </c>
      <c r="L453" s="245" t="inlineStr">
        <is>
          <t>ZU-MFMA1RZI-12K</t>
        </is>
      </c>
      <c r="M453" s="248" t="inlineStr">
        <is>
          <t>3D9MUIEU</t>
        </is>
      </c>
      <c r="N453" s="245" t="inlineStr">
        <is>
          <t>F.MFM.12K.011.AD</t>
        </is>
      </c>
      <c r="O453" s="245" t="n"/>
      <c r="P453" s="245" t="n"/>
      <c r="Q453" s="250">
        <f>R453/H453</f>
        <v/>
      </c>
      <c r="R453" s="251" t="n">
        <v>149.72</v>
      </c>
      <c r="S453" s="249" t="n">
        <v>17960</v>
      </c>
      <c r="T453" s="252">
        <f>S453*R453</f>
        <v/>
      </c>
      <c r="U453" s="245" t="n"/>
      <c r="V453" s="245" t="n"/>
      <c r="W453" s="245" t="n"/>
      <c r="X453" s="245" t="n"/>
      <c r="Y453" s="245" t="n"/>
      <c r="Z453" s="245" t="n"/>
    </row>
    <row r="454" ht="16.5" customHeight="1" s="202">
      <c r="A454" s="245" t="n"/>
      <c r="B454" s="245" t="n"/>
      <c r="C454" s="245" t="n"/>
      <c r="D454" s="245" t="n"/>
      <c r="E454" s="245" t="n"/>
      <c r="F454" s="245" t="n"/>
      <c r="G454" s="245" t="n"/>
      <c r="H454" s="247" t="n">
        <v>1</v>
      </c>
      <c r="I454" s="245" t="inlineStr"/>
      <c r="J454" s="245" t="inlineStr"/>
      <c r="K454" s="245" t="inlineStr">
        <is>
          <t>8IN GREEN TEA MF MATTRESS SQ</t>
        </is>
      </c>
      <c r="L454" s="245" t="inlineStr">
        <is>
          <t>ZU-MFMA1ZZI-08S</t>
        </is>
      </c>
      <c r="M454" s="248" t="inlineStr">
        <is>
          <t>3D9MUIEU</t>
        </is>
      </c>
      <c r="N454" s="245" t="inlineStr">
        <is>
          <t>F.MFM.08S.011.AD</t>
        </is>
      </c>
      <c r="O454" s="245" t="n"/>
      <c r="P454" s="245" t="n"/>
      <c r="Q454" s="250">
        <f>R454/H454</f>
        <v/>
      </c>
      <c r="R454" s="251" t="n">
        <v>59.1</v>
      </c>
      <c r="S454" s="249" t="n">
        <v>17960</v>
      </c>
      <c r="T454" s="252">
        <f>S454*R454</f>
        <v/>
      </c>
      <c r="U454" s="245" t="n"/>
      <c r="V454" s="245" t="n"/>
      <c r="W454" s="245" t="n"/>
      <c r="X454" s="245" t="n"/>
      <c r="Y454" s="245" t="n"/>
      <c r="Z454" s="245" t="n"/>
    </row>
    <row r="455" ht="16.5" customHeight="1" s="202">
      <c r="A455" s="245" t="n"/>
      <c r="B455" s="245" t="n"/>
      <c r="C455" s="245" t="n"/>
      <c r="D455" s="245" t="n"/>
      <c r="E455" s="245" t="n"/>
      <c r="F455" s="245" t="n"/>
      <c r="G455" s="245" t="n"/>
      <c r="H455" s="247" t="n">
        <v>140</v>
      </c>
      <c r="I455" s="245" t="inlineStr"/>
      <c r="J455" s="245" t="inlineStr"/>
      <c r="K455" s="245" t="inlineStr">
        <is>
          <t>10IN GREEN TEA MF MATTRESS EK</t>
        </is>
      </c>
      <c r="L455" s="245" t="inlineStr">
        <is>
          <t>ZU-MFMA1ZZI-10K</t>
        </is>
      </c>
      <c r="M455" s="248" t="inlineStr">
        <is>
          <t>3D9MUIEU</t>
        </is>
      </c>
      <c r="N455" s="245" t="inlineStr">
        <is>
          <t>F.MFM.10K.007.AD</t>
        </is>
      </c>
      <c r="O455" s="245" t="n"/>
      <c r="P455" s="245" t="n"/>
      <c r="Q455" s="250">
        <f>R455/H455</f>
        <v/>
      </c>
      <c r="R455" s="251" t="n">
        <v>13595.4</v>
      </c>
      <c r="S455" s="249" t="n">
        <v>17960</v>
      </c>
      <c r="T455" s="252">
        <f>S455*R455</f>
        <v/>
      </c>
      <c r="U455" s="245" t="n"/>
      <c r="V455" s="245" t="n"/>
      <c r="W455" s="245" t="n"/>
      <c r="X455" s="245" t="n"/>
      <c r="Y455" s="245" t="n"/>
      <c r="Z455" s="245" t="n"/>
    </row>
    <row r="456" ht="16.5" customHeight="1" s="202">
      <c r="A456" s="245" t="n"/>
      <c r="B456" s="245" t="n"/>
      <c r="C456" s="245" t="n"/>
      <c r="D456" s="245" t="n"/>
      <c r="E456" s="245" t="n"/>
      <c r="F456" s="245" t="n"/>
      <c r="G456" s="245" t="n"/>
      <c r="H456" s="247" t="n">
        <v>188</v>
      </c>
      <c r="I456" s="245" t="inlineStr"/>
      <c r="J456" s="245" t="inlineStr"/>
      <c r="K456" s="245" t="inlineStr">
        <is>
          <t>12IN GREEN TEA MF MATTRESS EK</t>
        </is>
      </c>
      <c r="L456" s="245" t="inlineStr">
        <is>
          <t>ZU-MFMA1ZZI-12K</t>
        </is>
      </c>
      <c r="M456" s="248" t="inlineStr">
        <is>
          <t>3D9MUIEU</t>
        </is>
      </c>
      <c r="N456" s="245" t="inlineStr">
        <is>
          <t>F.MFM.12K.006.AD</t>
        </is>
      </c>
      <c r="O456" s="245" t="n"/>
      <c r="P456" s="245" t="n"/>
      <c r="Q456" s="250">
        <f>R456/H456</f>
        <v/>
      </c>
      <c r="R456" s="251" t="n">
        <v>19170.36</v>
      </c>
      <c r="S456" s="249" t="n">
        <v>17960</v>
      </c>
      <c r="T456" s="252">
        <f>S456*R456</f>
        <v/>
      </c>
      <c r="U456" s="245" t="n"/>
      <c r="V456" s="245" t="n"/>
      <c r="W456" s="245" t="n"/>
      <c r="X456" s="245" t="n"/>
      <c r="Y456" s="245" t="n"/>
      <c r="Z456" s="245" t="n"/>
    </row>
    <row r="457" ht="16.5" customHeight="1" s="202">
      <c r="A457" s="245" t="n"/>
      <c r="B457" s="245" t="n"/>
      <c r="C457" s="245" t="n"/>
      <c r="D457" s="245" t="n"/>
      <c r="E457" s="245" t="n"/>
      <c r="F457" s="245" t="n"/>
      <c r="G457" s="245" t="n"/>
      <c r="H457" s="247" t="n">
        <v>175</v>
      </c>
      <c r="I457" s="245" t="inlineStr"/>
      <c r="J457" s="245" t="inlineStr"/>
      <c r="K457" s="245" t="inlineStr">
        <is>
          <t>12IN OPP HD QN</t>
        </is>
      </c>
      <c r="L457" s="245" t="inlineStr">
        <is>
          <t>ZU-MFMA1OZI-12Q</t>
        </is>
      </c>
      <c r="M457" s="248" t="inlineStr">
        <is>
          <t>43SJ894J</t>
        </is>
      </c>
      <c r="N457" s="245" t="inlineStr">
        <is>
          <t>F.MFM.12Q.010.AD</t>
        </is>
      </c>
      <c r="O457" s="245" t="n"/>
      <c r="P457" s="245" t="n"/>
      <c r="Q457" s="250">
        <f>R457/H457</f>
        <v/>
      </c>
      <c r="R457" s="251" t="n">
        <v>11824.75</v>
      </c>
      <c r="S457" s="249" t="n">
        <v>17960</v>
      </c>
      <c r="T457" s="252">
        <f>S457*R457</f>
        <v/>
      </c>
      <c r="U457" s="245" t="n"/>
      <c r="V457" s="245" t="n"/>
      <c r="W457" s="245" t="n"/>
      <c r="X457" s="245" t="n"/>
      <c r="Y457" s="245" t="n"/>
      <c r="Z457" s="245" t="n"/>
    </row>
    <row r="458" ht="16.5" customHeight="1" s="202">
      <c r="A458" s="245" t="n"/>
      <c r="B458" s="245" t="n"/>
      <c r="C458" s="245" t="n"/>
      <c r="D458" s="245" t="n"/>
      <c r="E458" s="245" t="n"/>
      <c r="F458" s="245" t="n"/>
      <c r="G458" s="245" t="n"/>
      <c r="H458" s="247" t="n">
        <v>31</v>
      </c>
      <c r="I458" s="245" t="inlineStr"/>
      <c r="J458" s="245" t="inlineStr"/>
      <c r="K458" s="245" t="inlineStr">
        <is>
          <t>5IN GREEN TEA MF MATTRESS TW</t>
        </is>
      </c>
      <c r="L458" s="245" t="inlineStr">
        <is>
          <t>ZU-MFMA1ZZI-05T</t>
        </is>
      </c>
      <c r="M458" s="248" t="inlineStr">
        <is>
          <t>43SJ894J</t>
        </is>
      </c>
      <c r="N458" s="245" t="inlineStr">
        <is>
          <t>F.MFM.05T.007.AD</t>
        </is>
      </c>
      <c r="O458" s="245" t="n"/>
      <c r="P458" s="245" t="n"/>
      <c r="Q458" s="250">
        <f>R458/H458</f>
        <v/>
      </c>
      <c r="R458" s="251" t="n">
        <v>733.46</v>
      </c>
      <c r="S458" s="249" t="n">
        <v>17960</v>
      </c>
      <c r="T458" s="252">
        <f>S458*R458</f>
        <v/>
      </c>
      <c r="U458" s="245" t="n"/>
      <c r="V458" s="245" t="n"/>
      <c r="W458" s="245" t="n"/>
      <c r="X458" s="245" t="n"/>
      <c r="Y458" s="245" t="n"/>
      <c r="Z458" s="245" t="n"/>
    </row>
    <row r="459" ht="16.5" customHeight="1" s="202">
      <c r="A459" s="245" t="n"/>
      <c r="B459" s="245" t="n"/>
      <c r="C459" s="245" t="n"/>
      <c r="D459" s="245" t="n"/>
      <c r="E459" s="245" t="n"/>
      <c r="F459" s="245" t="n"/>
      <c r="G459" s="245" t="n"/>
      <c r="H459" s="247" t="n">
        <v>3</v>
      </c>
      <c r="I459" s="245" t="inlineStr"/>
      <c r="J459" s="245" t="inlineStr"/>
      <c r="K459" s="245" t="inlineStr">
        <is>
          <t>8IN GREEN TEA MF MATTRESS SQ</t>
        </is>
      </c>
      <c r="L459" s="245" t="inlineStr">
        <is>
          <t>ZU-MFMA1ZZI-08S</t>
        </is>
      </c>
      <c r="M459" s="248" t="inlineStr">
        <is>
          <t>43SJ894J</t>
        </is>
      </c>
      <c r="N459" s="245" t="inlineStr">
        <is>
          <t>F.MFM.08S.011.AD</t>
        </is>
      </c>
      <c r="O459" s="245" t="n"/>
      <c r="P459" s="245" t="n"/>
      <c r="Q459" s="250">
        <f>R459/H459</f>
        <v/>
      </c>
      <c r="R459" s="251" t="n">
        <v>177.3</v>
      </c>
      <c r="S459" s="249" t="n">
        <v>17960</v>
      </c>
      <c r="T459" s="252">
        <f>S459*R459</f>
        <v/>
      </c>
      <c r="U459" s="245" t="n"/>
      <c r="V459" s="245" t="n"/>
      <c r="W459" s="245" t="n"/>
      <c r="X459" s="245" t="n"/>
      <c r="Y459" s="245" t="n"/>
      <c r="Z459" s="245" t="n"/>
    </row>
    <row r="460" ht="16.5" customHeight="1" s="202">
      <c r="A460" s="245" t="n"/>
      <c r="B460" s="245" t="n"/>
      <c r="C460" s="245" t="n"/>
      <c r="D460" s="245" t="n"/>
      <c r="E460" s="245" t="n"/>
      <c r="F460" s="245" t="n"/>
      <c r="G460" s="245" t="n"/>
      <c r="H460" s="247" t="n">
        <v>24</v>
      </c>
      <c r="I460" s="245" t="inlineStr"/>
      <c r="J460" s="245" t="inlineStr"/>
      <c r="K460" s="245" t="inlineStr">
        <is>
          <t>12IN GREEN TEA MF MATTRESS FL</t>
        </is>
      </c>
      <c r="L460" s="245" t="inlineStr">
        <is>
          <t>ZU-MFMA1ZZI-12F</t>
        </is>
      </c>
      <c r="M460" s="248" t="inlineStr">
        <is>
          <t>43SJ894J</t>
        </is>
      </c>
      <c r="N460" s="245" t="inlineStr">
        <is>
          <t>F.MFM.12F.006.AD</t>
        </is>
      </c>
      <c r="O460" s="245" t="n"/>
      <c r="P460" s="245" t="n"/>
      <c r="Q460" s="250">
        <f>R460/H460</f>
        <v/>
      </c>
      <c r="R460" s="251" t="n">
        <v>1703.04</v>
      </c>
      <c r="S460" s="249" t="n">
        <v>17960</v>
      </c>
      <c r="T460" s="252">
        <f>S460*R460</f>
        <v/>
      </c>
      <c r="U460" s="245" t="n"/>
      <c r="V460" s="245" t="n"/>
      <c r="W460" s="245" t="n"/>
      <c r="X460" s="245" t="n"/>
      <c r="Y460" s="245" t="n"/>
      <c r="Z460" s="245" t="n"/>
    </row>
    <row r="461" ht="16.5" customHeight="1" s="202">
      <c r="A461" s="245" t="n"/>
      <c r="B461" s="245" t="n"/>
      <c r="C461" s="245" t="n"/>
      <c r="D461" s="245" t="n"/>
      <c r="E461" s="245" t="n"/>
      <c r="F461" s="245" t="n"/>
      <c r="G461" s="245" t="n"/>
      <c r="H461" s="247" t="n">
        <v>238</v>
      </c>
      <c r="I461" s="245" t="inlineStr"/>
      <c r="J461" s="245" t="inlineStr"/>
      <c r="K461" s="245" t="inlineStr">
        <is>
          <t>12IN GREEN TEA MF MATTRESS EK</t>
        </is>
      </c>
      <c r="L461" s="245" t="inlineStr">
        <is>
          <t>ZU-MFMA1ZZI-12K</t>
        </is>
      </c>
      <c r="M461" s="248" t="inlineStr">
        <is>
          <t>43SJ894J</t>
        </is>
      </c>
      <c r="N461" s="245" t="inlineStr">
        <is>
          <t>F.MFM.12K.006.AD</t>
        </is>
      </c>
      <c r="O461" s="245" t="n"/>
      <c r="P461" s="245" t="n"/>
      <c r="Q461" s="250">
        <f>R461/H461</f>
        <v/>
      </c>
      <c r="R461" s="251" t="n">
        <v>24268.86</v>
      </c>
      <c r="S461" s="249" t="n">
        <v>17960</v>
      </c>
      <c r="T461" s="252">
        <f>S461*R461</f>
        <v/>
      </c>
      <c r="U461" s="245" t="n"/>
      <c r="V461" s="245" t="n"/>
      <c r="W461" s="245" t="n"/>
      <c r="X461" s="245" t="n"/>
      <c r="Y461" s="245" t="n"/>
      <c r="Z461" s="245" t="n"/>
    </row>
    <row r="462" ht="16.5" customHeight="1" s="202">
      <c r="A462" s="245" t="n"/>
      <c r="B462" s="245" t="n"/>
      <c r="C462" s="245" t="n"/>
      <c r="D462" s="245" t="n"/>
      <c r="E462" s="245" t="n"/>
      <c r="F462" s="245" t="n"/>
      <c r="G462" s="245" t="n"/>
      <c r="H462" s="247" t="n">
        <v>11</v>
      </c>
      <c r="I462" s="245" t="inlineStr"/>
      <c r="J462" s="245" t="inlineStr"/>
      <c r="K462" s="245" t="inlineStr">
        <is>
          <t>12IN OPP HD QN</t>
        </is>
      </c>
      <c r="L462" s="245" t="inlineStr">
        <is>
          <t>ZU-MFMA1OZI-12Q</t>
        </is>
      </c>
      <c r="M462" s="248" t="inlineStr">
        <is>
          <t>4MLWE55G</t>
        </is>
      </c>
      <c r="N462" s="245" t="inlineStr">
        <is>
          <t>F.MFM.12Q.010.AD</t>
        </is>
      </c>
      <c r="O462" s="245" t="n"/>
      <c r="P462" s="245" t="n"/>
      <c r="Q462" s="250">
        <f>R462/H462</f>
        <v/>
      </c>
      <c r="R462" s="251" t="n">
        <v>743.27</v>
      </c>
      <c r="S462" s="249" t="n">
        <v>17960</v>
      </c>
      <c r="T462" s="252">
        <f>S462*R462</f>
        <v/>
      </c>
      <c r="U462" s="245" t="n"/>
      <c r="V462" s="245" t="n"/>
      <c r="W462" s="245" t="n"/>
      <c r="X462" s="245" t="n"/>
      <c r="Y462" s="245" t="n"/>
      <c r="Z462" s="245" t="n"/>
    </row>
    <row r="463" ht="16.5" customHeight="1" s="202">
      <c r="A463" s="245" t="n"/>
      <c r="B463" s="245" t="n"/>
      <c r="C463" s="245" t="n"/>
      <c r="D463" s="245" t="n"/>
      <c r="E463" s="245" t="n"/>
      <c r="F463" s="245" t="n"/>
      <c r="G463" s="245" t="n"/>
      <c r="H463" s="247" t="n">
        <v>1</v>
      </c>
      <c r="I463" s="245" t="inlineStr"/>
      <c r="J463" s="245" t="inlineStr"/>
      <c r="K463" s="245" t="inlineStr">
        <is>
          <t>8IN AIRFLOW GEL FOAM MATT QN</t>
        </is>
      </c>
      <c r="L463" s="245" t="inlineStr">
        <is>
          <t>ZU-MFMA1RZI-08Q</t>
        </is>
      </c>
      <c r="M463" s="248" t="inlineStr">
        <is>
          <t>4MLWE55G</t>
        </is>
      </c>
      <c r="N463" s="245" t="inlineStr">
        <is>
          <t>F.MFM.08Q.014.AD</t>
        </is>
      </c>
      <c r="O463" s="245" t="n"/>
      <c r="P463" s="245" t="n"/>
      <c r="Q463" s="250">
        <f>R463/H463</f>
        <v/>
      </c>
      <c r="R463" s="251" t="n">
        <v>44.91</v>
      </c>
      <c r="S463" s="249" t="n">
        <v>17960</v>
      </c>
      <c r="T463" s="252">
        <f>S463*R463</f>
        <v/>
      </c>
      <c r="U463" s="245" t="n"/>
      <c r="V463" s="245" t="n"/>
      <c r="W463" s="245" t="n"/>
      <c r="X463" s="245" t="n"/>
      <c r="Y463" s="245" t="n"/>
      <c r="Z463" s="245" t="n"/>
    </row>
    <row r="464" ht="16.5" customHeight="1" s="202">
      <c r="A464" s="245" t="n"/>
      <c r="B464" s="245" t="n"/>
      <c r="C464" s="245" t="n"/>
      <c r="D464" s="245" t="n"/>
      <c r="E464" s="245" t="n"/>
      <c r="F464" s="245" t="n"/>
      <c r="G464" s="245" t="n"/>
      <c r="H464" s="247" t="n">
        <v>913</v>
      </c>
      <c r="I464" s="245" t="inlineStr"/>
      <c r="J464" s="245" t="inlineStr"/>
      <c r="K464" s="245" t="inlineStr">
        <is>
          <t>5IN GREEN TEA MF MATTRESS TW</t>
        </is>
      </c>
      <c r="L464" s="245" t="inlineStr">
        <is>
          <t>ZU-MFMA1ZZI-05T</t>
        </is>
      </c>
      <c r="M464" s="248" t="inlineStr">
        <is>
          <t>4MLWE55G</t>
        </is>
      </c>
      <c r="N464" s="245" t="inlineStr">
        <is>
          <t>F.MFM.05T.007.AD</t>
        </is>
      </c>
      <c r="O464" s="245" t="n"/>
      <c r="P464" s="245" t="n"/>
      <c r="Q464" s="250">
        <f>R464/H464</f>
        <v/>
      </c>
      <c r="R464" s="251" t="n">
        <v>21601.58</v>
      </c>
      <c r="S464" s="249" t="n">
        <v>17960</v>
      </c>
      <c r="T464" s="252">
        <f>S464*R464</f>
        <v/>
      </c>
      <c r="U464" s="245" t="n"/>
      <c r="V464" s="245" t="n"/>
      <c r="W464" s="245" t="n"/>
      <c r="X464" s="245" t="n"/>
      <c r="Y464" s="245" t="n"/>
      <c r="Z464" s="245" t="n"/>
    </row>
    <row r="465" ht="16.5" customHeight="1" s="202">
      <c r="A465" s="245" t="n"/>
      <c r="B465" s="245" t="n"/>
      <c r="C465" s="245" t="n"/>
      <c r="D465" s="245" t="n"/>
      <c r="E465" s="245" t="n"/>
      <c r="F465" s="245" t="n"/>
      <c r="G465" s="245" t="n"/>
      <c r="H465" s="247" t="n">
        <v>132</v>
      </c>
      <c r="I465" s="245" t="inlineStr"/>
      <c r="J465" s="245" t="inlineStr"/>
      <c r="K465" s="245" t="inlineStr">
        <is>
          <t>6IN GREEN TEA MF MATTRESS NT</t>
        </is>
      </c>
      <c r="L465" s="245" t="inlineStr">
        <is>
          <t>ZU-MFMA1ZZI-06N</t>
        </is>
      </c>
      <c r="M465" s="248" t="inlineStr">
        <is>
          <t>4MLWE55G</t>
        </is>
      </c>
      <c r="N465" s="245" t="inlineStr">
        <is>
          <t>F.MFM.06N.007.AD</t>
        </is>
      </c>
      <c r="O465" s="245" t="n"/>
      <c r="P465" s="245" t="n"/>
      <c r="Q465" s="250">
        <f>R465/H465</f>
        <v/>
      </c>
      <c r="R465" s="251" t="n">
        <v>3311.88</v>
      </c>
      <c r="S465" s="249" t="n">
        <v>17960</v>
      </c>
      <c r="T465" s="252">
        <f>S465*R465</f>
        <v/>
      </c>
      <c r="U465" s="245" t="n"/>
      <c r="V465" s="245" t="n"/>
      <c r="W465" s="245" t="n"/>
      <c r="X465" s="245" t="n"/>
      <c r="Y465" s="245" t="n"/>
      <c r="Z465" s="245" t="n"/>
    </row>
    <row r="466" ht="16.5" customHeight="1" s="202">
      <c r="A466" s="245" t="n"/>
      <c r="B466" s="245" t="n"/>
      <c r="C466" s="245" t="n"/>
      <c r="D466" s="245" t="n"/>
      <c r="E466" s="245" t="n"/>
      <c r="F466" s="245" t="n"/>
      <c r="G466" s="245" t="n"/>
      <c r="H466" s="247" t="n">
        <v>57</v>
      </c>
      <c r="I466" s="245" t="inlineStr"/>
      <c r="J466" s="245" t="inlineStr"/>
      <c r="K466" s="245" t="inlineStr">
        <is>
          <t>12IN GREEN TEA MF MATTRESS TX</t>
        </is>
      </c>
      <c r="L466" s="245" t="inlineStr">
        <is>
          <t>ZU-MFMA1ZZI-12X</t>
        </is>
      </c>
      <c r="M466" s="248" t="inlineStr">
        <is>
          <t>4MLWE55G</t>
        </is>
      </c>
      <c r="N466" s="245" t="inlineStr">
        <is>
          <t>F.MFM.12X.006.AD</t>
        </is>
      </c>
      <c r="O466" s="245" t="n"/>
      <c r="P466" s="245" t="n"/>
      <c r="Q466" s="250">
        <f>R466/H466</f>
        <v/>
      </c>
      <c r="R466" s="251" t="n">
        <v>3323.1</v>
      </c>
      <c r="S466" s="249" t="n">
        <v>17960</v>
      </c>
      <c r="T466" s="252">
        <f>S466*R466</f>
        <v/>
      </c>
      <c r="U466" s="245" t="n"/>
      <c r="V466" s="245" t="n"/>
      <c r="W466" s="245" t="n"/>
      <c r="X466" s="245" t="n"/>
      <c r="Y466" s="245" t="n"/>
      <c r="Z466" s="245" t="n"/>
    </row>
    <row r="467" ht="16.5" customHeight="1" s="202">
      <c r="A467" s="245" t="n"/>
      <c r="B467" s="245" t="n"/>
      <c r="C467" s="245" t="n"/>
      <c r="D467" s="245" t="n"/>
      <c r="E467" s="245" t="n"/>
      <c r="F467" s="245" t="n"/>
      <c r="G467" s="245" t="n"/>
      <c r="H467" s="247" t="n">
        <v>77</v>
      </c>
      <c r="I467" s="245" t="inlineStr"/>
      <c r="J467" s="245" t="inlineStr"/>
      <c r="K467" s="245" t="inlineStr">
        <is>
          <t>6IN OPP HD TW</t>
        </is>
      </c>
      <c r="L467" s="245" t="inlineStr">
        <is>
          <t>ZU-MFMA1OZI-06T</t>
        </is>
      </c>
      <c r="M467" s="248" t="inlineStr">
        <is>
          <t>4YS8V8XB</t>
        </is>
      </c>
      <c r="N467" s="245" t="inlineStr">
        <is>
          <t>F.MFM.06T.008.AD</t>
        </is>
      </c>
      <c r="O467" s="245" t="n"/>
      <c r="P467" s="245" t="n"/>
      <c r="Q467" s="250">
        <f>R467/H467</f>
        <v/>
      </c>
      <c r="R467" s="251" t="n">
        <v>2075.15</v>
      </c>
      <c r="S467" s="249" t="n">
        <v>17960</v>
      </c>
      <c r="T467" s="252">
        <f>S467*R467</f>
        <v/>
      </c>
      <c r="U467" s="245" t="n"/>
      <c r="V467" s="245" t="n"/>
      <c r="W467" s="245" t="n"/>
      <c r="X467" s="245" t="n"/>
      <c r="Y467" s="245" t="n"/>
      <c r="Z467" s="245" t="n"/>
    </row>
    <row r="468" ht="16.5" customHeight="1" s="202">
      <c r="A468" s="245" t="n"/>
      <c r="B468" s="245" t="n"/>
      <c r="C468" s="245" t="n"/>
      <c r="D468" s="245" t="n"/>
      <c r="E468" s="245" t="n"/>
      <c r="F468" s="245" t="n"/>
      <c r="G468" s="245" t="n"/>
      <c r="H468" s="247" t="n">
        <v>68</v>
      </c>
      <c r="I468" s="245" t="inlineStr"/>
      <c r="J468" s="245" t="inlineStr"/>
      <c r="K468" s="245" t="inlineStr">
        <is>
          <t>10IN OPP HD QN</t>
        </is>
      </c>
      <c r="L468" s="245" t="inlineStr">
        <is>
          <t>ZU-MFMA1OZI-10Q</t>
        </is>
      </c>
      <c r="M468" s="248" t="inlineStr">
        <is>
          <t>4YS8V8XB</t>
        </is>
      </c>
      <c r="N468" s="245" t="inlineStr">
        <is>
          <t>F.MFM.10Q.013.AD</t>
        </is>
      </c>
      <c r="O468" s="245" t="n"/>
      <c r="P468" s="245" t="n"/>
      <c r="Q468" s="250">
        <f>R468/H468</f>
        <v/>
      </c>
      <c r="R468" s="251" t="n">
        <v>3665.2</v>
      </c>
      <c r="S468" s="249" t="n">
        <v>17960</v>
      </c>
      <c r="T468" s="252">
        <f>S468*R468</f>
        <v/>
      </c>
      <c r="U468" s="245" t="n"/>
      <c r="V468" s="245" t="n"/>
      <c r="W468" s="245" t="n"/>
      <c r="X468" s="245" t="n"/>
      <c r="Y468" s="245" t="n"/>
      <c r="Z468" s="245" t="n"/>
    </row>
    <row r="469" ht="16.5" customHeight="1" s="202">
      <c r="A469" s="245" t="n"/>
      <c r="B469" s="245" t="n"/>
      <c r="C469" s="245" t="n"/>
      <c r="D469" s="245" t="n"/>
      <c r="E469" s="245" t="n"/>
      <c r="F469" s="245" t="n"/>
      <c r="G469" s="245" t="n"/>
      <c r="H469" s="247" t="n">
        <v>8</v>
      </c>
      <c r="I469" s="245" t="inlineStr"/>
      <c r="J469" s="245" t="inlineStr"/>
      <c r="K469" s="245" t="inlineStr">
        <is>
          <t>10IN OPP HD TW</t>
        </is>
      </c>
      <c r="L469" s="245" t="inlineStr">
        <is>
          <t>ZU-MFMA1OZI-10T</t>
        </is>
      </c>
      <c r="M469" s="248" t="inlineStr">
        <is>
          <t>4YS8V8XB</t>
        </is>
      </c>
      <c r="N469" s="245" t="inlineStr">
        <is>
          <t>F.MFM.10T.013.AD</t>
        </is>
      </c>
      <c r="O469" s="245" t="n"/>
      <c r="P469" s="245" t="n"/>
      <c r="Q469" s="250">
        <f>R469/H469</f>
        <v/>
      </c>
      <c r="R469" s="251" t="n">
        <v>311.44</v>
      </c>
      <c r="S469" s="249" t="n">
        <v>17960</v>
      </c>
      <c r="T469" s="252">
        <f>S469*R469</f>
        <v/>
      </c>
      <c r="U469" s="245" t="n"/>
      <c r="V469" s="245" t="n"/>
      <c r="W469" s="245" t="n"/>
      <c r="X469" s="245" t="n"/>
      <c r="Y469" s="245" t="n"/>
      <c r="Z469" s="245" t="n"/>
    </row>
    <row r="470" ht="16.5" customHeight="1" s="202">
      <c r="A470" s="245" t="n"/>
      <c r="B470" s="245" t="n"/>
      <c r="C470" s="245" t="n"/>
      <c r="D470" s="245" t="n"/>
      <c r="E470" s="245" t="n"/>
      <c r="F470" s="245" t="n"/>
      <c r="G470" s="245" t="n"/>
      <c r="H470" s="247" t="n">
        <v>1</v>
      </c>
      <c r="I470" s="245" t="inlineStr"/>
      <c r="J470" s="245" t="inlineStr"/>
      <c r="K470" s="245" t="inlineStr">
        <is>
          <t>10IN AIRFLOW GEL FOAM MATT EK</t>
        </is>
      </c>
      <c r="L470" s="245" t="inlineStr">
        <is>
          <t>ZU-MFMA1RZI-10K</t>
        </is>
      </c>
      <c r="M470" s="248" t="inlineStr">
        <is>
          <t>4YS8V8XB</t>
        </is>
      </c>
      <c r="N470" s="245" t="inlineStr">
        <is>
          <t>F.MFM.10K.014.AD</t>
        </is>
      </c>
      <c r="O470" s="245" t="n"/>
      <c r="P470" s="245" t="n"/>
      <c r="Q470" s="250">
        <f>R470/H470</f>
        <v/>
      </c>
      <c r="R470" s="251" t="n">
        <v>65.88</v>
      </c>
      <c r="S470" s="249" t="n">
        <v>17960</v>
      </c>
      <c r="T470" s="252">
        <f>S470*R470</f>
        <v/>
      </c>
      <c r="U470" s="245" t="n"/>
      <c r="V470" s="245" t="n"/>
      <c r="W470" s="245" t="n"/>
      <c r="X470" s="245" t="n"/>
      <c r="Y470" s="245" t="n"/>
      <c r="Z470" s="245" t="n"/>
    </row>
    <row r="471" ht="16.5" customHeight="1" s="202">
      <c r="A471" s="245" t="n"/>
      <c r="B471" s="245" t="n"/>
      <c r="C471" s="245" t="n"/>
      <c r="D471" s="245" t="n"/>
      <c r="E471" s="245" t="n"/>
      <c r="F471" s="245" t="n"/>
      <c r="G471" s="245" t="n"/>
      <c r="H471" s="247" t="n">
        <v>205</v>
      </c>
      <c r="I471" s="245" t="inlineStr"/>
      <c r="J471" s="245" t="inlineStr"/>
      <c r="K471" s="245" t="inlineStr">
        <is>
          <t>5IN GREEN TEA MF MATTRESS TW</t>
        </is>
      </c>
      <c r="L471" s="245" t="inlineStr">
        <is>
          <t>ZU-MFMA1ZZI-05T</t>
        </is>
      </c>
      <c r="M471" s="248" t="inlineStr">
        <is>
          <t>4YS8V8XB</t>
        </is>
      </c>
      <c r="N471" s="245" t="inlineStr">
        <is>
          <t>F.MFM.05T.007.AD</t>
        </is>
      </c>
      <c r="O471" s="245" t="n"/>
      <c r="P471" s="245" t="n"/>
      <c r="Q471" s="250">
        <f>R471/H471</f>
        <v/>
      </c>
      <c r="R471" s="251" t="n">
        <v>4850.3</v>
      </c>
      <c r="S471" s="249" t="n">
        <v>17960</v>
      </c>
      <c r="T471" s="252">
        <f>S471*R471</f>
        <v/>
      </c>
      <c r="U471" s="245" t="n"/>
      <c r="V471" s="245" t="n"/>
      <c r="W471" s="245" t="n"/>
      <c r="X471" s="245" t="n"/>
      <c r="Y471" s="245" t="n"/>
      <c r="Z471" s="245" t="n"/>
    </row>
    <row r="472" ht="16.5" customHeight="1" s="202">
      <c r="A472" s="245" t="n"/>
      <c r="B472" s="245" t="n"/>
      <c r="C472" s="245" t="n"/>
      <c r="D472" s="245" t="n"/>
      <c r="E472" s="245" t="n"/>
      <c r="F472" s="245" t="n"/>
      <c r="G472" s="245" t="n"/>
      <c r="H472" s="247" t="n">
        <v>132</v>
      </c>
      <c r="I472" s="245" t="inlineStr"/>
      <c r="J472" s="245" t="inlineStr"/>
      <c r="K472" s="245" t="inlineStr">
        <is>
          <t>6IN GREEN TEA MF MATTRESS FL</t>
        </is>
      </c>
      <c r="L472" s="245" t="inlineStr">
        <is>
          <t>ZU-MFMA1ZZI-06F</t>
        </is>
      </c>
      <c r="M472" s="248" t="inlineStr">
        <is>
          <t>4YS8V8XB</t>
        </is>
      </c>
      <c r="N472" s="245" t="inlineStr">
        <is>
          <t>F.MFM.06F.007.AD</t>
        </is>
      </c>
      <c r="O472" s="245" t="n"/>
      <c r="P472" s="245" t="n"/>
      <c r="Q472" s="250">
        <f>R472/H472</f>
        <v/>
      </c>
      <c r="R472" s="251" t="n">
        <v>5059.56</v>
      </c>
      <c r="S472" s="249" t="n">
        <v>17960</v>
      </c>
      <c r="T472" s="252">
        <f>S472*R472</f>
        <v/>
      </c>
      <c r="U472" s="245" t="n"/>
      <c r="V472" s="245" t="n"/>
      <c r="W472" s="245" t="n"/>
      <c r="X472" s="245" t="n"/>
      <c r="Y472" s="245" t="n"/>
      <c r="Z472" s="245" t="n"/>
    </row>
    <row r="473" ht="16.5" customHeight="1" s="202">
      <c r="A473" s="245" t="n"/>
      <c r="B473" s="245" t="n"/>
      <c r="C473" s="245" t="n"/>
      <c r="D473" s="245" t="n"/>
      <c r="E473" s="245" t="n"/>
      <c r="F473" s="245" t="n"/>
      <c r="G473" s="245" t="n"/>
      <c r="H473" s="247" t="n">
        <v>36</v>
      </c>
      <c r="I473" s="245" t="inlineStr"/>
      <c r="J473" s="245" t="inlineStr"/>
      <c r="K473" s="245" t="inlineStr">
        <is>
          <t>8IN GREEN TEA MF MATTRESS TW</t>
        </is>
      </c>
      <c r="L473" s="245" t="inlineStr">
        <is>
          <t>ZU-MFMA1ZZI-08T</t>
        </is>
      </c>
      <c r="M473" s="248" t="inlineStr">
        <is>
          <t>4YS8V8XB</t>
        </is>
      </c>
      <c r="N473" s="245" t="inlineStr">
        <is>
          <t>F.MFM.08T.008.AD</t>
        </is>
      </c>
      <c r="O473" s="245" t="n"/>
      <c r="P473" s="245" t="n"/>
      <c r="Q473" s="250">
        <f>R473/H473</f>
        <v/>
      </c>
      <c r="R473" s="251" t="n">
        <v>1293.48</v>
      </c>
      <c r="S473" s="249" t="n">
        <v>17960</v>
      </c>
      <c r="T473" s="252">
        <f>S473*R473</f>
        <v/>
      </c>
      <c r="U473" s="245" t="n"/>
      <c r="V473" s="245" t="n"/>
      <c r="W473" s="245" t="n"/>
      <c r="X473" s="245" t="n"/>
      <c r="Y473" s="245" t="n"/>
      <c r="Z473" s="245" t="n"/>
    </row>
    <row r="474" ht="16.5" customHeight="1" s="202">
      <c r="A474" s="245" t="n"/>
      <c r="B474" s="245" t="n"/>
      <c r="C474" s="245" t="n"/>
      <c r="D474" s="245" t="n"/>
      <c r="E474" s="245" t="n"/>
      <c r="F474" s="245" t="n"/>
      <c r="G474" s="245" t="n"/>
      <c r="H474" s="247" t="n">
        <v>37</v>
      </c>
      <c r="I474" s="245" t="inlineStr"/>
      <c r="J474" s="245" t="inlineStr"/>
      <c r="K474" s="245" t="inlineStr">
        <is>
          <t>10IN GREEN TEA MF MATTRESS QN</t>
        </is>
      </c>
      <c r="L474" s="245" t="inlineStr">
        <is>
          <t>ZU-MFMA1ZZI-10Q</t>
        </is>
      </c>
      <c r="M474" s="248" t="inlineStr">
        <is>
          <t>4YS8V8XB</t>
        </is>
      </c>
      <c r="N474" s="245" t="inlineStr">
        <is>
          <t>F.MFM.10Q.007.AD</t>
        </is>
      </c>
      <c r="O474" s="245" t="n"/>
      <c r="P474" s="245" t="n"/>
      <c r="Q474" s="250">
        <f>R474/H474</f>
        <v/>
      </c>
      <c r="R474" s="251" t="n">
        <v>2437.56</v>
      </c>
      <c r="S474" s="249" t="n">
        <v>17960</v>
      </c>
      <c r="T474" s="252">
        <f>S474*R474</f>
        <v/>
      </c>
      <c r="U474" s="245" t="n"/>
      <c r="V474" s="245" t="n"/>
      <c r="W474" s="245" t="n"/>
      <c r="X474" s="245" t="n"/>
      <c r="Y474" s="245" t="n"/>
      <c r="Z474" s="245" t="n"/>
    </row>
    <row r="475" ht="16.5" customHeight="1" s="202">
      <c r="A475" s="245" t="n"/>
      <c r="B475" s="245" t="n"/>
      <c r="C475" s="245" t="n"/>
      <c r="D475" s="245" t="n"/>
      <c r="E475" s="245" t="n"/>
      <c r="F475" s="245" t="n"/>
      <c r="G475" s="245" t="n"/>
      <c r="H475" s="247" t="n">
        <v>194</v>
      </c>
      <c r="I475" s="245" t="inlineStr"/>
      <c r="J475" s="245" t="inlineStr"/>
      <c r="K475" s="245" t="inlineStr">
        <is>
          <t>12IN GREEN TEA MF MATTRESS FL</t>
        </is>
      </c>
      <c r="L475" s="245" t="inlineStr">
        <is>
          <t>ZU-MFMA1ZZI-12F</t>
        </is>
      </c>
      <c r="M475" s="248" t="inlineStr">
        <is>
          <t>4YS8V8XB</t>
        </is>
      </c>
      <c r="N475" s="245" t="inlineStr">
        <is>
          <t>F.MFM.12F.006.AD</t>
        </is>
      </c>
      <c r="O475" s="245" t="n"/>
      <c r="P475" s="245" t="n"/>
      <c r="Q475" s="250">
        <f>R475/H475</f>
        <v/>
      </c>
      <c r="R475" s="251" t="n">
        <v>13766.24</v>
      </c>
      <c r="S475" s="249" t="n">
        <v>17960</v>
      </c>
      <c r="T475" s="252">
        <f>S475*R475</f>
        <v/>
      </c>
      <c r="U475" s="245" t="n"/>
      <c r="V475" s="245" t="n"/>
      <c r="W475" s="245" t="n"/>
      <c r="X475" s="245" t="n"/>
      <c r="Y475" s="245" t="n"/>
      <c r="Z475" s="245" t="n"/>
    </row>
    <row r="476" ht="16.5" customHeight="1" s="202">
      <c r="A476" s="245" t="n"/>
      <c r="B476" s="245" t="n"/>
      <c r="C476" s="245" t="n"/>
      <c r="D476" s="245" t="n"/>
      <c r="E476" s="245" t="n"/>
      <c r="F476" s="245" t="n"/>
      <c r="G476" s="245" t="n"/>
      <c r="H476" s="247" t="n">
        <v>2</v>
      </c>
      <c r="I476" s="245" t="inlineStr"/>
      <c r="J476" s="245" t="inlineStr"/>
      <c r="K476" s="245" t="inlineStr">
        <is>
          <t>12IN GREEN TEA MF MATTRESS TW</t>
        </is>
      </c>
      <c r="L476" s="245" t="inlineStr">
        <is>
          <t>ZU-MFMA1ZZI-12T</t>
        </is>
      </c>
      <c r="M476" s="248" t="inlineStr">
        <is>
          <t>4YS8V8XB</t>
        </is>
      </c>
      <c r="N476" s="245" t="inlineStr">
        <is>
          <t>F.MFM.12T.006.AD</t>
        </is>
      </c>
      <c r="O476" s="245" t="n"/>
      <c r="P476" s="245" t="n"/>
      <c r="Q476" s="250">
        <f>R476/H476</f>
        <v/>
      </c>
      <c r="R476" s="251" t="n">
        <v>126.4</v>
      </c>
      <c r="S476" s="249" t="n">
        <v>17960</v>
      </c>
      <c r="T476" s="252">
        <f>S476*R476</f>
        <v/>
      </c>
      <c r="U476" s="245" t="n"/>
      <c r="V476" s="245" t="n"/>
      <c r="W476" s="245" t="n"/>
      <c r="X476" s="245" t="n"/>
      <c r="Y476" s="245" t="n"/>
      <c r="Z476" s="245" t="n"/>
    </row>
    <row r="477" ht="17.1" customHeight="1" s="202">
      <c r="A477" s="253" t="n"/>
      <c r="B477" s="253" t="n"/>
      <c r="C477" s="253" t="n"/>
      <c r="D477" s="253" t="n"/>
      <c r="E477" s="253" t="n"/>
      <c r="F477" s="253" t="n"/>
      <c r="G477" s="253" t="n"/>
      <c r="H477" s="254">
        <f>SUM(H431:H476)</f>
        <v/>
      </c>
      <c r="I477" s="253">
        <f>COUNTA(I431:I476)</f>
        <v/>
      </c>
      <c r="J477" s="253" t="n"/>
      <c r="K477" s="253" t="n"/>
      <c r="L477" s="253" t="n"/>
      <c r="M477" s="253" t="n"/>
      <c r="N477" s="253" t="n"/>
      <c r="O477" s="255">
        <f>SUM(O431:O476)</f>
        <v/>
      </c>
      <c r="P477" s="255">
        <f>SUM(P431:P476)</f>
        <v/>
      </c>
      <c r="Q477" s="253" t="n"/>
      <c r="R477" s="256">
        <f>SUM(R431:R476)</f>
        <v/>
      </c>
      <c r="S477" s="253" t="n"/>
      <c r="T477" s="257">
        <f>SUM(T431:T476)</f>
        <v/>
      </c>
      <c r="U477" s="253" t="n"/>
      <c r="V477" s="253" t="n"/>
      <c r="W477" s="253" t="n"/>
      <c r="X477" s="253" t="n"/>
      <c r="Y477" s="253" t="n"/>
      <c r="Z477" s="253" t="n"/>
    </row>
    <row r="478" ht="16.5" customHeight="1" s="202">
      <c r="A478" s="245" t="n">
        <v>46</v>
      </c>
      <c r="B478" s="245" t="inlineStr">
        <is>
          <t>000030ZIK48020260812000614</t>
        </is>
      </c>
      <c r="C478" s="245" t="n">
        <v>508209</v>
      </c>
      <c r="D478" s="245" t="n">
        <v>508155</v>
      </c>
      <c r="E478" s="246" t="n">
        <v>46247</v>
      </c>
      <c r="F478" s="245" t="inlineStr">
        <is>
          <t>ID2608-8111</t>
        </is>
      </c>
      <c r="G478" s="246" t="n">
        <v>46246</v>
      </c>
      <c r="H478" s="247" t="n">
        <v>85</v>
      </c>
      <c r="I478" s="245" t="inlineStr">
        <is>
          <t>MSMU6064647</t>
        </is>
      </c>
      <c r="J478" s="245" t="inlineStr">
        <is>
          <t>40FT</t>
        </is>
      </c>
      <c r="K478" s="245" t="inlineStr">
        <is>
          <t>10IN MEDIUM MFM FL</t>
        </is>
      </c>
      <c r="L478" s="245" t="inlineStr">
        <is>
          <t>WA-MMF-10F-IN</t>
        </is>
      </c>
      <c r="M478" s="248" t="inlineStr">
        <is>
          <t>MIWU00195</t>
        </is>
      </c>
      <c r="N478" s="245" t="inlineStr">
        <is>
          <t>F.MFM.10F.005.BU</t>
        </is>
      </c>
      <c r="O478" s="249" t="n">
        <v>12481.8</v>
      </c>
      <c r="P478" s="249" t="n">
        <v>11286.5</v>
      </c>
      <c r="Q478" s="250">
        <f>R478/H478</f>
        <v/>
      </c>
      <c r="R478" s="251" t="n">
        <v>5132.3</v>
      </c>
      <c r="S478" s="249" t="n">
        <v>17960</v>
      </c>
      <c r="T478" s="252">
        <f>S478*R478</f>
        <v/>
      </c>
      <c r="U478" s="245" t="inlineStr">
        <is>
          <t>040300/KPPBC</t>
        </is>
      </c>
      <c r="V478" s="245" t="inlineStr">
        <is>
          <t>TG. PRIOK</t>
        </is>
      </c>
      <c r="W478" s="245" t="inlineStr">
        <is>
          <t>NEW YORK, US</t>
        </is>
      </c>
      <c r="X478" s="245" t="inlineStr">
        <is>
          <t>MELLOW INC</t>
        </is>
      </c>
      <c r="Y478" s="245" t="inlineStr">
        <is>
          <t>MEDUKU572294</t>
        </is>
      </c>
      <c r="Z478" s="246" t="n">
        <v>46247</v>
      </c>
    </row>
    <row r="479" ht="16.5" customHeight="1" s="202">
      <c r="A479" s="245" t="n"/>
      <c r="B479" s="245" t="n"/>
      <c r="C479" s="245" t="n"/>
      <c r="D479" s="245" t="n"/>
      <c r="E479" s="245" t="n"/>
      <c r="F479" s="245" t="n"/>
      <c r="G479" s="245" t="n"/>
      <c r="H479" s="247" t="n">
        <v>60</v>
      </c>
      <c r="I479" s="245" t="inlineStr"/>
      <c r="J479" s="245" t="inlineStr"/>
      <c r="K479" s="245" t="inlineStr">
        <is>
          <t>10IN MEDIUM MFM EK</t>
        </is>
      </c>
      <c r="L479" s="245" t="inlineStr">
        <is>
          <t>WA-MMF-10K-IN</t>
        </is>
      </c>
      <c r="M479" s="248" t="inlineStr">
        <is>
          <t>MIWU00195</t>
        </is>
      </c>
      <c r="N479" s="245" t="inlineStr">
        <is>
          <t>F.MFM.10K.005.BU</t>
        </is>
      </c>
      <c r="O479" s="245" t="n"/>
      <c r="P479" s="245" t="n"/>
      <c r="Q479" s="250">
        <f>R479/H479</f>
        <v/>
      </c>
      <c r="R479" s="251" t="n">
        <v>5248.2</v>
      </c>
      <c r="S479" s="249" t="n">
        <v>17960</v>
      </c>
      <c r="T479" s="252">
        <f>S479*R479</f>
        <v/>
      </c>
      <c r="U479" s="245" t="n"/>
      <c r="V479" s="245" t="n"/>
      <c r="W479" s="245" t="inlineStr">
        <is>
          <t>ETD : 20-08-2026</t>
        </is>
      </c>
      <c r="X479" s="245" t="n"/>
      <c r="Y479" s="245" t="n"/>
      <c r="Z479" s="245" t="n"/>
    </row>
    <row r="480" ht="16.5" customHeight="1" s="202">
      <c r="A480" s="245" t="n"/>
      <c r="B480" s="245" t="n"/>
      <c r="C480" s="245" t="n"/>
      <c r="D480" s="245" t="n"/>
      <c r="E480" s="245" t="n"/>
      <c r="F480" s="245" t="n"/>
      <c r="G480" s="245" t="n"/>
      <c r="H480" s="247" t="n">
        <v>82</v>
      </c>
      <c r="I480" s="245" t="inlineStr"/>
      <c r="J480" s="245" t="inlineStr"/>
      <c r="K480" s="245" t="inlineStr">
        <is>
          <t>/HS : - Kode Barang : 151670600 TUBE,VALVE;B</t>
        </is>
      </c>
      <c r="L480" s="245" t="inlineStr">
        <is>
          <t>151670600</t>
        </is>
      </c>
      <c r="M480" s="248" t="inlineStr"/>
      <c r="N480" s="245" t="inlineStr">
        <is>
          <t>151670600</t>
        </is>
      </c>
      <c r="O480" s="245" t="n"/>
      <c r="P480" s="245" t="n"/>
      <c r="Q480" s="250">
        <f>R480/H480</f>
        <v/>
      </c>
      <c r="R480" s="251" t="n">
        <v>5867.92</v>
      </c>
      <c r="S480" s="249" t="n">
        <v>17960</v>
      </c>
      <c r="T480" s="252">
        <f>S480*R480</f>
        <v/>
      </c>
      <c r="U480" s="245" t="n"/>
      <c r="V480" s="245" t="n"/>
      <c r="W480" s="245" t="n"/>
      <c r="X480" s="245" t="n"/>
      <c r="Y480" s="245" t="n"/>
      <c r="Z480" s="245" t="n"/>
    </row>
    <row r="481" ht="16.5" customHeight="1" s="202">
      <c r="A481" s="245" t="n"/>
      <c r="B481" s="245" t="n"/>
      <c r="C481" s="245" t="n"/>
      <c r="D481" s="245" t="n"/>
      <c r="E481" s="245" t="n"/>
      <c r="F481" s="245" t="n"/>
      <c r="G481" s="245" t="n"/>
      <c r="H481" s="247" t="n">
        <v>72</v>
      </c>
      <c r="I481" s="245" t="inlineStr"/>
      <c r="J481" s="245" t="inlineStr"/>
      <c r="K481" s="245" t="inlineStr">
        <is>
          <t>10IN MEDIUM MFM TW</t>
        </is>
      </c>
      <c r="L481" s="245" t="inlineStr">
        <is>
          <t>WA-MMF-10T-IN</t>
        </is>
      </c>
      <c r="M481" s="248" t="inlineStr">
        <is>
          <t>MIWU00195</t>
        </is>
      </c>
      <c r="N481" s="245" t="inlineStr">
        <is>
          <t>F.MFM.10T.005.BU</t>
        </is>
      </c>
      <c r="O481" s="245" t="n"/>
      <c r="P481" s="245" t="n"/>
      <c r="Q481" s="250">
        <f>R481/H481</f>
        <v/>
      </c>
      <c r="R481" s="251" t="n">
        <v>3313.44</v>
      </c>
      <c r="S481" s="249" t="n">
        <v>17960</v>
      </c>
      <c r="T481" s="252">
        <f>S481*R481</f>
        <v/>
      </c>
      <c r="U481" s="245" t="n"/>
      <c r="V481" s="245" t="n"/>
      <c r="W481" s="245" t="n"/>
      <c r="X481" s="245" t="n"/>
      <c r="Y481" s="245" t="n"/>
      <c r="Z481" s="245" t="n"/>
    </row>
    <row r="482" ht="16.5" customHeight="1" s="202">
      <c r="A482" s="245" t="n"/>
      <c r="B482" s="245" t="n"/>
      <c r="C482" s="245" t="n"/>
      <c r="D482" s="245" t="n"/>
      <c r="E482" s="245" t="n"/>
      <c r="F482" s="245" t="n"/>
      <c r="G482" s="245" t="n"/>
      <c r="H482" s="247" t="n">
        <v>20</v>
      </c>
      <c r="I482" s="245" t="inlineStr"/>
      <c r="J482" s="245" t="inlineStr"/>
      <c r="K482" s="245" t="inlineStr">
        <is>
          <t>12IN MEDIUM MFM FL</t>
        </is>
      </c>
      <c r="L482" s="245" t="inlineStr">
        <is>
          <t>WA-MMF-12F-IN</t>
        </is>
      </c>
      <c r="M482" s="248" t="inlineStr">
        <is>
          <t>MIWU00195</t>
        </is>
      </c>
      <c r="N482" s="245" t="inlineStr">
        <is>
          <t>F.MFM.12F.005.BU</t>
        </is>
      </c>
      <c r="O482" s="245" t="n"/>
      <c r="P482" s="245" t="n"/>
      <c r="Q482" s="250">
        <f>R482/H482</f>
        <v/>
      </c>
      <c r="R482" s="251" t="n">
        <v>1393</v>
      </c>
      <c r="S482" s="249" t="n">
        <v>17960</v>
      </c>
      <c r="T482" s="252">
        <f>S482*R482</f>
        <v/>
      </c>
      <c r="U482" s="245" t="n"/>
      <c r="V482" s="245" t="n"/>
      <c r="W482" s="245" t="n"/>
      <c r="X482" s="245" t="n"/>
      <c r="Y482" s="245" t="n"/>
      <c r="Z482" s="245" t="n"/>
    </row>
    <row r="483" ht="16.5" customHeight="1" s="202">
      <c r="A483" s="245" t="n"/>
      <c r="B483" s="245" t="n"/>
      <c r="C483" s="245" t="n"/>
      <c r="D483" s="245" t="n"/>
      <c r="E483" s="245" t="n"/>
      <c r="F483" s="245" t="n"/>
      <c r="G483" s="245" t="n"/>
      <c r="H483" s="247" t="n">
        <v>52</v>
      </c>
      <c r="I483" s="245" t="inlineStr"/>
      <c r="J483" s="245" t="inlineStr"/>
      <c r="K483" s="245" t="inlineStr">
        <is>
          <t>12IN MEDIUM MFM QN</t>
        </is>
      </c>
      <c r="L483" s="245" t="inlineStr">
        <is>
          <t>WA-MMF-12Q-IN</t>
        </is>
      </c>
      <c r="M483" s="248" t="inlineStr">
        <is>
          <t>MIWU00195</t>
        </is>
      </c>
      <c r="N483" s="245" t="inlineStr">
        <is>
          <t>F.MFM.12Q.005.BU</t>
        </is>
      </c>
      <c r="O483" s="245" t="n"/>
      <c r="P483" s="245" t="n"/>
      <c r="Q483" s="250">
        <f>R483/H483</f>
        <v/>
      </c>
      <c r="R483" s="251" t="n">
        <v>4210.44</v>
      </c>
      <c r="S483" s="249" t="n">
        <v>17960</v>
      </c>
      <c r="T483" s="252">
        <f>S483*R483</f>
        <v/>
      </c>
      <c r="U483" s="245" t="n"/>
      <c r="V483" s="245" t="n"/>
      <c r="W483" s="245" t="n"/>
      <c r="X483" s="245" t="n"/>
      <c r="Y483" s="245" t="n"/>
      <c r="Z483" s="245" t="n"/>
    </row>
    <row r="484" ht="16.5" customHeight="1" s="202">
      <c r="A484" s="245" t="n"/>
      <c r="B484" s="245" t="n"/>
      <c r="C484" s="245" t="n"/>
      <c r="D484" s="245" t="n"/>
      <c r="E484" s="245" t="n"/>
      <c r="F484" s="245" t="n"/>
      <c r="G484" s="245" t="n"/>
      <c r="H484" s="247" t="n">
        <v>50</v>
      </c>
      <c r="I484" s="245" t="inlineStr"/>
      <c r="J484" s="245" t="inlineStr"/>
      <c r="K484" s="245" t="inlineStr">
        <is>
          <t>12IN MEDIUM MFM TW</t>
        </is>
      </c>
      <c r="L484" s="245" t="inlineStr">
        <is>
          <t>WA-MMF-12T-IN</t>
        </is>
      </c>
      <c r="M484" s="248" t="inlineStr">
        <is>
          <t>MIWU00195</t>
        </is>
      </c>
      <c r="N484" s="245" t="inlineStr">
        <is>
          <t>F.MFM.12T.005.BU</t>
        </is>
      </c>
      <c r="O484" s="245" t="n"/>
      <c r="P484" s="245" t="n"/>
      <c r="Q484" s="250">
        <f>R484/H484</f>
        <v/>
      </c>
      <c r="R484" s="251" t="n">
        <v>2605</v>
      </c>
      <c r="S484" s="249" t="n">
        <v>17960</v>
      </c>
      <c r="T484" s="252">
        <f>S484*R484</f>
        <v/>
      </c>
      <c r="U484" s="245" t="n"/>
      <c r="V484" s="245" t="n"/>
      <c r="W484" s="245" t="n"/>
      <c r="X484" s="245" t="n"/>
      <c r="Y484" s="245" t="n"/>
      <c r="Z484" s="245" t="n"/>
    </row>
    <row r="485" ht="16.5" customHeight="1" s="202">
      <c r="A485" s="245" t="n"/>
      <c r="B485" s="245" t="n"/>
      <c r="C485" s="245" t="n"/>
      <c r="D485" s="245" t="n"/>
      <c r="E485" s="245" t="n"/>
      <c r="F485" s="245" t="n"/>
      <c r="G485" s="245" t="n"/>
      <c r="H485" s="247" t="n">
        <v>20</v>
      </c>
      <c r="I485" s="245" t="inlineStr"/>
      <c r="J485" s="245" t="inlineStr"/>
      <c r="K485" s="245" t="inlineStr">
        <is>
          <t>14IN MEDIUM MFM FL</t>
        </is>
      </c>
      <c r="L485" s="245" t="inlineStr">
        <is>
          <t>WA-MMF-14F-IN</t>
        </is>
      </c>
      <c r="M485" s="248" t="inlineStr">
        <is>
          <t>MIWU00195</t>
        </is>
      </c>
      <c r="N485" s="245" t="inlineStr">
        <is>
          <t>F.MFM.14F.000.BU</t>
        </is>
      </c>
      <c r="O485" s="245" t="n"/>
      <c r="P485" s="245" t="n"/>
      <c r="Q485" s="250">
        <f>R485/H485</f>
        <v/>
      </c>
      <c r="R485" s="251" t="n">
        <v>1559.2</v>
      </c>
      <c r="S485" s="249" t="n">
        <v>17960</v>
      </c>
      <c r="T485" s="252">
        <f>S485*R485</f>
        <v/>
      </c>
      <c r="U485" s="245" t="n"/>
      <c r="V485" s="245" t="n"/>
      <c r="W485" s="245" t="n"/>
      <c r="X485" s="245" t="n"/>
      <c r="Y485" s="245" t="n"/>
      <c r="Z485" s="245" t="n"/>
    </row>
    <row r="486" ht="16.5" customHeight="1" s="202">
      <c r="A486" s="245" t="n"/>
      <c r="B486" s="245" t="n"/>
      <c r="C486" s="245" t="n"/>
      <c r="D486" s="245" t="n"/>
      <c r="E486" s="245" t="n"/>
      <c r="F486" s="245" t="n"/>
      <c r="G486" s="245" t="n"/>
      <c r="H486" s="247" t="n">
        <v>65</v>
      </c>
      <c r="I486" s="245" t="inlineStr"/>
      <c r="J486" s="245" t="inlineStr"/>
      <c r="K486" s="245" t="inlineStr">
        <is>
          <t>6IN MEDIUM MFM TW</t>
        </is>
      </c>
      <c r="L486" s="245" t="inlineStr">
        <is>
          <t>WA-MMF-6T-IN</t>
        </is>
      </c>
      <c r="M486" s="248" t="inlineStr">
        <is>
          <t>MIWU00195</t>
        </is>
      </c>
      <c r="N486" s="245" t="inlineStr">
        <is>
          <t>F.MFM.06T.002.BU</t>
        </is>
      </c>
      <c r="O486" s="245" t="n"/>
      <c r="P486" s="245" t="n"/>
      <c r="Q486" s="250">
        <f>R486/H486</f>
        <v/>
      </c>
      <c r="R486" s="251" t="n">
        <v>2086.5</v>
      </c>
      <c r="S486" s="249" t="n">
        <v>17960</v>
      </c>
      <c r="T486" s="252">
        <f>S486*R486</f>
        <v/>
      </c>
      <c r="U486" s="245" t="n"/>
      <c r="V486" s="245" t="n"/>
      <c r="W486" s="245" t="n"/>
      <c r="X486" s="245" t="n"/>
      <c r="Y486" s="245" t="n"/>
      <c r="Z486" s="245" t="n"/>
    </row>
    <row r="487" ht="16.5" customHeight="1" s="202">
      <c r="A487" s="245" t="n"/>
      <c r="B487" s="245" t="n"/>
      <c r="C487" s="245" t="n"/>
      <c r="D487" s="245" t="n"/>
      <c r="E487" s="245" t="n"/>
      <c r="F487" s="245" t="n"/>
      <c r="G487" s="245" t="n"/>
      <c r="H487" s="247" t="n">
        <v>70</v>
      </c>
      <c r="I487" s="245" t="inlineStr"/>
      <c r="J487" s="245" t="inlineStr"/>
      <c r="K487" s="245" t="inlineStr">
        <is>
          <t>8IN MEDIUM MFM TW</t>
        </is>
      </c>
      <c r="L487" s="245" t="inlineStr">
        <is>
          <t>WA-MMF-8T-IN</t>
        </is>
      </c>
      <c r="M487" s="248" t="inlineStr">
        <is>
          <t>MIWU00195</t>
        </is>
      </c>
      <c r="N487" s="245" t="inlineStr">
        <is>
          <t>F.MFM.08T.005.BU</t>
        </is>
      </c>
      <c r="O487" s="245" t="n"/>
      <c r="P487" s="245" t="n"/>
      <c r="Q487" s="250">
        <f>R487/H487</f>
        <v/>
      </c>
      <c r="R487" s="251" t="n">
        <v>2721.6</v>
      </c>
      <c r="S487" s="249" t="n">
        <v>17960</v>
      </c>
      <c r="T487" s="252">
        <f>S487*R487</f>
        <v/>
      </c>
      <c r="U487" s="245" t="n"/>
      <c r="V487" s="245" t="n"/>
      <c r="W487" s="245" t="n"/>
      <c r="X487" s="245" t="n"/>
      <c r="Y487" s="245" t="n"/>
      <c r="Z487" s="245" t="n"/>
    </row>
    <row r="488" ht="17.1" customHeight="1" s="202">
      <c r="A488" s="253" t="n"/>
      <c r="B488" s="253" t="n"/>
      <c r="C488" s="253" t="n"/>
      <c r="D488" s="253" t="n"/>
      <c r="E488" s="253" t="n"/>
      <c r="F488" s="253" t="n"/>
      <c r="G488" s="253" t="n"/>
      <c r="H488" s="254">
        <f>SUM(H478:H487)</f>
        <v/>
      </c>
      <c r="I488" s="253">
        <f>COUNTA(I478:I487)</f>
        <v/>
      </c>
      <c r="J488" s="253" t="n"/>
      <c r="K488" s="253" t="n"/>
      <c r="L488" s="253" t="n"/>
      <c r="M488" s="253" t="n"/>
      <c r="N488" s="253" t="n"/>
      <c r="O488" s="255">
        <f>SUM(O478:O487)</f>
        <v/>
      </c>
      <c r="P488" s="255">
        <f>SUM(P478:P487)</f>
        <v/>
      </c>
      <c r="Q488" s="253" t="n"/>
      <c r="R488" s="256">
        <f>SUM(R478:R487)</f>
        <v/>
      </c>
      <c r="S488" s="253" t="n"/>
      <c r="T488" s="257">
        <f>SUM(T478:T487)</f>
        <v/>
      </c>
      <c r="U488" s="253" t="n"/>
      <c r="V488" s="253" t="n"/>
      <c r="W488" s="253" t="n"/>
      <c r="X488" s="253" t="n"/>
      <c r="Y488" s="253" t="n"/>
      <c r="Z488" s="253" t="n"/>
    </row>
    <row r="489" ht="16.5" customHeight="1" s="202">
      <c r="A489" s="245" t="n">
        <v>47</v>
      </c>
      <c r="B489" s="245" t="inlineStr">
        <is>
          <t>000030ZIK48020260812000615</t>
        </is>
      </c>
      <c r="C489" s="245" t="n">
        <v>508219</v>
      </c>
      <c r="D489" s="245" t="n">
        <v>508165</v>
      </c>
      <c r="E489" s="246" t="n">
        <v>46247</v>
      </c>
      <c r="F489" s="245" t="inlineStr">
        <is>
          <t>ID2608-8112</t>
        </is>
      </c>
      <c r="G489" s="246" t="n">
        <v>46246</v>
      </c>
      <c r="H489" s="247" t="n">
        <v>85</v>
      </c>
      <c r="I489" s="245" t="inlineStr">
        <is>
          <t>TCLU9630457</t>
        </is>
      </c>
      <c r="J489" s="245" t="inlineStr">
        <is>
          <t>40FT</t>
        </is>
      </c>
      <c r="K489" s="245" t="inlineStr">
        <is>
          <t>10IN MEDIUM MFM FL</t>
        </is>
      </c>
      <c r="L489" s="245" t="inlineStr">
        <is>
          <t>WA-MMF-10F-IN</t>
        </is>
      </c>
      <c r="M489" s="248" t="inlineStr">
        <is>
          <t>MIWU00199</t>
        </is>
      </c>
      <c r="N489" s="245" t="inlineStr">
        <is>
          <t>F.MFM.10F.005.BU</t>
        </is>
      </c>
      <c r="O489" s="249" t="n">
        <v>12481.8</v>
      </c>
      <c r="P489" s="249" t="n">
        <v>11286.5</v>
      </c>
      <c r="Q489" s="250">
        <f>R489/H489</f>
        <v/>
      </c>
      <c r="R489" s="251" t="n">
        <v>5132.3</v>
      </c>
      <c r="S489" s="249" t="n">
        <v>17960</v>
      </c>
      <c r="T489" s="252">
        <f>S489*R489</f>
        <v/>
      </c>
      <c r="U489" s="245" t="inlineStr">
        <is>
          <t>040300/KPPBC</t>
        </is>
      </c>
      <c r="V489" s="245" t="inlineStr">
        <is>
          <t>TG. PRIOK</t>
        </is>
      </c>
      <c r="W489" s="245" t="inlineStr">
        <is>
          <t>NEW YORK, US</t>
        </is>
      </c>
      <c r="X489" s="245" t="inlineStr">
        <is>
          <t>MELLOW INC</t>
        </is>
      </c>
      <c r="Y489" s="245" t="inlineStr">
        <is>
          <t>MEDUKU572344</t>
        </is>
      </c>
      <c r="Z489" s="246" t="n">
        <v>46247</v>
      </c>
    </row>
    <row r="490" ht="16.5" customHeight="1" s="202">
      <c r="A490" s="245" t="n"/>
      <c r="B490" s="245" t="n"/>
      <c r="C490" s="245" t="n"/>
      <c r="D490" s="245" t="n"/>
      <c r="E490" s="245" t="n"/>
      <c r="F490" s="245" t="n"/>
      <c r="G490" s="245" t="n"/>
      <c r="H490" s="247" t="n">
        <v>60</v>
      </c>
      <c r="I490" s="245" t="inlineStr"/>
      <c r="J490" s="245" t="inlineStr"/>
      <c r="K490" s="245" t="inlineStr">
        <is>
          <t>10IN MEDIUM MFM EK</t>
        </is>
      </c>
      <c r="L490" s="245" t="inlineStr">
        <is>
          <t>WA-MMF-10K-IN</t>
        </is>
      </c>
      <c r="M490" s="248" t="inlineStr">
        <is>
          <t>MIWU00199</t>
        </is>
      </c>
      <c r="N490" s="245" t="inlineStr">
        <is>
          <t>F.MFM.10K.005.BU</t>
        </is>
      </c>
      <c r="O490" s="245" t="n"/>
      <c r="P490" s="245" t="n"/>
      <c r="Q490" s="250">
        <f>R490/H490</f>
        <v/>
      </c>
      <c r="R490" s="251" t="n">
        <v>5248.2</v>
      </c>
      <c r="S490" s="249" t="n">
        <v>17960</v>
      </c>
      <c r="T490" s="252">
        <f>S490*R490</f>
        <v/>
      </c>
      <c r="U490" s="245" t="n"/>
      <c r="V490" s="245" t="n"/>
      <c r="W490" s="245" t="inlineStr">
        <is>
          <t>ETD : 20-08-2026</t>
        </is>
      </c>
      <c r="X490" s="245" t="n"/>
      <c r="Y490" s="245" t="n"/>
      <c r="Z490" s="245" t="n"/>
    </row>
    <row r="491" ht="16.5" customHeight="1" s="202">
      <c r="A491" s="245" t="n"/>
      <c r="B491" s="245" t="n"/>
      <c r="C491" s="245" t="n"/>
      <c r="D491" s="245" t="n"/>
      <c r="E491" s="245" t="n"/>
      <c r="F491" s="245" t="n"/>
      <c r="G491" s="245" t="n"/>
      <c r="H491" s="247" t="n">
        <v>82</v>
      </c>
      <c r="I491" s="245" t="inlineStr"/>
      <c r="J491" s="245" t="inlineStr"/>
      <c r="K491" s="245" t="inlineStr">
        <is>
          <t>10IN MEDIUM MFM QN</t>
        </is>
      </c>
      <c r="L491" s="245" t="inlineStr">
        <is>
          <t>WA-MMF-10Q-IN</t>
        </is>
      </c>
      <c r="M491" s="248" t="inlineStr">
        <is>
          <t>MIWU00199</t>
        </is>
      </c>
      <c r="N491" s="245" t="inlineStr">
        <is>
          <t>F.MFM.10Q.005.BU</t>
        </is>
      </c>
      <c r="O491" s="245" t="n"/>
      <c r="P491" s="245" t="n"/>
      <c r="Q491" s="250">
        <f>R491/H491</f>
        <v/>
      </c>
      <c r="R491" s="251" t="n">
        <v>5867.92</v>
      </c>
      <c r="S491" s="249" t="n">
        <v>17960</v>
      </c>
      <c r="T491" s="252">
        <f>S491*R491</f>
        <v/>
      </c>
      <c r="U491" s="245" t="n"/>
      <c r="V491" s="245" t="n"/>
      <c r="W491" s="245" t="n"/>
      <c r="X491" s="245" t="n"/>
      <c r="Y491" s="245" t="n"/>
      <c r="Z491" s="245" t="n"/>
    </row>
    <row r="492" ht="16.5" customHeight="1" s="202">
      <c r="A492" s="245" t="n"/>
      <c r="B492" s="245" t="n"/>
      <c r="C492" s="245" t="n"/>
      <c r="D492" s="245" t="n"/>
      <c r="E492" s="245" t="n"/>
      <c r="F492" s="245" t="n"/>
      <c r="G492" s="245" t="n"/>
      <c r="H492" s="247" t="n">
        <v>72</v>
      </c>
      <c r="I492" s="245" t="inlineStr"/>
      <c r="J492" s="245" t="inlineStr"/>
      <c r="K492" s="245" t="inlineStr">
        <is>
          <t>10IN MEDIUM MFM TW</t>
        </is>
      </c>
      <c r="L492" s="245" t="inlineStr">
        <is>
          <t>WA-MMF-10T-IN</t>
        </is>
      </c>
      <c r="M492" s="248" t="inlineStr">
        <is>
          <t>MIWU00199</t>
        </is>
      </c>
      <c r="N492" s="245" t="inlineStr">
        <is>
          <t>F.MFM.10T.005.BU</t>
        </is>
      </c>
      <c r="O492" s="245" t="n"/>
      <c r="P492" s="245" t="n"/>
      <c r="Q492" s="250">
        <f>R492/H492</f>
        <v/>
      </c>
      <c r="R492" s="251" t="n">
        <v>3313.44</v>
      </c>
      <c r="S492" s="249" t="n">
        <v>17960</v>
      </c>
      <c r="T492" s="252">
        <f>S492*R492</f>
        <v/>
      </c>
      <c r="U492" s="245" t="n"/>
      <c r="V492" s="245" t="n"/>
      <c r="W492" s="245" t="n"/>
      <c r="X492" s="245" t="n"/>
      <c r="Y492" s="245" t="n"/>
      <c r="Z492" s="245" t="n"/>
    </row>
    <row r="493" ht="16.5" customHeight="1" s="202">
      <c r="A493" s="245" t="n"/>
      <c r="B493" s="245" t="n"/>
      <c r="C493" s="245" t="n"/>
      <c r="D493" s="245" t="n"/>
      <c r="E493" s="245" t="n"/>
      <c r="F493" s="245" t="n"/>
      <c r="G493" s="245" t="n"/>
      <c r="H493" s="247" t="n">
        <v>20</v>
      </c>
      <c r="I493" s="245" t="inlineStr"/>
      <c r="J493" s="245" t="inlineStr"/>
      <c r="K493" s="245" t="inlineStr">
        <is>
          <t>12IN MEDIUM MFM FL</t>
        </is>
      </c>
      <c r="L493" s="245" t="inlineStr">
        <is>
          <t>WA-MMF-12F-IN</t>
        </is>
      </c>
      <c r="M493" s="248" t="inlineStr">
        <is>
          <t>MIWU00199</t>
        </is>
      </c>
      <c r="N493" s="245" t="inlineStr">
        <is>
          <t>F.MFM.12F.005.BU</t>
        </is>
      </c>
      <c r="O493" s="245" t="n"/>
      <c r="P493" s="245" t="n"/>
      <c r="Q493" s="250">
        <f>R493/H493</f>
        <v/>
      </c>
      <c r="R493" s="251" t="n">
        <v>1393</v>
      </c>
      <c r="S493" s="249" t="n">
        <v>17960</v>
      </c>
      <c r="T493" s="252">
        <f>S493*R493</f>
        <v/>
      </c>
      <c r="U493" s="245" t="n"/>
      <c r="V493" s="245" t="n"/>
      <c r="W493" s="245" t="n"/>
      <c r="X493" s="245" t="n"/>
      <c r="Y493" s="245" t="n"/>
      <c r="Z493" s="245" t="n"/>
    </row>
    <row r="494" ht="16.5" customHeight="1" s="202">
      <c r="A494" s="245" t="n"/>
      <c r="B494" s="245" t="n"/>
      <c r="C494" s="245" t="n"/>
      <c r="D494" s="245" t="n"/>
      <c r="E494" s="245" t="n"/>
      <c r="F494" s="245" t="n"/>
      <c r="G494" s="245" t="n"/>
      <c r="H494" s="247" t="n">
        <v>52</v>
      </c>
      <c r="I494" s="245" t="inlineStr"/>
      <c r="J494" s="245" t="inlineStr"/>
      <c r="K494" s="245" t="inlineStr">
        <is>
          <t>12IN MEDIUM MFM QN</t>
        </is>
      </c>
      <c r="L494" s="245" t="inlineStr">
        <is>
          <t>WA-MMF-12Q-IN</t>
        </is>
      </c>
      <c r="M494" s="248" t="inlineStr">
        <is>
          <t>MIWU00199</t>
        </is>
      </c>
      <c r="N494" s="245" t="inlineStr">
        <is>
          <t>F.MFM.12Q.005.BU</t>
        </is>
      </c>
      <c r="O494" s="245" t="n"/>
      <c r="P494" s="245" t="n"/>
      <c r="Q494" s="250">
        <f>R494/H494</f>
        <v/>
      </c>
      <c r="R494" s="251" t="n">
        <v>4210.44</v>
      </c>
      <c r="S494" s="249" t="n">
        <v>17960</v>
      </c>
      <c r="T494" s="252">
        <f>S494*R494</f>
        <v/>
      </c>
      <c r="U494" s="245" t="n"/>
      <c r="V494" s="245" t="n"/>
      <c r="W494" s="245" t="n"/>
      <c r="X494" s="245" t="n"/>
      <c r="Y494" s="245" t="n"/>
      <c r="Z494" s="245" t="n"/>
    </row>
    <row r="495" ht="16.5" customHeight="1" s="202">
      <c r="A495" s="245" t="n"/>
      <c r="B495" s="245" t="n"/>
      <c r="C495" s="245" t="n"/>
      <c r="D495" s="245" t="n"/>
      <c r="E495" s="245" t="n"/>
      <c r="F495" s="245" t="n"/>
      <c r="G495" s="245" t="n"/>
      <c r="H495" s="247" t="n">
        <v>50</v>
      </c>
      <c r="I495" s="245" t="inlineStr"/>
      <c r="J495" s="245" t="inlineStr"/>
      <c r="K495" s="245" t="inlineStr">
        <is>
          <t>12IN MEDIUM MFM TW</t>
        </is>
      </c>
      <c r="L495" s="245" t="inlineStr">
        <is>
          <t>WA-MMF-12T-IN</t>
        </is>
      </c>
      <c r="M495" s="248" t="inlineStr">
        <is>
          <t>MIWU00199</t>
        </is>
      </c>
      <c r="N495" s="245" t="inlineStr">
        <is>
          <t>F.MFM.12T.005.BU</t>
        </is>
      </c>
      <c r="O495" s="245" t="n"/>
      <c r="P495" s="245" t="n"/>
      <c r="Q495" s="250">
        <f>R495/H495</f>
        <v/>
      </c>
      <c r="R495" s="251" t="n">
        <v>2605</v>
      </c>
      <c r="S495" s="249" t="n">
        <v>17960</v>
      </c>
      <c r="T495" s="252">
        <f>S495*R495</f>
        <v/>
      </c>
      <c r="U495" s="245" t="n"/>
      <c r="V495" s="245" t="n"/>
      <c r="W495" s="245" t="n"/>
      <c r="X495" s="245" t="n"/>
      <c r="Y495" s="245" t="n"/>
      <c r="Z495" s="245" t="n"/>
    </row>
    <row r="496" ht="16.5" customHeight="1" s="202">
      <c r="A496" s="245" t="n"/>
      <c r="B496" s="245" t="n"/>
      <c r="C496" s="245" t="n"/>
      <c r="D496" s="245" t="n"/>
      <c r="E496" s="245" t="n"/>
      <c r="F496" s="245" t="n"/>
      <c r="G496" s="245" t="n"/>
      <c r="H496" s="247" t="n">
        <v>20</v>
      </c>
      <c r="I496" s="245" t="inlineStr"/>
      <c r="J496" s="245" t="inlineStr"/>
      <c r="K496" s="245" t="inlineStr">
        <is>
          <t>14IN MEDIUM MFM FL</t>
        </is>
      </c>
      <c r="L496" s="245" t="inlineStr">
        <is>
          <t>WA-MMF-14F-IN</t>
        </is>
      </c>
      <c r="M496" s="248" t="inlineStr">
        <is>
          <t>MIWU00199</t>
        </is>
      </c>
      <c r="N496" s="245" t="inlineStr">
        <is>
          <t>F.MFM.14F.000.BU</t>
        </is>
      </c>
      <c r="O496" s="245" t="n"/>
      <c r="P496" s="245" t="n"/>
      <c r="Q496" s="250">
        <f>R496/H496</f>
        <v/>
      </c>
      <c r="R496" s="251" t="n">
        <v>1559.2</v>
      </c>
      <c r="S496" s="249" t="n">
        <v>17960</v>
      </c>
      <c r="T496" s="252">
        <f>S496*R496</f>
        <v/>
      </c>
      <c r="U496" s="245" t="n"/>
      <c r="V496" s="245" t="n"/>
      <c r="W496" s="245" t="n"/>
      <c r="X496" s="245" t="n"/>
      <c r="Y496" s="245" t="n"/>
      <c r="Z496" s="245" t="n"/>
    </row>
    <row r="497" ht="16.5" customHeight="1" s="202">
      <c r="A497" s="245" t="n"/>
      <c r="B497" s="245" t="n"/>
      <c r="C497" s="245" t="n"/>
      <c r="D497" s="245" t="n"/>
      <c r="E497" s="245" t="n"/>
      <c r="F497" s="245" t="n"/>
      <c r="G497" s="245" t="n"/>
      <c r="H497" s="247" t="n">
        <v>65</v>
      </c>
      <c r="I497" s="245" t="inlineStr"/>
      <c r="J497" s="245" t="inlineStr"/>
      <c r="K497" s="245" t="inlineStr">
        <is>
          <t>6IN MEDIUM MFM TW</t>
        </is>
      </c>
      <c r="L497" s="245" t="inlineStr">
        <is>
          <t>WA-MMF-6T-IN</t>
        </is>
      </c>
      <c r="M497" s="248" t="inlineStr">
        <is>
          <t>MIWU00199</t>
        </is>
      </c>
      <c r="N497" s="245" t="inlineStr">
        <is>
          <t>F.MFM.06T.002.BU</t>
        </is>
      </c>
      <c r="O497" s="245" t="n"/>
      <c r="P497" s="245" t="n"/>
      <c r="Q497" s="250">
        <f>R497/H497</f>
        <v/>
      </c>
      <c r="R497" s="251" t="n">
        <v>2086.5</v>
      </c>
      <c r="S497" s="249" t="n">
        <v>17960</v>
      </c>
      <c r="T497" s="252">
        <f>S497*R497</f>
        <v/>
      </c>
      <c r="U497" s="245" t="n"/>
      <c r="V497" s="245" t="n"/>
      <c r="W497" s="245" t="n"/>
      <c r="X497" s="245" t="n"/>
      <c r="Y497" s="245" t="n"/>
      <c r="Z497" s="245" t="n"/>
    </row>
    <row r="498" ht="16.5" customHeight="1" s="202">
      <c r="A498" s="245" t="n"/>
      <c r="B498" s="245" t="n"/>
      <c r="C498" s="245" t="n"/>
      <c r="D498" s="245" t="n"/>
      <c r="E498" s="245" t="n"/>
      <c r="F498" s="245" t="n"/>
      <c r="G498" s="245" t="n"/>
      <c r="H498" s="247" t="n">
        <v>70</v>
      </c>
      <c r="I498" s="245" t="inlineStr"/>
      <c r="J498" s="245" t="inlineStr"/>
      <c r="K498" s="245" t="inlineStr">
        <is>
          <t>8IN MEDIUM MFM TW</t>
        </is>
      </c>
      <c r="L498" s="245" t="inlineStr">
        <is>
          <t>WA-MMF-8T-IN</t>
        </is>
      </c>
      <c r="M498" s="248" t="inlineStr">
        <is>
          <t>MIWU00199</t>
        </is>
      </c>
      <c r="N498" s="245" t="inlineStr">
        <is>
          <t>F.MFM.08T.005.BU</t>
        </is>
      </c>
      <c r="O498" s="245" t="n"/>
      <c r="P498" s="245" t="n"/>
      <c r="Q498" s="250">
        <f>R498/H498</f>
        <v/>
      </c>
      <c r="R498" s="251" t="n">
        <v>2721.6</v>
      </c>
      <c r="S498" s="249" t="n">
        <v>17960</v>
      </c>
      <c r="T498" s="252">
        <f>S498*R498</f>
        <v/>
      </c>
      <c r="U498" s="245" t="n"/>
      <c r="V498" s="245" t="n"/>
      <c r="W498" s="245" t="n"/>
      <c r="X498" s="245" t="n"/>
      <c r="Y498" s="245" t="n"/>
      <c r="Z498" s="245" t="n"/>
    </row>
    <row r="499" ht="17.1" customHeight="1" s="202">
      <c r="A499" s="253" t="n"/>
      <c r="B499" s="253" t="n"/>
      <c r="C499" s="253" t="n"/>
      <c r="D499" s="253" t="n"/>
      <c r="E499" s="253" t="n"/>
      <c r="F499" s="253" t="n"/>
      <c r="G499" s="253" t="n"/>
      <c r="H499" s="254">
        <f>SUM(H489:H498)</f>
        <v/>
      </c>
      <c r="I499" s="253">
        <f>COUNTA(I489:I498)</f>
        <v/>
      </c>
      <c r="J499" s="253" t="n"/>
      <c r="K499" s="253" t="n"/>
      <c r="L499" s="253" t="n"/>
      <c r="M499" s="253" t="n"/>
      <c r="N499" s="253" t="n"/>
      <c r="O499" s="255">
        <f>SUM(O489:O498)</f>
        <v/>
      </c>
      <c r="P499" s="255">
        <f>SUM(P489:P498)</f>
        <v/>
      </c>
      <c r="Q499" s="253" t="n"/>
      <c r="R499" s="256">
        <f>SUM(R489:R498)</f>
        <v/>
      </c>
      <c r="S499" s="253" t="n"/>
      <c r="T499" s="257">
        <f>SUM(T489:T498)</f>
        <v/>
      </c>
      <c r="U499" s="253" t="n"/>
      <c r="V499" s="253" t="n"/>
      <c r="W499" s="253" t="n"/>
      <c r="X499" s="253" t="n"/>
      <c r="Y499" s="253" t="n"/>
      <c r="Z499" s="253" t="n"/>
    </row>
    <row r="500" ht="16.5" customHeight="1" s="202">
      <c r="A500" s="245" t="n">
        <v>48</v>
      </c>
      <c r="B500" s="245" t="inlineStr">
        <is>
          <t>000030ZIK48020260812000616</t>
        </is>
      </c>
      <c r="C500" s="245" t="n">
        <v>508210</v>
      </c>
      <c r="D500" s="245" t="n">
        <v>508156</v>
      </c>
      <c r="E500" s="246" t="n">
        <v>46247</v>
      </c>
      <c r="F500" s="245" t="inlineStr">
        <is>
          <t>ID2608-8113</t>
        </is>
      </c>
      <c r="G500" s="246" t="n">
        <v>46246</v>
      </c>
      <c r="H500" s="247" t="n">
        <v>693</v>
      </c>
      <c r="I500" s="245" t="inlineStr">
        <is>
          <t>MSDU6464647</t>
        </is>
      </c>
      <c r="J500" s="245" t="inlineStr">
        <is>
          <t>40FT</t>
        </is>
      </c>
      <c r="K500" s="245" t="inlineStr">
        <is>
          <t>8IN GREEN TEA MF MATTRESS TW</t>
        </is>
      </c>
      <c r="L500" s="245" t="inlineStr">
        <is>
          <t>SCF-STR-800T</t>
        </is>
      </c>
      <c r="M500" s="248" t="inlineStr">
        <is>
          <t>0993631007</t>
        </is>
      </c>
      <c r="N500" s="245" t="inlineStr">
        <is>
          <t>F.MFM.08T.000.WS</t>
        </is>
      </c>
      <c r="O500" s="249" t="n">
        <v>10526.67</v>
      </c>
      <c r="P500" s="249" t="n">
        <v>9140.67</v>
      </c>
      <c r="Q500" s="250">
        <f>R500/H500</f>
        <v/>
      </c>
      <c r="R500" s="251" t="n">
        <v>42619.5</v>
      </c>
      <c r="S500" s="249" t="n">
        <v>17960</v>
      </c>
      <c r="T500" s="252">
        <f>S500*R500</f>
        <v/>
      </c>
      <c r="U500" s="245" t="inlineStr">
        <is>
          <t>040300/KPPBC</t>
        </is>
      </c>
      <c r="V500" s="245" t="inlineStr">
        <is>
          <t>TG. PRIOK</t>
        </is>
      </c>
      <c r="W500" s="245" t="inlineStr">
        <is>
          <t>NORFOLK, US</t>
        </is>
      </c>
      <c r="X500" s="245" t="inlineStr">
        <is>
          <t>WALMART, INC.</t>
        </is>
      </c>
      <c r="Y500" s="245" t="inlineStr">
        <is>
          <t>MEDUKU637667</t>
        </is>
      </c>
      <c r="Z500" s="246" t="n">
        <v>46247</v>
      </c>
    </row>
    <row r="501" ht="16.5" customHeight="1" s="202">
      <c r="A501" s="245" t="n"/>
      <c r="B501" s="245" t="n"/>
      <c r="C501" s="245" t="n"/>
      <c r="D501" s="245" t="n"/>
      <c r="E501" s="245" t="n"/>
      <c r="F501" s="245" t="n"/>
      <c r="G501" s="245" t="n"/>
      <c r="H501" s="245" t="n"/>
      <c r="I501" s="245" t="n"/>
      <c r="J501" s="245" t="n"/>
      <c r="K501" s="245" t="n"/>
      <c r="L501" s="245" t="n"/>
      <c r="M501" s="245" t="n"/>
      <c r="N501" s="245" t="n"/>
      <c r="O501" s="245" t="n"/>
      <c r="P501" s="245" t="n"/>
      <c r="Q501" s="245" t="n"/>
      <c r="R501" s="245" t="n"/>
      <c r="S501" s="245" t="n"/>
      <c r="T501" s="245" t="n"/>
      <c r="U501" s="245" t="n"/>
      <c r="V501" s="245" t="n"/>
      <c r="W501" s="245" t="inlineStr">
        <is>
          <t>ETD : 20-08-2026</t>
        </is>
      </c>
      <c r="X501" s="245" t="n"/>
      <c r="Y501" s="245" t="n"/>
      <c r="Z501" s="245" t="n"/>
    </row>
    <row r="502" ht="17.1" customHeight="1" s="202">
      <c r="A502" s="253" t="n"/>
      <c r="B502" s="253" t="n"/>
      <c r="C502" s="253" t="n"/>
      <c r="D502" s="253" t="n"/>
      <c r="E502" s="253" t="n"/>
      <c r="F502" s="253" t="n"/>
      <c r="G502" s="253" t="n"/>
      <c r="H502" s="254">
        <f>SUM(H500:H501)</f>
        <v/>
      </c>
      <c r="I502" s="253">
        <f>COUNTA(I500:I501)</f>
        <v/>
      </c>
      <c r="J502" s="253" t="n"/>
      <c r="K502" s="253" t="n"/>
      <c r="L502" s="253" t="n"/>
      <c r="M502" s="253" t="n"/>
      <c r="N502" s="253" t="n"/>
      <c r="O502" s="255">
        <f>SUM(O500:O501)</f>
        <v/>
      </c>
      <c r="P502" s="255">
        <f>SUM(P500:P501)</f>
        <v/>
      </c>
      <c r="Q502" s="253" t="n"/>
      <c r="R502" s="256">
        <f>SUM(R500:R501)</f>
        <v/>
      </c>
      <c r="S502" s="253" t="n"/>
      <c r="T502" s="257">
        <f>SUM(T500:T501)</f>
        <v/>
      </c>
      <c r="U502" s="253" t="n"/>
      <c r="V502" s="253" t="n"/>
      <c r="W502" s="253" t="n"/>
      <c r="X502" s="253" t="n"/>
      <c r="Y502" s="253" t="n"/>
      <c r="Z502" s="253" t="n"/>
    </row>
    <row r="503" ht="16.5" customHeight="1" s="202">
      <c r="A503" s="245" t="n">
        <v>49</v>
      </c>
      <c r="B503" s="245" t="inlineStr">
        <is>
          <t>000030ZIK48020260813000617</t>
        </is>
      </c>
      <c r="C503" s="245" t="n">
        <v>409452</v>
      </c>
      <c r="D503" s="245" t="n">
        <v>409225</v>
      </c>
      <c r="E503" s="246" t="n">
        <v>46247</v>
      </c>
      <c r="F503" s="245" t="inlineStr">
        <is>
          <t>SPL/028/ZDI/VIII/2026</t>
        </is>
      </c>
      <c r="G503" s="246" t="n">
        <v>46247</v>
      </c>
      <c r="H503" s="247" t="n">
        <v>1</v>
      </c>
      <c r="I503" s="245" t="inlineStr"/>
      <c r="J503" s="245" t="inlineStr"/>
      <c r="K503" s="245" t="inlineStr">
        <is>
          <t>OUTCOVER SAMPLE</t>
        </is>
      </c>
      <c r="L503" s="245" t="inlineStr">
        <is>
          <t>MFGN-06T NEW DESIGN</t>
        </is>
      </c>
      <c r="M503" s="248" t="inlineStr"/>
      <c r="N503" s="245" t="inlineStr">
        <is>
          <t>S.SMPL.Z0001</t>
        </is>
      </c>
      <c r="O503" s="249" t="n">
        <v>1.75</v>
      </c>
      <c r="P503" s="249" t="n">
        <v>1.3</v>
      </c>
      <c r="Q503" s="250">
        <f>R503/H503</f>
        <v/>
      </c>
      <c r="R503" s="251" t="n">
        <v>6.7</v>
      </c>
      <c r="S503" s="249" t="n">
        <v>17960</v>
      </c>
      <c r="T503" s="252">
        <f>S503*R503</f>
        <v/>
      </c>
      <c r="U503" s="245" t="inlineStr">
        <is>
          <t>050100/KPPBC</t>
        </is>
      </c>
      <c r="V503" s="245" t="inlineStr">
        <is>
          <t>S. HATTA</t>
        </is>
      </c>
      <c r="W503" s="245" t="inlineStr">
        <is>
          <t>XIAMEN, US</t>
        </is>
      </c>
      <c r="X503" s="245" t="inlineStr">
        <is>
          <t>ZINUS (XIAMEN) INC.</t>
        </is>
      </c>
      <c r="Y503" s="245" t="inlineStr">
        <is>
          <t>875717734929</t>
        </is>
      </c>
      <c r="Z503" s="246" t="n">
        <v>46247</v>
      </c>
    </row>
    <row r="504" ht="16.5" customHeight="1" s="202">
      <c r="A504" s="245" t="n"/>
      <c r="B504" s="245" t="n"/>
      <c r="C504" s="245" t="n"/>
      <c r="D504" s="245" t="n"/>
      <c r="E504" s="245" t="n"/>
      <c r="F504" s="245" t="n"/>
      <c r="G504" s="245" t="n"/>
      <c r="H504" s="245" t="n"/>
      <c r="I504" s="245" t="n"/>
      <c r="J504" s="245" t="n"/>
      <c r="K504" s="245" t="n"/>
      <c r="L504" s="245" t="n"/>
      <c r="M504" s="245" t="n"/>
      <c r="N504" s="245" t="n"/>
      <c r="O504" s="245" t="n"/>
      <c r="P504" s="245" t="n"/>
      <c r="Q504" s="245" t="n"/>
      <c r="R504" s="245" t="n"/>
      <c r="S504" s="245" t="n"/>
      <c r="T504" s="245" t="n"/>
      <c r="U504" s="245" t="n"/>
      <c r="V504" s="245" t="n"/>
      <c r="W504" s="245" t="inlineStr">
        <is>
          <t>ETD : 20-08-2026</t>
        </is>
      </c>
      <c r="X504" s="245" t="n"/>
      <c r="Y504" s="245" t="n"/>
      <c r="Z504" s="245" t="n"/>
    </row>
    <row r="505" ht="17.1" customHeight="1" s="202">
      <c r="A505" s="253" t="n"/>
      <c r="B505" s="253" t="n"/>
      <c r="C505" s="253" t="n"/>
      <c r="D505" s="253" t="n"/>
      <c r="E505" s="253" t="n"/>
      <c r="F505" s="253" t="n"/>
      <c r="G505" s="253" t="n"/>
      <c r="H505" s="254">
        <f>SUM(H503:H504)</f>
        <v/>
      </c>
      <c r="I505" s="253">
        <f>COUNTA(I503:I504)</f>
        <v/>
      </c>
      <c r="J505" s="253" t="n"/>
      <c r="K505" s="253" t="n"/>
      <c r="L505" s="253" t="n"/>
      <c r="M505" s="253" t="n"/>
      <c r="N505" s="253" t="n"/>
      <c r="O505" s="255">
        <f>SUM(O503:O504)</f>
        <v/>
      </c>
      <c r="P505" s="255">
        <f>SUM(P503:P504)</f>
        <v/>
      </c>
      <c r="Q505" s="253" t="n"/>
      <c r="R505" s="256">
        <f>SUM(R503:R504)</f>
        <v/>
      </c>
      <c r="S505" s="253" t="n"/>
      <c r="T505" s="257">
        <f>SUM(T503:T504)</f>
        <v/>
      </c>
      <c r="U505" s="253" t="n"/>
      <c r="V505" s="253" t="n"/>
      <c r="W505" s="253" t="n"/>
      <c r="X505" s="253" t="n"/>
      <c r="Y505" s="253" t="n"/>
      <c r="Z505" s="253" t="n"/>
    </row>
    <row r="506" ht="16.5" customHeight="1" s="202">
      <c r="A506" s="245" t="n">
        <v>50</v>
      </c>
      <c r="B506" s="245" t="inlineStr">
        <is>
          <t>000030ZIK48020260813000618</t>
        </is>
      </c>
      <c r="C506" s="245" t="n">
        <v>513093</v>
      </c>
      <c r="D506" s="245" t="n">
        <v>513041</v>
      </c>
      <c r="E506" s="246" t="n">
        <v>46248</v>
      </c>
      <c r="F506" s="245" t="inlineStr">
        <is>
          <t>ID2608-8122</t>
        </is>
      </c>
      <c r="G506" s="246" t="n">
        <v>46247</v>
      </c>
      <c r="H506" s="245" t="n"/>
      <c r="I506" s="245" t="inlineStr">
        <is>
          <t>ONEU1994640</t>
        </is>
      </c>
      <c r="J506" s="245" t="inlineStr">
        <is>
          <t>40FT</t>
        </is>
      </c>
      <c r="K506" s="245" t="n"/>
      <c r="L506" s="245" t="n"/>
      <c r="M506" s="245" t="n"/>
      <c r="N506" s="245" t="n"/>
      <c r="O506" s="249" t="n">
        <v>10526.67</v>
      </c>
      <c r="P506" s="249" t="n">
        <v>9140.67</v>
      </c>
      <c r="Q506" s="245" t="n"/>
      <c r="R506" s="245" t="n"/>
      <c r="S506" s="245" t="n"/>
      <c r="T506" s="245" t="n"/>
      <c r="U506" s="245" t="inlineStr">
        <is>
          <t>040300/KPPBC</t>
        </is>
      </c>
      <c r="V506" s="245" t="inlineStr">
        <is>
          <t>TG. PRIOK</t>
        </is>
      </c>
      <c r="W506" s="245" t="inlineStr">
        <is>
          <t>LOS ANGELES, US</t>
        </is>
      </c>
      <c r="X506" s="245" t="inlineStr">
        <is>
          <t>WALMART, INC.</t>
        </is>
      </c>
      <c r="Y506" s="245" t="inlineStr">
        <is>
          <t>ONEYJKTG69556502</t>
        </is>
      </c>
      <c r="Z506" s="246" t="n">
        <v>46248</v>
      </c>
    </row>
    <row r="507" ht="16.5" customHeight="1" s="202">
      <c r="A507" s="245" t="n"/>
      <c r="B507" s="245" t="n"/>
      <c r="C507" s="245" t="n"/>
      <c r="D507" s="245" t="n"/>
      <c r="E507" s="245" t="n"/>
      <c r="F507" s="245" t="n"/>
      <c r="G507" s="245" t="n"/>
      <c r="H507" s="245" t="n"/>
      <c r="I507" s="245" t="n"/>
      <c r="J507" s="245" t="n"/>
      <c r="K507" s="245" t="n"/>
      <c r="L507" s="245" t="n"/>
      <c r="M507" s="245" t="n"/>
      <c r="N507" s="245" t="n"/>
      <c r="O507" s="245" t="n"/>
      <c r="P507" s="245" t="n"/>
      <c r="Q507" s="245" t="n"/>
      <c r="R507" s="245" t="n"/>
      <c r="S507" s="245" t="n"/>
      <c r="T507" s="245" t="n"/>
      <c r="U507" s="245" t="n"/>
      <c r="V507" s="245" t="n"/>
      <c r="W507" s="245" t="inlineStr">
        <is>
          <t>ETD : 19-08-2026</t>
        </is>
      </c>
      <c r="X507" s="245" t="n"/>
      <c r="Y507" s="245" t="n"/>
      <c r="Z507" s="245" t="n"/>
    </row>
    <row r="508" ht="17.1" customHeight="1" s="202">
      <c r="A508" s="253" t="n"/>
      <c r="B508" s="253" t="n"/>
      <c r="C508" s="253" t="n"/>
      <c r="D508" s="253" t="n"/>
      <c r="E508" s="253" t="n"/>
      <c r="F508" s="253" t="n"/>
      <c r="G508" s="253" t="n"/>
      <c r="H508" s="254">
        <f>SUM(H506:H507)</f>
        <v/>
      </c>
      <c r="I508" s="253">
        <f>COUNTA(I506:I507)</f>
        <v/>
      </c>
      <c r="J508" s="253" t="n"/>
      <c r="K508" s="253" t="n"/>
      <c r="L508" s="253" t="n"/>
      <c r="M508" s="253" t="n"/>
      <c r="N508" s="253" t="n"/>
      <c r="O508" s="255">
        <f>SUM(O506:O507)</f>
        <v/>
      </c>
      <c r="P508" s="255">
        <f>SUM(P506:P507)</f>
        <v/>
      </c>
      <c r="Q508" s="253" t="n"/>
      <c r="R508" s="256">
        <f>SUM(R506:R507)</f>
        <v/>
      </c>
      <c r="S508" s="253" t="n"/>
      <c r="T508" s="257">
        <f>SUM(T506:T507)</f>
        <v/>
      </c>
      <c r="U508" s="253" t="n"/>
      <c r="V508" s="253" t="n"/>
      <c r="W508" s="253" t="n"/>
      <c r="X508" s="253" t="n"/>
      <c r="Y508" s="253" t="n"/>
      <c r="Z508" s="253" t="n"/>
    </row>
    <row r="509" ht="16.5" customHeight="1" s="202">
      <c r="A509" s="245" t="n">
        <v>51</v>
      </c>
      <c r="B509" s="245" t="inlineStr">
        <is>
          <t>000030ZIK48020260813000619</t>
        </is>
      </c>
      <c r="C509" s="245" t="n">
        <v>514691</v>
      </c>
      <c r="D509" s="245" t="n">
        <v>514640</v>
      </c>
      <c r="E509" s="246" t="n">
        <v>46248</v>
      </c>
      <c r="F509" s="245" t="inlineStr">
        <is>
          <t>ID2608-8123</t>
        </is>
      </c>
      <c r="G509" s="246" t="n">
        <v>46247</v>
      </c>
      <c r="H509" s="247" t="n">
        <v>900</v>
      </c>
      <c r="I509" s="245" t="inlineStr">
        <is>
          <t>ONEU0640004</t>
        </is>
      </c>
      <c r="J509" s="245" t="inlineStr">
        <is>
          <t>40FT</t>
        </is>
      </c>
      <c r="K509" s="245" t="inlineStr">
        <is>
          <t>8IN GREEN TEA MF MATTRESS QN</t>
        </is>
      </c>
      <c r="L509" s="245" t="inlineStr">
        <is>
          <t>SCF-STR-800Q</t>
        </is>
      </c>
      <c r="M509" s="248" t="inlineStr">
        <is>
          <t>0993630461</t>
        </is>
      </c>
      <c r="N509" s="245" t="inlineStr">
        <is>
          <t>F.MFM.08Q.000.WS</t>
        </is>
      </c>
      <c r="O509" s="249" t="n">
        <v>21510</v>
      </c>
      <c r="P509" s="249" t="n">
        <v>19188</v>
      </c>
      <c r="Q509" s="250">
        <f>R509/H509</f>
        <v/>
      </c>
      <c r="R509" s="251" t="n">
        <v>84573</v>
      </c>
      <c r="S509" s="249" t="n">
        <v>17960</v>
      </c>
      <c r="T509" s="252">
        <f>S509*R509</f>
        <v/>
      </c>
      <c r="U509" s="245" t="inlineStr">
        <is>
          <t>040300/KPPBC</t>
        </is>
      </c>
      <c r="V509" s="245" t="inlineStr">
        <is>
          <t>TG. PRIOK</t>
        </is>
      </c>
      <c r="W509" s="245" t="inlineStr">
        <is>
          <t>LOS ANGELES, US</t>
        </is>
      </c>
      <c r="X509" s="245" t="inlineStr">
        <is>
          <t>WALMART, INC.</t>
        </is>
      </c>
      <c r="Y509" s="245" t="inlineStr">
        <is>
          <t>ONEYJKTG69556500</t>
        </is>
      </c>
      <c r="Z509" s="246" t="n">
        <v>46248</v>
      </c>
    </row>
    <row r="510" ht="16.5" customHeight="1" s="202">
      <c r="A510" s="245" t="n"/>
      <c r="B510" s="245" t="n"/>
      <c r="C510" s="245" t="n"/>
      <c r="D510" s="245" t="n"/>
      <c r="E510" s="245" t="n"/>
      <c r="F510" s="245" t="n"/>
      <c r="G510" s="245" t="n"/>
      <c r="H510" s="245" t="n"/>
      <c r="I510" s="245" t="inlineStr">
        <is>
          <t>ONEU5617650</t>
        </is>
      </c>
      <c r="J510" s="245" t="inlineStr">
        <is>
          <t>40FT</t>
        </is>
      </c>
      <c r="K510" s="245" t="n"/>
      <c r="L510" s="245" t="n"/>
      <c r="M510" s="245" t="n"/>
      <c r="N510" s="245" t="n"/>
      <c r="O510" s="245" t="n"/>
      <c r="P510" s="245" t="n"/>
      <c r="Q510" s="245" t="n"/>
      <c r="R510" s="245" t="n"/>
      <c r="S510" s="245" t="n"/>
      <c r="T510" s="245" t="n"/>
      <c r="U510" s="245" t="n"/>
      <c r="V510" s="245" t="n"/>
      <c r="W510" s="245" t="inlineStr">
        <is>
          <t>ETD : 19-08-2026</t>
        </is>
      </c>
      <c r="X510" s="245" t="n"/>
      <c r="Y510" s="245" t="n"/>
      <c r="Z510" s="245" t="n"/>
    </row>
    <row r="511" ht="17.1" customHeight="1" s="202">
      <c r="A511" s="253" t="n"/>
      <c r="B511" s="253" t="n"/>
      <c r="C511" s="253" t="n"/>
      <c r="D511" s="253" t="n"/>
      <c r="E511" s="253" t="n"/>
      <c r="F511" s="253" t="n"/>
      <c r="G511" s="253" t="n"/>
      <c r="H511" s="254">
        <f>SUM(H509:H510)</f>
        <v/>
      </c>
      <c r="I511" s="253">
        <f>COUNTA(I509:I510)</f>
        <v/>
      </c>
      <c r="J511" s="253" t="n"/>
      <c r="K511" s="253" t="n"/>
      <c r="L511" s="253" t="n"/>
      <c r="M511" s="253" t="n"/>
      <c r="N511" s="253" t="n"/>
      <c r="O511" s="255">
        <f>SUM(O509:O510)</f>
        <v/>
      </c>
      <c r="P511" s="255">
        <f>SUM(P509:P510)</f>
        <v/>
      </c>
      <c r="Q511" s="253" t="n"/>
      <c r="R511" s="256">
        <f>SUM(R509:R510)</f>
        <v/>
      </c>
      <c r="S511" s="253" t="n"/>
      <c r="T511" s="257">
        <f>SUM(T509:T510)</f>
        <v/>
      </c>
      <c r="U511" s="253" t="n"/>
      <c r="V511" s="253" t="n"/>
      <c r="W511" s="253" t="n"/>
      <c r="X511" s="253" t="n"/>
      <c r="Y511" s="253" t="n"/>
      <c r="Z511" s="253" t="n"/>
    </row>
    <row r="512" ht="16.5" customHeight="1" s="202">
      <c r="A512" s="245" t="n">
        <v>52</v>
      </c>
      <c r="B512" s="245" t="inlineStr">
        <is>
          <t>000030ZIK48020260813000620</t>
        </is>
      </c>
      <c r="C512" s="245" t="n">
        <v>513137</v>
      </c>
      <c r="D512" s="245" t="n">
        <v>513085</v>
      </c>
      <c r="E512" s="246" t="n">
        <v>46248</v>
      </c>
      <c r="F512" s="245" t="inlineStr">
        <is>
          <t>ID2608-8124</t>
        </is>
      </c>
      <c r="G512" s="246" t="n">
        <v>46247</v>
      </c>
      <c r="H512" s="247" t="n">
        <v>520</v>
      </c>
      <c r="I512" s="245" t="inlineStr">
        <is>
          <t>CAAU9522957</t>
        </is>
      </c>
      <c r="J512" s="245" t="inlineStr">
        <is>
          <t>40FT</t>
        </is>
      </c>
      <c r="K512" s="245" t="inlineStr">
        <is>
          <t>8IN GREEN TEA MF MATTRESS FL</t>
        </is>
      </c>
      <c r="L512" s="245" t="inlineStr">
        <is>
          <t>SCF-STR-800F</t>
        </is>
      </c>
      <c r="M512" s="248" t="inlineStr">
        <is>
          <t>0993630641</t>
        </is>
      </c>
      <c r="N512" s="245" t="inlineStr">
        <is>
          <t>F.MFM.08F.000.WS</t>
        </is>
      </c>
      <c r="O512" s="249" t="n">
        <v>10618.4</v>
      </c>
      <c r="P512" s="249" t="n">
        <v>9370.4</v>
      </c>
      <c r="Q512" s="250">
        <f>R512/H512</f>
        <v/>
      </c>
      <c r="R512" s="251" t="n">
        <v>41480.4</v>
      </c>
      <c r="S512" s="249" t="n">
        <v>17960</v>
      </c>
      <c r="T512" s="252">
        <f>S512*R512</f>
        <v/>
      </c>
      <c r="U512" s="245" t="inlineStr">
        <is>
          <t>040300/KPPBC</t>
        </is>
      </c>
      <c r="V512" s="245" t="inlineStr">
        <is>
          <t>TG. PRIOK</t>
        </is>
      </c>
      <c r="W512" s="245" t="inlineStr">
        <is>
          <t>LOS ANGELES, US</t>
        </is>
      </c>
      <c r="X512" s="245" t="inlineStr">
        <is>
          <t>WALMART, INC.</t>
        </is>
      </c>
      <c r="Y512" s="245" t="inlineStr">
        <is>
          <t>ONEYJKTG69556501</t>
        </is>
      </c>
      <c r="Z512" s="246" t="n">
        <v>46248</v>
      </c>
    </row>
    <row r="513" ht="16.5" customHeight="1" s="202">
      <c r="A513" s="245" t="n"/>
      <c r="B513" s="245" t="n"/>
      <c r="C513" s="245" t="n"/>
      <c r="D513" s="245" t="n"/>
      <c r="E513" s="245" t="n"/>
      <c r="F513" s="245" t="n"/>
      <c r="G513" s="245" t="n"/>
      <c r="H513" s="245" t="n"/>
      <c r="I513" s="245" t="n"/>
      <c r="J513" s="245" t="n"/>
      <c r="K513" s="245" t="n"/>
      <c r="L513" s="245" t="n"/>
      <c r="M513" s="245" t="n"/>
      <c r="N513" s="245" t="n"/>
      <c r="O513" s="245" t="n"/>
      <c r="P513" s="245" t="n"/>
      <c r="Q513" s="245" t="n"/>
      <c r="R513" s="245" t="n"/>
      <c r="S513" s="245" t="n"/>
      <c r="T513" s="245" t="n"/>
      <c r="U513" s="245" t="n"/>
      <c r="V513" s="245" t="n"/>
      <c r="W513" s="245" t="inlineStr">
        <is>
          <t>ETD : 19-08-2026</t>
        </is>
      </c>
      <c r="X513" s="245" t="n"/>
      <c r="Y513" s="245" t="n"/>
      <c r="Z513" s="245" t="n"/>
    </row>
    <row r="514" ht="17.1" customHeight="1" s="202">
      <c r="A514" s="253" t="n"/>
      <c r="B514" s="253" t="n"/>
      <c r="C514" s="253" t="n"/>
      <c r="D514" s="253" t="n"/>
      <c r="E514" s="253" t="n"/>
      <c r="F514" s="253" t="n"/>
      <c r="G514" s="253" t="n"/>
      <c r="H514" s="254">
        <f>SUM(H512:H513)</f>
        <v/>
      </c>
      <c r="I514" s="253">
        <f>COUNTA(I512:I513)</f>
        <v/>
      </c>
      <c r="J514" s="253" t="n"/>
      <c r="K514" s="253" t="n"/>
      <c r="L514" s="253" t="n"/>
      <c r="M514" s="253" t="n"/>
      <c r="N514" s="253" t="n"/>
      <c r="O514" s="255">
        <f>SUM(O512:O513)</f>
        <v/>
      </c>
      <c r="P514" s="255">
        <f>SUM(P512:P513)</f>
        <v/>
      </c>
      <c r="Q514" s="253" t="n"/>
      <c r="R514" s="256">
        <f>SUM(R512:R513)</f>
        <v/>
      </c>
      <c r="S514" s="253" t="n"/>
      <c r="T514" s="257">
        <f>SUM(T512:T513)</f>
        <v/>
      </c>
      <c r="U514" s="253" t="n"/>
      <c r="V514" s="253" t="n"/>
      <c r="W514" s="253" t="n"/>
      <c r="X514" s="253" t="n"/>
      <c r="Y514" s="253" t="n"/>
      <c r="Z514" s="253" t="n"/>
    </row>
    <row r="515" ht="16.5" customHeight="1" s="202">
      <c r="A515" s="245" t="n">
        <v>53</v>
      </c>
      <c r="B515" s="245" t="inlineStr">
        <is>
          <t>000030ZIK48020260813000621</t>
        </is>
      </c>
      <c r="C515" s="245" t="n">
        <v>513057</v>
      </c>
      <c r="D515" s="245" t="n">
        <v>513005</v>
      </c>
      <c r="E515" s="246" t="n">
        <v>46248</v>
      </c>
      <c r="F515" s="245" t="inlineStr">
        <is>
          <t>ID2607-7991</t>
        </is>
      </c>
      <c r="G515" s="246" t="n">
        <v>46234</v>
      </c>
      <c r="H515" s="247" t="n">
        <v>693</v>
      </c>
      <c r="I515" s="245" t="inlineStr">
        <is>
          <t>MRKU3597043</t>
        </is>
      </c>
      <c r="J515" s="245" t="inlineStr">
        <is>
          <t>40FT</t>
        </is>
      </c>
      <c r="K515" s="245" t="inlineStr">
        <is>
          <t>8IN GREEN TEA MF MATTRESS TW</t>
        </is>
      </c>
      <c r="L515" s="245" t="inlineStr">
        <is>
          <t>SCF-STR-800T</t>
        </is>
      </c>
      <c r="M515" s="248" t="inlineStr">
        <is>
          <t>0993631221</t>
        </is>
      </c>
      <c r="N515" s="245" t="inlineStr">
        <is>
          <t>F.MFM.08T.000.WS</t>
        </is>
      </c>
      <c r="O515" s="249" t="n">
        <v>10526.67</v>
      </c>
      <c r="P515" s="249" t="n">
        <v>9140.67</v>
      </c>
      <c r="Q515" s="250">
        <f>R515/H515</f>
        <v/>
      </c>
      <c r="R515" s="251" t="n">
        <v>42619.5</v>
      </c>
      <c r="S515" s="249" t="n">
        <v>17960</v>
      </c>
      <c r="T515" s="252">
        <f>S515*R515</f>
        <v/>
      </c>
      <c r="U515" s="245" t="inlineStr">
        <is>
          <t>040300/KPPBC</t>
        </is>
      </c>
      <c r="V515" s="245" t="inlineStr">
        <is>
          <t>TG. PRIOK</t>
        </is>
      </c>
      <c r="W515" s="245" t="inlineStr">
        <is>
          <t>CHICAGO, US</t>
        </is>
      </c>
      <c r="X515" s="245" t="inlineStr">
        <is>
          <t>WALMART, INC.</t>
        </is>
      </c>
      <c r="Y515" s="245" t="inlineStr">
        <is>
          <t>MAEU274353165</t>
        </is>
      </c>
      <c r="Z515" s="246" t="n">
        <v>46248</v>
      </c>
    </row>
    <row r="516" ht="16.5" customHeight="1" s="202">
      <c r="A516" s="245" t="n"/>
      <c r="B516" s="245" t="n"/>
      <c r="C516" s="245" t="n"/>
      <c r="D516" s="245" t="n"/>
      <c r="E516" s="245" t="n"/>
      <c r="F516" s="245" t="n"/>
      <c r="G516" s="245" t="n"/>
      <c r="H516" s="245" t="n"/>
      <c r="I516" s="245" t="n"/>
      <c r="J516" s="245" t="n"/>
      <c r="K516" s="245" t="n"/>
      <c r="L516" s="245" t="n"/>
      <c r="M516" s="245" t="n"/>
      <c r="N516" s="245" t="n"/>
      <c r="O516" s="245" t="n"/>
      <c r="P516" s="245" t="n"/>
      <c r="Q516" s="245" t="n"/>
      <c r="R516" s="245" t="n"/>
      <c r="S516" s="245" t="n"/>
      <c r="T516" s="245" t="n"/>
      <c r="U516" s="245" t="n"/>
      <c r="V516" s="245" t="n"/>
      <c r="W516" s="245" t="inlineStr">
        <is>
          <t>ETD : 21-08-2026</t>
        </is>
      </c>
      <c r="X516" s="245" t="n"/>
      <c r="Y516" s="245" t="n"/>
      <c r="Z516" s="245" t="n"/>
    </row>
    <row r="517" ht="17.1" customHeight="1" s="202">
      <c r="A517" s="253" t="n"/>
      <c r="B517" s="253" t="n"/>
      <c r="C517" s="253" t="n"/>
      <c r="D517" s="253" t="n"/>
      <c r="E517" s="253" t="n"/>
      <c r="F517" s="253" t="n"/>
      <c r="G517" s="253" t="n"/>
      <c r="H517" s="254">
        <f>SUM(H515:H516)</f>
        <v/>
      </c>
      <c r="I517" s="253">
        <f>COUNTA(I515:I516)</f>
        <v/>
      </c>
      <c r="J517" s="253" t="n"/>
      <c r="K517" s="253" t="n"/>
      <c r="L517" s="253" t="n"/>
      <c r="M517" s="253" t="n"/>
      <c r="N517" s="253" t="n"/>
      <c r="O517" s="255">
        <f>SUM(O515:O516)</f>
        <v/>
      </c>
      <c r="P517" s="255">
        <f>SUM(P515:P516)</f>
        <v/>
      </c>
      <c r="Q517" s="253" t="n"/>
      <c r="R517" s="256">
        <f>SUM(R515:R516)</f>
        <v/>
      </c>
      <c r="S517" s="253" t="n"/>
      <c r="T517" s="257">
        <f>SUM(T515:T516)</f>
        <v/>
      </c>
      <c r="U517" s="253" t="n"/>
      <c r="V517" s="253" t="n"/>
      <c r="W517" s="253" t="n"/>
      <c r="X517" s="253" t="n"/>
      <c r="Y517" s="253" t="n"/>
      <c r="Z517" s="253" t="n"/>
    </row>
    <row r="518" ht="16.5" customHeight="1" s="202">
      <c r="A518" s="245" t="n">
        <v>54</v>
      </c>
      <c r="B518" s="245" t="inlineStr">
        <is>
          <t>000030ZIK48020260813000622</t>
        </is>
      </c>
      <c r="C518" s="245" t="n">
        <v>514403</v>
      </c>
      <c r="D518" s="245" t="n">
        <v>514353</v>
      </c>
      <c r="E518" s="246" t="n">
        <v>46248</v>
      </c>
      <c r="F518" s="245" t="inlineStr">
        <is>
          <t>ID2607-7992</t>
        </is>
      </c>
      <c r="G518" s="246" t="n">
        <v>46234</v>
      </c>
      <c r="H518" s="247" t="n">
        <v>520</v>
      </c>
      <c r="I518" s="245" t="inlineStr">
        <is>
          <t>MRSU4550207</t>
        </is>
      </c>
      <c r="J518" s="245" t="inlineStr">
        <is>
          <t>40FT</t>
        </is>
      </c>
      <c r="K518" s="245" t="inlineStr">
        <is>
          <t>8IN GREEN TEA MF MATTRESS FL</t>
        </is>
      </c>
      <c r="L518" s="245" t="inlineStr">
        <is>
          <t>SCF-STR-800F</t>
        </is>
      </c>
      <c r="M518" s="248" t="inlineStr">
        <is>
          <t>0993630674</t>
        </is>
      </c>
      <c r="N518" s="245" t="inlineStr">
        <is>
          <t>F.MFM.08F.000.WS</t>
        </is>
      </c>
      <c r="O518" s="249" t="n">
        <v>10618.4</v>
      </c>
      <c r="P518" s="249" t="n">
        <v>9370.4</v>
      </c>
      <c r="Q518" s="250">
        <f>R518/H518</f>
        <v/>
      </c>
      <c r="R518" s="251" t="n">
        <v>41480.4</v>
      </c>
      <c r="S518" s="249" t="n">
        <v>17960</v>
      </c>
      <c r="T518" s="252">
        <f>S518*R518</f>
        <v/>
      </c>
      <c r="U518" s="245" t="inlineStr">
        <is>
          <t>040300/KPPBC</t>
        </is>
      </c>
      <c r="V518" s="245" t="inlineStr">
        <is>
          <t>TG. PRIOK</t>
        </is>
      </c>
      <c r="W518" s="245" t="inlineStr">
        <is>
          <t>CHICAGO, US</t>
        </is>
      </c>
      <c r="X518" s="245" t="inlineStr">
        <is>
          <t>WALMART, INC.</t>
        </is>
      </c>
      <c r="Y518" s="245" t="inlineStr">
        <is>
          <t>WMT100599</t>
        </is>
      </c>
      <c r="Z518" s="246" t="n">
        <v>46248</v>
      </c>
    </row>
    <row r="519" ht="16.5" customHeight="1" s="202">
      <c r="A519" s="245" t="n"/>
      <c r="B519" s="245" t="n"/>
      <c r="C519" s="245" t="n"/>
      <c r="D519" s="245" t="n"/>
      <c r="E519" s="245" t="n"/>
      <c r="F519" s="245" t="n"/>
      <c r="G519" s="245" t="n"/>
      <c r="H519" s="245" t="n"/>
      <c r="I519" s="245" t="n"/>
      <c r="J519" s="245" t="n"/>
      <c r="K519" s="245" t="n"/>
      <c r="L519" s="245" t="n"/>
      <c r="M519" s="245" t="n"/>
      <c r="N519" s="245" t="n"/>
      <c r="O519" s="245" t="n"/>
      <c r="P519" s="245" t="n"/>
      <c r="Q519" s="245" t="n"/>
      <c r="R519" s="245" t="n"/>
      <c r="S519" s="245" t="n"/>
      <c r="T519" s="245" t="n"/>
      <c r="U519" s="245" t="n"/>
      <c r="V519" s="245" t="n"/>
      <c r="W519" s="245" t="inlineStr">
        <is>
          <t>ETD : 21-08-2026</t>
        </is>
      </c>
      <c r="X519" s="245" t="n"/>
      <c r="Y519" s="245" t="n"/>
      <c r="Z519" s="245" t="n"/>
    </row>
    <row r="520" ht="17.1" customHeight="1" s="202">
      <c r="A520" s="253" t="n"/>
      <c r="B520" s="253" t="n"/>
      <c r="C520" s="253" t="n"/>
      <c r="D520" s="253" t="n"/>
      <c r="E520" s="253" t="n"/>
      <c r="F520" s="253" t="n"/>
      <c r="G520" s="253" t="n"/>
      <c r="H520" s="254">
        <f>SUM(H518:H519)</f>
        <v/>
      </c>
      <c r="I520" s="253">
        <f>COUNTA(I518:I519)</f>
        <v/>
      </c>
      <c r="J520" s="253" t="n"/>
      <c r="K520" s="253" t="n"/>
      <c r="L520" s="253" t="n"/>
      <c r="M520" s="253" t="n"/>
      <c r="N520" s="253" t="n"/>
      <c r="O520" s="255">
        <f>SUM(O518:O519)</f>
        <v/>
      </c>
      <c r="P520" s="255">
        <f>SUM(P518:P519)</f>
        <v/>
      </c>
      <c r="Q520" s="253" t="n"/>
      <c r="R520" s="256">
        <f>SUM(R518:R519)</f>
        <v/>
      </c>
      <c r="S520" s="253" t="n"/>
      <c r="T520" s="257">
        <f>SUM(T518:T519)</f>
        <v/>
      </c>
      <c r="U520" s="253" t="n"/>
      <c r="V520" s="253" t="n"/>
      <c r="W520" s="253" t="n"/>
      <c r="X520" s="253" t="n"/>
      <c r="Y520" s="253" t="n"/>
      <c r="Z520" s="253" t="n"/>
    </row>
    <row r="521" ht="16.5" customHeight="1" s="202">
      <c r="A521" s="245" t="n">
        <v>55</v>
      </c>
      <c r="B521" s="245" t="inlineStr">
        <is>
          <t>000030ZIK48020260814000623</t>
        </is>
      </c>
      <c r="C521" s="245" t="n">
        <v>514435</v>
      </c>
      <c r="D521" s="245" t="n">
        <v>514384</v>
      </c>
      <c r="E521" s="246" t="n">
        <v>46248</v>
      </c>
      <c r="F521" s="245" t="inlineStr">
        <is>
          <t>ID2608-8125</t>
        </is>
      </c>
      <c r="G521" s="246" t="n">
        <v>46248</v>
      </c>
      <c r="H521" s="247" t="n">
        <v>1386</v>
      </c>
      <c r="I521" s="245" t="inlineStr">
        <is>
          <t>CRSU9296857</t>
        </is>
      </c>
      <c r="J521" s="245" t="inlineStr">
        <is>
          <t>40FT</t>
        </is>
      </c>
      <c r="K521" s="245" t="inlineStr">
        <is>
          <t>8IN GREEN TEA MF MATTRESS TW</t>
        </is>
      </c>
      <c r="L521" s="245" t="inlineStr">
        <is>
          <t>SCF-STR-800T</t>
        </is>
      </c>
      <c r="M521" s="248" t="inlineStr">
        <is>
          <t>0993631131</t>
        </is>
      </c>
      <c r="N521" s="245" t="inlineStr">
        <is>
          <t>F.MFM.08T.000.WS</t>
        </is>
      </c>
      <c r="O521" s="249" t="n">
        <v>21053.34</v>
      </c>
      <c r="P521" s="249" t="n">
        <v>18281.34</v>
      </c>
      <c r="Q521" s="250">
        <f>R521/H521</f>
        <v/>
      </c>
      <c r="R521" s="251" t="n">
        <v>85239</v>
      </c>
      <c r="S521" s="249" t="n">
        <v>17960</v>
      </c>
      <c r="T521" s="252">
        <f>S521*R521</f>
        <v/>
      </c>
      <c r="U521" s="245" t="inlineStr">
        <is>
          <t>040300/KPPBC</t>
        </is>
      </c>
      <c r="V521" s="245" t="inlineStr">
        <is>
          <t>TG. PRIOK</t>
        </is>
      </c>
      <c r="W521" s="245" t="inlineStr">
        <is>
          <t>SAVANNAH, US</t>
        </is>
      </c>
      <c r="X521" s="245" t="inlineStr">
        <is>
          <t>WALMART, INC.</t>
        </is>
      </c>
      <c r="Y521" s="245" t="inlineStr">
        <is>
          <t>CMDUDJA1515327</t>
        </is>
      </c>
      <c r="Z521" s="246" t="n">
        <v>46248</v>
      </c>
    </row>
    <row r="522" ht="16.5" customHeight="1" s="202">
      <c r="A522" s="245" t="n"/>
      <c r="B522" s="245" t="n"/>
      <c r="C522" s="245" t="n"/>
      <c r="D522" s="245" t="n"/>
      <c r="E522" s="245" t="n"/>
      <c r="F522" s="245" t="n"/>
      <c r="G522" s="245" t="n"/>
      <c r="H522" s="245" t="n"/>
      <c r="I522" s="245" t="inlineStr">
        <is>
          <t>BHCU5032196</t>
        </is>
      </c>
      <c r="J522" s="245" t="inlineStr">
        <is>
          <t>40FT</t>
        </is>
      </c>
      <c r="K522" s="245" t="n"/>
      <c r="L522" s="245" t="n"/>
      <c r="M522" s="245" t="n"/>
      <c r="N522" s="245" t="n"/>
      <c r="O522" s="245" t="n"/>
      <c r="P522" s="245" t="n"/>
      <c r="Q522" s="245" t="n"/>
      <c r="R522" s="245" t="n"/>
      <c r="S522" s="245" t="n"/>
      <c r="T522" s="245" t="n"/>
      <c r="U522" s="245" t="n"/>
      <c r="V522" s="245" t="n"/>
      <c r="W522" s="245" t="inlineStr">
        <is>
          <t>ETD : 21-08-2026</t>
        </is>
      </c>
      <c r="X522" s="245" t="n"/>
      <c r="Y522" s="245" t="n"/>
      <c r="Z522" s="245" t="n"/>
    </row>
    <row r="523" ht="17.1" customHeight="1" s="202">
      <c r="A523" s="253" t="n"/>
      <c r="B523" s="253" t="n"/>
      <c r="C523" s="253" t="n"/>
      <c r="D523" s="253" t="n"/>
      <c r="E523" s="253" t="n"/>
      <c r="F523" s="253" t="n"/>
      <c r="G523" s="253" t="n"/>
      <c r="H523" s="254">
        <f>SUM(H521:H522)</f>
        <v/>
      </c>
      <c r="I523" s="253">
        <f>COUNTA(I521:I522)</f>
        <v/>
      </c>
      <c r="J523" s="253" t="n"/>
      <c r="K523" s="253" t="n"/>
      <c r="L523" s="253" t="n"/>
      <c r="M523" s="253" t="n"/>
      <c r="N523" s="253" t="n"/>
      <c r="O523" s="255">
        <f>SUM(O521:O522)</f>
        <v/>
      </c>
      <c r="P523" s="255">
        <f>SUM(P521:P522)</f>
        <v/>
      </c>
      <c r="Q523" s="253" t="n"/>
      <c r="R523" s="256">
        <f>SUM(R521:R522)</f>
        <v/>
      </c>
      <c r="S523" s="253" t="n"/>
      <c r="T523" s="257">
        <f>SUM(T521:T522)</f>
        <v/>
      </c>
      <c r="U523" s="253" t="n"/>
      <c r="V523" s="253" t="n"/>
      <c r="W523" s="253" t="n"/>
      <c r="X523" s="253" t="n"/>
      <c r="Y523" s="253" t="n"/>
      <c r="Z523" s="253" t="n"/>
    </row>
    <row r="524" ht="16.5" customHeight="1" s="202">
      <c r="A524" s="245" t="n">
        <v>56</v>
      </c>
      <c r="B524" s="245" t="inlineStr">
        <is>
          <t>000030ZIK48020260814000624</t>
        </is>
      </c>
      <c r="C524" s="245" t="n">
        <v>514469</v>
      </c>
      <c r="D524" s="245" t="n">
        <v>514418</v>
      </c>
      <c r="E524" s="246" t="n">
        <v>46248</v>
      </c>
      <c r="F524" s="245" t="inlineStr">
        <is>
          <t>ID2608-8126</t>
        </is>
      </c>
      <c r="G524" s="246" t="n">
        <v>46248</v>
      </c>
      <c r="H524" s="247" t="n">
        <v>1040</v>
      </c>
      <c r="I524" s="245" t="inlineStr">
        <is>
          <t>CAIU9737789</t>
        </is>
      </c>
      <c r="J524" s="245" t="inlineStr">
        <is>
          <t>40FT</t>
        </is>
      </c>
      <c r="K524" s="245" t="inlineStr">
        <is>
          <t>8IN GREEN TEA MF MATTRESS FL</t>
        </is>
      </c>
      <c r="L524" s="245" t="inlineStr">
        <is>
          <t>SCF-STR-800F</t>
        </is>
      </c>
      <c r="M524" s="248" t="inlineStr">
        <is>
          <t>0993630624</t>
        </is>
      </c>
      <c r="N524" s="245" t="inlineStr">
        <is>
          <t>F.MFM.08F.000.WS</t>
        </is>
      </c>
      <c r="O524" s="249" t="n">
        <v>21236.8</v>
      </c>
      <c r="P524" s="249" t="n">
        <v>18740.8</v>
      </c>
      <c r="Q524" s="250">
        <f>R524/H524</f>
        <v/>
      </c>
      <c r="R524" s="251" t="n">
        <v>82960.8</v>
      </c>
      <c r="S524" s="249" t="n">
        <v>17960</v>
      </c>
      <c r="T524" s="252">
        <f>S524*R524</f>
        <v/>
      </c>
      <c r="U524" s="245" t="inlineStr">
        <is>
          <t>040300/KPPBC</t>
        </is>
      </c>
      <c r="V524" s="245" t="inlineStr">
        <is>
          <t>TG. PRIOK</t>
        </is>
      </c>
      <c r="W524" s="245" t="inlineStr">
        <is>
          <t>SAVANNAH, US</t>
        </is>
      </c>
      <c r="X524" s="245" t="inlineStr">
        <is>
          <t>WALMART, INC.</t>
        </is>
      </c>
      <c r="Y524" s="245" t="inlineStr">
        <is>
          <t>CMDUDJA1515279</t>
        </is>
      </c>
      <c r="Z524" s="246" t="n">
        <v>46248</v>
      </c>
    </row>
    <row r="525" ht="16.5" customHeight="1" s="202">
      <c r="A525" s="245" t="n"/>
      <c r="B525" s="245" t="n"/>
      <c r="C525" s="245" t="n"/>
      <c r="D525" s="245" t="n"/>
      <c r="E525" s="245" t="n"/>
      <c r="F525" s="245" t="n"/>
      <c r="G525" s="245" t="n"/>
      <c r="H525" s="245" t="n"/>
      <c r="I525" s="245" t="inlineStr">
        <is>
          <t>TCNU2294635</t>
        </is>
      </c>
      <c r="J525" s="245" t="inlineStr">
        <is>
          <t>40FT</t>
        </is>
      </c>
      <c r="K525" s="245" t="n"/>
      <c r="L525" s="245" t="n"/>
      <c r="M525" s="245" t="n"/>
      <c r="N525" s="245" t="n"/>
      <c r="O525" s="245" t="n"/>
      <c r="P525" s="245" t="n"/>
      <c r="Q525" s="245" t="n"/>
      <c r="R525" s="245" t="n"/>
      <c r="S525" s="245" t="n"/>
      <c r="T525" s="245" t="n"/>
      <c r="U525" s="245" t="n"/>
      <c r="V525" s="245" t="n"/>
      <c r="W525" s="245" t="inlineStr">
        <is>
          <t>ETD : 21-08-2026</t>
        </is>
      </c>
      <c r="X525" s="245" t="n"/>
      <c r="Y525" s="245" t="n"/>
      <c r="Z525" s="245" t="n"/>
    </row>
    <row r="526" ht="17.1" customHeight="1" s="202">
      <c r="A526" s="253" t="n"/>
      <c r="B526" s="253" t="n"/>
      <c r="C526" s="253" t="n"/>
      <c r="D526" s="253" t="n"/>
      <c r="E526" s="253" t="n"/>
      <c r="F526" s="253" t="n"/>
      <c r="G526" s="253" t="n"/>
      <c r="H526" s="254">
        <f>SUM(H524:H525)</f>
        <v/>
      </c>
      <c r="I526" s="253">
        <f>COUNTA(I524:I525)</f>
        <v/>
      </c>
      <c r="J526" s="253" t="n"/>
      <c r="K526" s="253" t="n"/>
      <c r="L526" s="253" t="n"/>
      <c r="M526" s="253" t="n"/>
      <c r="N526" s="253" t="n"/>
      <c r="O526" s="255">
        <f>SUM(O524:O525)</f>
        <v/>
      </c>
      <c r="P526" s="255">
        <f>SUM(P524:P525)</f>
        <v/>
      </c>
      <c r="Q526" s="253" t="n"/>
      <c r="R526" s="256">
        <f>SUM(R524:R525)</f>
        <v/>
      </c>
      <c r="S526" s="253" t="n"/>
      <c r="T526" s="257">
        <f>SUM(T524:T525)</f>
        <v/>
      </c>
      <c r="U526" s="253" t="n"/>
      <c r="V526" s="253" t="n"/>
      <c r="W526" s="253" t="n"/>
      <c r="X526" s="253" t="n"/>
      <c r="Y526" s="253" t="n"/>
      <c r="Z526" s="253" t="n"/>
    </row>
    <row r="527" ht="16.5" customHeight="1" s="202">
      <c r="A527" s="245" t="n">
        <v>57</v>
      </c>
      <c r="B527" s="245" t="inlineStr">
        <is>
          <t>000030ZIK48020260814000625</t>
        </is>
      </c>
      <c r="C527" s="245" t="n">
        <v>513298</v>
      </c>
      <c r="D527" s="245" t="n">
        <v>513247</v>
      </c>
      <c r="E527" s="246" t="n">
        <v>46248</v>
      </c>
      <c r="F527" s="245" t="inlineStr">
        <is>
          <t>ID2608-8127</t>
        </is>
      </c>
      <c r="G527" s="246" t="n">
        <v>46248</v>
      </c>
      <c r="H527" s="247" t="n">
        <v>693</v>
      </c>
      <c r="I527" s="245" t="inlineStr">
        <is>
          <t>CMAU9604367</t>
        </is>
      </c>
      <c r="J527" s="245" t="inlineStr">
        <is>
          <t>40FT</t>
        </is>
      </c>
      <c r="K527" s="245" t="inlineStr">
        <is>
          <t>8IN GREEN TEA MF MATTRESS TW</t>
        </is>
      </c>
      <c r="L527" s="245" t="inlineStr">
        <is>
          <t>SCF-STR-800T</t>
        </is>
      </c>
      <c r="M527" s="248" t="inlineStr">
        <is>
          <t>0993631133</t>
        </is>
      </c>
      <c r="N527" s="245" t="inlineStr">
        <is>
          <t>F.MFM.08T.000.WS</t>
        </is>
      </c>
      <c r="O527" s="249" t="n">
        <v>10526.67</v>
      </c>
      <c r="P527" s="249" t="n">
        <v>9140.67</v>
      </c>
      <c r="Q527" s="250">
        <f>R527/H527</f>
        <v/>
      </c>
      <c r="R527" s="251" t="n">
        <v>42619.5</v>
      </c>
      <c r="S527" s="249" t="n">
        <v>17960</v>
      </c>
      <c r="T527" s="252">
        <f>S527*R527</f>
        <v/>
      </c>
      <c r="U527" s="245" t="inlineStr">
        <is>
          <t>040300/KPPBC</t>
        </is>
      </c>
      <c r="V527" s="245" t="inlineStr">
        <is>
          <t>TG. PRIOK</t>
        </is>
      </c>
      <c r="W527" s="245" t="inlineStr">
        <is>
          <t>LOS ANGELES, US</t>
        </is>
      </c>
      <c r="X527" s="245" t="inlineStr">
        <is>
          <t>WALMART, INC.</t>
        </is>
      </c>
      <c r="Y527" s="245" t="inlineStr">
        <is>
          <t>CMDUDJA1518563B</t>
        </is>
      </c>
      <c r="Z527" s="246" t="n">
        <v>46248</v>
      </c>
    </row>
    <row r="528" ht="16.5" customHeight="1" s="202">
      <c r="A528" s="245" t="n"/>
      <c r="B528" s="245" t="n"/>
      <c r="C528" s="245" t="n"/>
      <c r="D528" s="245" t="n"/>
      <c r="E528" s="245" t="n"/>
      <c r="F528" s="245" t="n"/>
      <c r="G528" s="245" t="n"/>
      <c r="H528" s="245" t="n"/>
      <c r="I528" s="245" t="n"/>
      <c r="J528" s="245" t="n"/>
      <c r="K528" s="245" t="n"/>
      <c r="L528" s="245" t="n"/>
      <c r="M528" s="245" t="n"/>
      <c r="N528" s="245" t="n"/>
      <c r="O528" s="245" t="n"/>
      <c r="P528" s="245" t="n"/>
      <c r="Q528" s="245" t="n"/>
      <c r="R528" s="245" t="n"/>
      <c r="S528" s="245" t="n"/>
      <c r="T528" s="245" t="n"/>
      <c r="U528" s="245" t="n"/>
      <c r="V528" s="245" t="n"/>
      <c r="W528" s="245" t="inlineStr">
        <is>
          <t>ETD : 21-08-2026</t>
        </is>
      </c>
      <c r="X528" s="245" t="n"/>
      <c r="Y528" s="245" t="n"/>
      <c r="Z528" s="245" t="n"/>
    </row>
    <row r="529" ht="17.1" customHeight="1" s="202">
      <c r="A529" s="253" t="n"/>
      <c r="B529" s="253" t="n"/>
      <c r="C529" s="253" t="n"/>
      <c r="D529" s="253" t="n"/>
      <c r="E529" s="253" t="n"/>
      <c r="F529" s="253" t="n"/>
      <c r="G529" s="253" t="n"/>
      <c r="H529" s="254">
        <f>SUM(H527:H528)</f>
        <v/>
      </c>
      <c r="I529" s="253">
        <f>COUNTA(I527:I528)</f>
        <v/>
      </c>
      <c r="J529" s="253" t="n"/>
      <c r="K529" s="253" t="n"/>
      <c r="L529" s="253" t="n"/>
      <c r="M529" s="253" t="n"/>
      <c r="N529" s="253" t="n"/>
      <c r="O529" s="255">
        <f>SUM(O527:O528)</f>
        <v/>
      </c>
      <c r="P529" s="255">
        <f>SUM(P527:P528)</f>
        <v/>
      </c>
      <c r="Q529" s="253" t="n"/>
      <c r="R529" s="256">
        <f>SUM(R527:R528)</f>
        <v/>
      </c>
      <c r="S529" s="253" t="n"/>
      <c r="T529" s="257">
        <f>SUM(T527:T528)</f>
        <v/>
      </c>
      <c r="U529" s="253" t="n"/>
      <c r="V529" s="253" t="n"/>
      <c r="W529" s="253" t="n"/>
      <c r="X529" s="253" t="n"/>
      <c r="Y529" s="253" t="n"/>
      <c r="Z529" s="253" t="n"/>
    </row>
    <row r="530" ht="16.5" customHeight="1" s="202">
      <c r="A530" s="245" t="n">
        <v>58</v>
      </c>
      <c r="B530" s="245" t="inlineStr">
        <is>
          <t>000030ZIK48020260814000626</t>
        </is>
      </c>
      <c r="C530" s="245" t="n">
        <v>513280</v>
      </c>
      <c r="D530" s="245" t="n">
        <v>513229</v>
      </c>
      <c r="E530" s="246" t="n">
        <v>46248</v>
      </c>
      <c r="F530" s="245" t="inlineStr">
        <is>
          <t>ID2608-8128</t>
        </is>
      </c>
      <c r="G530" s="246" t="n">
        <v>46248</v>
      </c>
      <c r="H530" s="247" t="n">
        <v>450</v>
      </c>
      <c r="I530" s="245" t="inlineStr">
        <is>
          <t>CMAU3851924</t>
        </is>
      </c>
      <c r="J530" s="245" t="inlineStr">
        <is>
          <t>40FT</t>
        </is>
      </c>
      <c r="K530" s="245" t="inlineStr">
        <is>
          <t>8IN GREEN TEA MF MATTRESS QN</t>
        </is>
      </c>
      <c r="L530" s="245" t="inlineStr">
        <is>
          <t>SCF-STR-800Q</t>
        </is>
      </c>
      <c r="M530" s="248" t="inlineStr">
        <is>
          <t>0993631026</t>
        </is>
      </c>
      <c r="N530" s="245" t="inlineStr">
        <is>
          <t>F.MFM.08Q.000.WS</t>
        </is>
      </c>
      <c r="O530" s="249" t="n">
        <v>10755</v>
      </c>
      <c r="P530" s="249" t="n">
        <v>9594</v>
      </c>
      <c r="Q530" s="250">
        <f>R530/H530</f>
        <v/>
      </c>
      <c r="R530" s="251" t="n">
        <v>42286.5</v>
      </c>
      <c r="S530" s="249" t="n">
        <v>17960</v>
      </c>
      <c r="T530" s="252">
        <f>S530*R530</f>
        <v/>
      </c>
      <c r="U530" s="245" t="inlineStr">
        <is>
          <t>040300/KPPBC</t>
        </is>
      </c>
      <c r="V530" s="245" t="inlineStr">
        <is>
          <t>TG. PRIOK</t>
        </is>
      </c>
      <c r="W530" s="245" t="inlineStr">
        <is>
          <t>LOS ANGELES, US</t>
        </is>
      </c>
      <c r="X530" s="245" t="inlineStr">
        <is>
          <t>WALMART, INC.</t>
        </is>
      </c>
      <c r="Y530" s="245" t="inlineStr">
        <is>
          <t>CMDUDJA1518563C</t>
        </is>
      </c>
      <c r="Z530" s="246" t="n">
        <v>46248</v>
      </c>
    </row>
    <row r="531" ht="16.5" customHeight="1" s="202">
      <c r="A531" s="245" t="n"/>
      <c r="B531" s="245" t="n"/>
      <c r="C531" s="245" t="n"/>
      <c r="D531" s="245" t="n"/>
      <c r="E531" s="245" t="n"/>
      <c r="F531" s="245" t="n"/>
      <c r="G531" s="245" t="n"/>
      <c r="H531" s="245" t="n"/>
      <c r="I531" s="245" t="n"/>
      <c r="J531" s="245" t="n"/>
      <c r="K531" s="245" t="n"/>
      <c r="L531" s="245" t="n"/>
      <c r="M531" s="245" t="n"/>
      <c r="N531" s="245" t="n"/>
      <c r="O531" s="245" t="n"/>
      <c r="P531" s="245" t="n"/>
      <c r="Q531" s="245" t="n"/>
      <c r="R531" s="245" t="n"/>
      <c r="S531" s="245" t="n"/>
      <c r="T531" s="245" t="n"/>
      <c r="U531" s="245" t="n"/>
      <c r="V531" s="245" t="n"/>
      <c r="W531" s="245" t="inlineStr">
        <is>
          <t>ETD : 21-08-2026</t>
        </is>
      </c>
      <c r="X531" s="245" t="n"/>
      <c r="Y531" s="245" t="n"/>
      <c r="Z531" s="245" t="n"/>
    </row>
    <row r="532" ht="17.1" customHeight="1" s="202">
      <c r="A532" s="253" t="n"/>
      <c r="B532" s="253" t="n"/>
      <c r="C532" s="253" t="n"/>
      <c r="D532" s="253" t="n"/>
      <c r="E532" s="253" t="n"/>
      <c r="F532" s="253" t="n"/>
      <c r="G532" s="253" t="n"/>
      <c r="H532" s="254">
        <f>SUM(H530:H531)</f>
        <v/>
      </c>
      <c r="I532" s="253">
        <f>COUNTA(I530:I531)</f>
        <v/>
      </c>
      <c r="J532" s="253" t="n"/>
      <c r="K532" s="253" t="n"/>
      <c r="L532" s="253" t="n"/>
      <c r="M532" s="253" t="n"/>
      <c r="N532" s="253" t="n"/>
      <c r="O532" s="255">
        <f>SUM(O530:O531)</f>
        <v/>
      </c>
      <c r="P532" s="255">
        <f>SUM(P530:P531)</f>
        <v/>
      </c>
      <c r="Q532" s="253" t="n"/>
      <c r="R532" s="256">
        <f>SUM(R530:R531)</f>
        <v/>
      </c>
      <c r="S532" s="253" t="n"/>
      <c r="T532" s="257">
        <f>SUM(T530:T531)</f>
        <v/>
      </c>
      <c r="U532" s="253" t="n"/>
      <c r="V532" s="253" t="n"/>
      <c r="W532" s="253" t="n"/>
      <c r="X532" s="253" t="n"/>
      <c r="Y532" s="253" t="n"/>
      <c r="Z532" s="253" t="n"/>
    </row>
    <row r="533" ht="16.5" customHeight="1" s="202">
      <c r="A533" s="245" t="n">
        <v>59</v>
      </c>
      <c r="B533" s="245" t="inlineStr">
        <is>
          <t>000030ZIK48020260814000627</t>
        </is>
      </c>
      <c r="C533" s="245" t="n">
        <v>513195</v>
      </c>
      <c r="D533" s="245" t="n">
        <v>513144</v>
      </c>
      <c r="E533" s="246" t="n">
        <v>46248</v>
      </c>
      <c r="F533" s="245" t="inlineStr">
        <is>
          <t>ID2608-8129</t>
        </is>
      </c>
      <c r="G533" s="246" t="n">
        <v>46248</v>
      </c>
      <c r="H533" s="247" t="n">
        <v>520</v>
      </c>
      <c r="I533" s="245" t="inlineStr">
        <is>
          <t>CMAU3457280</t>
        </is>
      </c>
      <c r="J533" s="245" t="inlineStr">
        <is>
          <t>40FT</t>
        </is>
      </c>
      <c r="K533" s="245" t="inlineStr">
        <is>
          <t>8IN GREEN TEA MF MATTRESS FL</t>
        </is>
      </c>
      <c r="L533" s="245" t="inlineStr">
        <is>
          <t>SCF-STR-800F</t>
        </is>
      </c>
      <c r="M533" s="248" t="inlineStr">
        <is>
          <t>0993630716</t>
        </is>
      </c>
      <c r="N533" s="245" t="inlineStr">
        <is>
          <t>F.MFM.08F.000.WS</t>
        </is>
      </c>
      <c r="O533" s="249" t="n">
        <v>10618.4</v>
      </c>
      <c r="P533" s="249" t="n">
        <v>9370.4</v>
      </c>
      <c r="Q533" s="250">
        <f>R533/H533</f>
        <v/>
      </c>
      <c r="R533" s="251" t="n">
        <v>41480.4</v>
      </c>
      <c r="S533" s="249" t="n">
        <v>17960</v>
      </c>
      <c r="T533" s="252">
        <f>S533*R533</f>
        <v/>
      </c>
      <c r="U533" s="245" t="inlineStr">
        <is>
          <t>040300/KPPBC</t>
        </is>
      </c>
      <c r="V533" s="245" t="inlineStr">
        <is>
          <t>TG. PRIOK</t>
        </is>
      </c>
      <c r="W533" s="245" t="inlineStr">
        <is>
          <t>LOS ANGELES, US</t>
        </is>
      </c>
      <c r="X533" s="245" t="inlineStr">
        <is>
          <t>WALMART, INC.</t>
        </is>
      </c>
      <c r="Y533" s="245" t="inlineStr">
        <is>
          <t>CMDUDJA1518563A</t>
        </is>
      </c>
      <c r="Z533" s="246" t="n">
        <v>46248</v>
      </c>
    </row>
    <row r="534" ht="16.5" customHeight="1" s="202">
      <c r="A534" s="245" t="n"/>
      <c r="B534" s="245" t="n"/>
      <c r="C534" s="245" t="n"/>
      <c r="D534" s="245" t="n"/>
      <c r="E534" s="245" t="n"/>
      <c r="F534" s="245" t="n"/>
      <c r="G534" s="245" t="n"/>
      <c r="H534" s="245" t="n"/>
      <c r="I534" s="245" t="n"/>
      <c r="J534" s="245" t="n"/>
      <c r="K534" s="245" t="n"/>
      <c r="L534" s="245" t="n"/>
      <c r="M534" s="245" t="n"/>
      <c r="N534" s="245" t="n"/>
      <c r="O534" s="245" t="n"/>
      <c r="P534" s="245" t="n"/>
      <c r="Q534" s="245" t="n"/>
      <c r="R534" s="245" t="n"/>
      <c r="S534" s="245" t="n"/>
      <c r="T534" s="245" t="n"/>
      <c r="U534" s="245" t="n"/>
      <c r="V534" s="245" t="n"/>
      <c r="W534" s="245" t="inlineStr">
        <is>
          <t>ETD : 21-08-2026</t>
        </is>
      </c>
      <c r="X534" s="245" t="n"/>
      <c r="Y534" s="245" t="n"/>
      <c r="Z534" s="245" t="n"/>
    </row>
    <row r="535" ht="17.1" customHeight="1" s="202">
      <c r="A535" s="253" t="n"/>
      <c r="B535" s="253" t="n"/>
      <c r="C535" s="253" t="n"/>
      <c r="D535" s="253" t="n"/>
      <c r="E535" s="253" t="n"/>
      <c r="F535" s="253" t="n"/>
      <c r="G535" s="253" t="n"/>
      <c r="H535" s="254">
        <f>SUM(H533:H534)</f>
        <v/>
      </c>
      <c r="I535" s="253">
        <f>COUNTA(I533:I534)</f>
        <v/>
      </c>
      <c r="J535" s="253" t="n"/>
      <c r="K535" s="253" t="n"/>
      <c r="L535" s="253" t="n"/>
      <c r="M535" s="253" t="n"/>
      <c r="N535" s="253" t="n"/>
      <c r="O535" s="255">
        <f>SUM(O533:O534)</f>
        <v/>
      </c>
      <c r="P535" s="255">
        <f>SUM(P533:P534)</f>
        <v/>
      </c>
      <c r="Q535" s="253" t="n"/>
      <c r="R535" s="256">
        <f>SUM(R533:R534)</f>
        <v/>
      </c>
      <c r="S535" s="253" t="n"/>
      <c r="T535" s="257">
        <f>SUM(T533:T534)</f>
        <v/>
      </c>
      <c r="U535" s="253" t="n"/>
      <c r="V535" s="253" t="n"/>
      <c r="W535" s="253" t="n"/>
      <c r="X535" s="253" t="n"/>
      <c r="Y535" s="253" t="n"/>
      <c r="Z535" s="253" t="n"/>
    </row>
    <row r="536" ht="16.5" customHeight="1" s="202">
      <c r="A536" s="245" t="n">
        <v>60</v>
      </c>
      <c r="B536" s="245" t="inlineStr">
        <is>
          <t>000030ZIK48020260814000628</t>
        </is>
      </c>
      <c r="C536" s="245" t="n">
        <v>513203</v>
      </c>
      <c r="D536" s="245" t="n">
        <v>513152</v>
      </c>
      <c r="E536" s="246" t="n">
        <v>46248</v>
      </c>
      <c r="F536" s="245" t="inlineStr">
        <is>
          <t>ID2608-8130</t>
        </is>
      </c>
      <c r="G536" s="246" t="n">
        <v>46248</v>
      </c>
      <c r="H536" s="247" t="n">
        <v>1386</v>
      </c>
      <c r="I536" s="245" t="inlineStr">
        <is>
          <t>TCLU1513808</t>
        </is>
      </c>
      <c r="J536" s="245" t="inlineStr">
        <is>
          <t>40FT</t>
        </is>
      </c>
      <c r="K536" s="245" t="inlineStr">
        <is>
          <t>8IN GREEN TEA MF MATTRESS TW</t>
        </is>
      </c>
      <c r="L536" s="245" t="inlineStr">
        <is>
          <t>SCF-STR-800T</t>
        </is>
      </c>
      <c r="M536" s="248" t="inlineStr">
        <is>
          <t>0993631218</t>
        </is>
      </c>
      <c r="N536" s="245" t="inlineStr">
        <is>
          <t>F.MFM.08T.000.WS</t>
        </is>
      </c>
      <c r="O536" s="249" t="n">
        <v>21053.34</v>
      </c>
      <c r="P536" s="249" t="n">
        <v>18281.34</v>
      </c>
      <c r="Q536" s="250">
        <f>R536/H536</f>
        <v/>
      </c>
      <c r="R536" s="251" t="n">
        <v>85239</v>
      </c>
      <c r="S536" s="249" t="n">
        <v>17960</v>
      </c>
      <c r="T536" s="252">
        <f>S536*R536</f>
        <v/>
      </c>
      <c r="U536" s="245" t="inlineStr">
        <is>
          <t>040300/KPPBC</t>
        </is>
      </c>
      <c r="V536" s="245" t="inlineStr">
        <is>
          <t>TG. PRIOK</t>
        </is>
      </c>
      <c r="W536" s="245" t="inlineStr">
        <is>
          <t>LOS ANGELES, US</t>
        </is>
      </c>
      <c r="X536" s="245" t="inlineStr">
        <is>
          <t>WALMART, INC.</t>
        </is>
      </c>
      <c r="Y536" s="245" t="inlineStr">
        <is>
          <t>CMDUDJA1515855</t>
        </is>
      </c>
      <c r="Z536" s="246" t="n">
        <v>46248</v>
      </c>
    </row>
    <row r="537" ht="16.5" customHeight="1" s="202">
      <c r="A537" s="245" t="n"/>
      <c r="B537" s="245" t="n"/>
      <c r="C537" s="245" t="n"/>
      <c r="D537" s="245" t="n"/>
      <c r="E537" s="245" t="n"/>
      <c r="F537" s="245" t="n"/>
      <c r="G537" s="245" t="n"/>
      <c r="H537" s="245" t="n"/>
      <c r="I537" s="245" t="inlineStr">
        <is>
          <t>TIIU6592555</t>
        </is>
      </c>
      <c r="J537" s="245" t="inlineStr">
        <is>
          <t>40FT</t>
        </is>
      </c>
      <c r="K537" s="245" t="n"/>
      <c r="L537" s="245" t="n"/>
      <c r="M537" s="245" t="n"/>
      <c r="N537" s="245" t="n"/>
      <c r="O537" s="245" t="n"/>
      <c r="P537" s="245" t="n"/>
      <c r="Q537" s="245" t="n"/>
      <c r="R537" s="245" t="n"/>
      <c r="S537" s="245" t="n"/>
      <c r="T537" s="245" t="n"/>
      <c r="U537" s="245" t="n"/>
      <c r="V537" s="245" t="n"/>
      <c r="W537" s="245" t="inlineStr">
        <is>
          <t>ETD : 21-08-2026</t>
        </is>
      </c>
      <c r="X537" s="245" t="n"/>
      <c r="Y537" s="245" t="n"/>
      <c r="Z537" s="245" t="n"/>
    </row>
    <row r="538" ht="17.1" customHeight="1" s="202">
      <c r="A538" s="253" t="n"/>
      <c r="B538" s="253" t="n"/>
      <c r="C538" s="253" t="n"/>
      <c r="D538" s="253" t="n"/>
      <c r="E538" s="253" t="n"/>
      <c r="F538" s="253" t="n"/>
      <c r="G538" s="253" t="n"/>
      <c r="H538" s="254">
        <f>SUM(H536:H537)</f>
        <v/>
      </c>
      <c r="I538" s="253">
        <f>COUNTA(I536:I537)</f>
        <v/>
      </c>
      <c r="J538" s="253" t="n"/>
      <c r="K538" s="253" t="n"/>
      <c r="L538" s="253" t="n"/>
      <c r="M538" s="253" t="n"/>
      <c r="N538" s="253" t="n"/>
      <c r="O538" s="255">
        <f>SUM(O536:O537)</f>
        <v/>
      </c>
      <c r="P538" s="255">
        <f>SUM(P536:P537)</f>
        <v/>
      </c>
      <c r="Q538" s="253" t="n"/>
      <c r="R538" s="256">
        <f>SUM(R536:R537)</f>
        <v/>
      </c>
      <c r="S538" s="253" t="n"/>
      <c r="T538" s="257">
        <f>SUM(T536:T537)</f>
        <v/>
      </c>
      <c r="U538" s="253" t="n"/>
      <c r="V538" s="253" t="n"/>
      <c r="W538" s="253" t="n"/>
      <c r="X538" s="253" t="n"/>
      <c r="Y538" s="253" t="n"/>
      <c r="Z538" s="253" t="n"/>
    </row>
    <row r="539" ht="16.5" customHeight="1" s="202">
      <c r="A539" s="245" t="n">
        <v>61</v>
      </c>
      <c r="B539" s="245" t="inlineStr">
        <is>
          <t>000030ZIK48020260814000629</t>
        </is>
      </c>
      <c r="C539" s="245" t="n">
        <v>513140</v>
      </c>
      <c r="D539" s="245" t="n">
        <v>513088</v>
      </c>
      <c r="E539" s="246" t="n">
        <v>46248</v>
      </c>
      <c r="F539" s="245" t="inlineStr">
        <is>
          <t>ID2608-8131</t>
        </is>
      </c>
      <c r="G539" s="246" t="n">
        <v>46248</v>
      </c>
      <c r="H539" s="247" t="n">
        <v>1040</v>
      </c>
      <c r="I539" s="245" t="inlineStr">
        <is>
          <t>CMAU5869840</t>
        </is>
      </c>
      <c r="J539" s="245" t="inlineStr">
        <is>
          <t>40FT</t>
        </is>
      </c>
      <c r="K539" s="245" t="inlineStr">
        <is>
          <t>8IN GREEN TEA MF MATTRESS FL</t>
        </is>
      </c>
      <c r="L539" s="245" t="inlineStr">
        <is>
          <t>SCF-STR-800F</t>
        </is>
      </c>
      <c r="M539" s="248" t="inlineStr">
        <is>
          <t>0993630647</t>
        </is>
      </c>
      <c r="N539" s="245" t="inlineStr">
        <is>
          <t>F.MFM.08F.000.WS</t>
        </is>
      </c>
      <c r="O539" s="249" t="n">
        <v>21236.8</v>
      </c>
      <c r="P539" s="249" t="n">
        <v>18740.8</v>
      </c>
      <c r="Q539" s="250">
        <f>R539/H539</f>
        <v/>
      </c>
      <c r="R539" s="251" t="n">
        <v>82960.8</v>
      </c>
      <c r="S539" s="249" t="n">
        <v>17960</v>
      </c>
      <c r="T539" s="252">
        <f>S539*R539</f>
        <v/>
      </c>
      <c r="U539" s="245" t="inlineStr">
        <is>
          <t>040300/KPPBC</t>
        </is>
      </c>
      <c r="V539" s="245" t="inlineStr">
        <is>
          <t>TG. PRIOK</t>
        </is>
      </c>
      <c r="W539" s="245" t="inlineStr">
        <is>
          <t>LOS ANGELES, US</t>
        </is>
      </c>
      <c r="X539" s="245" t="inlineStr">
        <is>
          <t>WALMART, INC.</t>
        </is>
      </c>
      <c r="Y539" s="245" t="inlineStr">
        <is>
          <t>CMDUDJA1515852</t>
        </is>
      </c>
      <c r="Z539" s="246" t="n">
        <v>46248</v>
      </c>
    </row>
    <row r="540" ht="16.5" customHeight="1" s="202">
      <c r="A540" s="245" t="n"/>
      <c r="B540" s="245" t="n"/>
      <c r="C540" s="245" t="n"/>
      <c r="D540" s="245" t="n"/>
      <c r="E540" s="245" t="n"/>
      <c r="F540" s="245" t="n"/>
      <c r="G540" s="245" t="n"/>
      <c r="H540" s="245" t="n"/>
      <c r="I540" s="245" t="inlineStr">
        <is>
          <t>TGHU6398286</t>
        </is>
      </c>
      <c r="J540" s="245" t="inlineStr">
        <is>
          <t>40FT</t>
        </is>
      </c>
      <c r="K540" s="245" t="n"/>
      <c r="L540" s="245" t="n"/>
      <c r="M540" s="245" t="n"/>
      <c r="N540" s="245" t="n"/>
      <c r="O540" s="245" t="n"/>
      <c r="P540" s="245" t="n"/>
      <c r="Q540" s="245" t="n"/>
      <c r="R540" s="245" t="n"/>
      <c r="S540" s="245" t="n"/>
      <c r="T540" s="245" t="n"/>
      <c r="U540" s="245" t="n"/>
      <c r="V540" s="245" t="n"/>
      <c r="W540" s="245" t="inlineStr">
        <is>
          <t>ETD : 21-08-2026</t>
        </is>
      </c>
      <c r="X540" s="245" t="n"/>
      <c r="Y540" s="245" t="n"/>
      <c r="Z540" s="245" t="n"/>
    </row>
    <row r="541" ht="17.1" customHeight="1" s="202">
      <c r="A541" s="253" t="n"/>
      <c r="B541" s="253" t="n"/>
      <c r="C541" s="253" t="n"/>
      <c r="D541" s="253" t="n"/>
      <c r="E541" s="253" t="n"/>
      <c r="F541" s="253" t="n"/>
      <c r="G541" s="253" t="n"/>
      <c r="H541" s="254">
        <f>SUM(H539:H540)</f>
        <v/>
      </c>
      <c r="I541" s="253">
        <f>COUNTA(I539:I540)</f>
        <v/>
      </c>
      <c r="J541" s="253" t="n"/>
      <c r="K541" s="253" t="n"/>
      <c r="L541" s="253" t="n"/>
      <c r="M541" s="253" t="n"/>
      <c r="N541" s="253" t="n"/>
      <c r="O541" s="255">
        <f>SUM(O539:O540)</f>
        <v/>
      </c>
      <c r="P541" s="255">
        <f>SUM(P539:P540)</f>
        <v/>
      </c>
      <c r="Q541" s="253" t="n"/>
      <c r="R541" s="256">
        <f>SUM(R539:R540)</f>
        <v/>
      </c>
      <c r="S541" s="253" t="n"/>
      <c r="T541" s="257">
        <f>SUM(T539:T540)</f>
        <v/>
      </c>
      <c r="U541" s="253" t="n"/>
      <c r="V541" s="253" t="n"/>
      <c r="W541" s="253" t="n"/>
      <c r="X541" s="253" t="n"/>
      <c r="Y541" s="253" t="n"/>
      <c r="Z541" s="253" t="n"/>
    </row>
    <row r="542" ht="16.5" customHeight="1" s="202">
      <c r="A542" s="245" t="n">
        <v>62</v>
      </c>
      <c r="B542" s="245" t="inlineStr">
        <is>
          <t>000030ZIK48020260814000630</t>
        </is>
      </c>
      <c r="C542" s="245" t="n">
        <v>514487</v>
      </c>
      <c r="D542" s="245" t="n">
        <v>514436</v>
      </c>
      <c r="E542" s="246" t="n">
        <v>46248</v>
      </c>
      <c r="F542" s="245" t="inlineStr">
        <is>
          <t>ID2608-8132</t>
        </is>
      </c>
      <c r="G542" s="246" t="n">
        <v>46248</v>
      </c>
      <c r="H542" s="247" t="n">
        <v>900</v>
      </c>
      <c r="I542" s="245" t="inlineStr">
        <is>
          <t>GCXU5860224</t>
        </is>
      </c>
      <c r="J542" s="245" t="inlineStr">
        <is>
          <t>40FT</t>
        </is>
      </c>
      <c r="K542" s="245" t="inlineStr">
        <is>
          <t>8IN GREEN TEA MF MATTRESS QN</t>
        </is>
      </c>
      <c r="L542" s="245" t="inlineStr">
        <is>
          <t>SCF-STR-800Q</t>
        </is>
      </c>
      <c r="M542" s="248" t="inlineStr">
        <is>
          <t>0993631039</t>
        </is>
      </c>
      <c r="N542" s="245" t="inlineStr">
        <is>
          <t>F.MFM.08Q.000.WS</t>
        </is>
      </c>
      <c r="O542" s="249" t="n">
        <v>21510</v>
      </c>
      <c r="P542" s="249" t="n">
        <v>19188</v>
      </c>
      <c r="Q542" s="250">
        <f>R542/H542</f>
        <v/>
      </c>
      <c r="R542" s="251" t="n">
        <v>84573</v>
      </c>
      <c r="S542" s="249" t="n">
        <v>17960</v>
      </c>
      <c r="T542" s="252">
        <f>S542*R542</f>
        <v/>
      </c>
      <c r="U542" s="245" t="inlineStr">
        <is>
          <t>040300/KPPBC</t>
        </is>
      </c>
      <c r="V542" s="245" t="inlineStr">
        <is>
          <t>TG. PRIOK</t>
        </is>
      </c>
      <c r="W542" s="245" t="inlineStr">
        <is>
          <t>NORFOLK, US</t>
        </is>
      </c>
      <c r="X542" s="245" t="inlineStr">
        <is>
          <t>WALMART, INC.</t>
        </is>
      </c>
      <c r="Y542" s="245" t="inlineStr">
        <is>
          <t>CMDUDJA1521393</t>
        </is>
      </c>
      <c r="Z542" s="246" t="n">
        <v>46248</v>
      </c>
    </row>
    <row r="543" ht="16.5" customHeight="1" s="202">
      <c r="A543" s="245" t="n"/>
      <c r="B543" s="245" t="n"/>
      <c r="C543" s="245" t="n"/>
      <c r="D543" s="245" t="n"/>
      <c r="E543" s="245" t="n"/>
      <c r="F543" s="245" t="n"/>
      <c r="G543" s="245" t="n"/>
      <c r="H543" s="245" t="n"/>
      <c r="I543" s="245" t="inlineStr">
        <is>
          <t>CMAU8844403</t>
        </is>
      </c>
      <c r="J543" s="245" t="inlineStr">
        <is>
          <t>40FT</t>
        </is>
      </c>
      <c r="K543" s="245" t="n"/>
      <c r="L543" s="245" t="n"/>
      <c r="M543" s="245" t="n"/>
      <c r="N543" s="245" t="n"/>
      <c r="O543" s="245" t="n"/>
      <c r="P543" s="245" t="n"/>
      <c r="Q543" s="245" t="n"/>
      <c r="R543" s="245" t="n"/>
      <c r="S543" s="245" t="n"/>
      <c r="T543" s="245" t="n"/>
      <c r="U543" s="245" t="n"/>
      <c r="V543" s="245" t="n"/>
      <c r="W543" s="245" t="inlineStr">
        <is>
          <t>ETD : 21-08-2026</t>
        </is>
      </c>
      <c r="X543" s="245" t="n"/>
      <c r="Y543" s="245" t="n"/>
      <c r="Z543" s="245" t="n"/>
    </row>
    <row r="544" ht="17.1" customHeight="1" s="202">
      <c r="A544" s="253" t="n"/>
      <c r="B544" s="253" t="n"/>
      <c r="C544" s="253" t="n"/>
      <c r="D544" s="253" t="n"/>
      <c r="E544" s="253" t="n"/>
      <c r="F544" s="253" t="n"/>
      <c r="G544" s="253" t="n"/>
      <c r="H544" s="254">
        <f>SUM(H542:H543)</f>
        <v/>
      </c>
      <c r="I544" s="253">
        <f>COUNTA(I542:I543)</f>
        <v/>
      </c>
      <c r="J544" s="253" t="n"/>
      <c r="K544" s="253" t="n"/>
      <c r="L544" s="253" t="n"/>
      <c r="M544" s="253" t="n"/>
      <c r="N544" s="253" t="n"/>
      <c r="O544" s="255">
        <f>SUM(O542:O543)</f>
        <v/>
      </c>
      <c r="P544" s="255">
        <f>SUM(P542:P543)</f>
        <v/>
      </c>
      <c r="Q544" s="253" t="n"/>
      <c r="R544" s="256">
        <f>SUM(R542:R543)</f>
        <v/>
      </c>
      <c r="S544" s="253" t="n"/>
      <c r="T544" s="257">
        <f>SUM(T542:T543)</f>
        <v/>
      </c>
      <c r="U544" s="253" t="n"/>
      <c r="V544" s="253" t="n"/>
      <c r="W544" s="253" t="n"/>
      <c r="X544" s="253" t="n"/>
      <c r="Y544" s="253" t="n"/>
      <c r="Z544" s="253" t="n"/>
    </row>
    <row r="545" ht="16.5" customHeight="1" s="202">
      <c r="A545" s="245" t="n">
        <v>63</v>
      </c>
      <c r="B545" s="245" t="inlineStr">
        <is>
          <t>000030ZIK48020260814000631</t>
        </is>
      </c>
      <c r="C545" s="245" t="n">
        <v>514239</v>
      </c>
      <c r="D545" s="245" t="n">
        <v>514188</v>
      </c>
      <c r="E545" s="246" t="n">
        <v>46248</v>
      </c>
      <c r="F545" s="245" t="inlineStr">
        <is>
          <t>ID2608-8133</t>
        </is>
      </c>
      <c r="G545" s="246" t="n">
        <v>46248</v>
      </c>
      <c r="H545" s="247" t="n">
        <v>650</v>
      </c>
      <c r="I545" s="245" t="inlineStr">
        <is>
          <t>TRHU5881630</t>
        </is>
      </c>
      <c r="J545" s="245" t="inlineStr">
        <is>
          <t>40FT</t>
        </is>
      </c>
      <c r="K545" s="245" t="inlineStr">
        <is>
          <t>8IN GEL INFUSED FOAM MATT. TW</t>
        </is>
      </c>
      <c r="L545" s="245" t="inlineStr">
        <is>
          <t>CLE-08T</t>
        </is>
      </c>
      <c r="M545" s="248" t="inlineStr">
        <is>
          <t>0001230701</t>
        </is>
      </c>
      <c r="N545" s="245" t="inlineStr">
        <is>
          <t>F.MFG.08T.003.WT</t>
        </is>
      </c>
      <c r="O545" s="249" t="n">
        <v>10130.68</v>
      </c>
      <c r="P545" s="249" t="n">
        <v>8465.200000000001</v>
      </c>
      <c r="Q545" s="250">
        <f>R545/H545</f>
        <v/>
      </c>
      <c r="R545" s="251" t="n">
        <v>26851.5</v>
      </c>
      <c r="S545" s="249" t="n">
        <v>17960</v>
      </c>
      <c r="T545" s="252">
        <f>S545*R545</f>
        <v/>
      </c>
      <c r="U545" s="245" t="inlineStr">
        <is>
          <t>040300/KPPBC</t>
        </is>
      </c>
      <c r="V545" s="245" t="inlineStr">
        <is>
          <t>TG. PRIOK</t>
        </is>
      </c>
      <c r="W545" s="245" t="inlineStr">
        <is>
          <t>LOS ANGELES, US</t>
        </is>
      </c>
      <c r="X545" s="245" t="inlineStr">
        <is>
          <t>WALMART, INC.</t>
        </is>
      </c>
      <c r="Y545" s="245" t="inlineStr">
        <is>
          <t>CMDUDJA1515268</t>
        </is>
      </c>
      <c r="Z545" s="246" t="n">
        <v>46248</v>
      </c>
    </row>
    <row r="546" ht="16.5" customHeight="1" s="202">
      <c r="A546" s="245" t="n"/>
      <c r="B546" s="245" t="n"/>
      <c r="C546" s="245" t="n"/>
      <c r="D546" s="245" t="n"/>
      <c r="E546" s="245" t="n"/>
      <c r="F546" s="245" t="n"/>
      <c r="G546" s="245" t="n"/>
      <c r="H546" s="247" t="n">
        <v>11</v>
      </c>
      <c r="I546" s="245" t="inlineStr"/>
      <c r="J546" s="245" t="inlineStr"/>
      <c r="K546" s="245" t="inlineStr">
        <is>
          <t>6IN MYGEL FOAM MATTRESS FL</t>
        </is>
      </c>
      <c r="L546" s="245" t="inlineStr">
        <is>
          <t>MFGN-06F</t>
        </is>
      </c>
      <c r="M546" s="248" t="inlineStr">
        <is>
          <t>0001230701</t>
        </is>
      </c>
      <c r="N546" s="245" t="inlineStr">
        <is>
          <t>F.MFG.06F.002.WT</t>
        </is>
      </c>
      <c r="O546" s="245" t="n"/>
      <c r="P546" s="245" t="n"/>
      <c r="Q546" s="250">
        <f>R546/H546</f>
        <v/>
      </c>
      <c r="R546" s="251" t="n">
        <v>684.09</v>
      </c>
      <c r="S546" s="249" t="n">
        <v>17960</v>
      </c>
      <c r="T546" s="252">
        <f>S546*R546</f>
        <v/>
      </c>
      <c r="U546" s="245" t="n"/>
      <c r="V546" s="245" t="n"/>
      <c r="W546" s="245" t="inlineStr">
        <is>
          <t>ETD : 21-08-2026</t>
        </is>
      </c>
      <c r="X546" s="245" t="n"/>
      <c r="Y546" s="245" t="n"/>
      <c r="Z546" s="245" t="n"/>
    </row>
    <row r="547" ht="17.1" customHeight="1" s="202">
      <c r="A547" s="253" t="n"/>
      <c r="B547" s="253" t="n"/>
      <c r="C547" s="253" t="n"/>
      <c r="D547" s="253" t="n"/>
      <c r="E547" s="253" t="n"/>
      <c r="F547" s="253" t="n"/>
      <c r="G547" s="253" t="n"/>
      <c r="H547" s="254">
        <f>SUM(H545:H546)</f>
        <v/>
      </c>
      <c r="I547" s="253">
        <f>COUNTA(I545:I546)</f>
        <v/>
      </c>
      <c r="J547" s="253" t="n"/>
      <c r="K547" s="253" t="n"/>
      <c r="L547" s="253" t="n"/>
      <c r="M547" s="253" t="n"/>
      <c r="N547" s="253" t="n"/>
      <c r="O547" s="255">
        <f>SUM(O545:O546)</f>
        <v/>
      </c>
      <c r="P547" s="255">
        <f>SUM(P545:P546)</f>
        <v/>
      </c>
      <c r="Q547" s="253" t="n"/>
      <c r="R547" s="256">
        <f>SUM(R545:R546)</f>
        <v/>
      </c>
      <c r="S547" s="253" t="n"/>
      <c r="T547" s="257">
        <f>SUM(T545:T546)</f>
        <v/>
      </c>
      <c r="U547" s="253" t="n"/>
      <c r="V547" s="253" t="n"/>
      <c r="W547" s="253" t="n"/>
      <c r="X547" s="253" t="n"/>
      <c r="Y547" s="253" t="n"/>
      <c r="Z547" s="253" t="n"/>
    </row>
    <row r="548" ht="16.5" customHeight="1" s="202">
      <c r="A548" s="245" t="n">
        <v>64</v>
      </c>
      <c r="B548" s="245" t="inlineStr">
        <is>
          <t>000030ZIK48020260814000632</t>
        </is>
      </c>
      <c r="C548" s="245" t="n">
        <v>412335</v>
      </c>
      <c r="D548" s="245" t="n">
        <v>412091</v>
      </c>
      <c r="E548" s="246" t="n">
        <v>46248</v>
      </c>
      <c r="F548" s="245" t="inlineStr">
        <is>
          <t>SAMPLE-ZIID26-0065-NCV</t>
        </is>
      </c>
      <c r="G548" s="246" t="n">
        <v>46246</v>
      </c>
      <c r="H548" s="247" t="n">
        <v>1</v>
      </c>
      <c r="I548" s="245" t="inlineStr"/>
      <c r="J548" s="245" t="inlineStr"/>
      <c r="K548" s="245" t="inlineStr">
        <is>
          <t>FOAM MATTRESSES</t>
        </is>
      </c>
      <c r="L548" s="245" t="inlineStr">
        <is>
          <t>ZU-MFMA1FZI-06F</t>
        </is>
      </c>
      <c r="M548" s="248" t="inlineStr"/>
      <c r="N548" s="245" t="inlineStr">
        <is>
          <t>F.MFM.06F.006.AD</t>
        </is>
      </c>
      <c r="O548" s="249" t="n">
        <v>973.17</v>
      </c>
      <c r="P548" s="249" t="n">
        <v>915.65</v>
      </c>
      <c r="Q548" s="250">
        <f>R548/H548</f>
        <v/>
      </c>
      <c r="R548" s="251" t="n">
        <v>46.1</v>
      </c>
      <c r="S548" s="249" t="n">
        <v>17960</v>
      </c>
      <c r="T548" s="252">
        <f>S548*R548</f>
        <v/>
      </c>
      <c r="U548" s="245" t="inlineStr">
        <is>
          <t>050100/KPPBC</t>
        </is>
      </c>
      <c r="V548" s="245" t="inlineStr">
        <is>
          <t>S. HATTA</t>
        </is>
      </c>
      <c r="W548" s="245" t="inlineStr">
        <is>
          <t>GUANGZHOU, US</t>
        </is>
      </c>
      <c r="X548" s="245" t="inlineStr">
        <is>
          <t>SGS-CSTC STANDARDS TECHNICAL SERVICES</t>
        </is>
      </c>
      <c r="Y548" s="245" t="inlineStr">
        <is>
          <t>PLIID2H02332</t>
        </is>
      </c>
      <c r="Z548" s="246" t="n">
        <v>46248</v>
      </c>
    </row>
    <row r="549" ht="16.5" customHeight="1" s="202">
      <c r="A549" s="245" t="n"/>
      <c r="B549" s="245" t="n"/>
      <c r="C549" s="245" t="n"/>
      <c r="D549" s="245" t="n"/>
      <c r="E549" s="245" t="n"/>
      <c r="F549" s="245" t="n"/>
      <c r="G549" s="245" t="n"/>
      <c r="H549" s="247" t="n">
        <v>1</v>
      </c>
      <c r="I549" s="245" t="inlineStr"/>
      <c r="J549" s="245" t="inlineStr"/>
      <c r="K549" s="245" t="inlineStr">
        <is>
          <t>FOAM MATTRESSES</t>
        </is>
      </c>
      <c r="L549" s="245" t="inlineStr">
        <is>
          <t>ZU-MFMA1FZI-06Q</t>
        </is>
      </c>
      <c r="M549" s="248" t="inlineStr"/>
      <c r="N549" s="245" t="inlineStr">
        <is>
          <t>F.MFM.06Q.006.AD</t>
        </is>
      </c>
      <c r="O549" s="245" t="n"/>
      <c r="P549" s="245" t="n"/>
      <c r="Q549" s="250">
        <f>R549/H549</f>
        <v/>
      </c>
      <c r="R549" s="251" t="n">
        <v>54.03</v>
      </c>
      <c r="S549" s="249" t="n">
        <v>17960</v>
      </c>
      <c r="T549" s="252">
        <f>S549*R549</f>
        <v/>
      </c>
      <c r="U549" s="245" t="n"/>
      <c r="V549" s="245" t="n"/>
      <c r="W549" s="245" t="inlineStr">
        <is>
          <t>ETD : 21-08-2026</t>
        </is>
      </c>
      <c r="X549" s="245" t="n"/>
      <c r="Y549" s="245" t="n"/>
      <c r="Z549" s="245" t="n"/>
    </row>
    <row r="550" ht="16.5" customHeight="1" s="202">
      <c r="A550" s="245" t="n"/>
      <c r="B550" s="245" t="n"/>
      <c r="C550" s="245" t="n"/>
      <c r="D550" s="245" t="n"/>
      <c r="E550" s="245" t="n"/>
      <c r="F550" s="245" t="n"/>
      <c r="G550" s="245" t="n"/>
      <c r="H550" s="247" t="n">
        <v>1</v>
      </c>
      <c r="I550" s="245" t="inlineStr"/>
      <c r="J550" s="245" t="inlineStr"/>
      <c r="K550" s="245" t="inlineStr">
        <is>
          <t>FOAM MATTRESSES</t>
        </is>
      </c>
      <c r="L550" s="245" t="inlineStr">
        <is>
          <t>ZU-MFMA1FZI-08F</t>
        </is>
      </c>
      <c r="M550" s="248" t="inlineStr"/>
      <c r="N550" s="245" t="inlineStr">
        <is>
          <t>F.MFM.08F.012.AD</t>
        </is>
      </c>
      <c r="O550" s="245" t="n"/>
      <c r="P550" s="245" t="n"/>
      <c r="Q550" s="250">
        <f>R550/H550</f>
        <v/>
      </c>
      <c r="R550" s="251" t="n">
        <v>62.15</v>
      </c>
      <c r="S550" s="249" t="n">
        <v>17960</v>
      </c>
      <c r="T550" s="252">
        <f>S550*R550</f>
        <v/>
      </c>
      <c r="U550" s="245" t="n"/>
      <c r="V550" s="245" t="n"/>
      <c r="W550" s="245" t="n"/>
      <c r="X550" s="245" t="n"/>
      <c r="Y550" s="245" t="n"/>
      <c r="Z550" s="245" t="n"/>
    </row>
    <row r="551" ht="16.5" customHeight="1" s="202">
      <c r="A551" s="245" t="n"/>
      <c r="B551" s="245" t="n"/>
      <c r="C551" s="245" t="n"/>
      <c r="D551" s="245" t="n"/>
      <c r="E551" s="245" t="n"/>
      <c r="F551" s="245" t="n"/>
      <c r="G551" s="245" t="n"/>
      <c r="H551" s="247" t="n">
        <v>1</v>
      </c>
      <c r="I551" s="245" t="inlineStr"/>
      <c r="J551" s="245" t="inlineStr"/>
      <c r="K551" s="245" t="inlineStr">
        <is>
          <t>FOAM MATTRESSES</t>
        </is>
      </c>
      <c r="L551" s="245" t="inlineStr">
        <is>
          <t>ZU-MFMA1FZI-10F</t>
        </is>
      </c>
      <c r="M551" s="248" t="inlineStr"/>
      <c r="N551" s="245" t="inlineStr">
        <is>
          <t>F.MFM.10F.009.AD</t>
        </is>
      </c>
      <c r="O551" s="245" t="n"/>
      <c r="P551" s="245" t="n"/>
      <c r="Q551" s="250">
        <f>R551/H551</f>
        <v/>
      </c>
      <c r="R551" s="251" t="n">
        <v>74.5</v>
      </c>
      <c r="S551" s="249" t="n">
        <v>17960</v>
      </c>
      <c r="T551" s="252">
        <f>S551*R551</f>
        <v/>
      </c>
      <c r="U551" s="245" t="n"/>
      <c r="V551" s="245" t="n"/>
      <c r="W551" s="245" t="n"/>
      <c r="X551" s="245" t="n"/>
      <c r="Y551" s="245" t="n"/>
      <c r="Z551" s="245" t="n"/>
    </row>
    <row r="552" ht="16.5" customHeight="1" s="202">
      <c r="A552" s="245" t="n"/>
      <c r="B552" s="245" t="n"/>
      <c r="C552" s="245" t="n"/>
      <c r="D552" s="245" t="n"/>
      <c r="E552" s="245" t="n"/>
      <c r="F552" s="245" t="n"/>
      <c r="G552" s="245" t="n"/>
      <c r="H552" s="247" t="n">
        <v>1</v>
      </c>
      <c r="I552" s="245" t="inlineStr"/>
      <c r="J552" s="245" t="inlineStr"/>
      <c r="K552" s="245" t="inlineStr">
        <is>
          <t>FOAM MATTRESSES</t>
        </is>
      </c>
      <c r="L552" s="245" t="inlineStr">
        <is>
          <t>ZU-MFMA1FZI-12F</t>
        </is>
      </c>
      <c r="M552" s="248" t="inlineStr"/>
      <c r="N552" s="245" t="inlineStr">
        <is>
          <t>F.MFM.12F.008.AD</t>
        </is>
      </c>
      <c r="O552" s="245" t="n"/>
      <c r="P552" s="245" t="n"/>
      <c r="Q552" s="250">
        <f>R552/H552</f>
        <v/>
      </c>
      <c r="R552" s="251" t="n">
        <v>82.38</v>
      </c>
      <c r="S552" s="249" t="n">
        <v>17960</v>
      </c>
      <c r="T552" s="252">
        <f>S552*R552</f>
        <v/>
      </c>
      <c r="U552" s="245" t="n"/>
      <c r="V552" s="245" t="n"/>
      <c r="W552" s="245" t="n"/>
      <c r="X552" s="245" t="n"/>
      <c r="Y552" s="245" t="n"/>
      <c r="Z552" s="245" t="n"/>
    </row>
    <row r="553" ht="16.5" customHeight="1" s="202">
      <c r="A553" s="245" t="n"/>
      <c r="B553" s="245" t="n"/>
      <c r="C553" s="245" t="n"/>
      <c r="D553" s="245" t="n"/>
      <c r="E553" s="245" t="n"/>
      <c r="F553" s="245" t="n"/>
      <c r="G553" s="245" t="n"/>
      <c r="H553" s="247" t="n">
        <v>1</v>
      </c>
      <c r="I553" s="245" t="inlineStr"/>
      <c r="J553" s="245" t="inlineStr"/>
      <c r="K553" s="245" t="inlineStr">
        <is>
          <t>FOAM MATTRESSES</t>
        </is>
      </c>
      <c r="L553" s="245" t="inlineStr">
        <is>
          <t>ZU-MFMA1FZI-12Q</t>
        </is>
      </c>
      <c r="M553" s="248" t="inlineStr"/>
      <c r="N553" s="245" t="inlineStr">
        <is>
          <t>F.MFM.12Q.008.AD</t>
        </is>
      </c>
      <c r="O553" s="245" t="n"/>
      <c r="P553" s="245" t="n"/>
      <c r="Q553" s="250">
        <f>R553/H553</f>
        <v/>
      </c>
      <c r="R553" s="251" t="n">
        <v>95.89</v>
      </c>
      <c r="S553" s="249" t="n">
        <v>17960</v>
      </c>
      <c r="T553" s="252">
        <f>S553*R553</f>
        <v/>
      </c>
      <c r="U553" s="245" t="n"/>
      <c r="V553" s="245" t="n"/>
      <c r="W553" s="245" t="n"/>
      <c r="X553" s="245" t="n"/>
      <c r="Y553" s="245" t="n"/>
      <c r="Z553" s="245" t="n"/>
    </row>
    <row r="554" ht="16.5" customHeight="1" s="202">
      <c r="A554" s="245" t="n"/>
      <c r="B554" s="245" t="n"/>
      <c r="C554" s="245" t="n"/>
      <c r="D554" s="245" t="n"/>
      <c r="E554" s="245" t="n"/>
      <c r="F554" s="245" t="n"/>
      <c r="G554" s="245" t="n"/>
      <c r="H554" s="247" t="n">
        <v>1</v>
      </c>
      <c r="I554" s="245" t="inlineStr"/>
      <c r="J554" s="245" t="inlineStr"/>
      <c r="K554" s="245" t="inlineStr">
        <is>
          <t>SPRING MATTRESSES</t>
        </is>
      </c>
      <c r="L554" s="245" t="inlineStr">
        <is>
          <t>ZU-MSHO2SZI-12F</t>
        </is>
      </c>
      <c r="M554" s="248" t="inlineStr"/>
      <c r="N554" s="245" t="inlineStr">
        <is>
          <t>F.MSH.12F.000.AD</t>
        </is>
      </c>
      <c r="O554" s="245" t="n"/>
      <c r="P554" s="245" t="n"/>
      <c r="Q554" s="250">
        <f>R554/H554</f>
        <v/>
      </c>
      <c r="R554" s="251" t="n">
        <v>79.01000000000001</v>
      </c>
      <c r="S554" s="249" t="n">
        <v>17960</v>
      </c>
      <c r="T554" s="252">
        <f>S554*R554</f>
        <v/>
      </c>
      <c r="U554" s="245" t="n"/>
      <c r="V554" s="245" t="n"/>
      <c r="W554" s="245" t="n"/>
      <c r="X554" s="245" t="n"/>
      <c r="Y554" s="245" t="n"/>
      <c r="Z554" s="245" t="n"/>
    </row>
    <row r="555" ht="16.5" customHeight="1" s="202">
      <c r="A555" s="245" t="n"/>
      <c r="B555" s="245" t="n"/>
      <c r="C555" s="245" t="n"/>
      <c r="D555" s="245" t="n"/>
      <c r="E555" s="245" t="n"/>
      <c r="F555" s="245" t="n"/>
      <c r="G555" s="245" t="n"/>
      <c r="H555" s="247" t="n">
        <v>1</v>
      </c>
      <c r="I555" s="245" t="inlineStr"/>
      <c r="J555" s="245" t="inlineStr"/>
      <c r="K555" s="245" t="inlineStr">
        <is>
          <t>SPRING MATTRESSES</t>
        </is>
      </c>
      <c r="L555" s="245" t="inlineStr">
        <is>
          <t>ZU-MSHO2SZI-12K</t>
        </is>
      </c>
      <c r="M555" s="248" t="inlineStr"/>
      <c r="N555" s="245" t="inlineStr">
        <is>
          <t>F.MSH.12K.000.AD</t>
        </is>
      </c>
      <c r="O555" s="245" t="n"/>
      <c r="P555" s="245" t="n"/>
      <c r="Q555" s="250">
        <f>R555/H555</f>
        <v/>
      </c>
      <c r="R555" s="251" t="n">
        <v>110.98</v>
      </c>
      <c r="S555" s="249" t="n">
        <v>17960</v>
      </c>
      <c r="T555" s="252">
        <f>S555*R555</f>
        <v/>
      </c>
      <c r="U555" s="245" t="n"/>
      <c r="V555" s="245" t="n"/>
      <c r="W555" s="245" t="n"/>
      <c r="X555" s="245" t="n"/>
      <c r="Y555" s="245" t="n"/>
      <c r="Z555" s="245" t="n"/>
    </row>
    <row r="556" ht="16.5" customHeight="1" s="202">
      <c r="A556" s="245" t="n"/>
      <c r="B556" s="245" t="n"/>
      <c r="C556" s="245" t="n"/>
      <c r="D556" s="245" t="n"/>
      <c r="E556" s="245" t="n"/>
      <c r="F556" s="245" t="n"/>
      <c r="G556" s="245" t="n"/>
      <c r="H556" s="247" t="n">
        <v>1</v>
      </c>
      <c r="I556" s="245" t="inlineStr"/>
      <c r="J556" s="245" t="inlineStr"/>
      <c r="K556" s="245" t="inlineStr">
        <is>
          <t>SPRING MATTRESSES</t>
        </is>
      </c>
      <c r="L556" s="245" t="inlineStr">
        <is>
          <t>ZU-MSHO2SZI-12Q</t>
        </is>
      </c>
      <c r="M556" s="248" t="inlineStr"/>
      <c r="N556" s="245" t="inlineStr">
        <is>
          <t>F.MSH.12Q.000.AD</t>
        </is>
      </c>
      <c r="O556" s="245" t="n"/>
      <c r="P556" s="245" t="n"/>
      <c r="Q556" s="250">
        <f>R556/H556</f>
        <v/>
      </c>
      <c r="R556" s="251" t="n">
        <v>90.88</v>
      </c>
      <c r="S556" s="249" t="n">
        <v>17960</v>
      </c>
      <c r="T556" s="252">
        <f>S556*R556</f>
        <v/>
      </c>
      <c r="U556" s="245" t="n"/>
      <c r="V556" s="245" t="n"/>
      <c r="W556" s="245" t="n"/>
      <c r="X556" s="245" t="n"/>
      <c r="Y556" s="245" t="n"/>
      <c r="Z556" s="245" t="n"/>
    </row>
    <row r="557" ht="16.5" customHeight="1" s="202">
      <c r="A557" s="245" t="n"/>
      <c r="B557" s="245" t="n"/>
      <c r="C557" s="245" t="n"/>
      <c r="D557" s="245" t="n"/>
      <c r="E557" s="245" t="n"/>
      <c r="F557" s="245" t="n"/>
      <c r="G557" s="245" t="n"/>
      <c r="H557" s="247" t="n">
        <v>1</v>
      </c>
      <c r="I557" s="245" t="inlineStr"/>
      <c r="J557" s="245" t="inlineStr"/>
      <c r="K557" s="245" t="inlineStr">
        <is>
          <t>SPRING MATTRESSES</t>
        </is>
      </c>
      <c r="L557" s="245" t="inlineStr">
        <is>
          <t>ZU-MSHO2SZI-13K</t>
        </is>
      </c>
      <c r="M557" s="248" t="inlineStr"/>
      <c r="N557" s="245" t="inlineStr">
        <is>
          <t>F.MSH.13K.000.AD</t>
        </is>
      </c>
      <c r="O557" s="245" t="n"/>
      <c r="P557" s="245" t="n"/>
      <c r="Q557" s="250">
        <f>R557/H557</f>
        <v/>
      </c>
      <c r="R557" s="251" t="n">
        <v>118.27</v>
      </c>
      <c r="S557" s="249" t="n">
        <v>17960</v>
      </c>
      <c r="T557" s="252">
        <f>S557*R557</f>
        <v/>
      </c>
      <c r="U557" s="245" t="n"/>
      <c r="V557" s="245" t="n"/>
      <c r="W557" s="245" t="n"/>
      <c r="X557" s="245" t="n"/>
      <c r="Y557" s="245" t="n"/>
      <c r="Z557" s="245" t="n"/>
    </row>
    <row r="558" ht="16.5" customHeight="1" s="202">
      <c r="A558" s="245" t="n"/>
      <c r="B558" s="245" t="n"/>
      <c r="C558" s="245" t="n"/>
      <c r="D558" s="245" t="n"/>
      <c r="E558" s="245" t="n"/>
      <c r="F558" s="245" t="n"/>
      <c r="G558" s="245" t="n"/>
      <c r="H558" s="247" t="n">
        <v>1</v>
      </c>
      <c r="I558" s="245" t="inlineStr"/>
      <c r="J558" s="245" t="inlineStr"/>
      <c r="K558" s="245" t="inlineStr">
        <is>
          <t>SPRING MATTRESSES</t>
        </is>
      </c>
      <c r="L558" s="245" t="inlineStr">
        <is>
          <t>ZU-MSHO2SZI-13Q</t>
        </is>
      </c>
      <c r="M558" s="248" t="inlineStr"/>
      <c r="N558" s="245" t="inlineStr">
        <is>
          <t>F.MSH.13Q.000.AD</t>
        </is>
      </c>
      <c r="O558" s="245" t="n"/>
      <c r="P558" s="245" t="n"/>
      <c r="Q558" s="250">
        <f>R558/H558</f>
        <v/>
      </c>
      <c r="R558" s="251" t="n">
        <v>96.76000000000001</v>
      </c>
      <c r="S558" s="249" t="n">
        <v>17960</v>
      </c>
      <c r="T558" s="252">
        <f>S558*R558</f>
        <v/>
      </c>
      <c r="U558" s="245" t="n"/>
      <c r="V558" s="245" t="n"/>
      <c r="W558" s="245" t="n"/>
      <c r="X558" s="245" t="n"/>
      <c r="Y558" s="245" t="n"/>
      <c r="Z558" s="245" t="n"/>
    </row>
    <row r="559" ht="16.5" customHeight="1" s="202">
      <c r="A559" s="245" t="n"/>
      <c r="B559" s="245" t="n"/>
      <c r="C559" s="245" t="n"/>
      <c r="D559" s="245" t="n"/>
      <c r="E559" s="245" t="n"/>
      <c r="F559" s="245" t="n"/>
      <c r="G559" s="245" t="n"/>
      <c r="H559" s="247" t="n">
        <v>1</v>
      </c>
      <c r="I559" s="245" t="inlineStr"/>
      <c r="J559" s="245" t="inlineStr"/>
      <c r="K559" s="245" t="inlineStr">
        <is>
          <t>FOAM MATTRESSES</t>
        </is>
      </c>
      <c r="L559" s="245" t="inlineStr">
        <is>
          <t>ZU-MFGN1YZI-08S</t>
        </is>
      </c>
      <c r="M559" s="248" t="inlineStr"/>
      <c r="N559" s="245" t="inlineStr">
        <is>
          <t>F.MFG.08S.003.AD</t>
        </is>
      </c>
      <c r="O559" s="245" t="n"/>
      <c r="P559" s="245" t="n"/>
      <c r="Q559" s="250">
        <f>R559/H559</f>
        <v/>
      </c>
      <c r="R559" s="251" t="n">
        <v>66.15000000000001</v>
      </c>
      <c r="S559" s="249" t="n">
        <v>17960</v>
      </c>
      <c r="T559" s="252">
        <f>S559*R559</f>
        <v/>
      </c>
      <c r="U559" s="245" t="n"/>
      <c r="V559" s="245" t="n"/>
      <c r="W559" s="245" t="n"/>
      <c r="X559" s="245" t="n"/>
      <c r="Y559" s="245" t="n"/>
      <c r="Z559" s="245" t="n"/>
    </row>
    <row r="560" ht="16.5" customHeight="1" s="202">
      <c r="A560" s="245" t="n"/>
      <c r="B560" s="245" t="n"/>
      <c r="C560" s="245" t="n"/>
      <c r="D560" s="245" t="n"/>
      <c r="E560" s="245" t="n"/>
      <c r="F560" s="245" t="n"/>
      <c r="G560" s="245" t="n"/>
      <c r="H560" s="247" t="n">
        <v>1</v>
      </c>
      <c r="I560" s="245" t="inlineStr"/>
      <c r="J560" s="245" t="inlineStr"/>
      <c r="K560" s="245" t="inlineStr">
        <is>
          <t>FOAM MATTRESSES</t>
        </is>
      </c>
      <c r="L560" s="245" t="inlineStr">
        <is>
          <t>*SAMPLE*</t>
        </is>
      </c>
      <c r="M560" s="248" t="inlineStr"/>
      <c r="N560" s="245" t="inlineStr">
        <is>
          <t>F.MFM.SAMP</t>
        </is>
      </c>
      <c r="O560" s="245" t="n"/>
      <c r="P560" s="245" t="n"/>
      <c r="Q560" s="250">
        <f>R560/H560</f>
        <v/>
      </c>
      <c r="R560" s="251" t="n">
        <v>34.98</v>
      </c>
      <c r="S560" s="249" t="n">
        <v>17960</v>
      </c>
      <c r="T560" s="252">
        <f>S560*R560</f>
        <v/>
      </c>
      <c r="U560" s="245" t="n"/>
      <c r="V560" s="245" t="n"/>
      <c r="W560" s="245" t="n"/>
      <c r="X560" s="245" t="n"/>
      <c r="Y560" s="245" t="n"/>
      <c r="Z560" s="245" t="n"/>
    </row>
    <row r="561" ht="16.5" customHeight="1" s="202">
      <c r="A561" s="245" t="n"/>
      <c r="B561" s="245" t="n"/>
      <c r="C561" s="245" t="n"/>
      <c r="D561" s="245" t="n"/>
      <c r="E561" s="245" t="n"/>
      <c r="F561" s="245" t="n"/>
      <c r="G561" s="245" t="n"/>
      <c r="H561" s="247" t="n">
        <v>1</v>
      </c>
      <c r="I561" s="245" t="inlineStr"/>
      <c r="J561" s="245" t="inlineStr"/>
      <c r="K561" s="245" t="inlineStr">
        <is>
          <t>FOAM MATTRESSES</t>
        </is>
      </c>
      <c r="L561" s="245" t="inlineStr">
        <is>
          <t>*SAMPLE*</t>
        </is>
      </c>
      <c r="M561" s="248" t="inlineStr"/>
      <c r="N561" s="245" t="inlineStr">
        <is>
          <t>F.MFM.SAMP</t>
        </is>
      </c>
      <c r="O561" s="245" t="n"/>
      <c r="P561" s="245" t="n"/>
      <c r="Q561" s="250">
        <f>R561/H561</f>
        <v/>
      </c>
      <c r="R561" s="251" t="n">
        <v>72.95999999999999</v>
      </c>
      <c r="S561" s="249" t="n">
        <v>17960</v>
      </c>
      <c r="T561" s="252">
        <f>S561*R561</f>
        <v/>
      </c>
      <c r="U561" s="245" t="n"/>
      <c r="V561" s="245" t="n"/>
      <c r="W561" s="245" t="n"/>
      <c r="X561" s="245" t="n"/>
      <c r="Y561" s="245" t="n"/>
      <c r="Z561" s="245" t="n"/>
    </row>
    <row r="562" ht="16.5" customHeight="1" s="202">
      <c r="A562" s="245" t="n"/>
      <c r="B562" s="245" t="n"/>
      <c r="C562" s="245" t="n"/>
      <c r="D562" s="245" t="n"/>
      <c r="E562" s="245" t="n"/>
      <c r="F562" s="245" t="n"/>
      <c r="G562" s="245" t="n"/>
      <c r="H562" s="247" t="n">
        <v>1</v>
      </c>
      <c r="I562" s="245" t="inlineStr"/>
      <c r="J562" s="245" t="inlineStr"/>
      <c r="K562" s="245" t="inlineStr">
        <is>
          <t>FOAM MATTRESSES</t>
        </is>
      </c>
      <c r="L562" s="245" t="inlineStr">
        <is>
          <t>*SAMPLE*</t>
        </is>
      </c>
      <c r="M562" s="248" t="inlineStr"/>
      <c r="N562" s="245" t="inlineStr">
        <is>
          <t>F.MFM.SAMP</t>
        </is>
      </c>
      <c r="O562" s="245" t="n"/>
      <c r="P562" s="245" t="n"/>
      <c r="Q562" s="250">
        <f>R562/H562</f>
        <v/>
      </c>
      <c r="R562" s="251" t="n">
        <v>46.55</v>
      </c>
      <c r="S562" s="249" t="n">
        <v>17960</v>
      </c>
      <c r="T562" s="252">
        <f>S562*R562</f>
        <v/>
      </c>
      <c r="U562" s="245" t="n"/>
      <c r="V562" s="245" t="n"/>
      <c r="W562" s="245" t="n"/>
      <c r="X562" s="245" t="n"/>
      <c r="Y562" s="245" t="n"/>
      <c r="Z562" s="245" t="n"/>
    </row>
    <row r="563" ht="16.5" customHeight="1" s="202">
      <c r="A563" s="245" t="n"/>
      <c r="B563" s="245" t="n"/>
      <c r="C563" s="245" t="n"/>
      <c r="D563" s="245" t="n"/>
      <c r="E563" s="245" t="n"/>
      <c r="F563" s="245" t="n"/>
      <c r="G563" s="245" t="n"/>
      <c r="H563" s="247" t="n">
        <v>1</v>
      </c>
      <c r="I563" s="245" t="inlineStr"/>
      <c r="J563" s="245" t="inlineStr"/>
      <c r="K563" s="245" t="inlineStr">
        <is>
          <t>FOAM MATTRESSES</t>
        </is>
      </c>
      <c r="L563" s="245" t="inlineStr">
        <is>
          <t>*SAMPLE*</t>
        </is>
      </c>
      <c r="M563" s="248" t="inlineStr"/>
      <c r="N563" s="245" t="inlineStr">
        <is>
          <t>F.MFM.SAMP</t>
        </is>
      </c>
      <c r="O563" s="245" t="n"/>
      <c r="P563" s="245" t="n"/>
      <c r="Q563" s="250">
        <f>R563/H563</f>
        <v/>
      </c>
      <c r="R563" s="251" t="n">
        <v>87.81999999999999</v>
      </c>
      <c r="S563" s="249" t="n">
        <v>17960</v>
      </c>
      <c r="T563" s="252">
        <f>S563*R563</f>
        <v/>
      </c>
      <c r="U563" s="245" t="n"/>
      <c r="V563" s="245" t="n"/>
      <c r="W563" s="245" t="n"/>
      <c r="X563" s="245" t="n"/>
      <c r="Y563" s="245" t="n"/>
      <c r="Z563" s="245" t="n"/>
    </row>
    <row r="564" ht="16.5" customHeight="1" s="202">
      <c r="A564" s="245" t="n"/>
      <c r="B564" s="245" t="n"/>
      <c r="C564" s="245" t="n"/>
      <c r="D564" s="245" t="n"/>
      <c r="E564" s="245" t="n"/>
      <c r="F564" s="245" t="n"/>
      <c r="G564" s="245" t="n"/>
      <c r="H564" s="247" t="n">
        <v>1</v>
      </c>
      <c r="I564" s="245" t="inlineStr"/>
      <c r="J564" s="245" t="inlineStr"/>
      <c r="K564" s="245" t="inlineStr">
        <is>
          <t>FOAM MATTRESSES</t>
        </is>
      </c>
      <c r="L564" s="245" t="inlineStr">
        <is>
          <t>*SAMPLE*</t>
        </is>
      </c>
      <c r="M564" s="248" t="inlineStr"/>
      <c r="N564" s="245" t="inlineStr">
        <is>
          <t>F.MFM.SAMP</t>
        </is>
      </c>
      <c r="O564" s="245" t="n"/>
      <c r="P564" s="245" t="n"/>
      <c r="Q564" s="250">
        <f>R564/H564</f>
        <v/>
      </c>
      <c r="R564" s="251" t="n">
        <v>56.58</v>
      </c>
      <c r="S564" s="249" t="n">
        <v>17960</v>
      </c>
      <c r="T564" s="252">
        <f>S564*R564</f>
        <v/>
      </c>
      <c r="U564" s="245" t="n"/>
      <c r="V564" s="245" t="n"/>
      <c r="W564" s="245" t="n"/>
      <c r="X564" s="245" t="n"/>
      <c r="Y564" s="245" t="n"/>
      <c r="Z564" s="245" t="n"/>
    </row>
    <row r="565" ht="16.5" customHeight="1" s="202">
      <c r="A565" s="245" t="n"/>
      <c r="B565" s="245" t="n"/>
      <c r="C565" s="245" t="n"/>
      <c r="D565" s="245" t="n"/>
      <c r="E565" s="245" t="n"/>
      <c r="F565" s="245" t="n"/>
      <c r="G565" s="245" t="n"/>
      <c r="H565" s="247" t="n">
        <v>1</v>
      </c>
      <c r="I565" s="245" t="inlineStr"/>
      <c r="J565" s="245" t="inlineStr"/>
      <c r="K565" s="245" t="inlineStr">
        <is>
          <t>FOAM MATTRESSES</t>
        </is>
      </c>
      <c r="L565" s="245" t="inlineStr">
        <is>
          <t>*SAMPLE*</t>
        </is>
      </c>
      <c r="M565" s="248" t="inlineStr"/>
      <c r="N565" s="245" t="inlineStr">
        <is>
          <t>F.MFM.SAMP</t>
        </is>
      </c>
      <c r="O565" s="245" t="n"/>
      <c r="P565" s="245" t="n"/>
      <c r="Q565" s="250">
        <f>R565/H565</f>
        <v/>
      </c>
      <c r="R565" s="251" t="n">
        <v>117.32</v>
      </c>
      <c r="S565" s="249" t="n">
        <v>17960</v>
      </c>
      <c r="T565" s="252">
        <f>S565*R565</f>
        <v/>
      </c>
      <c r="U565" s="245" t="n"/>
      <c r="V565" s="245" t="n"/>
      <c r="W565" s="245" t="n"/>
      <c r="X565" s="245" t="n"/>
      <c r="Y565" s="245" t="n"/>
      <c r="Z565" s="245" t="n"/>
    </row>
    <row r="566" ht="16.5" customHeight="1" s="202">
      <c r="A566" s="245" t="n"/>
      <c r="B566" s="245" t="n"/>
      <c r="C566" s="245" t="n"/>
      <c r="D566" s="245" t="n"/>
      <c r="E566" s="245" t="n"/>
      <c r="F566" s="245" t="n"/>
      <c r="G566" s="245" t="n"/>
      <c r="H566" s="247" t="n">
        <v>1</v>
      </c>
      <c r="I566" s="245" t="inlineStr"/>
      <c r="J566" s="245" t="inlineStr"/>
      <c r="K566" s="245" t="inlineStr">
        <is>
          <t>FOAM MATTRESSES</t>
        </is>
      </c>
      <c r="L566" s="245" t="inlineStr">
        <is>
          <t>*SAMPLE*</t>
        </is>
      </c>
      <c r="M566" s="248" t="inlineStr"/>
      <c r="N566" s="245" t="inlineStr">
        <is>
          <t>F.MFM.SAMP</t>
        </is>
      </c>
      <c r="O566" s="245" t="n"/>
      <c r="P566" s="245" t="n"/>
      <c r="Q566" s="250">
        <f>R566/H566</f>
        <v/>
      </c>
      <c r="R566" s="251" t="n">
        <v>61.99</v>
      </c>
      <c r="S566" s="249" t="n">
        <v>17960</v>
      </c>
      <c r="T566" s="252">
        <f>S566*R566</f>
        <v/>
      </c>
      <c r="U566" s="245" t="n"/>
      <c r="V566" s="245" t="n"/>
      <c r="W566" s="245" t="n"/>
      <c r="X566" s="245" t="n"/>
      <c r="Y566" s="245" t="n"/>
      <c r="Z566" s="245" t="n"/>
    </row>
    <row r="567" ht="16.5" customHeight="1" s="202">
      <c r="A567" s="245" t="n"/>
      <c r="B567" s="245" t="n"/>
      <c r="C567" s="245" t="n"/>
      <c r="D567" s="245" t="n"/>
      <c r="E567" s="245" t="n"/>
      <c r="F567" s="245" t="n"/>
      <c r="G567" s="245" t="n"/>
      <c r="H567" s="247" t="n">
        <v>1</v>
      </c>
      <c r="I567" s="245" t="inlineStr"/>
      <c r="J567" s="245" t="inlineStr"/>
      <c r="K567" s="245" t="inlineStr">
        <is>
          <t>FOAM MATTRESSES</t>
        </is>
      </c>
      <c r="L567" s="245" t="inlineStr">
        <is>
          <t>GFM-10F</t>
        </is>
      </c>
      <c r="M567" s="248" t="inlineStr"/>
      <c r="N567" s="245" t="inlineStr">
        <is>
          <t>F.MFG.10F.000.BD</t>
        </is>
      </c>
      <c r="O567" s="245" t="n"/>
      <c r="P567" s="245" t="n"/>
      <c r="Q567" s="250">
        <f>R567/H567</f>
        <v/>
      </c>
      <c r="R567" s="251" t="n">
        <v>63.53</v>
      </c>
      <c r="S567" s="249" t="n">
        <v>17960</v>
      </c>
      <c r="T567" s="252">
        <f>S567*R567</f>
        <v/>
      </c>
      <c r="U567" s="245" t="n"/>
      <c r="V567" s="245" t="n"/>
      <c r="W567" s="245" t="n"/>
      <c r="X567" s="245" t="n"/>
      <c r="Y567" s="245" t="n"/>
      <c r="Z567" s="245" t="n"/>
    </row>
    <row r="568" ht="16.5" customHeight="1" s="202">
      <c r="A568" s="245" t="n"/>
      <c r="B568" s="245" t="n"/>
      <c r="C568" s="245" t="n"/>
      <c r="D568" s="245" t="n"/>
      <c r="E568" s="245" t="n"/>
      <c r="F568" s="245" t="n"/>
      <c r="G568" s="245" t="n"/>
      <c r="H568" s="247" t="n">
        <v>1</v>
      </c>
      <c r="I568" s="245" t="inlineStr"/>
      <c r="J568" s="245" t="inlineStr"/>
      <c r="K568" s="245" t="inlineStr">
        <is>
          <t>FOAM MATTRESSES</t>
        </is>
      </c>
      <c r="L568" s="245" t="inlineStr">
        <is>
          <t>GFM-10K</t>
        </is>
      </c>
      <c r="M568" s="248" t="inlineStr"/>
      <c r="N568" s="245" t="inlineStr">
        <is>
          <t>F.MFG.10K.000.BD</t>
        </is>
      </c>
      <c r="O568" s="245" t="n"/>
      <c r="P568" s="245" t="n"/>
      <c r="Q568" s="250">
        <f>R568/H568</f>
        <v/>
      </c>
      <c r="R568" s="251" t="n">
        <v>92.59</v>
      </c>
      <c r="S568" s="249" t="n">
        <v>17960</v>
      </c>
      <c r="T568" s="252">
        <f>S568*R568</f>
        <v/>
      </c>
      <c r="U568" s="245" t="n"/>
      <c r="V568" s="245" t="n"/>
      <c r="W568" s="245" t="n"/>
      <c r="X568" s="245" t="n"/>
      <c r="Y568" s="245" t="n"/>
      <c r="Z568" s="245" t="n"/>
    </row>
    <row r="569" ht="16.5" customHeight="1" s="202">
      <c r="A569" s="245" t="n"/>
      <c r="B569" s="245" t="n"/>
      <c r="C569" s="245" t="n"/>
      <c r="D569" s="245" t="n"/>
      <c r="E569" s="245" t="n"/>
      <c r="F569" s="245" t="n"/>
      <c r="G569" s="245" t="n"/>
      <c r="H569" s="247" t="n">
        <v>1</v>
      </c>
      <c r="I569" s="245" t="inlineStr"/>
      <c r="J569" s="245" t="inlineStr"/>
      <c r="K569" s="245" t="inlineStr">
        <is>
          <t>FOAM MATTRESSES</t>
        </is>
      </c>
      <c r="L569" s="245" t="inlineStr">
        <is>
          <t>GFM-10Q</t>
        </is>
      </c>
      <c r="M569" s="248" t="inlineStr"/>
      <c r="N569" s="245" t="inlineStr">
        <is>
          <t>F.MFG.10Q.000.BD</t>
        </is>
      </c>
      <c r="O569" s="245" t="n"/>
      <c r="P569" s="245" t="n"/>
      <c r="Q569" s="250">
        <f>R569/H569</f>
        <v/>
      </c>
      <c r="R569" s="251" t="n">
        <v>75.42</v>
      </c>
      <c r="S569" s="249" t="n">
        <v>17960</v>
      </c>
      <c r="T569" s="252">
        <f>S569*R569</f>
        <v/>
      </c>
      <c r="U569" s="245" t="n"/>
      <c r="V569" s="245" t="n"/>
      <c r="W569" s="245" t="n"/>
      <c r="X569" s="245" t="n"/>
      <c r="Y569" s="245" t="n"/>
      <c r="Z569" s="245" t="n"/>
    </row>
    <row r="570" ht="16.5" customHeight="1" s="202">
      <c r="A570" s="245" t="n"/>
      <c r="B570" s="245" t="n"/>
      <c r="C570" s="245" t="n"/>
      <c r="D570" s="245" t="n"/>
      <c r="E570" s="245" t="n"/>
      <c r="F570" s="245" t="n"/>
      <c r="G570" s="245" t="n"/>
      <c r="H570" s="247" t="n">
        <v>1</v>
      </c>
      <c r="I570" s="245" t="inlineStr"/>
      <c r="J570" s="245" t="inlineStr"/>
      <c r="K570" s="245" t="inlineStr">
        <is>
          <t>FOAM MATTRESSES</t>
        </is>
      </c>
      <c r="L570" s="245" t="inlineStr">
        <is>
          <t>GFM-10T</t>
        </is>
      </c>
      <c r="M570" s="248" t="inlineStr"/>
      <c r="N570" s="245" t="inlineStr">
        <is>
          <t>F.MFG.10T.000.BD</t>
        </is>
      </c>
      <c r="O570" s="245" t="n"/>
      <c r="P570" s="245" t="n"/>
      <c r="Q570" s="250">
        <f>R570/H570</f>
        <v/>
      </c>
      <c r="R570" s="251" t="n">
        <v>48.09</v>
      </c>
      <c r="S570" s="249" t="n">
        <v>17960</v>
      </c>
      <c r="T570" s="252">
        <f>S570*R570</f>
        <v/>
      </c>
      <c r="U570" s="245" t="n"/>
      <c r="V570" s="245" t="n"/>
      <c r="W570" s="245" t="n"/>
      <c r="X570" s="245" t="n"/>
      <c r="Y570" s="245" t="n"/>
      <c r="Z570" s="245" t="n"/>
    </row>
    <row r="571" ht="16.5" customHeight="1" s="202">
      <c r="A571" s="245" t="n"/>
      <c r="B571" s="245" t="n"/>
      <c r="C571" s="245" t="n"/>
      <c r="D571" s="245" t="n"/>
      <c r="E571" s="245" t="n"/>
      <c r="F571" s="245" t="n"/>
      <c r="G571" s="245" t="n"/>
      <c r="H571" s="247" t="n">
        <v>1</v>
      </c>
      <c r="I571" s="245" t="inlineStr"/>
      <c r="J571" s="245" t="inlineStr"/>
      <c r="K571" s="245" t="inlineStr">
        <is>
          <t>FOAM MATTRESSES</t>
        </is>
      </c>
      <c r="L571" s="245" t="inlineStr">
        <is>
          <t>GFM-12F</t>
        </is>
      </c>
      <c r="M571" s="248" t="inlineStr"/>
      <c r="N571" s="245" t="inlineStr">
        <is>
          <t>F.MFG.12F.000.BD</t>
        </is>
      </c>
      <c r="O571" s="245" t="n"/>
      <c r="P571" s="245" t="n"/>
      <c r="Q571" s="250">
        <f>R571/H571</f>
        <v/>
      </c>
      <c r="R571" s="251" t="n">
        <v>73.37</v>
      </c>
      <c r="S571" s="249" t="n">
        <v>17960</v>
      </c>
      <c r="T571" s="252">
        <f>S571*R571</f>
        <v/>
      </c>
      <c r="U571" s="245" t="n"/>
      <c r="V571" s="245" t="n"/>
      <c r="W571" s="245" t="n"/>
      <c r="X571" s="245" t="n"/>
      <c r="Y571" s="245" t="n"/>
      <c r="Z571" s="245" t="n"/>
    </row>
    <row r="572" ht="16.5" customHeight="1" s="202">
      <c r="A572" s="245" t="n"/>
      <c r="B572" s="245" t="n"/>
      <c r="C572" s="245" t="n"/>
      <c r="D572" s="245" t="n"/>
      <c r="E572" s="245" t="n"/>
      <c r="F572" s="245" t="n"/>
      <c r="G572" s="245" t="n"/>
      <c r="H572" s="247" t="n">
        <v>1</v>
      </c>
      <c r="I572" s="245" t="inlineStr"/>
      <c r="J572" s="245" t="inlineStr"/>
      <c r="K572" s="245" t="inlineStr">
        <is>
          <t>FOAM MATTRESSES</t>
        </is>
      </c>
      <c r="L572" s="245" t="inlineStr">
        <is>
          <t>GFM-12K</t>
        </is>
      </c>
      <c r="M572" s="248" t="inlineStr"/>
      <c r="N572" s="245" t="inlineStr">
        <is>
          <t>F.MFG.12K.000.BD</t>
        </is>
      </c>
      <c r="O572" s="245" t="n"/>
      <c r="P572" s="245" t="n"/>
      <c r="Q572" s="250">
        <f>R572/H572</f>
        <v/>
      </c>
      <c r="R572" s="251" t="n">
        <v>105.47</v>
      </c>
      <c r="S572" s="249" t="n">
        <v>17960</v>
      </c>
      <c r="T572" s="252">
        <f>S572*R572</f>
        <v/>
      </c>
      <c r="U572" s="245" t="n"/>
      <c r="V572" s="245" t="n"/>
      <c r="W572" s="245" t="n"/>
      <c r="X572" s="245" t="n"/>
      <c r="Y572" s="245" t="n"/>
      <c r="Z572" s="245" t="n"/>
    </row>
    <row r="573" ht="16.5" customHeight="1" s="202">
      <c r="A573" s="245" t="n"/>
      <c r="B573" s="245" t="n"/>
      <c r="C573" s="245" t="n"/>
      <c r="D573" s="245" t="n"/>
      <c r="E573" s="245" t="n"/>
      <c r="F573" s="245" t="n"/>
      <c r="G573" s="245" t="n"/>
      <c r="H573" s="247" t="n">
        <v>1</v>
      </c>
      <c r="I573" s="245" t="inlineStr"/>
      <c r="J573" s="245" t="inlineStr"/>
      <c r="K573" s="245" t="inlineStr">
        <is>
          <t>FOAM MATTRESSES</t>
        </is>
      </c>
      <c r="L573" s="245" t="inlineStr">
        <is>
          <t>GFM-12Q</t>
        </is>
      </c>
      <c r="M573" s="248" t="inlineStr"/>
      <c r="N573" s="245" t="inlineStr">
        <is>
          <t>F.MFG.12Q.000.BD</t>
        </is>
      </c>
      <c r="O573" s="245" t="n"/>
      <c r="P573" s="245" t="n"/>
      <c r="Q573" s="250">
        <f>R573/H573</f>
        <v/>
      </c>
      <c r="R573" s="251" t="n">
        <v>85.84999999999999</v>
      </c>
      <c r="S573" s="249" t="n">
        <v>17960</v>
      </c>
      <c r="T573" s="252">
        <f>S573*R573</f>
        <v/>
      </c>
      <c r="U573" s="245" t="n"/>
      <c r="V573" s="245" t="n"/>
      <c r="W573" s="245" t="n"/>
      <c r="X573" s="245" t="n"/>
      <c r="Y573" s="245" t="n"/>
      <c r="Z573" s="245" t="n"/>
    </row>
    <row r="574" ht="16.5" customHeight="1" s="202">
      <c r="A574" s="245" t="n"/>
      <c r="B574" s="245" t="n"/>
      <c r="C574" s="245" t="n"/>
      <c r="D574" s="245" t="n"/>
      <c r="E574" s="245" t="n"/>
      <c r="F574" s="245" t="n"/>
      <c r="G574" s="245" t="n"/>
      <c r="H574" s="247" t="n">
        <v>1</v>
      </c>
      <c r="I574" s="245" t="inlineStr"/>
      <c r="J574" s="245" t="inlineStr"/>
      <c r="K574" s="245" t="inlineStr">
        <is>
          <t>FOAM MATTRESSES</t>
        </is>
      </c>
      <c r="L574" s="245" t="inlineStr">
        <is>
          <t>GFM-12T</t>
        </is>
      </c>
      <c r="M574" s="248" t="inlineStr"/>
      <c r="N574" s="245" t="inlineStr">
        <is>
          <t>F.MFG.12T.000.BD</t>
        </is>
      </c>
      <c r="O574" s="245" t="n"/>
      <c r="P574" s="245" t="n"/>
      <c r="Q574" s="250">
        <f>R574/H574</f>
        <v/>
      </c>
      <c r="R574" s="251" t="n">
        <v>54.81</v>
      </c>
      <c r="S574" s="249" t="n">
        <v>17960</v>
      </c>
      <c r="T574" s="252">
        <f>S574*R574</f>
        <v/>
      </c>
      <c r="U574" s="245" t="n"/>
      <c r="V574" s="245" t="n"/>
      <c r="W574" s="245" t="n"/>
      <c r="X574" s="245" t="n"/>
      <c r="Y574" s="245" t="n"/>
      <c r="Z574" s="245" t="n"/>
    </row>
    <row r="575" ht="16.5" customHeight="1" s="202">
      <c r="A575" s="245" t="n"/>
      <c r="B575" s="245" t="n"/>
      <c r="C575" s="245" t="n"/>
      <c r="D575" s="245" t="n"/>
      <c r="E575" s="245" t="n"/>
      <c r="F575" s="245" t="n"/>
      <c r="G575" s="245" t="n"/>
      <c r="H575" s="247" t="n">
        <v>1</v>
      </c>
      <c r="I575" s="245" t="inlineStr"/>
      <c r="J575" s="245" t="inlineStr"/>
      <c r="K575" s="245" t="inlineStr">
        <is>
          <t>FOAM MATTRESSES</t>
        </is>
      </c>
      <c r="L575" s="245" t="inlineStr">
        <is>
          <t>GFM-5T</t>
        </is>
      </c>
      <c r="M575" s="248" t="inlineStr"/>
      <c r="N575" s="245" t="inlineStr">
        <is>
          <t>F.MFG.05T.000.BD</t>
        </is>
      </c>
      <c r="O575" s="245" t="n"/>
      <c r="P575" s="245" t="n"/>
      <c r="Q575" s="250">
        <f>R575/H575</f>
        <v/>
      </c>
      <c r="R575" s="251" t="n">
        <v>31.76</v>
      </c>
      <c r="S575" s="249" t="n">
        <v>17960</v>
      </c>
      <c r="T575" s="252">
        <f>S575*R575</f>
        <v/>
      </c>
      <c r="U575" s="245" t="n"/>
      <c r="V575" s="245" t="n"/>
      <c r="W575" s="245" t="n"/>
      <c r="X575" s="245" t="n"/>
      <c r="Y575" s="245" t="n"/>
      <c r="Z575" s="245" t="n"/>
    </row>
    <row r="576" ht="16.5" customHeight="1" s="202">
      <c r="A576" s="245" t="n"/>
      <c r="B576" s="245" t="n"/>
      <c r="C576" s="245" t="n"/>
      <c r="D576" s="245" t="n"/>
      <c r="E576" s="245" t="n"/>
      <c r="F576" s="245" t="n"/>
      <c r="G576" s="245" t="n"/>
      <c r="H576" s="247" t="n">
        <v>1</v>
      </c>
      <c r="I576" s="245" t="inlineStr"/>
      <c r="J576" s="245" t="inlineStr"/>
      <c r="K576" s="245" t="inlineStr">
        <is>
          <t>FOAM MATTRESSES</t>
        </is>
      </c>
      <c r="L576" s="245" t="inlineStr">
        <is>
          <t>GFM-6F</t>
        </is>
      </c>
      <c r="M576" s="248" t="inlineStr"/>
      <c r="N576" s="245" t="inlineStr">
        <is>
          <t>F.MFG.06F.000.BD</t>
        </is>
      </c>
      <c r="O576" s="245" t="n"/>
      <c r="P576" s="245" t="n"/>
      <c r="Q576" s="250">
        <f>R576/H576</f>
        <v/>
      </c>
      <c r="R576" s="251" t="n">
        <v>45.03</v>
      </c>
      <c r="S576" s="249" t="n">
        <v>17960</v>
      </c>
      <c r="T576" s="252">
        <f>S576*R576</f>
        <v/>
      </c>
      <c r="U576" s="245" t="n"/>
      <c r="V576" s="245" t="n"/>
      <c r="W576" s="245" t="n"/>
      <c r="X576" s="245" t="n"/>
      <c r="Y576" s="245" t="n"/>
      <c r="Z576" s="245" t="n"/>
    </row>
    <row r="577" ht="16.5" customHeight="1" s="202">
      <c r="A577" s="245" t="n"/>
      <c r="B577" s="245" t="n"/>
      <c r="C577" s="245" t="n"/>
      <c r="D577" s="245" t="n"/>
      <c r="E577" s="245" t="n"/>
      <c r="F577" s="245" t="n"/>
      <c r="G577" s="245" t="n"/>
      <c r="H577" s="247" t="n">
        <v>1</v>
      </c>
      <c r="I577" s="245" t="inlineStr"/>
      <c r="J577" s="245" t="inlineStr"/>
      <c r="K577" s="245" t="inlineStr">
        <is>
          <t>FOAM MATTRESSES</t>
        </is>
      </c>
      <c r="L577" s="245" t="inlineStr">
        <is>
          <t>GFM-6Q</t>
        </is>
      </c>
      <c r="M577" s="248" t="inlineStr"/>
      <c r="N577" s="245" t="inlineStr">
        <is>
          <t>F.MFG.06Q.000.BD</t>
        </is>
      </c>
      <c r="O577" s="245" t="n"/>
      <c r="P577" s="245" t="n"/>
      <c r="Q577" s="250">
        <f>R577/H577</f>
        <v/>
      </c>
      <c r="R577" s="251" t="n">
        <v>53.22</v>
      </c>
      <c r="S577" s="249" t="n">
        <v>17960</v>
      </c>
      <c r="T577" s="252">
        <f>S577*R577</f>
        <v/>
      </c>
      <c r="U577" s="245" t="n"/>
      <c r="V577" s="245" t="n"/>
      <c r="W577" s="245" t="n"/>
      <c r="X577" s="245" t="n"/>
      <c r="Y577" s="245" t="n"/>
      <c r="Z577" s="245" t="n"/>
    </row>
    <row r="578" ht="16.5" customHeight="1" s="202">
      <c r="A578" s="245" t="n"/>
      <c r="B578" s="245" t="n"/>
      <c r="C578" s="245" t="n"/>
      <c r="D578" s="245" t="n"/>
      <c r="E578" s="245" t="n"/>
      <c r="F578" s="245" t="n"/>
      <c r="G578" s="245" t="n"/>
      <c r="H578" s="247" t="n">
        <v>1</v>
      </c>
      <c r="I578" s="245" t="inlineStr"/>
      <c r="J578" s="245" t="inlineStr"/>
      <c r="K578" s="245" t="inlineStr">
        <is>
          <t>FOAM MATTRESSES</t>
        </is>
      </c>
      <c r="L578" s="245" t="inlineStr">
        <is>
          <t>GFM-6T</t>
        </is>
      </c>
      <c r="M578" s="248" t="inlineStr"/>
      <c r="N578" s="245" t="inlineStr">
        <is>
          <t>F.MFG.06T.000.BD</t>
        </is>
      </c>
      <c r="O578" s="245" t="n"/>
      <c r="P578" s="245" t="n"/>
      <c r="Q578" s="250">
        <f>R578/H578</f>
        <v/>
      </c>
      <c r="R578" s="251" t="n">
        <v>33.78</v>
      </c>
      <c r="S578" s="249" t="n">
        <v>17960</v>
      </c>
      <c r="T578" s="252">
        <f>S578*R578</f>
        <v/>
      </c>
      <c r="U578" s="245" t="n"/>
      <c r="V578" s="245" t="n"/>
      <c r="W578" s="245" t="n"/>
      <c r="X578" s="245" t="n"/>
      <c r="Y578" s="245" t="n"/>
      <c r="Z578" s="245" t="n"/>
    </row>
    <row r="579" ht="16.5" customHeight="1" s="202">
      <c r="A579" s="245" t="n"/>
      <c r="B579" s="245" t="n"/>
      <c r="C579" s="245" t="n"/>
      <c r="D579" s="245" t="n"/>
      <c r="E579" s="245" t="n"/>
      <c r="F579" s="245" t="n"/>
      <c r="G579" s="245" t="n"/>
      <c r="H579" s="247" t="n">
        <v>1</v>
      </c>
      <c r="I579" s="245" t="inlineStr"/>
      <c r="J579" s="245" t="inlineStr"/>
      <c r="K579" s="245" t="inlineStr">
        <is>
          <t>FOAM MATTRESSES</t>
        </is>
      </c>
      <c r="L579" s="245" t="inlineStr">
        <is>
          <t>GFM-8F</t>
        </is>
      </c>
      <c r="M579" s="248" t="inlineStr"/>
      <c r="N579" s="245" t="inlineStr">
        <is>
          <t>F.MFG.08F.000.BD</t>
        </is>
      </c>
      <c r="O579" s="245" t="n"/>
      <c r="P579" s="245" t="n"/>
      <c r="Q579" s="250">
        <f>R579/H579</f>
        <v/>
      </c>
      <c r="R579" s="251" t="n">
        <v>54.9</v>
      </c>
      <c r="S579" s="249" t="n">
        <v>17960</v>
      </c>
      <c r="T579" s="252">
        <f>S579*R579</f>
        <v/>
      </c>
      <c r="U579" s="245" t="n"/>
      <c r="V579" s="245" t="n"/>
      <c r="W579" s="245" t="n"/>
      <c r="X579" s="245" t="n"/>
      <c r="Y579" s="245" t="n"/>
      <c r="Z579" s="245" t="n"/>
    </row>
    <row r="580" ht="16.5" customHeight="1" s="202">
      <c r="A580" s="245" t="n"/>
      <c r="B580" s="245" t="n"/>
      <c r="C580" s="245" t="n"/>
      <c r="D580" s="245" t="n"/>
      <c r="E580" s="245" t="n"/>
      <c r="F580" s="245" t="n"/>
      <c r="G580" s="245" t="n"/>
      <c r="H580" s="247" t="n">
        <v>1</v>
      </c>
      <c r="I580" s="245" t="inlineStr"/>
      <c r="J580" s="245" t="inlineStr"/>
      <c r="K580" s="245" t="inlineStr">
        <is>
          <t>FOAM MATTRESSES</t>
        </is>
      </c>
      <c r="L580" s="245" t="inlineStr">
        <is>
          <t>GFM-8Q</t>
        </is>
      </c>
      <c r="M580" s="248" t="inlineStr"/>
      <c r="N580" s="245" t="inlineStr">
        <is>
          <t>F.MFG.08Q.000.BD</t>
        </is>
      </c>
      <c r="O580" s="245" t="n"/>
      <c r="P580" s="245" t="n"/>
      <c r="Q580" s="250">
        <f>R580/H580</f>
        <v/>
      </c>
      <c r="R580" s="251" t="n">
        <v>64.81</v>
      </c>
      <c r="S580" s="249" t="n">
        <v>17960</v>
      </c>
      <c r="T580" s="252">
        <f>S580*R580</f>
        <v/>
      </c>
      <c r="U580" s="245" t="n"/>
      <c r="V580" s="245" t="n"/>
      <c r="W580" s="245" t="n"/>
      <c r="X580" s="245" t="n"/>
      <c r="Y580" s="245" t="n"/>
      <c r="Z580" s="245" t="n"/>
    </row>
    <row r="581" ht="16.5" customHeight="1" s="202">
      <c r="A581" s="245" t="n"/>
      <c r="B581" s="245" t="n"/>
      <c r="C581" s="245" t="n"/>
      <c r="D581" s="245" t="n"/>
      <c r="E581" s="245" t="n"/>
      <c r="F581" s="245" t="n"/>
      <c r="G581" s="245" t="n"/>
      <c r="H581" s="247" t="n">
        <v>1</v>
      </c>
      <c r="I581" s="245" t="inlineStr"/>
      <c r="J581" s="245" t="inlineStr"/>
      <c r="K581" s="245" t="inlineStr">
        <is>
          <t>FOAM MATTRESSES</t>
        </is>
      </c>
      <c r="L581" s="245" t="inlineStr">
        <is>
          <t>GFM-8T</t>
        </is>
      </c>
      <c r="M581" s="248" t="inlineStr"/>
      <c r="N581" s="245" t="inlineStr">
        <is>
          <t>F.MFG.08T.000.BD</t>
        </is>
      </c>
      <c r="O581" s="245" t="n"/>
      <c r="P581" s="245" t="n"/>
      <c r="Q581" s="250">
        <f>R581/H581</f>
        <v/>
      </c>
      <c r="R581" s="251" t="n">
        <v>40.7</v>
      </c>
      <c r="S581" s="249" t="n">
        <v>17960</v>
      </c>
      <c r="T581" s="252">
        <f>S581*R581</f>
        <v/>
      </c>
      <c r="U581" s="245" t="n"/>
      <c r="V581" s="245" t="n"/>
      <c r="W581" s="245" t="n"/>
      <c r="X581" s="245" t="n"/>
      <c r="Y581" s="245" t="n"/>
      <c r="Z581" s="245" t="n"/>
    </row>
    <row r="582" ht="16.5" customHeight="1" s="202">
      <c r="A582" s="245" t="n"/>
      <c r="B582" s="245" t="n"/>
      <c r="C582" s="245" t="n"/>
      <c r="D582" s="245" t="n"/>
      <c r="E582" s="245" t="n"/>
      <c r="F582" s="245" t="n"/>
      <c r="G582" s="245" t="n"/>
      <c r="H582" s="247" t="n">
        <v>4</v>
      </c>
      <c r="I582" s="245" t="inlineStr"/>
      <c r="J582" s="245" t="inlineStr"/>
      <c r="K582" s="245" t="inlineStr">
        <is>
          <t>TOPPERS</t>
        </is>
      </c>
      <c r="L582" s="245" t="inlineStr">
        <is>
          <t>MF-TGTNM4ZI-04T</t>
        </is>
      </c>
      <c r="M582" s="248" t="inlineStr"/>
      <c r="N582" s="245" t="inlineStr">
        <is>
          <t>F.TGT.04T.002.ZU</t>
        </is>
      </c>
      <c r="O582" s="245" t="n"/>
      <c r="P582" s="245" t="n"/>
      <c r="Q582" s="250">
        <f>R582/H582</f>
        <v/>
      </c>
      <c r="R582" s="251" t="n">
        <v>134.24</v>
      </c>
      <c r="S582" s="249" t="n">
        <v>17960</v>
      </c>
      <c r="T582" s="252">
        <f>S582*R582</f>
        <v/>
      </c>
      <c r="U582" s="245" t="n"/>
      <c r="V582" s="245" t="n"/>
      <c r="W582" s="245" t="n"/>
      <c r="X582" s="245" t="n"/>
      <c r="Y582" s="245" t="n"/>
      <c r="Z582" s="245" t="n"/>
    </row>
    <row r="583" ht="17.1" customHeight="1" s="202">
      <c r="A583" s="253" t="n"/>
      <c r="B583" s="253" t="n"/>
      <c r="C583" s="253" t="n"/>
      <c r="D583" s="253" t="n"/>
      <c r="E583" s="253" t="n"/>
      <c r="F583" s="253" t="n"/>
      <c r="G583" s="253" t="n"/>
      <c r="H583" s="254">
        <f>SUM(H548:H582)</f>
        <v/>
      </c>
      <c r="I583" s="253">
        <f>COUNTA(I548:I582)</f>
        <v/>
      </c>
      <c r="J583" s="253" t="n"/>
      <c r="K583" s="253" t="n"/>
      <c r="L583" s="253" t="n"/>
      <c r="M583" s="253" t="n"/>
      <c r="N583" s="253" t="n"/>
      <c r="O583" s="255">
        <f>SUM(O548:O582)</f>
        <v/>
      </c>
      <c r="P583" s="255">
        <f>SUM(P548:P582)</f>
        <v/>
      </c>
      <c r="Q583" s="253" t="n"/>
      <c r="R583" s="256">
        <f>SUM(R548:R582)</f>
        <v/>
      </c>
      <c r="S583" s="253" t="n"/>
      <c r="T583" s="257">
        <f>SUM(T548:T582)</f>
        <v/>
      </c>
      <c r="U583" s="253" t="n"/>
      <c r="V583" s="253" t="n"/>
      <c r="W583" s="253" t="n"/>
      <c r="X583" s="253" t="n"/>
      <c r="Y583" s="253" t="n"/>
      <c r="Z583" s="253" t="n"/>
    </row>
    <row r="584" ht="16.5" customHeight="1" s="202">
      <c r="A584" s="245" t="n">
        <v>65</v>
      </c>
      <c r="B584" s="245" t="inlineStr">
        <is>
          <t>000030ZIK48020260814000633</t>
        </is>
      </c>
      <c r="C584" s="245" t="n">
        <v>516647</v>
      </c>
      <c r="D584" s="245" t="n">
        <v>516603</v>
      </c>
      <c r="E584" s="246" t="n">
        <v>46252</v>
      </c>
      <c r="F584" s="245" t="inlineStr">
        <is>
          <t>ID2608-8140</t>
        </is>
      </c>
      <c r="G584" s="246" t="n">
        <v>46248</v>
      </c>
      <c r="H584" s="247" t="n">
        <v>450</v>
      </c>
      <c r="I584" s="245" t="inlineStr">
        <is>
          <t>ONEU5369934</t>
        </is>
      </c>
      <c r="J584" s="245" t="inlineStr">
        <is>
          <t>40FT</t>
        </is>
      </c>
      <c r="K584" s="245" t="inlineStr">
        <is>
          <t>8IN GREEN TEA MF MATTRESS QN</t>
        </is>
      </c>
      <c r="L584" s="245" t="inlineStr">
        <is>
          <t>SCF-STR-800Q</t>
        </is>
      </c>
      <c r="M584" s="248" t="inlineStr">
        <is>
          <t>0993630487</t>
        </is>
      </c>
      <c r="N584" s="245" t="inlineStr">
        <is>
          <t>F.MFM.08Q.000.WS</t>
        </is>
      </c>
      <c r="O584" s="249" t="n">
        <v>10755</v>
      </c>
      <c r="P584" s="249" t="n">
        <v>9594</v>
      </c>
      <c r="Q584" s="250">
        <f>R584/H584</f>
        <v/>
      </c>
      <c r="R584" s="251" t="n">
        <v>42286.5</v>
      </c>
      <c r="S584" s="249" t="n">
        <v>17960</v>
      </c>
      <c r="T584" s="252">
        <f>S584*R584</f>
        <v/>
      </c>
      <c r="U584" s="245" t="inlineStr">
        <is>
          <t>040300/KPPBC</t>
        </is>
      </c>
      <c r="V584" s="245" t="inlineStr">
        <is>
          <t>TG. PRIOK</t>
        </is>
      </c>
      <c r="W584" s="245" t="inlineStr">
        <is>
          <t>CHARLESTON, US</t>
        </is>
      </c>
      <c r="X584" s="245" t="inlineStr">
        <is>
          <t>WALMART, INC.</t>
        </is>
      </c>
      <c r="Y584" s="245" t="inlineStr">
        <is>
          <t>ONEYJKTG65320401</t>
        </is>
      </c>
      <c r="Z584" s="246" t="n">
        <v>46252</v>
      </c>
    </row>
    <row r="585" ht="16.5" customHeight="1" s="202">
      <c r="A585" s="245" t="n"/>
      <c r="B585" s="245" t="n"/>
      <c r="C585" s="245" t="n"/>
      <c r="D585" s="245" t="n"/>
      <c r="E585" s="245" t="n"/>
      <c r="F585" s="245" t="n"/>
      <c r="G585" s="245" t="n"/>
      <c r="H585" s="245" t="n"/>
      <c r="I585" s="245" t="n"/>
      <c r="J585" s="245" t="n"/>
      <c r="K585" s="245" t="n"/>
      <c r="L585" s="245" t="n"/>
      <c r="M585" s="245" t="n"/>
      <c r="N585" s="245" t="n"/>
      <c r="O585" s="245" t="n"/>
      <c r="P585" s="245" t="n"/>
      <c r="Q585" s="245" t="n"/>
      <c r="R585" s="245" t="n"/>
      <c r="S585" s="245" t="n"/>
      <c r="T585" s="245" t="n"/>
      <c r="U585" s="245" t="n"/>
      <c r="V585" s="245" t="n"/>
      <c r="W585" s="245" t="inlineStr">
        <is>
          <t>ETD : 23-08-2026</t>
        </is>
      </c>
      <c r="X585" s="245" t="n"/>
      <c r="Y585" s="245" t="n"/>
      <c r="Z585" s="245" t="n"/>
    </row>
    <row r="586" ht="17.1" customHeight="1" s="202">
      <c r="A586" s="253" t="n"/>
      <c r="B586" s="253" t="n"/>
      <c r="C586" s="253" t="n"/>
      <c r="D586" s="253" t="n"/>
      <c r="E586" s="253" t="n"/>
      <c r="F586" s="253" t="n"/>
      <c r="G586" s="253" t="n"/>
      <c r="H586" s="254">
        <f>SUM(H584:H585)</f>
        <v/>
      </c>
      <c r="I586" s="253">
        <f>COUNTA(I584:I585)</f>
        <v/>
      </c>
      <c r="J586" s="253" t="n"/>
      <c r="K586" s="253" t="n"/>
      <c r="L586" s="253" t="n"/>
      <c r="M586" s="253" t="n"/>
      <c r="N586" s="253" t="n"/>
      <c r="O586" s="255">
        <f>SUM(O584:O585)</f>
        <v/>
      </c>
      <c r="P586" s="255">
        <f>SUM(P584:P585)</f>
        <v/>
      </c>
      <c r="Q586" s="253" t="n"/>
      <c r="R586" s="256">
        <f>SUM(R584:R585)</f>
        <v/>
      </c>
      <c r="S586" s="253" t="n"/>
      <c r="T586" s="257">
        <f>SUM(T584:T585)</f>
        <v/>
      </c>
      <c r="U586" s="253" t="n"/>
      <c r="V586" s="253" t="n"/>
      <c r="W586" s="253" t="n"/>
      <c r="X586" s="253" t="n"/>
      <c r="Y586" s="253" t="n"/>
      <c r="Z586" s="253" t="n"/>
    </row>
    <row r="587" ht="16.5" customHeight="1" s="202">
      <c r="A587" s="245" t="n">
        <v>66</v>
      </c>
      <c r="B587" s="245" t="inlineStr">
        <is>
          <t>000030ZIK48020260814000634</t>
        </is>
      </c>
      <c r="C587" s="245" t="n">
        <v>516657</v>
      </c>
      <c r="D587" s="245" t="n">
        <v>516613</v>
      </c>
      <c r="E587" s="246" t="n">
        <v>46252</v>
      </c>
      <c r="F587" s="245" t="inlineStr">
        <is>
          <t>ID2608-8141</t>
        </is>
      </c>
      <c r="G587" s="246" t="n">
        <v>46248</v>
      </c>
      <c r="H587" s="247" t="n">
        <v>1040</v>
      </c>
      <c r="I587" s="245" t="inlineStr">
        <is>
          <t>NYKU5194145</t>
        </is>
      </c>
      <c r="J587" s="245" t="inlineStr">
        <is>
          <t>40FT</t>
        </is>
      </c>
      <c r="K587" s="245" t="inlineStr">
        <is>
          <t>8IN GREEN TEA MF MATTRESS FL</t>
        </is>
      </c>
      <c r="L587" s="245" t="inlineStr">
        <is>
          <t>SCF-STR-800F</t>
        </is>
      </c>
      <c r="M587" s="248" t="inlineStr">
        <is>
          <t>0993630699</t>
        </is>
      </c>
      <c r="N587" s="245" t="inlineStr">
        <is>
          <t>F.MFM.08F.000.WS</t>
        </is>
      </c>
      <c r="O587" s="249" t="n">
        <v>21236.8</v>
      </c>
      <c r="P587" s="249" t="n">
        <v>18740.8</v>
      </c>
      <c r="Q587" s="250">
        <f>R587/H587</f>
        <v/>
      </c>
      <c r="R587" s="251" t="n">
        <v>82960.8</v>
      </c>
      <c r="S587" s="249" t="n">
        <v>17960</v>
      </c>
      <c r="T587" s="252">
        <f>S587*R587</f>
        <v/>
      </c>
      <c r="U587" s="245" t="inlineStr">
        <is>
          <t>040300/KPPBC</t>
        </is>
      </c>
      <c r="V587" s="245" t="inlineStr">
        <is>
          <t>TG. PRIOK</t>
        </is>
      </c>
      <c r="W587" s="245" t="inlineStr">
        <is>
          <t>CHARLESTON, US</t>
        </is>
      </c>
      <c r="X587" s="245" t="inlineStr">
        <is>
          <t>WALMART, INC.</t>
        </is>
      </c>
      <c r="Y587" s="245" t="inlineStr">
        <is>
          <t>ONEYJKTG65320402</t>
        </is>
      </c>
      <c r="Z587" s="246" t="n">
        <v>46252</v>
      </c>
    </row>
    <row r="588" ht="16.5" customHeight="1" s="202">
      <c r="A588" s="245" t="n"/>
      <c r="B588" s="245" t="n"/>
      <c r="C588" s="245" t="n"/>
      <c r="D588" s="245" t="n"/>
      <c r="E588" s="245" t="n"/>
      <c r="F588" s="245" t="n"/>
      <c r="G588" s="245" t="n"/>
      <c r="H588" s="245" t="n"/>
      <c r="I588" s="245" t="inlineStr">
        <is>
          <t>TRHU5608353</t>
        </is>
      </c>
      <c r="J588" s="245" t="inlineStr">
        <is>
          <t>40FT</t>
        </is>
      </c>
      <c r="K588" s="245" t="n"/>
      <c r="L588" s="245" t="n"/>
      <c r="M588" s="245" t="n"/>
      <c r="N588" s="245" t="n"/>
      <c r="O588" s="245" t="n"/>
      <c r="P588" s="245" t="n"/>
      <c r="Q588" s="245" t="n"/>
      <c r="R588" s="245" t="n"/>
      <c r="S588" s="245" t="n"/>
      <c r="T588" s="245" t="n"/>
      <c r="U588" s="245" t="n"/>
      <c r="V588" s="245" t="n"/>
      <c r="W588" s="245" t="inlineStr">
        <is>
          <t>ETD : 23-08-2026</t>
        </is>
      </c>
      <c r="X588" s="245" t="n"/>
      <c r="Y588" s="245" t="n"/>
      <c r="Z588" s="245" t="n"/>
    </row>
    <row r="589" ht="17.1" customHeight="1" s="202">
      <c r="A589" s="253" t="n"/>
      <c r="B589" s="253" t="n"/>
      <c r="C589" s="253" t="n"/>
      <c r="D589" s="253" t="n"/>
      <c r="E589" s="253" t="n"/>
      <c r="F589" s="253" t="n"/>
      <c r="G589" s="253" t="n"/>
      <c r="H589" s="254">
        <f>SUM(H587:H588)</f>
        <v/>
      </c>
      <c r="I589" s="253">
        <f>COUNTA(I587:I588)</f>
        <v/>
      </c>
      <c r="J589" s="253" t="n"/>
      <c r="K589" s="253" t="n"/>
      <c r="L589" s="253" t="n"/>
      <c r="M589" s="253" t="n"/>
      <c r="N589" s="253" t="n"/>
      <c r="O589" s="255">
        <f>SUM(O587:O588)</f>
        <v/>
      </c>
      <c r="P589" s="255">
        <f>SUM(P587:P588)</f>
        <v/>
      </c>
      <c r="Q589" s="253" t="n"/>
      <c r="R589" s="256">
        <f>SUM(R587:R588)</f>
        <v/>
      </c>
      <c r="S589" s="253" t="n"/>
      <c r="T589" s="257">
        <f>SUM(T587:T588)</f>
        <v/>
      </c>
      <c r="U589" s="253" t="n"/>
      <c r="V589" s="253" t="n"/>
      <c r="W589" s="253" t="n"/>
      <c r="X589" s="253" t="n"/>
      <c r="Y589" s="253" t="n"/>
      <c r="Z589" s="253" t="n"/>
    </row>
    <row r="590" ht="16.5" customHeight="1" s="202">
      <c r="A590" s="245" t="n">
        <v>67</v>
      </c>
      <c r="B590" s="245" t="inlineStr">
        <is>
          <t>000030ZIK48020260814000635</t>
        </is>
      </c>
      <c r="C590" s="245" t="n">
        <v>516670</v>
      </c>
      <c r="D590" s="245" t="n">
        <v>516626</v>
      </c>
      <c r="E590" s="246" t="n">
        <v>46252</v>
      </c>
      <c r="F590" s="245" t="inlineStr">
        <is>
          <t>ID2608-8142</t>
        </is>
      </c>
      <c r="G590" s="246" t="n">
        <v>46248</v>
      </c>
      <c r="H590" s="247" t="n">
        <v>1386</v>
      </c>
      <c r="I590" s="245" t="inlineStr">
        <is>
          <t>KKFU7845733</t>
        </is>
      </c>
      <c r="J590" s="245" t="inlineStr">
        <is>
          <t>40FT</t>
        </is>
      </c>
      <c r="K590" s="245" t="inlineStr">
        <is>
          <t>8IN GREEN TEA MF MATTRESS TW</t>
        </is>
      </c>
      <c r="L590" s="245" t="inlineStr">
        <is>
          <t>SCF-STR-800T</t>
        </is>
      </c>
      <c r="M590" s="248" t="inlineStr">
        <is>
          <t>0993631159</t>
        </is>
      </c>
      <c r="N590" s="245" t="inlineStr">
        <is>
          <t>F.MFM.08T.000.WS</t>
        </is>
      </c>
      <c r="O590" s="249" t="n">
        <v>21053.34</v>
      </c>
      <c r="P590" s="249" t="n">
        <v>18281.34</v>
      </c>
      <c r="Q590" s="250">
        <f>R590/H590</f>
        <v/>
      </c>
      <c r="R590" s="251" t="n">
        <v>85239</v>
      </c>
      <c r="S590" s="249" t="n">
        <v>17960</v>
      </c>
      <c r="T590" s="252">
        <f>S590*R590</f>
        <v/>
      </c>
      <c r="U590" s="245" t="inlineStr">
        <is>
          <t>040300/KPPBC</t>
        </is>
      </c>
      <c r="V590" s="245" t="inlineStr">
        <is>
          <t>TG. PRIOK</t>
        </is>
      </c>
      <c r="W590" s="245" t="inlineStr">
        <is>
          <t>CHARLESTON, US</t>
        </is>
      </c>
      <c r="X590" s="245" t="inlineStr">
        <is>
          <t>WALMART, INC.</t>
        </is>
      </c>
      <c r="Y590" s="245" t="inlineStr">
        <is>
          <t>ONEYJKTG65320400</t>
        </is>
      </c>
      <c r="Z590" s="246" t="n">
        <v>46252</v>
      </c>
    </row>
    <row r="591" ht="16.5" customHeight="1" s="202">
      <c r="A591" s="245" t="n"/>
      <c r="B591" s="245" t="n"/>
      <c r="C591" s="245" t="n"/>
      <c r="D591" s="245" t="n"/>
      <c r="E591" s="245" t="n"/>
      <c r="F591" s="245" t="n"/>
      <c r="G591" s="245" t="n"/>
      <c r="H591" s="245" t="n"/>
      <c r="I591" s="245" t="inlineStr">
        <is>
          <t>FCIU7122696</t>
        </is>
      </c>
      <c r="J591" s="245" t="inlineStr">
        <is>
          <t>40FT</t>
        </is>
      </c>
      <c r="K591" s="245" t="n"/>
      <c r="L591" s="245" t="n"/>
      <c r="M591" s="245" t="n"/>
      <c r="N591" s="245" t="n"/>
      <c r="O591" s="245" t="n"/>
      <c r="P591" s="245" t="n"/>
      <c r="Q591" s="245" t="n"/>
      <c r="R591" s="245" t="n"/>
      <c r="S591" s="245" t="n"/>
      <c r="T591" s="245" t="n"/>
      <c r="U591" s="245" t="n"/>
      <c r="V591" s="245" t="n"/>
      <c r="W591" s="245" t="inlineStr">
        <is>
          <t>ETD : 23-08-2026</t>
        </is>
      </c>
      <c r="X591" s="245" t="n"/>
      <c r="Y591" s="245" t="n"/>
      <c r="Z591" s="245" t="n"/>
    </row>
    <row r="592" ht="17.1" customHeight="1" s="202">
      <c r="A592" s="253" t="n"/>
      <c r="B592" s="253" t="n"/>
      <c r="C592" s="253" t="n"/>
      <c r="D592" s="253" t="n"/>
      <c r="E592" s="253" t="n"/>
      <c r="F592" s="253" t="n"/>
      <c r="G592" s="253" t="n"/>
      <c r="H592" s="254">
        <f>SUM(H590:H591)</f>
        <v/>
      </c>
      <c r="I592" s="253">
        <f>COUNTA(I590:I591)</f>
        <v/>
      </c>
      <c r="J592" s="253" t="n"/>
      <c r="K592" s="253" t="n"/>
      <c r="L592" s="253" t="n"/>
      <c r="M592" s="253" t="n"/>
      <c r="N592" s="253" t="n"/>
      <c r="O592" s="255">
        <f>SUM(O590:O591)</f>
        <v/>
      </c>
      <c r="P592" s="255">
        <f>SUM(P590:P591)</f>
        <v/>
      </c>
      <c r="Q592" s="253" t="n"/>
      <c r="R592" s="256">
        <f>SUM(R590:R591)</f>
        <v/>
      </c>
      <c r="S592" s="253" t="n"/>
      <c r="T592" s="257">
        <f>SUM(T590:T591)</f>
        <v/>
      </c>
      <c r="U592" s="253" t="n"/>
      <c r="V592" s="253" t="n"/>
      <c r="W592" s="253" t="n"/>
      <c r="X592" s="253" t="n"/>
      <c r="Y592" s="253" t="n"/>
      <c r="Z592" s="253" t="n"/>
    </row>
    <row r="593" ht="16.5" customHeight="1" s="202">
      <c r="A593" s="245" t="n">
        <v>68</v>
      </c>
      <c r="B593" s="245" t="inlineStr">
        <is>
          <t>000030ZIK48020260814000636</t>
        </is>
      </c>
      <c r="C593" s="245" t="n">
        <v>516681</v>
      </c>
      <c r="D593" s="245" t="n">
        <v>516637</v>
      </c>
      <c r="E593" s="246" t="n">
        <v>46252</v>
      </c>
      <c r="F593" s="245" t="inlineStr">
        <is>
          <t>ID2607-7985</t>
        </is>
      </c>
      <c r="G593" s="246" t="n">
        <v>46234</v>
      </c>
      <c r="H593" s="247" t="n">
        <v>1</v>
      </c>
      <c r="I593" s="245" t="inlineStr">
        <is>
          <t>MRSU3598361</t>
        </is>
      </c>
      <c r="J593" s="245" t="inlineStr">
        <is>
          <t>40FT</t>
        </is>
      </c>
      <c r="K593" s="245" t="inlineStr">
        <is>
          <t>6IN MYGEL FOAM MATTRESS FL</t>
        </is>
      </c>
      <c r="L593" s="245" t="inlineStr">
        <is>
          <t>ZU-MFGN1YZI-06F</t>
        </is>
      </c>
      <c r="M593" s="248" t="inlineStr">
        <is>
          <t>25GARWBY</t>
        </is>
      </c>
      <c r="N593" s="245" t="inlineStr">
        <is>
          <t>F.MFG.06F.002.AD</t>
        </is>
      </c>
      <c r="O593" s="249" t="n">
        <v>49426.16</v>
      </c>
      <c r="P593" s="249" t="n">
        <v>44961.17</v>
      </c>
      <c r="Q593" s="250">
        <f>R593/H593</f>
        <v/>
      </c>
      <c r="R593" s="251" t="n">
        <v>38.93</v>
      </c>
      <c r="S593" s="249" t="n">
        <v>17960</v>
      </c>
      <c r="T593" s="252">
        <f>S593*R593</f>
        <v/>
      </c>
      <c r="U593" s="245" t="inlineStr">
        <is>
          <t>040300/KPPBC</t>
        </is>
      </c>
      <c r="V593" s="245" t="inlineStr">
        <is>
          <t>TG. PRIOK</t>
        </is>
      </c>
      <c r="W593" s="245" t="inlineStr">
        <is>
          <t>NEWARK, US</t>
        </is>
      </c>
      <c r="X593" s="245" t="inlineStr">
        <is>
          <t>AMAZON.COM SERVICES LLC</t>
        </is>
      </c>
      <c r="Y593" s="245" t="inlineStr">
        <is>
          <t>MAEU274523784</t>
        </is>
      </c>
      <c r="Z593" s="246" t="n">
        <v>46252</v>
      </c>
    </row>
    <row r="594" ht="16.5" customHeight="1" s="202">
      <c r="A594" s="245" t="n"/>
      <c r="B594" s="245" t="n"/>
      <c r="C594" s="245" t="n"/>
      <c r="D594" s="245" t="n"/>
      <c r="E594" s="245" t="n"/>
      <c r="F594" s="245" t="n"/>
      <c r="G594" s="245" t="n"/>
      <c r="H594" s="247" t="n">
        <v>1</v>
      </c>
      <c r="I594" s="245" t="inlineStr">
        <is>
          <t>MRKU3775211</t>
        </is>
      </c>
      <c r="J594" s="245" t="inlineStr">
        <is>
          <t>40FT</t>
        </is>
      </c>
      <c r="K594" s="245" t="inlineStr">
        <is>
          <t>10IN GREEN TEA MF MATTRESS FL</t>
        </is>
      </c>
      <c r="L594" s="245" t="inlineStr">
        <is>
          <t>ZU-MFMA1FZI-10F</t>
        </is>
      </c>
      <c r="M594" s="248" t="inlineStr">
        <is>
          <t>25GARWBY</t>
        </is>
      </c>
      <c r="N594" s="245" t="inlineStr">
        <is>
          <t>F.MFM.10F.009.AD</t>
        </is>
      </c>
      <c r="O594" s="245" t="n"/>
      <c r="P594" s="245" t="n"/>
      <c r="Q594" s="250">
        <f>R594/H594</f>
        <v/>
      </c>
      <c r="R594" s="251" t="n">
        <v>65.25</v>
      </c>
      <c r="S594" s="249" t="n">
        <v>17960</v>
      </c>
      <c r="T594" s="252">
        <f>S594*R594</f>
        <v/>
      </c>
      <c r="U594" s="245" t="n"/>
      <c r="V594" s="245" t="n"/>
      <c r="W594" s="245" t="inlineStr">
        <is>
          <t>ETD : 22-08-2026</t>
        </is>
      </c>
      <c r="X594" s="245" t="n"/>
      <c r="Y594" s="245" t="n"/>
      <c r="Z594" s="245" t="n"/>
    </row>
    <row r="595" ht="16.5" customHeight="1" s="202">
      <c r="A595" s="245" t="n"/>
      <c r="B595" s="245" t="n"/>
      <c r="C595" s="245" t="n"/>
      <c r="D595" s="245" t="n"/>
      <c r="E595" s="245" t="n"/>
      <c r="F595" s="245" t="n"/>
      <c r="G595" s="245" t="n"/>
      <c r="H595" s="247" t="n">
        <v>418</v>
      </c>
      <c r="I595" s="245" t="inlineStr">
        <is>
          <t>TCNU1118930</t>
        </is>
      </c>
      <c r="J595" s="245" t="inlineStr">
        <is>
          <t>40FT</t>
        </is>
      </c>
      <c r="K595" s="245" t="inlineStr">
        <is>
          <t>12IN AIRFLOW GEL FOAM MATT QN</t>
        </is>
      </c>
      <c r="L595" s="245" t="inlineStr">
        <is>
          <t>ZU-MFMA1RZI-12Q</t>
        </is>
      </c>
      <c r="M595" s="248" t="inlineStr">
        <is>
          <t>25GARWBY</t>
        </is>
      </c>
      <c r="N595" s="245" t="inlineStr">
        <is>
          <t>F.MFM.12Q.011.AD</t>
        </is>
      </c>
      <c r="O595" s="245" t="n"/>
      <c r="P595" s="245" t="n"/>
      <c r="Q595" s="250">
        <f>R595/H595</f>
        <v/>
      </c>
      <c r="R595" s="251" t="n">
        <v>28244.26</v>
      </c>
      <c r="S595" s="249" t="n">
        <v>17960</v>
      </c>
      <c r="T595" s="252">
        <f>S595*R595</f>
        <v/>
      </c>
      <c r="U595" s="245" t="n"/>
      <c r="V595" s="245" t="n"/>
      <c r="W595" s="245" t="n"/>
      <c r="X595" s="245" t="n"/>
      <c r="Y595" s="245" t="n"/>
      <c r="Z595" s="245" t="n"/>
    </row>
    <row r="596" ht="16.5" customHeight="1" s="202">
      <c r="A596" s="245" t="n"/>
      <c r="B596" s="245" t="n"/>
      <c r="C596" s="245" t="n"/>
      <c r="D596" s="245" t="n"/>
      <c r="E596" s="245" t="n"/>
      <c r="F596" s="245" t="n"/>
      <c r="G596" s="245" t="n"/>
      <c r="H596" s="247" t="n">
        <v>24</v>
      </c>
      <c r="I596" s="245" t="inlineStr">
        <is>
          <t>TRHU5026579</t>
        </is>
      </c>
      <c r="J596" s="245" t="inlineStr">
        <is>
          <t>40FT</t>
        </is>
      </c>
      <c r="K596" s="245" t="inlineStr">
        <is>
          <t>6IN GREEN TEA MF MATTRESS QN</t>
        </is>
      </c>
      <c r="L596" s="245" t="inlineStr">
        <is>
          <t>ZU-MFMA1ZZI-06Q</t>
        </is>
      </c>
      <c r="M596" s="248" t="inlineStr">
        <is>
          <t>25GARWBY</t>
        </is>
      </c>
      <c r="N596" s="245" t="inlineStr">
        <is>
          <t>F.MFM.06Q.007.AD</t>
        </is>
      </c>
      <c r="O596" s="245" t="n"/>
      <c r="P596" s="245" t="n"/>
      <c r="Q596" s="250">
        <f>R596/H596</f>
        <v/>
      </c>
      <c r="R596" s="251" t="n">
        <v>1092.24</v>
      </c>
      <c r="S596" s="249" t="n">
        <v>17960</v>
      </c>
      <c r="T596" s="252">
        <f>S596*R596</f>
        <v/>
      </c>
      <c r="U596" s="245" t="n"/>
      <c r="V596" s="245" t="n"/>
      <c r="W596" s="245" t="n"/>
      <c r="X596" s="245" t="n"/>
      <c r="Y596" s="245" t="n"/>
      <c r="Z596" s="245" t="n"/>
    </row>
    <row r="597" ht="16.5" customHeight="1" s="202">
      <c r="A597" s="245" t="n"/>
      <c r="B597" s="245" t="n"/>
      <c r="C597" s="245" t="n"/>
      <c r="D597" s="245" t="n"/>
      <c r="E597" s="245" t="n"/>
      <c r="F597" s="245" t="n"/>
      <c r="G597" s="245" t="n"/>
      <c r="H597" s="247" t="n">
        <v>4</v>
      </c>
      <c r="I597" s="245" t="inlineStr"/>
      <c r="J597" s="245" t="inlineStr"/>
      <c r="K597" s="245" t="inlineStr">
        <is>
          <t>10IN GREEN TEA MF MATTRESS FL</t>
        </is>
      </c>
      <c r="L597" s="245" t="inlineStr">
        <is>
          <t>ZU-MFMA1ZZI-10F</t>
        </is>
      </c>
      <c r="M597" s="248" t="inlineStr">
        <is>
          <t>25GARWBY</t>
        </is>
      </c>
      <c r="N597" s="245" t="inlineStr">
        <is>
          <t>F.MFM.10F.007.AD</t>
        </is>
      </c>
      <c r="O597" s="245" t="n"/>
      <c r="P597" s="245" t="n"/>
      <c r="Q597" s="250">
        <f>R597/H597</f>
        <v/>
      </c>
      <c r="R597" s="251" t="n">
        <v>248.24</v>
      </c>
      <c r="S597" s="249" t="n">
        <v>17960</v>
      </c>
      <c r="T597" s="252">
        <f>S597*R597</f>
        <v/>
      </c>
      <c r="U597" s="245" t="n"/>
      <c r="V597" s="245" t="n"/>
      <c r="W597" s="245" t="n"/>
      <c r="X597" s="245" t="n"/>
      <c r="Y597" s="245" t="n"/>
      <c r="Z597" s="245" t="n"/>
    </row>
    <row r="598" ht="16.5" customHeight="1" s="202">
      <c r="A598" s="245" t="n"/>
      <c r="B598" s="245" t="n"/>
      <c r="C598" s="245" t="n"/>
      <c r="D598" s="245" t="n"/>
      <c r="E598" s="245" t="n"/>
      <c r="F598" s="245" t="n"/>
      <c r="G598" s="245" t="n"/>
      <c r="H598" s="247" t="n">
        <v>2</v>
      </c>
      <c r="I598" s="245" t="inlineStr"/>
      <c r="J598" s="245" t="inlineStr"/>
      <c r="K598" s="245" t="inlineStr">
        <is>
          <t>12IN GREEN TEA MF MATTRESS EK</t>
        </is>
      </c>
      <c r="L598" s="245" t="inlineStr">
        <is>
          <t>ZU-MFMA1ZZI-12K</t>
        </is>
      </c>
      <c r="M598" s="248" t="inlineStr">
        <is>
          <t>25GARWBY</t>
        </is>
      </c>
      <c r="N598" s="245" t="inlineStr">
        <is>
          <t>F.MFM.12K.006.AD</t>
        </is>
      </c>
      <c r="O598" s="245" t="n"/>
      <c r="P598" s="245" t="n"/>
      <c r="Q598" s="250">
        <f>R598/H598</f>
        <v/>
      </c>
      <c r="R598" s="251" t="n">
        <v>203.94</v>
      </c>
      <c r="S598" s="249" t="n">
        <v>17960</v>
      </c>
      <c r="T598" s="252">
        <f>S598*R598</f>
        <v/>
      </c>
      <c r="U598" s="245" t="n"/>
      <c r="V598" s="245" t="n"/>
      <c r="W598" s="245" t="n"/>
      <c r="X598" s="245" t="n"/>
      <c r="Y598" s="245" t="n"/>
      <c r="Z598" s="245" t="n"/>
    </row>
    <row r="599" ht="16.5" customHeight="1" s="202">
      <c r="A599" s="245" t="n"/>
      <c r="B599" s="245" t="n"/>
      <c r="C599" s="245" t="n"/>
      <c r="D599" s="245" t="n"/>
      <c r="E599" s="245" t="n"/>
      <c r="F599" s="245" t="n"/>
      <c r="G599" s="245" t="n"/>
      <c r="H599" s="247" t="n">
        <v>9</v>
      </c>
      <c r="I599" s="245" t="inlineStr"/>
      <c r="J599" s="245" t="inlineStr"/>
      <c r="K599" s="245" t="inlineStr">
        <is>
          <t>6IN OPP HD TW</t>
        </is>
      </c>
      <c r="L599" s="245" t="inlineStr">
        <is>
          <t>ZU-MFMA1OZI-06T</t>
        </is>
      </c>
      <c r="M599" s="248" t="inlineStr">
        <is>
          <t>2L6SSJNU</t>
        </is>
      </c>
      <c r="N599" s="245" t="inlineStr">
        <is>
          <t>F.MFM.06T.008.AD</t>
        </is>
      </c>
      <c r="O599" s="245" t="n"/>
      <c r="P599" s="245" t="n"/>
      <c r="Q599" s="250">
        <f>R599/H599</f>
        <v/>
      </c>
      <c r="R599" s="251" t="n">
        <v>242.55</v>
      </c>
      <c r="S599" s="249" t="n">
        <v>17960</v>
      </c>
      <c r="T599" s="252">
        <f>S599*R599</f>
        <v/>
      </c>
      <c r="U599" s="245" t="n"/>
      <c r="V599" s="245" t="n"/>
      <c r="W599" s="245" t="n"/>
      <c r="X599" s="245" t="n"/>
      <c r="Y599" s="245" t="n"/>
      <c r="Z599" s="245" t="n"/>
    </row>
    <row r="600" ht="16.5" customHeight="1" s="202">
      <c r="A600" s="245" t="n"/>
      <c r="B600" s="245" t="n"/>
      <c r="C600" s="245" t="n"/>
      <c r="D600" s="245" t="n"/>
      <c r="E600" s="245" t="n"/>
      <c r="F600" s="245" t="n"/>
      <c r="G600" s="245" t="n"/>
      <c r="H600" s="247" t="n">
        <v>17</v>
      </c>
      <c r="I600" s="245" t="inlineStr"/>
      <c r="J600" s="245" t="inlineStr"/>
      <c r="K600" s="245" t="inlineStr">
        <is>
          <t>10IN OPP HD FL</t>
        </is>
      </c>
      <c r="L600" s="245" t="inlineStr">
        <is>
          <t>ZU-MFMA1OZI-10F</t>
        </is>
      </c>
      <c r="M600" s="248" t="inlineStr">
        <is>
          <t>2L6SSJNU</t>
        </is>
      </c>
      <c r="N600" s="245" t="inlineStr">
        <is>
          <t>F.MFM.10F.013.AD</t>
        </is>
      </c>
      <c r="O600" s="245" t="n"/>
      <c r="P600" s="245" t="n"/>
      <c r="Q600" s="250">
        <f>R600/H600</f>
        <v/>
      </c>
      <c r="R600" s="251" t="n">
        <v>814.47</v>
      </c>
      <c r="S600" s="249" t="n">
        <v>17960</v>
      </c>
      <c r="T600" s="252">
        <f>S600*R600</f>
        <v/>
      </c>
      <c r="U600" s="245" t="n"/>
      <c r="V600" s="245" t="n"/>
      <c r="W600" s="245" t="n"/>
      <c r="X600" s="245" t="n"/>
      <c r="Y600" s="245" t="n"/>
      <c r="Z600" s="245" t="n"/>
    </row>
    <row r="601" ht="16.5" customHeight="1" s="202">
      <c r="A601" s="245" t="n"/>
      <c r="B601" s="245" t="n"/>
      <c r="C601" s="245" t="n"/>
      <c r="D601" s="245" t="n"/>
      <c r="E601" s="245" t="n"/>
      <c r="F601" s="245" t="n"/>
      <c r="G601" s="245" t="n"/>
      <c r="H601" s="247" t="n">
        <v>370</v>
      </c>
      <c r="I601" s="245" t="inlineStr"/>
      <c r="J601" s="245" t="inlineStr"/>
      <c r="K601" s="245" t="inlineStr">
        <is>
          <t>12IN AIRFLOW GEL FOAM MATT QN</t>
        </is>
      </c>
      <c r="L601" s="245" t="inlineStr">
        <is>
          <t>ZU-MFMA1RZI-12Q</t>
        </is>
      </c>
      <c r="M601" s="248" t="inlineStr">
        <is>
          <t>2L6SSJNU</t>
        </is>
      </c>
      <c r="N601" s="245" t="inlineStr">
        <is>
          <t>F.MFM.12Q.011.AD</t>
        </is>
      </c>
      <c r="O601" s="245" t="n"/>
      <c r="P601" s="245" t="n"/>
      <c r="Q601" s="250">
        <f>R601/H601</f>
        <v/>
      </c>
      <c r="R601" s="251" t="n">
        <v>25000.9</v>
      </c>
      <c r="S601" s="249" t="n">
        <v>17960</v>
      </c>
      <c r="T601" s="252">
        <f>S601*R601</f>
        <v/>
      </c>
      <c r="U601" s="245" t="n"/>
      <c r="V601" s="245" t="n"/>
      <c r="W601" s="245" t="n"/>
      <c r="X601" s="245" t="n"/>
      <c r="Y601" s="245" t="n"/>
      <c r="Z601" s="245" t="n"/>
    </row>
    <row r="602" ht="16.5" customHeight="1" s="202">
      <c r="A602" s="245" t="n"/>
      <c r="B602" s="245" t="n"/>
      <c r="C602" s="245" t="n"/>
      <c r="D602" s="245" t="n"/>
      <c r="E602" s="245" t="n"/>
      <c r="F602" s="245" t="n"/>
      <c r="G602" s="245" t="n"/>
      <c r="H602" s="247" t="n">
        <v>45</v>
      </c>
      <c r="I602" s="245" t="inlineStr"/>
      <c r="J602" s="245" t="inlineStr"/>
      <c r="K602" s="245" t="inlineStr">
        <is>
          <t>6IN GREEN TEA MF MATTRESS FL</t>
        </is>
      </c>
      <c r="L602" s="245" t="inlineStr">
        <is>
          <t>ZU-MFMA1ZZI-06F</t>
        </is>
      </c>
      <c r="M602" s="248" t="inlineStr">
        <is>
          <t>2L6SSJNU</t>
        </is>
      </c>
      <c r="N602" s="245" t="inlineStr">
        <is>
          <t>F.MFM.06F.007.AD</t>
        </is>
      </c>
      <c r="O602" s="245" t="n"/>
      <c r="P602" s="245" t="n"/>
      <c r="Q602" s="250">
        <f>R602/H602</f>
        <v/>
      </c>
      <c r="R602" s="251" t="n">
        <v>1724.85</v>
      </c>
      <c r="S602" s="249" t="n">
        <v>17960</v>
      </c>
      <c r="T602" s="252">
        <f>S602*R602</f>
        <v/>
      </c>
      <c r="U602" s="245" t="n"/>
      <c r="V602" s="245" t="n"/>
      <c r="W602" s="245" t="n"/>
      <c r="X602" s="245" t="n"/>
      <c r="Y602" s="245" t="n"/>
      <c r="Z602" s="245" t="n"/>
    </row>
    <row r="603" ht="16.5" customHeight="1" s="202">
      <c r="A603" s="245" t="n"/>
      <c r="B603" s="245" t="n"/>
      <c r="C603" s="245" t="n"/>
      <c r="D603" s="245" t="n"/>
      <c r="E603" s="245" t="n"/>
      <c r="F603" s="245" t="n"/>
      <c r="G603" s="245" t="n"/>
      <c r="H603" s="247" t="n">
        <v>26</v>
      </c>
      <c r="I603" s="245" t="inlineStr"/>
      <c r="J603" s="245" t="inlineStr"/>
      <c r="K603" s="245" t="inlineStr">
        <is>
          <t>10IN GREEN TEA MF MATTRESS TW</t>
        </is>
      </c>
      <c r="L603" s="245" t="inlineStr">
        <is>
          <t>ZU-MFMA1ZZI-10T</t>
        </is>
      </c>
      <c r="M603" s="248" t="inlineStr">
        <is>
          <t>2L6SSJNU</t>
        </is>
      </c>
      <c r="N603" s="245" t="inlineStr">
        <is>
          <t>F.MFM.10T.007.AD</t>
        </is>
      </c>
      <c r="O603" s="245" t="n"/>
      <c r="P603" s="245" t="n"/>
      <c r="Q603" s="250">
        <f>R603/H603</f>
        <v/>
      </c>
      <c r="R603" s="251" t="n">
        <v>1436.24</v>
      </c>
      <c r="S603" s="249" t="n">
        <v>17960</v>
      </c>
      <c r="T603" s="252">
        <f>S603*R603</f>
        <v/>
      </c>
      <c r="U603" s="245" t="n"/>
      <c r="V603" s="245" t="n"/>
      <c r="W603" s="245" t="n"/>
      <c r="X603" s="245" t="n"/>
      <c r="Y603" s="245" t="n"/>
      <c r="Z603" s="245" t="n"/>
    </row>
    <row r="604" ht="16.5" customHeight="1" s="202">
      <c r="A604" s="245" t="n"/>
      <c r="B604" s="245" t="n"/>
      <c r="C604" s="245" t="n"/>
      <c r="D604" s="245" t="n"/>
      <c r="E604" s="245" t="n"/>
      <c r="F604" s="245" t="n"/>
      <c r="G604" s="245" t="n"/>
      <c r="H604" s="247" t="n">
        <v>955</v>
      </c>
      <c r="I604" s="245" t="inlineStr"/>
      <c r="J604" s="245" t="inlineStr"/>
      <c r="K604" s="245" t="inlineStr">
        <is>
          <t>5IN GREEN TEA MF MATTRESS TW</t>
        </is>
      </c>
      <c r="L604" s="245" t="inlineStr">
        <is>
          <t>ZU-MFMA1ZZI-05T</t>
        </is>
      </c>
      <c r="M604" s="248" t="inlineStr">
        <is>
          <t>2TNM3FQL</t>
        </is>
      </c>
      <c r="N604" s="245" t="inlineStr">
        <is>
          <t>F.MFM.05T.007.AD</t>
        </is>
      </c>
      <c r="O604" s="245" t="n"/>
      <c r="P604" s="245" t="n"/>
      <c r="Q604" s="250">
        <f>R604/H604</f>
        <v/>
      </c>
      <c r="R604" s="251" t="n">
        <v>22595.3</v>
      </c>
      <c r="S604" s="249" t="n">
        <v>17960</v>
      </c>
      <c r="T604" s="252">
        <f>S604*R604</f>
        <v/>
      </c>
      <c r="U604" s="245" t="n"/>
      <c r="V604" s="245" t="n"/>
      <c r="W604" s="245" t="n"/>
      <c r="X604" s="245" t="n"/>
      <c r="Y604" s="245" t="n"/>
      <c r="Z604" s="245" t="n"/>
    </row>
    <row r="605" ht="16.5" customHeight="1" s="202">
      <c r="A605" s="245" t="n"/>
      <c r="B605" s="245" t="n"/>
      <c r="C605" s="245" t="n"/>
      <c r="D605" s="245" t="n"/>
      <c r="E605" s="245" t="n"/>
      <c r="F605" s="245" t="n"/>
      <c r="G605" s="245" t="n"/>
      <c r="H605" s="247" t="n">
        <v>462</v>
      </c>
      <c r="I605" s="245" t="inlineStr"/>
      <c r="J605" s="245" t="inlineStr"/>
      <c r="K605" s="245" t="inlineStr">
        <is>
          <t>10IN GREEN TEA MF MATTRESS QN</t>
        </is>
      </c>
      <c r="L605" s="245" t="inlineStr">
        <is>
          <t>ZU-MFMA1ZZI-10Q</t>
        </is>
      </c>
      <c r="M605" s="248" t="inlineStr">
        <is>
          <t>61ZW4NKD</t>
        </is>
      </c>
      <c r="N605" s="245" t="inlineStr">
        <is>
          <t>F.MFM.10Q.007.AD</t>
        </is>
      </c>
      <c r="O605" s="245" t="n"/>
      <c r="P605" s="245" t="n"/>
      <c r="Q605" s="250">
        <f>R605/H605</f>
        <v/>
      </c>
      <c r="R605" s="251" t="n">
        <v>30436.56</v>
      </c>
      <c r="S605" s="249" t="n">
        <v>17960</v>
      </c>
      <c r="T605" s="252">
        <f>S605*R605</f>
        <v/>
      </c>
      <c r="U605" s="245" t="n"/>
      <c r="V605" s="245" t="n"/>
      <c r="W605" s="245" t="n"/>
      <c r="X605" s="245" t="n"/>
      <c r="Y605" s="245" t="n"/>
      <c r="Z605" s="245" t="n"/>
    </row>
    <row r="606" ht="17.1" customHeight="1" s="202">
      <c r="A606" s="253" t="n"/>
      <c r="B606" s="253" t="n"/>
      <c r="C606" s="253" t="n"/>
      <c r="D606" s="253" t="n"/>
      <c r="E606" s="253" t="n"/>
      <c r="F606" s="253" t="n"/>
      <c r="G606" s="253" t="n"/>
      <c r="H606" s="254">
        <f>SUM(H593:H605)</f>
        <v/>
      </c>
      <c r="I606" s="253">
        <f>COUNTA(I593:I605)</f>
        <v/>
      </c>
      <c r="J606" s="253" t="n"/>
      <c r="K606" s="253" t="n"/>
      <c r="L606" s="253" t="n"/>
      <c r="M606" s="253" t="n"/>
      <c r="N606" s="253" t="n"/>
      <c r="O606" s="255">
        <f>SUM(O593:O605)</f>
        <v/>
      </c>
      <c r="P606" s="255">
        <f>SUM(P593:P605)</f>
        <v/>
      </c>
      <c r="Q606" s="253" t="n"/>
      <c r="R606" s="256">
        <f>SUM(R593:R605)</f>
        <v/>
      </c>
      <c r="S606" s="253" t="n"/>
      <c r="T606" s="257">
        <f>SUM(T593:T605)</f>
        <v/>
      </c>
      <c r="U606" s="253" t="n"/>
      <c r="V606" s="253" t="n"/>
      <c r="W606" s="253" t="n"/>
      <c r="X606" s="253" t="n"/>
      <c r="Y606" s="253" t="n"/>
      <c r="Z606" s="253" t="n"/>
    </row>
    <row r="607" ht="8.1" customHeight="1" s="202"/>
    <row r="608" ht="20.1" customHeight="1" s="202">
      <c r="A608" s="259">
        <f>COUNT(A12:A607)</f>
        <v/>
      </c>
      <c r="B608" s="260" t="n"/>
      <c r="C608" s="260" t="n"/>
      <c r="D608" s="260" t="n"/>
      <c r="E608" s="260" t="n"/>
      <c r="F608" s="260" t="n"/>
      <c r="G608" s="260" t="n"/>
      <c r="H608" s="261">
        <f>SUM(H14,H17,H28,H38,H48,H58,H73,H88,H103,H118,H131,H134,H137,H140,H151,H162,H175,H186,H196,H199,H202,H205,H208,H211,H214,H217,H220,H223,H226,H229,H232,H242,H266,H273,H276,H289,H302,H368,H371,H374,H380,H391,H407,H430,H477,H488,H499,H502,H505,H508,H511,H514,H517,H520,H523,H526,H529,H532,H535,H538,H541,H544,H547,H583,H586,H589,H592,H606)</f>
        <v/>
      </c>
      <c r="I608" s="261">
        <f>SUM(I14,I17,I28,I38,I48,I58,I73,I88,I103,I118,I131,I134,I137,I140,I151,I162,I175,I186,I196,I199,I202,I205,I208,I211,I214,I217,I220,I223,I226,I229,I232,I242,I266,I273,I276,I289,I302,I368,I371,I374,I380,I391,I407,I430,I477,I488,I499,I502,I505,I508,I511,I514,I517,I520,I523,I526,I529,I532,I535,I538,I541,I544,I547,I583,I586,I589,I592,I606)</f>
        <v/>
      </c>
      <c r="J608" s="260" t="n"/>
      <c r="K608" s="260" t="n"/>
      <c r="L608" s="260" t="n"/>
      <c r="M608" s="260" t="n"/>
      <c r="N608" s="260" t="n"/>
      <c r="O608" s="262">
        <f>SUM(O14,O17,O28,O38,O48,O58,O73,O88,O103,O118,O131,O134,O137,O140,O151,O162,O175,O186,O196,O199,O202,O205,O208,O211,O214,O217,O220,O223,O226,O229,O232,O242,O266,O273,O276,O289,O302,O368,O371,O374,O380,O391,O407,O430,O477,O488,O499,O502,O505,O508,O511,O514,O517,O520,O523,O526,O529,O532,O535,O538,O541,O544,O547,O583,O586,O589,O592,O606)</f>
        <v/>
      </c>
      <c r="P608" s="262">
        <f>SUM(P14,P17,P28,P38,P48,P58,P73,P88,P103,P118,P131,P134,P137,P140,P151,P162,P175,P186,P196,P199,P202,P205,P208,P211,P214,P217,P220,P223,P226,P229,P232,P242,P266,P273,P276,P289,P302,P368,P371,P374,P380,P391,P407,P430,P477,P488,P499,P502,P505,P508,P511,P514,P517,P520,P523,P526,P529,P532,P535,P538,P541,P544,P547,P583,P586,P589,P592,P606)</f>
        <v/>
      </c>
      <c r="Q608" s="260" t="n"/>
      <c r="R608" s="263">
        <f>SUM(R14,R17,R28,R38,R48,R58,R73,R88,R103,R118,R131,R134,R137,R140,R151,R162,R175,R186,R196,R199,R202,R205,R208,R211,R214,R217,R220,R223,R226,R229,R232,R242,R266,R273,R276,R289,R302,R368,R371,R374,R380,R391,R407,R430,R477,R488,R499,R502,R505,R508,R511,R514,R517,R520,R523,R526,R529,R532,R535,R538,R541,R544,R547,R583,R586,R589,R592,R606)</f>
        <v/>
      </c>
      <c r="S608" s="260" t="n"/>
      <c r="T608" s="264">
        <f>SUM(T14,T17,T28,T38,T48,T58,T73,T88,T103,T118,T131,T134,T137,T140,T151,T162,T175,T186,T196,T199,T202,T205,T208,T211,T214,T217,T220,T223,T226,T229,T232,T242,T266,T273,T276,T289,T302,T368,T371,T374,T380,T391,T407,T430,T477,T488,T499,T502,T505,T508,T511,T514,T517,T520,T523,T526,T529,T532,T535,T538,T541,T544,T547,T583,T586,T589,T592,T606)</f>
        <v/>
      </c>
      <c r="U608" s="260" t="n"/>
      <c r="V608" s="260" t="n"/>
      <c r="W608" s="260" t="n"/>
      <c r="X608" s="260" t="n"/>
      <c r="Y608" s="260" t="n"/>
      <c r="Z608" s="260" t="n"/>
    </row>
    <row r="609" ht="17.1" customHeight="1" s="202"/>
    <row r="610" ht="17.1" customHeight="1" s="202">
      <c r="B610" s="265" t="inlineStr">
        <is>
          <t>Total Qty Export :</t>
        </is>
      </c>
      <c r="C610" s="266">
        <f>H608-C611</f>
        <v/>
      </c>
    </row>
    <row r="611" ht="17.1" customHeight="1" s="202">
      <c r="B611" s="267" t="inlineStr">
        <is>
          <t>Total Qty Export Sample :</t>
        </is>
      </c>
      <c r="C611" s="268" t="inlineStr"/>
    </row>
    <row r="613" ht="17.1" customHeight="1" s="202">
      <c r="A613" s="269" t="n"/>
      <c r="B613" s="270" t="n"/>
      <c r="C613" s="270" t="n"/>
      <c r="D613" s="271" t="n"/>
      <c r="U613" s="272" t="inlineStr">
        <is>
          <t>Tangerang, 18 August 2026</t>
        </is>
      </c>
    </row>
    <row r="614" ht="17.1" customHeight="1" s="202">
      <c r="A614" s="273" t="inlineStr">
        <is>
          <t>Total Document</t>
        </is>
      </c>
      <c r="C614" s="274">
        <f>A608</f>
        <v/>
      </c>
      <c r="D614" s="275" t="n"/>
      <c r="U614" s="272" t="inlineStr">
        <is>
          <t>Kasubsi Hanggar Pabean dan Cukai</t>
        </is>
      </c>
    </row>
    <row r="615" ht="17.1" customHeight="1" s="202">
      <c r="A615" s="273" t="inlineStr">
        <is>
          <t>Gross Weight</t>
        </is>
      </c>
      <c r="C615" s="276">
        <f>O608</f>
        <v/>
      </c>
      <c r="D615" s="275" t="n"/>
    </row>
    <row r="616" ht="17.1" customHeight="1" s="202">
      <c r="A616" s="273" t="inlineStr">
        <is>
          <t>Nett Weight</t>
        </is>
      </c>
      <c r="C616" s="276">
        <f>P608</f>
        <v/>
      </c>
      <c r="D616" s="275" t="n"/>
    </row>
    <row r="617" ht="17.1" customHeight="1" s="202">
      <c r="A617" s="273" t="inlineStr">
        <is>
          <t>Amount</t>
        </is>
      </c>
      <c r="C617" s="277">
        <f>R608</f>
        <v/>
      </c>
      <c r="D617" s="275" t="n"/>
    </row>
    <row r="618" ht="17.1" customHeight="1" s="202">
      <c r="A618" s="273" t="inlineStr">
        <is>
          <t>Jumlah Container</t>
        </is>
      </c>
      <c r="C618" s="278">
        <f>I608-C619</f>
        <v/>
      </c>
      <c r="D618" s="275" t="n"/>
    </row>
    <row r="619" ht="17.1" customHeight="1" s="202">
      <c r="A619" s="279" t="n"/>
      <c r="C619" s="280" t="inlineStr"/>
      <c r="D619" s="275" t="n"/>
    </row>
    <row r="620" ht="17.1" customHeight="1" s="202">
      <c r="A620" s="279" t="n"/>
      <c r="C620" s="281">
        <f>C618*2+C619</f>
        <v/>
      </c>
      <c r="D620" s="275" t="n"/>
    </row>
    <row r="621" ht="16.2" customHeight="1" s="202">
      <c r="A621" s="282" t="n"/>
      <c r="B621" s="283" t="n"/>
      <c r="C621" s="283" t="n"/>
      <c r="D621" s="284" t="n"/>
    </row>
  </sheetData>
  <autoFilter ref="A10:Z11">
    <filterColumn colId="2" hiddenButton="0" showButton="0"/>
    <filterColumn colId="8" hiddenButton="0" showButton="0"/>
  </autoFilter>
  <mergeCells count="26">
    <mergeCell ref="C614:D614"/>
    <mergeCell ref="C619:D619"/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615:D615"/>
    <mergeCell ref="C617:D617"/>
    <mergeCell ref="C620:D620"/>
    <mergeCell ref="A10:A11"/>
    <mergeCell ref="K10:K11"/>
    <mergeCell ref="C616:D616"/>
    <mergeCell ref="A8:Z8"/>
    <mergeCell ref="F10:F11"/>
    <mergeCell ref="H10:H11"/>
    <mergeCell ref="C618:D618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2026-08-18T06:07:04Z</dcterms:modified>
  <cp:lastModifiedBy>Chiswa Dian Hermansyah(ZINUS ZDI)</cp:lastModifiedBy>
</cp:coreProperties>
</file>