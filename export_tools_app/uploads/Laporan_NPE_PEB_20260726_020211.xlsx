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" customWidth="1" style="17" min="1" max="1"/>
    <col width="28" customWidth="1" style="6" min="2" max="2"/>
    <col width="15" customWidth="1" style="3" min="3" max="4"/>
    <col width="15" customWidth="1" style="215" min="4" max="4"/>
    <col width="14" customWidth="1" style="4" min="5" max="5"/>
    <col width="25" customWidth="1" style="5" min="6" max="6"/>
    <col width="14" customWidth="1" style="5" min="7" max="7"/>
    <col width="15" customWidth="1" style="6" min="8" max="8"/>
    <col width="18" customWidth="1" style="6" min="9" max="9"/>
    <col width="10" customWidth="1" style="6" min="10" max="10"/>
    <col width="35" customWidth="1" style="216" min="11" max="11"/>
    <col width="28" customWidth="1" style="216" min="12" max="12"/>
    <col width="16" customWidth="1" style="216" min="13" max="13"/>
    <col width="20" customWidth="1" style="217" min="14" max="14"/>
    <col width="15" customWidth="1" style="218" min="15" max="16"/>
    <col width="15" customWidth="1" style="215" min="16" max="16"/>
    <col width="14" customWidth="1" style="219" min="17" max="17"/>
    <col width="16" customWidth="1" style="220" min="18" max="18"/>
    <col width="14" customWidth="1" style="221" min="19" max="19"/>
    <col width="20" customWidth="1" style="221" min="20" max="20"/>
    <col width="25" customWidth="1" style="222" min="21" max="21"/>
    <col width="20" customWidth="1" style="222" min="22" max="22"/>
    <col width="18" customWidth="1" style="222" min="23" max="23"/>
    <col width="30" customWidth="1" style="222" min="24" max="24"/>
    <col width="22" customWidth="1" style="222" min="25" max="25"/>
    <col width="14" customWidth="1" style="222" min="26" max="26"/>
    <col width="9.109375" customWidth="1" style="223" min="27" max="289"/>
    <col width="24.88671875" bestFit="1" customWidth="1" style="223" min="290" max="290"/>
    <col width="9.109375" customWidth="1" style="223" min="291" max="16384"/>
  </cols>
  <sheetData>
    <row r="1" hidden="1" ht="18" customHeight="1" s="215">
      <c r="A1" s="1" t="inlineStr">
        <is>
          <t>KEMENTERIAN KEUANGAN REPUBLIK INDONESIA</t>
        </is>
      </c>
      <c r="B1" s="2" t="n"/>
    </row>
    <row r="2" hidden="1" ht="18" customHeight="1" s="215">
      <c r="A2" s="1" t="inlineStr">
        <is>
          <t>DIREKTORAT JENDERAL BEA DAN CUKAI</t>
        </is>
      </c>
      <c r="B2" s="2" t="n"/>
    </row>
    <row r="3" hidden="1" ht="18" customHeight="1" s="215">
      <c r="A3" s="15" t="inlineStr">
        <is>
          <t>KANTOR WILAYAH DJBC BANTEN</t>
        </is>
      </c>
      <c r="B3" s="16" t="n"/>
    </row>
    <row r="4" hidden="1" ht="18" customHeight="1" s="215">
      <c r="A4" s="15" t="inlineStr">
        <is>
          <t>KANTOR PENGAWASAN DAN PELAYANAN BEA DAN CUKAI TIPE MADYA PABEAN A TANGERANG</t>
        </is>
      </c>
      <c r="B4" s="16" t="n"/>
    </row>
    <row r="5" ht="14.25" customHeight="1" s="215"/>
    <row r="6" ht="24.75" customHeight="1" s="215">
      <c r="A6" s="224" t="inlineStr">
        <is>
          <t>LAPORAN BULANAN  EKSPOR (BC 3.0)</t>
        </is>
      </c>
    </row>
    <row r="7" ht="24.75" customHeight="1" s="215">
      <c r="A7" s="224" t="inlineStr">
        <is>
          <t>PT. ZINUS DREAM INDONESIA</t>
        </is>
      </c>
    </row>
    <row r="8" ht="24.75" customHeight="1" s="215">
      <c r="A8" s="19" t="inlineStr">
        <is>
          <t>BULAN : JULY 2026</t>
        </is>
      </c>
    </row>
    <row r="9" ht="14.25" customHeight="1" s="215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-.3.1400</t>
        </is>
      </c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-.4.3000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/>
      <c r="J15" s="67" t="inlineStr"/>
      <c r="K15" s="69" t="inlineStr">
        <is>
          <t>8IN GREEN TEA MF MATTRESS QN</t>
        </is>
      </c>
      <c r="L15" s="109" t="inlineStr">
        <is>
          <t>SCF-STR</t>
        </is>
      </c>
      <c r="M15" s="110" t="inlineStr">
        <is>
          <t>0993631021</t>
        </is>
      </c>
      <c r="N15" s="69" t="inlineStr"/>
      <c r="O15" s="111" t="inlineStr"/>
      <c r="P15" s="111" t="inlineStr"/>
      <c r="Q15" s="259">
        <f>IFERROR(R15/H15, 0)</f>
        <v/>
      </c>
      <c r="R15" s="260" t="n">
        <v>0</v>
      </c>
      <c r="S15" s="261" t="n">
        <v>18056</v>
      </c>
      <c r="T15" s="261">
        <f>IFERROR(S15*R15, 0)</f>
        <v/>
      </c>
      <c r="U15" s="73" t="inlineStr">
        <is>
          <t>PEMUATAN DI PELABUHAN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/>
      <c r="J17" s="67" t="inlineStr"/>
      <c r="K17" s="69" t="inlineStr">
        <is>
          <t>8IN GREEN TEA MF MATTRESS FL</t>
        </is>
      </c>
      <c r="L17" s="277" t="inlineStr">
        <is>
          <t>SCF-STR</t>
        </is>
      </c>
      <c r="M17" s="67" t="inlineStr">
        <is>
          <t>0993630656</t>
        </is>
      </c>
      <c r="N17" s="69" t="inlineStr"/>
      <c r="O17" s="111" t="inlineStr"/>
      <c r="P17" s="111" t="inlineStr"/>
      <c r="Q17" s="259">
        <f>IFERROR(R17/H17, 0)</f>
        <v/>
      </c>
      <c r="R17" s="260" t="n">
        <v>0</v>
      </c>
      <c r="S17" s="261" t="n">
        <v>18056</v>
      </c>
      <c r="T17" s="261">
        <f>IFERROR(S17*R17, 0)</f>
        <v/>
      </c>
      <c r="U17" s="73" t="inlineStr">
        <is>
          <t>PEMUATAN DI PELABUHAN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/>
      <c r="J19" s="67" t="inlineStr"/>
      <c r="K19" s="69" t="inlineStr">
        <is>
          <t>8IN MYGEL FOAM MATTRESS TW</t>
        </is>
      </c>
      <c r="L19" s="109" t="inlineStr">
        <is>
          <t>ZU</t>
        </is>
      </c>
      <c r="M19" s="110" t="inlineStr">
        <is>
          <t>1CPXSUHR</t>
        </is>
      </c>
      <c r="N19" s="69" t="inlineStr"/>
      <c r="O19" s="111" t="inlineStr"/>
      <c r="P19" s="111" t="inlineStr"/>
      <c r="Q19" s="259">
        <f>IFERROR(R19/H19, 0)</f>
        <v/>
      </c>
      <c r="R19" s="260" t="n">
        <v>0</v>
      </c>
      <c r="S19" s="261" t="n">
        <v>18056</v>
      </c>
      <c r="T19" s="261">
        <f>IFERROR(S19*R19, 0)</f>
        <v/>
      </c>
      <c r="U19" s="73" t="inlineStr">
        <is>
          <t>PEMUATAN DI PELABUHAN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/>
      <c r="J20" s="67" t="inlineStr"/>
      <c r="K20" s="69" t="inlineStr">
        <is>
          <t>8IN GREEN TEA MF MATTRESS SQ</t>
        </is>
      </c>
      <c r="L20" s="109" t="inlineStr">
        <is>
          <t>ZU</t>
        </is>
      </c>
      <c r="M20" s="110" t="inlineStr">
        <is>
          <t>1CPXSUHR</t>
        </is>
      </c>
      <c r="N20" s="69" t="inlineStr"/>
      <c r="O20" s="111" t="n"/>
      <c r="P20" s="111" t="n"/>
      <c r="Q20" s="259">
        <f>IFERROR(R20/H20, 0)</f>
        <v/>
      </c>
      <c r="R20" s="260" t="n">
        <v>0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/>
      <c r="O21" s="111" t="n"/>
      <c r="P21" s="111" t="n"/>
      <c r="Q21" s="259">
        <f>IFERROR(R21/H21, 0)</f>
        <v/>
      </c>
      <c r="R21" s="260" t="n">
        <v>0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/>
      <c r="J22" s="67" t="inlineStr"/>
      <c r="K22" s="69" t="inlineStr">
        <is>
          <t>10IN AIRFLOW GEL FOAM MATT QN</t>
        </is>
      </c>
      <c r="L22" s="109" t="inlineStr">
        <is>
          <t>ZU</t>
        </is>
      </c>
      <c r="M22" s="110" t="inlineStr">
        <is>
          <t>1CPXSUHR</t>
        </is>
      </c>
      <c r="N22" s="69" t="inlineStr"/>
      <c r="O22" s="111" t="n"/>
      <c r="P22" s="111" t="n"/>
      <c r="Q22" s="259">
        <f>IFERROR(R22/H22, 0)</f>
        <v/>
      </c>
      <c r="R22" s="260" t="n">
        <v>0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/>
      <c r="J23" s="67" t="inlineStr"/>
      <c r="K23" s="69" t="inlineStr">
        <is>
          <t>6IN GREEN TEA MF MATTRESS FL</t>
        </is>
      </c>
      <c r="L23" s="277" t="inlineStr">
        <is>
          <t>ZU</t>
        </is>
      </c>
      <c r="M23" s="67" t="inlineStr">
        <is>
          <t>1CPXSUHR</t>
        </is>
      </c>
      <c r="N23" s="69" t="inlineStr"/>
      <c r="O23" s="111" t="n"/>
      <c r="P23" s="111" t="n"/>
      <c r="Q23" s="259">
        <f>IFERROR(R23/H23, 0)</f>
        <v/>
      </c>
      <c r="R23" s="260" t="n">
        <v>0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/>
      <c r="J24" s="67" t="inlineStr"/>
      <c r="K24" s="69" t="inlineStr">
        <is>
          <t>8IN GREEN TEA MF MATTRESS FL</t>
        </is>
      </c>
      <c r="L24" s="109" t="inlineStr">
        <is>
          <t>ZU</t>
        </is>
      </c>
      <c r="M24" s="67" t="inlineStr">
        <is>
          <t>1CPXSUHR</t>
        </is>
      </c>
      <c r="N24" s="69" t="inlineStr"/>
      <c r="O24" s="111" t="n"/>
      <c r="P24" s="111" t="n"/>
      <c r="Q24" s="259">
        <f>IFERROR(R24/H24, 0)</f>
        <v/>
      </c>
      <c r="R24" s="260" t="n">
        <v>0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15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12IN GREEN TEA MF MATTRESS EK</t>
        </is>
      </c>
      <c r="L25" s="285" t="inlineStr">
        <is>
          <t>ZU</t>
        </is>
      </c>
      <c r="M25" s="76" t="inlineStr">
        <is>
          <t>1CPXSUHR</t>
        </is>
      </c>
      <c r="N25" s="284" t="inlineStr"/>
      <c r="O25" s="286" t="n"/>
      <c r="P25" s="286" t="n"/>
      <c r="Q25" s="287">
        <f>IFERROR(R25/H25, 0)</f>
        <v/>
      </c>
      <c r="R25" s="288" t="n">
        <v>0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8IN GREEN TEA MF MATTRESS SQ</t>
        </is>
      </c>
      <c r="L26" s="302" t="inlineStr">
        <is>
          <t>ZU</t>
        </is>
      </c>
      <c r="M26" s="300" t="inlineStr">
        <is>
          <t>23OYBVEV</t>
        </is>
      </c>
      <c r="N26" s="301" t="inlineStr"/>
      <c r="O26" s="303" t="n"/>
      <c r="P26" s="303" t="n"/>
      <c r="Q26" s="304">
        <f>IFERROR(R26/H26, 0)</f>
        <v/>
      </c>
      <c r="R26" s="305" t="n">
        <v>0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6.5" customHeight="1" s="215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/>
      <c r="O27" s="303" t="n"/>
      <c r="P27" s="303" t="n"/>
      <c r="Q27" s="304">
        <f>IFERROR(R27/H27, 0)</f>
        <v/>
      </c>
      <c r="R27" s="305" t="n">
        <v>0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6.5" customHeight="1" s="215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/>
      <c r="O28" s="303" t="n"/>
      <c r="P28" s="303" t="n"/>
      <c r="Q28" s="304">
        <f>IFERROR(R28/H28, 0)</f>
        <v/>
      </c>
      <c r="R28" s="305" t="n">
        <v>0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6.5" customHeight="1" s="215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/>
      <c r="O29" s="303" t="n"/>
      <c r="P29" s="303" t="n"/>
      <c r="Q29" s="304">
        <f>IFERROR(R29/H29, 0)</f>
        <v/>
      </c>
      <c r="R29" s="305" t="n">
        <v>0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6.5" customHeight="1" s="215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10IN AIRFLOW GEL FOAM MATT EK</t>
        </is>
      </c>
      <c r="L30" s="302" t="inlineStr">
        <is>
          <t>ZU</t>
        </is>
      </c>
      <c r="M30" s="300" t="inlineStr">
        <is>
          <t>23OYBVEV</t>
        </is>
      </c>
      <c r="N30" s="301" t="inlineStr"/>
      <c r="O30" s="303" t="n"/>
      <c r="P30" s="303" t="n"/>
      <c r="Q30" s="304">
        <f>IFERROR(R30/H30, 0)</f>
        <v/>
      </c>
      <c r="R30" s="305" t="n">
        <v>0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6.5" customHeight="1" s="215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6IN MYGEL FOAM MATTRESS FL</t>
        </is>
      </c>
      <c r="L31" s="302" t="inlineStr">
        <is>
          <t>ZU-MFGN1YZI</t>
        </is>
      </c>
      <c r="M31" s="300" t="inlineStr">
        <is>
          <t>299957YO</t>
        </is>
      </c>
      <c r="N31" s="301" t="inlineStr"/>
      <c r="O31" s="303" t="n"/>
      <c r="P31" s="303" t="n"/>
      <c r="Q31" s="304">
        <f>IFERROR(R31/H31, 0)</f>
        <v/>
      </c>
      <c r="R31" s="305" t="n">
        <v>0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6.5" customHeight="1" s="215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/>
      <c r="O32" s="303" t="n"/>
      <c r="P32" s="303" t="n"/>
      <c r="Q32" s="304">
        <f>IFERROR(R32/H32, 0)</f>
        <v/>
      </c>
      <c r="R32" s="305" t="n">
        <v>0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6.5" customHeight="1" s="215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8IN GREEN TEA MF MATTRESS SQ</t>
        </is>
      </c>
      <c r="L33" s="302" t="inlineStr">
        <is>
          <t>ZU</t>
        </is>
      </c>
      <c r="M33" s="300" t="inlineStr">
        <is>
          <t>299957YO</t>
        </is>
      </c>
      <c r="N33" s="301" t="inlineStr"/>
      <c r="O33" s="303" t="n"/>
      <c r="P33" s="303" t="n"/>
      <c r="Q33" s="304">
        <f>IFERROR(R33/H33, 0)</f>
        <v/>
      </c>
      <c r="R33" s="305" t="n">
        <v>0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6.5" customHeight="1" s="215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10IN GREEN TEA MF MATTRESS EK</t>
        </is>
      </c>
      <c r="L34" s="302" t="inlineStr">
        <is>
          <t>ZU</t>
        </is>
      </c>
      <c r="M34" s="300" t="inlineStr">
        <is>
          <t>299957YO</t>
        </is>
      </c>
      <c r="N34" s="301" t="inlineStr"/>
      <c r="O34" s="303" t="n"/>
      <c r="P34" s="303" t="n"/>
      <c r="Q34" s="304">
        <f>IFERROR(R34/H34, 0)</f>
        <v/>
      </c>
      <c r="R34" s="305" t="n">
        <v>0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6.5" customHeight="1" s="215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8IN MYGEL FOAM MATTRESS TW</t>
        </is>
      </c>
      <c r="L35" s="302" t="inlineStr">
        <is>
          <t>ZU</t>
        </is>
      </c>
      <c r="M35" s="300" t="inlineStr">
        <is>
          <t>2OD43VAH</t>
        </is>
      </c>
      <c r="N35" s="301" t="inlineStr"/>
      <c r="O35" s="303" t="n"/>
      <c r="P35" s="303" t="n"/>
      <c r="Q35" s="304">
        <f>IFERROR(R35/H35, 0)</f>
        <v/>
      </c>
      <c r="R35" s="305" t="n">
        <v>0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6.5" customHeight="1" s="215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/>
      <c r="O36" s="303" t="n"/>
      <c r="P36" s="303" t="n"/>
      <c r="Q36" s="304">
        <f>IFERROR(R36/H36, 0)</f>
        <v/>
      </c>
      <c r="R36" s="305" t="n">
        <v>0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6.5" customHeight="1" s="215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/>
      <c r="O37" s="303" t="n"/>
      <c r="P37" s="303" t="n"/>
      <c r="Q37" s="304">
        <f>IFERROR(R37/H37, 0)</f>
        <v/>
      </c>
      <c r="R37" s="305" t="n">
        <v>0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6.5" customHeight="1" s="215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10IN AIRFLOW GEL FOAM MATT QN</t>
        </is>
      </c>
      <c r="L38" s="302" t="inlineStr">
        <is>
          <t>ZU</t>
        </is>
      </c>
      <c r="M38" s="300" t="inlineStr">
        <is>
          <t>2OD43VAH</t>
        </is>
      </c>
      <c r="N38" s="301" t="inlineStr"/>
      <c r="O38" s="303" t="n"/>
      <c r="P38" s="303" t="n"/>
      <c r="Q38" s="304">
        <f>IFERROR(R38/H38, 0)</f>
        <v/>
      </c>
      <c r="R38" s="305" t="n">
        <v>0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5" customHeight="1" s="215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12IN AIRFLOW GEL FOAM MATT QN</t>
        </is>
      </c>
      <c r="L39" s="302" t="inlineStr">
        <is>
          <t>ZU</t>
        </is>
      </c>
      <c r="M39" s="300" t="inlineStr">
        <is>
          <t>2OD43VAH</t>
        </is>
      </c>
      <c r="N39" s="301" t="inlineStr"/>
      <c r="O39" s="303" t="n"/>
      <c r="P39" s="303" t="n"/>
      <c r="Q39" s="304">
        <f>IFERROR(R39/H39, 0)</f>
        <v/>
      </c>
      <c r="R39" s="305" t="n">
        <v>0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5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8IN GREEN TEA MF MATTRESS SQ</t>
        </is>
      </c>
      <c r="L40" s="302" t="inlineStr">
        <is>
          <t>ZU</t>
        </is>
      </c>
      <c r="M40" s="300" t="inlineStr">
        <is>
          <t>2OD43VAH</t>
        </is>
      </c>
      <c r="N40" s="301" t="inlineStr"/>
      <c r="O40" s="303" t="n"/>
      <c r="P40" s="303" t="n"/>
      <c r="Q40" s="304">
        <f>IFERROR(R40/H40, 0)</f>
        <v/>
      </c>
      <c r="R40" s="305" t="n">
        <v>0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 ht="16.5" customHeight="1" s="215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/>
      <c r="O41" s="303" t="n"/>
      <c r="P41" s="303" t="n"/>
      <c r="Q41" s="304">
        <f>IFERROR(R41/H41, 0)</f>
        <v/>
      </c>
      <c r="R41" s="305" t="n">
        <v>0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 ht="16.5" customHeight="1" s="215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/>
      <c r="O42" s="303" t="n"/>
      <c r="P42" s="303" t="n"/>
      <c r="Q42" s="304">
        <f>IFERROR(R42/H42, 0)</f>
        <v/>
      </c>
      <c r="R42" s="305" t="n">
        <v>0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 ht="16.5" customHeight="1" s="215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12IN GREEN TEA MF MATTRESS TX</t>
        </is>
      </c>
      <c r="L43" s="302" t="inlineStr">
        <is>
          <t>ZU</t>
        </is>
      </c>
      <c r="M43" s="300" t="inlineStr">
        <is>
          <t>2XLW4FKE</t>
        </is>
      </c>
      <c r="N43" s="301" t="inlineStr"/>
      <c r="O43" s="303" t="n"/>
      <c r="P43" s="303" t="n"/>
      <c r="Q43" s="304">
        <f>IFERROR(R43/H43, 0)</f>
        <v/>
      </c>
      <c r="R43" s="305" t="n">
        <v>0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 ht="16.5" customHeight="1" s="215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/>
      <c r="O44" s="303" t="n"/>
      <c r="P44" s="303" t="n"/>
      <c r="Q44" s="304">
        <f>IFERROR(R44/H44, 0)</f>
        <v/>
      </c>
      <c r="R44" s="305" t="n">
        <v>0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 ht="16.5" customHeight="1" s="21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5IN GREEN TEA MF MATTRESS TW</t>
        </is>
      </c>
      <c r="L45" s="302" t="inlineStr">
        <is>
          <t>ZU</t>
        </is>
      </c>
      <c r="M45" s="300" t="inlineStr">
        <is>
          <t>4JWS37TM</t>
        </is>
      </c>
      <c r="N45" s="301" t="inlineStr"/>
      <c r="O45" s="303" t="n"/>
      <c r="P45" s="303" t="n"/>
      <c r="Q45" s="304">
        <f>IFERROR(R45/H45, 0)</f>
        <v/>
      </c>
      <c r="R45" s="305" t="n">
        <v>0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 ht="17.1" customHeight="1" s="215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 ht="16.5" customHeight="1" s="215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/>
      <c r="J47" s="300" t="inlineStr"/>
      <c r="K47" s="301" t="inlineStr">
        <is>
          <t>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/>
      <c r="O47" s="303" t="inlineStr"/>
      <c r="P47" s="303" t="inlineStr"/>
      <c r="Q47" s="304">
        <f>IFERROR(R47/H47, 0)</f>
        <v/>
      </c>
      <c r="R47" s="305" t="n">
        <v>0</v>
      </c>
      <c r="S47" s="306" t="n">
        <v>18056</v>
      </c>
      <c r="T47" s="306">
        <f>IFERROR(S47*R47, 0)</f>
        <v/>
      </c>
      <c r="U47" s="307" t="inlineStr">
        <is>
          <t>PEMUATAN DI PELABUHAN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 ht="16.5" customHeight="1" s="215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/>
      <c r="J48" s="300" t="inlineStr"/>
      <c r="K48" s="301" t="inlineStr">
        <is>
          <t>5IN GREEN TEA MF MATTRESS TW</t>
        </is>
      </c>
      <c r="L48" s="302" t="inlineStr">
        <is>
          <t>ZU</t>
        </is>
      </c>
      <c r="M48" s="300" t="inlineStr">
        <is>
          <t>4I3CD5IH</t>
        </is>
      </c>
      <c r="N48" s="301" t="inlineStr"/>
      <c r="O48" s="303" t="n"/>
      <c r="P48" s="303" t="n"/>
      <c r="Q48" s="304">
        <f>IFERROR(R48/H48, 0)</f>
        <v/>
      </c>
      <c r="R48" s="305" t="n">
        <v>0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 ht="16.5" customHeight="1" s="215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/>
      <c r="J49" s="300" t="inlineStr"/>
      <c r="K49" s="301" t="inlineStr">
        <is>
          <t>5IN GREEN TEA MF MATTRESS TW</t>
        </is>
      </c>
      <c r="L49" s="302" t="inlineStr">
        <is>
          <t>ZU</t>
        </is>
      </c>
      <c r="M49" s="300" t="inlineStr">
        <is>
          <t>88Y96MHS</t>
        </is>
      </c>
      <c r="N49" s="301" t="inlineStr"/>
      <c r="O49" s="303" t="n"/>
      <c r="P49" s="303" t="n"/>
      <c r="Q49" s="304">
        <f>IFERROR(R49/H49, 0)</f>
        <v/>
      </c>
      <c r="R49" s="305" t="n">
        <v>0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 ht="16.5" customHeight="1" s="215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/>
      <c r="J50" s="300" t="inlineStr"/>
      <c r="K50" s="301" t="inlineStr">
        <is>
          <t>12IN GREEN TEA MF MATTRESS QN</t>
        </is>
      </c>
      <c r="L50" s="302" t="inlineStr">
        <is>
          <t>ZU</t>
        </is>
      </c>
      <c r="M50" s="300" t="inlineStr">
        <is>
          <t>8B4RWISK</t>
        </is>
      </c>
      <c r="N50" s="301" t="inlineStr"/>
      <c r="O50" s="303" t="n"/>
      <c r="P50" s="303" t="n"/>
      <c r="Q50" s="304">
        <f>IFERROR(R50/H50, 0)</f>
        <v/>
      </c>
      <c r="R50" s="305" t="n">
        <v>0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 ht="16.5" customHeight="1" s="215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/>
      <c r="J51" s="300" t="inlineStr"/>
      <c r="K51" s="301" t="inlineStr">
        <is>
          <t>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/>
      <c r="O51" s="303" t="n"/>
      <c r="P51" s="303" t="n"/>
      <c r="Q51" s="304">
        <f>IFERROR(R51/H51, 0)</f>
        <v/>
      </c>
      <c r="R51" s="305" t="n">
        <v>0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 ht="16.5" customHeight="1" s="215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/>
      <c r="J52" s="300" t="inlineStr"/>
      <c r="K52" s="301" t="inlineStr">
        <is>
          <t>8IN GREEN TEA MF MATTRESS TW</t>
        </is>
      </c>
      <c r="L52" s="302" t="inlineStr">
        <is>
          <t>ZU</t>
        </is>
      </c>
      <c r="M52" s="300" t="inlineStr">
        <is>
          <t>8GO2PUDD</t>
        </is>
      </c>
      <c r="N52" s="301" t="inlineStr"/>
      <c r="O52" s="303" t="n"/>
      <c r="P52" s="303" t="n"/>
      <c r="Q52" s="304">
        <f>IFERROR(R52/H52, 0)</f>
        <v/>
      </c>
      <c r="R52" s="305" t="n">
        <v>0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 ht="16.5" customHeight="1" s="215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/>
      <c r="J53" s="300" t="inlineStr"/>
      <c r="K53" s="301" t="inlineStr">
        <is>
          <t>12IN GREEN TEA MF MATTRESS QN</t>
        </is>
      </c>
      <c r="L53" s="302" t="inlineStr">
        <is>
          <t>ZU</t>
        </is>
      </c>
      <c r="M53" s="300" t="inlineStr">
        <is>
          <t>8GO2PUDD</t>
        </is>
      </c>
      <c r="N53" s="301" t="inlineStr"/>
      <c r="O53" s="303" t="n"/>
      <c r="P53" s="303" t="n"/>
      <c r="Q53" s="304">
        <f>IFERROR(R53/H53, 0)</f>
        <v/>
      </c>
      <c r="R53" s="305" t="n">
        <v>0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 ht="16.5" customHeight="1" s="215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/>
      <c r="J54" s="300" t="inlineStr"/>
      <c r="K54" s="301" t="inlineStr">
        <is>
          <t>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/>
      <c r="O54" s="303" t="n"/>
      <c r="P54" s="303" t="n"/>
      <c r="Q54" s="304">
        <f>IFERROR(R54/H54, 0)</f>
        <v/>
      </c>
      <c r="R54" s="305" t="n">
        <v>0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 ht="16.5" customHeight="1" s="21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/>
      <c r="J55" s="300" t="inlineStr"/>
      <c r="K55" s="301" t="inlineStr">
        <is>
          <t>5IN GREEN TEA MF MATTRESS TW</t>
        </is>
      </c>
      <c r="L55" s="302" t="inlineStr">
        <is>
          <t>ZU</t>
        </is>
      </c>
      <c r="M55" s="300" t="inlineStr">
        <is>
          <t>8VH5JQ8T</t>
        </is>
      </c>
      <c r="N55" s="301" t="inlineStr"/>
      <c r="O55" s="303" t="n"/>
      <c r="P55" s="303" t="n"/>
      <c r="Q55" s="304">
        <f>IFERROR(R55/H55, 0)</f>
        <v/>
      </c>
      <c r="R55" s="305" t="n">
        <v>0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 ht="16.5" customHeight="1" s="215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/>
      <c r="J56" s="300" t="inlineStr"/>
      <c r="K56" s="301" t="inlineStr">
        <is>
          <t>12IN GREEN TEA MF MATTRESS QN</t>
        </is>
      </c>
      <c r="L56" s="302" t="inlineStr">
        <is>
          <t>ZU</t>
        </is>
      </c>
      <c r="M56" s="300" t="inlineStr">
        <is>
          <t>8VH5JQ8T</t>
        </is>
      </c>
      <c r="N56" s="301" t="inlineStr"/>
      <c r="O56" s="303" t="n"/>
      <c r="P56" s="303" t="n"/>
      <c r="Q56" s="304">
        <f>IFERROR(R56/H56, 0)</f>
        <v/>
      </c>
      <c r="R56" s="305" t="n">
        <v>0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 ht="17.1" customHeight="1" s="215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 ht="16.5" customHeight="1" s="215">
      <c r="A58" s="295" t="n">
        <v>6</v>
      </c>
      <c r="B58" s="296" t="inlineStr">
        <is>
          <t>000030ZIK48020260722000506</t>
        </is>
      </c>
      <c r="C58" s="297" t="n">
        <v>454283</v>
      </c>
      <c r="D58" s="297" t="n">
        <v>454227</v>
      </c>
      <c r="E58" s="298" t="n">
        <v>46226</v>
      </c>
      <c r="F58" s="299" t="inlineStr">
        <is>
          <t>ID2607-7885</t>
        </is>
      </c>
      <c r="G58" s="298" t="n">
        <v>46225</v>
      </c>
      <c r="H58" s="300" t="n">
        <v>182</v>
      </c>
      <c r="I58" s="300" t="inlineStr"/>
      <c r="J58" s="300" t="inlineStr"/>
      <c r="K58" s="301" t="inlineStr">
        <is>
          <t>10IN GREEN TEA MF MATTRESS TX</t>
        </is>
      </c>
      <c r="L58" s="302" t="inlineStr">
        <is>
          <t>OLC-FMS</t>
        </is>
      </c>
      <c r="M58" s="300" t="inlineStr">
        <is>
          <t>5FFUUH8B</t>
        </is>
      </c>
      <c r="N58" s="301" t="inlineStr"/>
      <c r="O58" s="303" t="inlineStr"/>
      <c r="P58" s="303" t="inlineStr"/>
      <c r="Q58" s="304">
        <f>IFERROR(R58/H58, 0)</f>
        <v/>
      </c>
      <c r="R58" s="305" t="n">
        <v>0</v>
      </c>
      <c r="S58" s="306" t="n">
        <v>18056</v>
      </c>
      <c r="T58" s="306">
        <f>IFERROR(S58*R58, 0)</f>
        <v/>
      </c>
      <c r="U58" s="307" t="inlineStr">
        <is>
          <t>PEMUATAN DI PELABUHAN</t>
        </is>
      </c>
      <c r="V58" s="308" t="inlineStr">
        <is>
          <t>TANJUNG PRIOK</t>
        </is>
      </c>
      <c r="W58" s="309" t="inlineStr"/>
      <c r="X58" s="300" t="inlineStr"/>
      <c r="Y58" s="308" t="inlineStr"/>
      <c r="Z58" s="298" t="inlineStr"/>
    </row>
    <row r="59" ht="16.5" customHeight="1" s="215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/>
      <c r="J59" s="300" t="inlineStr"/>
      <c r="K59" s="301" t="inlineStr">
        <is>
          <t>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/>
      <c r="O59" s="303" t="n"/>
      <c r="P59" s="303" t="n"/>
      <c r="Q59" s="304">
        <f>IFERROR(R59/H59, 0)</f>
        <v/>
      </c>
      <c r="R59" s="305" t="n">
        <v>0</v>
      </c>
      <c r="S59" s="306" t="n">
        <v>18056</v>
      </c>
      <c r="T59" s="306">
        <f>IFERROR(S59*R59, 0)</f>
        <v/>
      </c>
      <c r="U59" s="307" t="n"/>
      <c r="V59" s="308" t="n"/>
      <c r="W59" s="309" t="n"/>
      <c r="X59" s="300" t="n"/>
      <c r="Y59" s="308" t="n"/>
      <c r="Z59" s="298" t="n"/>
    </row>
    <row r="60" ht="16.5" customHeight="1" s="215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/>
      <c r="J60" s="300" t="inlineStr"/>
      <c r="K60" s="301" t="inlineStr">
        <is>
          <t>10IN GREEN TEA MF MATTRESS TX</t>
        </is>
      </c>
      <c r="L60" s="302" t="inlineStr">
        <is>
          <t>OLC-FMS</t>
        </is>
      </c>
      <c r="M60" s="300" t="inlineStr">
        <is>
          <t>77K91MJU</t>
        </is>
      </c>
      <c r="N60" s="301" t="inlineStr"/>
      <c r="O60" s="303" t="n"/>
      <c r="P60" s="303" t="n"/>
      <c r="Q60" s="304">
        <f>IFERROR(R60/H60, 0)</f>
        <v/>
      </c>
      <c r="R60" s="305" t="n">
        <v>0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 ht="16.5" customHeight="1" s="215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/>
      <c r="J61" s="300" t="inlineStr"/>
      <c r="K61" s="301" t="inlineStr">
        <is>
          <t>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/>
      <c r="O61" s="303" t="n"/>
      <c r="P61" s="303" t="n"/>
      <c r="Q61" s="304">
        <f>IFERROR(R61/H61, 0)</f>
        <v/>
      </c>
      <c r="R61" s="305" t="n">
        <v>0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 ht="16.5" customHeight="1" s="215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/>
      <c r="J62" s="300" t="inlineStr"/>
      <c r="K62" s="301" t="inlineStr">
        <is>
          <t>10IN GREEN TEA MF MATTRESS TX</t>
        </is>
      </c>
      <c r="L62" s="302" t="inlineStr">
        <is>
          <t>OLC-FMS</t>
        </is>
      </c>
      <c r="M62" s="300" t="inlineStr">
        <is>
          <t>7D4ITY4N</t>
        </is>
      </c>
      <c r="N62" s="301" t="inlineStr"/>
      <c r="O62" s="303" t="n"/>
      <c r="P62" s="303" t="n"/>
      <c r="Q62" s="304">
        <f>IFERROR(R62/H62, 0)</f>
        <v/>
      </c>
      <c r="R62" s="305" t="n">
        <v>0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 ht="16.5" customHeight="1" s="215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/>
      <c r="J63" s="300" t="inlineStr"/>
      <c r="K63" s="301" t="inlineStr">
        <is>
          <t>10IN GREEN TEA MF MATTRESS TX</t>
        </is>
      </c>
      <c r="L63" s="302" t="inlineStr">
        <is>
          <t>OLC-FMS</t>
        </is>
      </c>
      <c r="M63" s="300" t="inlineStr">
        <is>
          <t>7MO3ZAUN</t>
        </is>
      </c>
      <c r="N63" s="301" t="inlineStr"/>
      <c r="O63" s="303" t="n"/>
      <c r="P63" s="303" t="n"/>
      <c r="Q63" s="304">
        <f>IFERROR(R63/H63, 0)</f>
        <v/>
      </c>
      <c r="R63" s="305" t="n">
        <v>0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 ht="16.5" customHeight="1" s="215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/>
      <c r="J64" s="300" t="inlineStr"/>
      <c r="K64" s="301" t="inlineStr">
        <is>
          <t>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/>
      <c r="O64" s="303" t="n"/>
      <c r="P64" s="303" t="n"/>
      <c r="Q64" s="304">
        <f>IFERROR(R64/H64, 0)</f>
        <v/>
      </c>
      <c r="R64" s="305" t="n">
        <v>0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 ht="16.5" customHeight="1" s="21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/>
      <c r="J65" s="300" t="inlineStr"/>
      <c r="K65" s="301" t="inlineStr">
        <is>
          <t>3IN CV LAVENDER MF TOPPER FL</t>
        </is>
      </c>
      <c r="L65" s="302" t="inlineStr">
        <is>
          <t>ECMF-03FL</t>
        </is>
      </c>
      <c r="M65" s="300" t="inlineStr">
        <is>
          <t>5FFUUH8B</t>
        </is>
      </c>
      <c r="N65" s="301" t="inlineStr"/>
      <c r="O65" s="303" t="n"/>
      <c r="P65" s="303" t="n"/>
      <c r="Q65" s="304">
        <f>IFERROR(R65/H65, 0)</f>
        <v/>
      </c>
      <c r="R65" s="305" t="n">
        <v>0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 ht="16.5" customHeight="1" s="215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/>
      <c r="J66" s="300" t="inlineStr"/>
      <c r="K66" s="301" t="inlineStr">
        <is>
          <t>3IN CV LAVENDER MF TOPPER TW</t>
        </is>
      </c>
      <c r="L66" s="302" t="inlineStr">
        <is>
          <t>ECMF</t>
        </is>
      </c>
      <c r="M66" s="300" t="inlineStr">
        <is>
          <t>5FFUUH8B</t>
        </is>
      </c>
      <c r="N66" s="301" t="inlineStr"/>
      <c r="O66" s="303" t="n"/>
      <c r="P66" s="303" t="n"/>
      <c r="Q66" s="304">
        <f>IFERROR(R66/H66, 0)</f>
        <v/>
      </c>
      <c r="R66" s="305" t="n">
        <v>0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 ht="16.5" customHeight="1" s="215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/>
      <c r="J67" s="300" t="inlineStr"/>
      <c r="K67" s="301" t="inlineStr">
        <is>
          <t>3IN CV LAVENDER MF TOPPER FL</t>
        </is>
      </c>
      <c r="L67" s="302" t="inlineStr">
        <is>
          <t>ECMF-03FL</t>
        </is>
      </c>
      <c r="M67" s="300" t="inlineStr">
        <is>
          <t>77K91MJU</t>
        </is>
      </c>
      <c r="N67" s="301" t="inlineStr"/>
      <c r="O67" s="303" t="n"/>
      <c r="P67" s="303" t="n"/>
      <c r="Q67" s="304">
        <f>IFERROR(R67/H67, 0)</f>
        <v/>
      </c>
      <c r="R67" s="305" t="n">
        <v>0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 ht="16.5" customHeight="1" s="215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/>
      <c r="J68" s="300" t="inlineStr"/>
      <c r="K68" s="301" t="inlineStr">
        <is>
          <t>3IN CV LAVENDER MF TOPPER QN</t>
        </is>
      </c>
      <c r="L68" s="302" t="inlineStr">
        <is>
          <t>ECMF</t>
        </is>
      </c>
      <c r="M68" s="300" t="inlineStr">
        <is>
          <t>77K91MJU</t>
        </is>
      </c>
      <c r="N68" s="301" t="inlineStr"/>
      <c r="O68" s="303" t="n"/>
      <c r="P68" s="303" t="n"/>
      <c r="Q68" s="304">
        <f>IFERROR(R68/H68, 0)</f>
        <v/>
      </c>
      <c r="R68" s="305" t="n">
        <v>0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 ht="16.5" customHeight="1" s="215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/>
      <c r="J69" s="300" t="inlineStr"/>
      <c r="K69" s="301" t="inlineStr">
        <is>
          <t>3IN CV LAVENDER MF TOPPER TW</t>
        </is>
      </c>
      <c r="L69" s="302" t="inlineStr">
        <is>
          <t>ECMF-03TL</t>
        </is>
      </c>
      <c r="M69" s="300" t="inlineStr">
        <is>
          <t>77K91MJU</t>
        </is>
      </c>
      <c r="N69" s="301" t="inlineStr"/>
      <c r="O69" s="303" t="n"/>
      <c r="P69" s="303" t="n"/>
      <c r="Q69" s="304">
        <f>IFERROR(R69/H69, 0)</f>
        <v/>
      </c>
      <c r="R69" s="305" t="n">
        <v>0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 ht="16.5" customHeight="1" s="215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/>
      <c r="J70" s="300" t="inlineStr"/>
      <c r="K70" s="301" t="inlineStr">
        <is>
          <t>3IN CV LAVENDER MF TOPPER TX</t>
        </is>
      </c>
      <c r="L70" s="302" t="inlineStr">
        <is>
          <t>ECMF</t>
        </is>
      </c>
      <c r="M70" s="300" t="inlineStr">
        <is>
          <t>77K91MJU</t>
        </is>
      </c>
      <c r="N70" s="301" t="inlineStr"/>
      <c r="O70" s="303" t="n"/>
      <c r="P70" s="303" t="n"/>
      <c r="Q70" s="304">
        <f>IFERROR(R70/H70, 0)</f>
        <v/>
      </c>
      <c r="R70" s="305" t="n">
        <v>0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 ht="16.5" customHeight="1" s="215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/>
      <c r="J71" s="300" t="inlineStr"/>
      <c r="K71" s="301" t="inlineStr">
        <is>
          <t>4IN CV LAVENDER MF TOPPER TW</t>
        </is>
      </c>
      <c r="L71" s="302" t="inlineStr">
        <is>
          <t>ECMF</t>
        </is>
      </c>
      <c r="M71" s="300" t="inlineStr">
        <is>
          <t>77K91MJU</t>
        </is>
      </c>
      <c r="N71" s="301" t="inlineStr"/>
      <c r="O71" s="303" t="n"/>
      <c r="P71" s="303" t="n"/>
      <c r="Q71" s="304">
        <f>IFERROR(R71/H71, 0)</f>
        <v/>
      </c>
      <c r="R71" s="305" t="n">
        <v>0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 ht="16.5" customHeight="1" s="215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/>
      <c r="J72" s="300" t="inlineStr"/>
      <c r="K72" s="301" t="inlineStr">
        <is>
          <t>3IN CV LAVENDER MF TOPPER FL</t>
        </is>
      </c>
      <c r="L72" s="302" t="inlineStr">
        <is>
          <t>ECMF-03FL</t>
        </is>
      </c>
      <c r="M72" s="300" t="inlineStr">
        <is>
          <t>7D4ITY4N</t>
        </is>
      </c>
      <c r="N72" s="301" t="inlineStr"/>
      <c r="O72" s="303" t="n"/>
      <c r="P72" s="303" t="n"/>
      <c r="Q72" s="304">
        <f>IFERROR(R72/H72, 0)</f>
        <v/>
      </c>
      <c r="R72" s="305" t="n">
        <v>0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 ht="16.5" customHeight="1" s="215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/>
      <c r="J73" s="300" t="inlineStr"/>
      <c r="K73" s="301" t="inlineStr">
        <is>
          <t>3IN CV LAVENDER MF TOPPER QN</t>
        </is>
      </c>
      <c r="L73" s="302" t="inlineStr">
        <is>
          <t>ECMF-03QL</t>
        </is>
      </c>
      <c r="M73" s="300" t="inlineStr">
        <is>
          <t>7D4ITY4N</t>
        </is>
      </c>
      <c r="N73" s="301" t="inlineStr"/>
      <c r="O73" s="303" t="n"/>
      <c r="P73" s="303" t="n"/>
      <c r="Q73" s="304">
        <f>IFERROR(R73/H73, 0)</f>
        <v/>
      </c>
      <c r="R73" s="305" t="n">
        <v>0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 ht="16.5" customHeight="1" s="215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/>
      <c r="J74" s="300" t="inlineStr"/>
      <c r="K74" s="301" t="inlineStr">
        <is>
          <t>3IN CV LAVENDER MF TOPPER TW</t>
        </is>
      </c>
      <c r="L74" s="302" t="inlineStr">
        <is>
          <t>ECMF-03TL</t>
        </is>
      </c>
      <c r="M74" s="300" t="inlineStr">
        <is>
          <t>7D4ITY4N</t>
        </is>
      </c>
      <c r="N74" s="301" t="inlineStr"/>
      <c r="O74" s="303" t="n"/>
      <c r="P74" s="303" t="n"/>
      <c r="Q74" s="304">
        <f>IFERROR(R74/H74, 0)</f>
        <v/>
      </c>
      <c r="R74" s="305" t="n">
        <v>0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 ht="16.5" customHeight="1" s="21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/>
      <c r="J75" s="300" t="inlineStr"/>
      <c r="K75" s="301" t="inlineStr">
        <is>
          <t>3IN CV LAVENDER MF TOPPER TX</t>
        </is>
      </c>
      <c r="L75" s="302" t="inlineStr">
        <is>
          <t>ECMF</t>
        </is>
      </c>
      <c r="M75" s="300" t="inlineStr">
        <is>
          <t>7D4ITY4N</t>
        </is>
      </c>
      <c r="N75" s="301" t="inlineStr"/>
      <c r="O75" s="303" t="n"/>
      <c r="P75" s="303" t="n"/>
      <c r="Q75" s="304">
        <f>IFERROR(R75/H75, 0)</f>
        <v/>
      </c>
      <c r="R75" s="305" t="n">
        <v>0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 ht="16.5" customHeight="1" s="215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/>
      <c r="J76" s="300" t="inlineStr"/>
      <c r="K76" s="301" t="inlineStr">
        <is>
          <t>2IN CV LAVENDER MF TOPPER QN</t>
        </is>
      </c>
      <c r="L76" s="302" t="inlineStr">
        <is>
          <t>ECMF-LV2Q</t>
        </is>
      </c>
      <c r="M76" s="300" t="inlineStr">
        <is>
          <t>7D4ITY4N</t>
        </is>
      </c>
      <c r="N76" s="301" t="inlineStr"/>
      <c r="O76" s="303" t="n"/>
      <c r="P76" s="303" t="n"/>
      <c r="Q76" s="304">
        <f>IFERROR(R76/H76, 0)</f>
        <v/>
      </c>
      <c r="R76" s="305" t="n">
        <v>0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 ht="16.5" customHeight="1" s="215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/>
      <c r="J77" s="300" t="inlineStr"/>
      <c r="K77" s="301" t="inlineStr">
        <is>
          <t>4IN CV LAVENDER MF TOPPER TW</t>
        </is>
      </c>
      <c r="L77" s="302" t="inlineStr">
        <is>
          <t>ECMF-LV4T</t>
        </is>
      </c>
      <c r="M77" s="300" t="inlineStr">
        <is>
          <t>7D4ITY4N</t>
        </is>
      </c>
      <c r="N77" s="301" t="inlineStr"/>
      <c r="O77" s="303" t="n"/>
      <c r="P77" s="303" t="n"/>
      <c r="Q77" s="304">
        <f>IFERROR(R77/H77, 0)</f>
        <v/>
      </c>
      <c r="R77" s="305" t="n">
        <v>0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 ht="16.5" customHeight="1" s="215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/>
      <c r="J78" s="300" t="inlineStr"/>
      <c r="K78" s="301" t="inlineStr">
        <is>
          <t>3IN CV LAVENDER MF TOPPER QN</t>
        </is>
      </c>
      <c r="L78" s="302" t="inlineStr">
        <is>
          <t>ECMF</t>
        </is>
      </c>
      <c r="M78" s="300" t="inlineStr">
        <is>
          <t>7MO3ZAUN</t>
        </is>
      </c>
      <c r="N78" s="301" t="inlineStr"/>
      <c r="O78" s="303" t="n"/>
      <c r="P78" s="303" t="n"/>
      <c r="Q78" s="304">
        <f>IFERROR(R78/H78, 0)</f>
        <v/>
      </c>
      <c r="R78" s="305" t="n">
        <v>0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 ht="16.5" customHeight="1" s="215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/>
      <c r="J79" s="300" t="inlineStr"/>
      <c r="K79" s="301" t="inlineStr">
        <is>
          <t>3IN CV LAVENDER MF TOPPER TW</t>
        </is>
      </c>
      <c r="L79" s="302" t="inlineStr">
        <is>
          <t>ECMF</t>
        </is>
      </c>
      <c r="M79" s="300" t="inlineStr">
        <is>
          <t>7MO3ZAUN</t>
        </is>
      </c>
      <c r="N79" s="301" t="inlineStr"/>
      <c r="O79" s="303" t="n"/>
      <c r="P79" s="303" t="n"/>
      <c r="Q79" s="304">
        <f>IFERROR(R79/H79, 0)</f>
        <v/>
      </c>
      <c r="R79" s="305" t="n">
        <v>0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 ht="16.5" customHeight="1" s="215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/>
      <c r="J80" s="300" t="inlineStr"/>
      <c r="K80" s="301" t="inlineStr">
        <is>
          <t>3IN CV LAVENDER MF TOPPER TX</t>
        </is>
      </c>
      <c r="L80" s="302" t="inlineStr">
        <is>
          <t>ECMF</t>
        </is>
      </c>
      <c r="M80" s="300" t="inlineStr">
        <is>
          <t>7MO3ZAUN</t>
        </is>
      </c>
      <c r="N80" s="301" t="inlineStr"/>
      <c r="O80" s="303" t="n"/>
      <c r="P80" s="303" t="n"/>
      <c r="Q80" s="304">
        <f>IFERROR(R80/H80, 0)</f>
        <v/>
      </c>
      <c r="R80" s="305" t="n">
        <v>0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 ht="16.5" customHeight="1" s="215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/>
      <c r="J81" s="300" t="inlineStr"/>
      <c r="K81" s="301" t="inlineStr">
        <is>
          <t>4IN CV LAVENDER MF TOPPER TW</t>
        </is>
      </c>
      <c r="L81" s="302" t="inlineStr">
        <is>
          <t>ECMF</t>
        </is>
      </c>
      <c r="M81" s="300" t="inlineStr">
        <is>
          <t>7MO3ZAUN</t>
        </is>
      </c>
      <c r="N81" s="301" t="inlineStr"/>
      <c r="O81" s="303" t="n"/>
      <c r="P81" s="303" t="n"/>
      <c r="Q81" s="304">
        <f>IFERROR(R81/H81, 0)</f>
        <v/>
      </c>
      <c r="R81" s="305" t="n">
        <v>0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 ht="16.5" customHeight="1" s="215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/>
      <c r="J82" s="300" t="inlineStr"/>
      <c r="K82" s="301" t="inlineStr">
        <is>
          <t>3IN CV LAVENDER MF TOPPER QN</t>
        </is>
      </c>
      <c r="L82" s="302" t="inlineStr">
        <is>
          <t>ECMF</t>
        </is>
      </c>
      <c r="M82" s="300" t="inlineStr">
        <is>
          <t>8Y39N9EN</t>
        </is>
      </c>
      <c r="N82" s="301" t="inlineStr"/>
      <c r="O82" s="303" t="n"/>
      <c r="P82" s="303" t="n"/>
      <c r="Q82" s="304">
        <f>IFERROR(R82/H82, 0)</f>
        <v/>
      </c>
      <c r="R82" s="305" t="n">
        <v>0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 ht="16.5" customHeight="1" s="215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/>
      <c r="J83" s="300" t="inlineStr"/>
      <c r="K83" s="301" t="inlineStr">
        <is>
          <t>3IN CV LAVENDER MF TOPPER TX</t>
        </is>
      </c>
      <c r="L83" s="302" t="inlineStr">
        <is>
          <t>ECMF</t>
        </is>
      </c>
      <c r="M83" s="300" t="inlineStr">
        <is>
          <t>8Y39N9EN</t>
        </is>
      </c>
      <c r="N83" s="301" t="inlineStr"/>
      <c r="O83" s="303" t="n"/>
      <c r="P83" s="303" t="n"/>
      <c r="Q83" s="304">
        <f>IFERROR(R83/H83, 0)</f>
        <v/>
      </c>
      <c r="R83" s="305" t="n">
        <v>0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 ht="16.5" customHeight="1" s="215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/>
      <c r="J84" s="300" t="inlineStr"/>
      <c r="K84" s="301" t="inlineStr">
        <is>
          <t>2IN CV LAVENDER MF TOPPER QN</t>
        </is>
      </c>
      <c r="L84" s="302" t="inlineStr">
        <is>
          <t>ECMF</t>
        </is>
      </c>
      <c r="M84" s="300" t="inlineStr">
        <is>
          <t>8Y39N9EN</t>
        </is>
      </c>
      <c r="N84" s="301" t="inlineStr"/>
      <c r="O84" s="303" t="n"/>
      <c r="P84" s="303" t="n"/>
      <c r="Q84" s="304">
        <f>IFERROR(R84/H84, 0)</f>
        <v/>
      </c>
      <c r="R84" s="305" t="n">
        <v>0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 ht="16.5" customHeight="1" s="21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/>
      <c r="J85" s="300" t="inlineStr"/>
      <c r="K85" s="301" t="inlineStr">
        <is>
          <t>4IN CV LAVENDER MF TOPPER TW</t>
        </is>
      </c>
      <c r="L85" s="302" t="inlineStr">
        <is>
          <t>ECMF</t>
        </is>
      </c>
      <c r="M85" s="300" t="inlineStr">
        <is>
          <t>8Y39N9EN</t>
        </is>
      </c>
      <c r="N85" s="301" t="inlineStr"/>
      <c r="O85" s="303" t="n"/>
      <c r="P85" s="303" t="n"/>
      <c r="Q85" s="304">
        <f>IFERROR(R85/H85, 0)</f>
        <v/>
      </c>
      <c r="R85" s="305" t="n">
        <v>0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 ht="17.1" customHeight="1" s="215">
      <c r="A86" s="310" t="n"/>
      <c r="B86" s="311" t="n"/>
      <c r="C86" s="312" t="n"/>
      <c r="D86" s="312" t="n"/>
      <c r="E86" s="313" t="n"/>
      <c r="F86" s="313" t="n"/>
      <c r="G86" s="313" t="n"/>
      <c r="H86" s="314">
        <f>SUM(H58:H85)</f>
        <v/>
      </c>
      <c r="I86" s="315">
        <f>COUNTA(I58:I85)</f>
        <v/>
      </c>
      <c r="J86" s="314" t="n"/>
      <c r="K86" s="314" t="n"/>
      <c r="L86" s="316" t="n"/>
      <c r="M86" s="314" t="n"/>
      <c r="N86" s="314" t="n"/>
      <c r="O86" s="317">
        <f>SUM(O58:O85)</f>
        <v/>
      </c>
      <c r="P86" s="317">
        <f>SUM(P58:P85)</f>
        <v/>
      </c>
      <c r="Q86" s="318" t="n"/>
      <c r="R86" s="319">
        <f>SUM(R58:R85)</f>
        <v/>
      </c>
      <c r="S86" s="320" t="n"/>
      <c r="T86" s="320">
        <f>SUM(T58:T85)</f>
        <v/>
      </c>
      <c r="U86" s="314" t="n"/>
      <c r="V86" s="321" t="n"/>
      <c r="W86" s="322" t="n"/>
      <c r="X86" s="321" t="n"/>
      <c r="Y86" s="321" t="n"/>
      <c r="Z86" s="321" t="n"/>
    </row>
    <row r="87" ht="20.1" customHeight="1" s="215">
      <c r="A87" s="128">
        <f>COUNT(A12:A86)</f>
        <v/>
      </c>
      <c r="B87" s="129" t="n"/>
      <c r="C87" s="323" t="n"/>
      <c r="D87" s="324" t="n"/>
      <c r="E87" s="324" t="n"/>
      <c r="F87" s="324" t="n"/>
      <c r="G87" s="324" t="n"/>
      <c r="H87" s="132">
        <f>H14+H16+H18+H46+H57+H86</f>
        <v/>
      </c>
      <c r="I87" s="132">
        <f>I14+I16+I18+I46+I57+I86</f>
        <v/>
      </c>
      <c r="J87" s="133" t="n"/>
      <c r="K87" s="325" t="n"/>
      <c r="L87" s="326" t="n"/>
      <c r="M87" s="327" t="n"/>
      <c r="N87" s="328" t="n"/>
      <c r="O87" s="138">
        <f>O14+O16+O18+O46+O57+O86</f>
        <v/>
      </c>
      <c r="P87" s="138">
        <f>P14+P16+P18+P46+P57+P86</f>
        <v/>
      </c>
      <c r="Q87" s="329" t="n"/>
      <c r="R87" s="330">
        <f>R14+R16+R18+R46+R57+R86</f>
        <v/>
      </c>
      <c r="S87" s="331" t="n"/>
      <c r="T87" s="332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33" t="n"/>
      <c r="I88" s="333" t="n"/>
      <c r="J88" s="334" t="n"/>
      <c r="K88" s="222" t="n"/>
      <c r="L88" s="222" t="n"/>
      <c r="M88" s="222" t="n"/>
      <c r="N88" s="335" t="n"/>
      <c r="Q88" s="336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34" t="n"/>
      <c r="I89" s="334" t="n"/>
      <c r="J89" s="334" t="n"/>
      <c r="K89" s="222" t="n"/>
      <c r="L89" s="222" t="n"/>
      <c r="M89" s="222" t="n"/>
      <c r="N89" s="335" t="n"/>
      <c r="Q89" s="336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37" t="n"/>
      <c r="I90" s="337" t="n"/>
      <c r="J90" s="334" t="n"/>
      <c r="T90" s="338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34" t="n"/>
      <c r="I91" s="334" t="n"/>
      <c r="J91" s="334" t="n"/>
      <c r="K91" s="222" t="n"/>
      <c r="L91" s="222" t="n"/>
      <c r="M91" s="222" t="n"/>
      <c r="R91" s="339" t="n"/>
      <c r="S91" s="338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2" t="n"/>
      <c r="L92" s="222" t="n"/>
      <c r="M92" s="222" t="n"/>
      <c r="N92" s="335" t="n"/>
      <c r="P92" s="340" t="n"/>
      <c r="Q92" s="341" t="n"/>
      <c r="R92" s="339" t="n"/>
      <c r="S92" s="338" t="n"/>
      <c r="T92" s="338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42">
        <f>A87</f>
        <v/>
      </c>
      <c r="D93" s="343" t="n"/>
      <c r="G93" s="169" t="n"/>
      <c r="H93" s="178" t="n"/>
      <c r="I93" s="178" t="n"/>
      <c r="K93" s="222" t="n"/>
      <c r="L93" s="222" t="n"/>
      <c r="M93" s="222" t="n"/>
      <c r="N93" s="335" t="n"/>
      <c r="P93" s="340" t="n"/>
      <c r="Q93" s="341" t="n"/>
      <c r="R93" s="339" t="n"/>
      <c r="S93" s="338" t="n"/>
      <c r="T93" s="338" t="n"/>
      <c r="U93" s="173">
        <f>+[1]REKAP!X34</f>
        <v/>
      </c>
    </row>
    <row r="94">
      <c r="A94" s="174" t="inlineStr">
        <is>
          <t>Gross Weight</t>
        </is>
      </c>
      <c r="B94" s="179" t="n"/>
      <c r="C94" s="344">
        <f>O87</f>
        <v/>
      </c>
      <c r="D94" s="343" t="n"/>
      <c r="H94" s="182" t="n"/>
      <c r="I94" s="183" t="n"/>
      <c r="K94" s="222" t="n"/>
      <c r="L94" s="222" t="n"/>
      <c r="M94" s="222" t="n"/>
      <c r="N94" s="335" t="n"/>
      <c r="P94" s="345" t="n"/>
      <c r="Q94" s="346" t="n"/>
      <c r="R94" s="347" t="n"/>
      <c r="S94" s="348" t="n"/>
      <c r="T94" s="348" t="n"/>
      <c r="U94" s="4" t="n"/>
    </row>
    <row r="95">
      <c r="A95" s="174" t="inlineStr">
        <is>
          <t>Nett Weight</t>
        </is>
      </c>
      <c r="B95" s="179" t="n"/>
      <c r="C95" s="344">
        <f>P87</f>
        <v/>
      </c>
      <c r="D95" s="343" t="n"/>
      <c r="K95" s="222" t="n"/>
      <c r="L95" s="222" t="n"/>
      <c r="M95" s="222" t="n"/>
      <c r="N95" s="335" t="n"/>
      <c r="P95" s="345" t="n"/>
      <c r="Q95" s="346" t="n"/>
      <c r="R95" s="347" t="n"/>
      <c r="S95" s="348" t="n"/>
      <c r="T95" s="348" t="n"/>
      <c r="U95" s="4" t="n"/>
    </row>
    <row r="96">
      <c r="A96" s="174" t="inlineStr">
        <is>
          <t>Amount</t>
        </is>
      </c>
      <c r="B96" s="179" t="n"/>
      <c r="C96" s="349">
        <f>R87</f>
        <v/>
      </c>
      <c r="D96" s="343" t="n"/>
      <c r="K96" s="222" t="n"/>
      <c r="L96" s="222" t="n"/>
      <c r="M96" s="222" t="n"/>
      <c r="N96" s="335" t="n"/>
      <c r="P96" s="345" t="n"/>
      <c r="Q96" s="346" t="n"/>
      <c r="R96" s="347" t="n"/>
      <c r="S96" s="348" t="n"/>
      <c r="T96" s="348" t="n"/>
      <c r="U96" s="190" t="n"/>
    </row>
    <row r="97">
      <c r="A97" s="174" t="inlineStr">
        <is>
          <t>Jumlah Container</t>
        </is>
      </c>
      <c r="B97" s="179" t="n"/>
      <c r="C97" s="350">
        <f>I87</f>
        <v/>
      </c>
      <c r="D97" s="343" t="n"/>
      <c r="K97" s="222" t="n"/>
      <c r="L97" s="222" t="n"/>
      <c r="M97" s="222" t="n"/>
      <c r="N97" s="335" t="n"/>
      <c r="P97" s="345" t="n"/>
      <c r="Q97" s="346" t="n"/>
      <c r="R97" s="347" t="n"/>
      <c r="S97" s="348" t="n"/>
      <c r="T97" s="348" t="n"/>
      <c r="U97" s="173" t="n"/>
    </row>
    <row r="98">
      <c r="A98" s="174" t="n"/>
      <c r="B98" s="179" t="n"/>
      <c r="C98" s="351">
        <f>I28</f>
        <v/>
      </c>
      <c r="D98" s="343" t="n"/>
      <c r="K98" s="222" t="n"/>
      <c r="L98" s="222" t="n"/>
      <c r="M98" s="222" t="n"/>
      <c r="N98" s="335" t="n"/>
      <c r="P98" s="345" t="n"/>
      <c r="Q98" s="346" t="n"/>
      <c r="R98" s="347" t="n"/>
      <c r="S98" s="348" t="n"/>
      <c r="T98" s="348" t="n"/>
      <c r="U98" s="173" t="n"/>
    </row>
    <row r="99">
      <c r="A99" s="195" t="n"/>
      <c r="B99" s="179" t="n"/>
      <c r="C99" s="352">
        <f>C36*2+C37</f>
        <v/>
      </c>
      <c r="D99" s="343" t="n"/>
      <c r="K99" s="222" t="n"/>
      <c r="L99" s="222" t="n"/>
      <c r="M99" s="222" t="n"/>
      <c r="N99" s="335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6" t="n"/>
      <c r="L101" s="216" t="n"/>
      <c r="M101" s="216" t="n"/>
      <c r="N101" s="217" t="n"/>
      <c r="O101" s="218" t="n"/>
      <c r="P101" s="218" t="n"/>
      <c r="Q101" s="219" t="n"/>
      <c r="R101" s="220" t="n"/>
      <c r="S101" s="221" t="n"/>
      <c r="T101" s="221" t="n"/>
      <c r="U101" s="222" t="n"/>
      <c r="V101" s="222" t="n"/>
      <c r="W101" s="222" t="n"/>
      <c r="X101" s="222" t="n"/>
      <c r="Y101" s="222" t="n"/>
      <c r="Z101" s="222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  <c r="AY101" s="223" t="n"/>
      <c r="AZ101" s="223" t="n"/>
      <c r="BA101" s="223" t="n"/>
      <c r="BB101" s="223" t="n"/>
      <c r="BC101" s="223" t="n"/>
      <c r="BD101" s="223" t="n"/>
      <c r="BE101" s="223" t="n"/>
      <c r="BF101" s="223" t="n"/>
      <c r="BG101" s="223" t="n"/>
      <c r="BH101" s="223" t="n"/>
      <c r="BI101" s="223" t="n"/>
      <c r="BJ101" s="223" t="n"/>
      <c r="BK101" s="223" t="n"/>
      <c r="BL101" s="223" t="n"/>
      <c r="BM101" s="223" t="n"/>
      <c r="BN101" s="223" t="n"/>
      <c r="BO101" s="223" t="n"/>
      <c r="BP101" s="223" t="n"/>
      <c r="BQ101" s="223" t="n"/>
      <c r="BR101" s="223" t="n"/>
      <c r="BS101" s="223" t="n"/>
      <c r="BT101" s="223" t="n"/>
      <c r="BU101" s="223" t="n"/>
      <c r="BV101" s="223" t="n"/>
      <c r="BW101" s="223" t="n"/>
      <c r="BX101" s="223" t="n"/>
      <c r="BY101" s="223" t="n"/>
      <c r="BZ101" s="223" t="n"/>
      <c r="CA101" s="223" t="n"/>
      <c r="CB101" s="223" t="n"/>
      <c r="CC101" s="223" t="n"/>
      <c r="CD101" s="223" t="n"/>
      <c r="CE101" s="223" t="n"/>
      <c r="CF101" s="223" t="n"/>
      <c r="CG101" s="223" t="n"/>
      <c r="CH101" s="223" t="n"/>
      <c r="CI101" s="223" t="n"/>
      <c r="CJ101" s="223" t="n"/>
      <c r="CK101" s="223" t="n"/>
      <c r="CL101" s="223" t="n"/>
      <c r="CM101" s="223" t="n"/>
      <c r="CN101" s="223" t="n"/>
      <c r="CO101" s="223" t="n"/>
      <c r="CP101" s="223" t="n"/>
      <c r="CQ101" s="223" t="n"/>
      <c r="CR101" s="223" t="n"/>
      <c r="CS101" s="223" t="n"/>
      <c r="CT101" s="223" t="n"/>
      <c r="CU101" s="223" t="n"/>
      <c r="CV101" s="223" t="n"/>
      <c r="CW101" s="223" t="n"/>
      <c r="CX101" s="223" t="n"/>
      <c r="CY101" s="223" t="n"/>
      <c r="CZ101" s="223" t="n"/>
      <c r="DA101" s="223" t="n"/>
      <c r="DB101" s="223" t="n"/>
      <c r="DC101" s="223" t="n"/>
      <c r="DD101" s="223" t="n"/>
      <c r="DE101" s="223" t="n"/>
      <c r="DF101" s="223" t="n"/>
      <c r="DG101" s="223" t="n"/>
      <c r="DH101" s="223" t="n"/>
      <c r="DI101" s="223" t="n"/>
      <c r="DJ101" s="223" t="n"/>
      <c r="DK101" s="223" t="n"/>
      <c r="DL101" s="223" t="n"/>
      <c r="DM101" s="223" t="n"/>
      <c r="DN101" s="223" t="n"/>
      <c r="DO101" s="223" t="n"/>
      <c r="DP101" s="223" t="n"/>
      <c r="DQ101" s="223" t="n"/>
      <c r="DR101" s="223" t="n"/>
      <c r="DS101" s="223" t="n"/>
      <c r="DT101" s="223" t="n"/>
      <c r="DU101" s="223" t="n"/>
      <c r="DV101" s="223" t="n"/>
      <c r="DW101" s="223" t="n"/>
      <c r="DX101" s="223" t="n"/>
      <c r="DY101" s="223" t="n"/>
      <c r="DZ101" s="223" t="n"/>
      <c r="EA101" s="223" t="n"/>
      <c r="EB101" s="223" t="n"/>
      <c r="EC101" s="223" t="n"/>
      <c r="ED101" s="223" t="n"/>
      <c r="EE101" s="223" t="n"/>
      <c r="EF101" s="223" t="n"/>
      <c r="EG101" s="223" t="n"/>
      <c r="EH101" s="223" t="n"/>
      <c r="EI101" s="223" t="n"/>
      <c r="EJ101" s="223" t="n"/>
      <c r="EK101" s="223" t="n"/>
      <c r="EL101" s="223" t="n"/>
      <c r="EM101" s="223" t="n"/>
      <c r="EN101" s="223" t="n"/>
      <c r="EO101" s="223" t="n"/>
      <c r="EP101" s="223" t="n"/>
      <c r="EQ101" s="223" t="n"/>
      <c r="ER101" s="223" t="n"/>
      <c r="ES101" s="223" t="n"/>
      <c r="ET101" s="223" t="n"/>
      <c r="EU101" s="223" t="n"/>
      <c r="EV101" s="223" t="n"/>
      <c r="EW101" s="223" t="n"/>
      <c r="EX101" s="223" t="n"/>
      <c r="EY101" s="223" t="n"/>
      <c r="EZ101" s="223" t="n"/>
      <c r="FA101" s="223" t="n"/>
      <c r="FB101" s="223" t="n"/>
      <c r="FC101" s="223" t="n"/>
      <c r="FD101" s="223" t="n"/>
      <c r="FE101" s="223" t="n"/>
      <c r="FF101" s="223" t="n"/>
      <c r="FG101" s="223" t="n"/>
      <c r="FH101" s="223" t="n"/>
      <c r="FI101" s="223" t="n"/>
      <c r="FJ101" s="223" t="n"/>
      <c r="FK101" s="223" t="n"/>
      <c r="FL101" s="223" t="n"/>
      <c r="FM101" s="223" t="n"/>
      <c r="FN101" s="223" t="n"/>
      <c r="FO101" s="223" t="n"/>
      <c r="FP101" s="223" t="n"/>
      <c r="FQ101" s="223" t="n"/>
      <c r="FR101" s="223" t="n"/>
      <c r="FS101" s="223" t="n"/>
      <c r="FT101" s="223" t="n"/>
      <c r="FU101" s="223" t="n"/>
      <c r="FV101" s="223" t="n"/>
      <c r="FW101" s="223" t="n"/>
      <c r="FX101" s="223" t="n"/>
      <c r="FY101" s="223" t="n"/>
      <c r="FZ101" s="223" t="n"/>
      <c r="GA101" s="223" t="n"/>
      <c r="GB101" s="223" t="n"/>
      <c r="GC101" s="223" t="n"/>
      <c r="GD101" s="223" t="n"/>
      <c r="GE101" s="223" t="n"/>
      <c r="GF101" s="223" t="n"/>
      <c r="GG101" s="223" t="n"/>
      <c r="GH101" s="223" t="n"/>
      <c r="GI101" s="223" t="n"/>
      <c r="GJ101" s="223" t="n"/>
      <c r="GK101" s="223" t="n"/>
      <c r="GL101" s="223" t="n"/>
      <c r="GM101" s="223" t="n"/>
      <c r="GN101" s="223" t="n"/>
      <c r="GO101" s="223" t="n"/>
      <c r="GP101" s="223" t="n"/>
      <c r="GQ101" s="223" t="n"/>
      <c r="GR101" s="223" t="n"/>
      <c r="GS101" s="223" t="n"/>
      <c r="GT101" s="223" t="n"/>
      <c r="GU101" s="223" t="n"/>
      <c r="GV101" s="223" t="n"/>
      <c r="GW101" s="223" t="n"/>
      <c r="GX101" s="223" t="n"/>
      <c r="GY101" s="223" t="n"/>
      <c r="GZ101" s="223" t="n"/>
      <c r="HA101" s="223" t="n"/>
      <c r="HB101" s="223" t="n"/>
      <c r="HC101" s="223" t="n"/>
      <c r="HD101" s="223" t="n"/>
      <c r="HE101" s="223" t="n"/>
      <c r="HF101" s="223" t="n"/>
      <c r="HG101" s="223" t="n"/>
      <c r="HH101" s="223" t="n"/>
      <c r="HI101" s="223" t="n"/>
      <c r="HJ101" s="223" t="n"/>
      <c r="HK101" s="223" t="n"/>
      <c r="HL101" s="223" t="n"/>
      <c r="HM101" s="223" t="n"/>
      <c r="HN101" s="223" t="n"/>
      <c r="HO101" s="223" t="n"/>
      <c r="HP101" s="223" t="n"/>
      <c r="HQ101" s="223" t="n"/>
      <c r="HR101" s="223" t="n"/>
      <c r="HS101" s="223" t="n"/>
      <c r="HT101" s="223" t="n"/>
      <c r="HU101" s="223" t="n"/>
      <c r="HV101" s="223" t="n"/>
      <c r="HW101" s="223" t="n"/>
      <c r="HX101" s="223" t="n"/>
      <c r="HY101" s="223" t="n"/>
      <c r="HZ101" s="223" t="n"/>
      <c r="IA101" s="223" t="n"/>
      <c r="IB101" s="223" t="n"/>
      <c r="IC101" s="223" t="n"/>
      <c r="ID101" s="223" t="n"/>
      <c r="IE101" s="223" t="n"/>
      <c r="IF101" s="223" t="n"/>
      <c r="IG101" s="223" t="n"/>
      <c r="IH101" s="223" t="n"/>
      <c r="II101" s="223" t="n"/>
      <c r="IJ101" s="223" t="n"/>
      <c r="IK101" s="223" t="n"/>
      <c r="IL101" s="223" t="n"/>
      <c r="IM101" s="223" t="n"/>
      <c r="IN101" s="223" t="n"/>
      <c r="IO101" s="223" t="n"/>
      <c r="IP101" s="223" t="n"/>
      <c r="IQ101" s="223" t="n"/>
      <c r="IR101" s="223" t="n"/>
      <c r="IS101" s="223" t="n"/>
      <c r="IT101" s="223" t="n"/>
      <c r="IU101" s="223" t="n"/>
      <c r="IV101" s="223" t="n"/>
      <c r="IW101" s="223" t="n"/>
      <c r="IX101" s="223" t="n"/>
      <c r="IY101" s="223" t="n"/>
      <c r="IZ101" s="223" t="n"/>
      <c r="JA101" s="223" t="n"/>
      <c r="JB101" s="223" t="n"/>
      <c r="JC101" s="223" t="n"/>
      <c r="JD101" s="223" t="n"/>
      <c r="JE101" s="223" t="n"/>
      <c r="JF101" s="223" t="n"/>
      <c r="JG101" s="223" t="n"/>
      <c r="JH101" s="223" t="n"/>
      <c r="JI101" s="223" t="n"/>
      <c r="JJ101" s="223" t="n"/>
      <c r="JK101" s="223" t="n"/>
      <c r="JL101" s="223" t="n"/>
      <c r="JM101" s="223" t="n"/>
      <c r="JN101" s="223" t="n"/>
      <c r="JO101" s="223" t="n"/>
      <c r="JP101" s="223" t="n"/>
      <c r="JQ101" s="223" t="n"/>
      <c r="JR101" s="223" t="n"/>
      <c r="JS101" s="223" t="n"/>
      <c r="JT101" s="223" t="n"/>
      <c r="JU101" s="223" t="n"/>
      <c r="JV101" s="223" t="n"/>
      <c r="JW101" s="223" t="n"/>
      <c r="JX101" s="223" t="n"/>
      <c r="JY101" s="223" t="n"/>
      <c r="JZ101" s="223" t="n"/>
      <c r="KA101" s="223" t="n"/>
      <c r="KB101" s="223" t="n"/>
      <c r="KC101" s="223" t="n"/>
      <c r="KD101" s="223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54" t="n"/>
      <c r="L394" s="354" t="n"/>
      <c r="M394" s="354" t="n"/>
      <c r="N394" s="355" t="n"/>
      <c r="O394" s="356" t="n"/>
      <c r="P394" s="356" t="n"/>
      <c r="Q394" s="357" t="n"/>
      <c r="R394" s="358" t="n"/>
      <c r="S394" s="359" t="n"/>
      <c r="T394" s="359" t="n"/>
      <c r="U394" s="360" t="n"/>
      <c r="V394" s="360" t="n"/>
      <c r="W394" s="360" t="n"/>
      <c r="X394" s="360" t="n"/>
      <c r="Y394" s="360" t="n"/>
      <c r="Z394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2026-07-25T19:02:11Z</dcterms:modified>
  <cp:lastModifiedBy>Chiswa Dian Hermansyah(ZINUS ZDI)</cp:lastModifiedBy>
</cp:coreProperties>
</file>