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000030ZIK48020260810000602</t>
        </is>
      </c>
      <c r="C12" s="245" t="n">
        <v>502425</v>
      </c>
      <c r="D12" s="245" t="n">
        <v>502371</v>
      </c>
      <c r="E12" s="246" t="n">
        <v>46245</v>
      </c>
      <c r="F12" s="245" t="inlineStr">
        <is>
          <t>ID2607-7994</t>
        </is>
      </c>
      <c r="G12" s="246" t="n">
        <v>46234</v>
      </c>
      <c r="H12" s="247" t="n">
        <v>100</v>
      </c>
      <c r="I12" s="245" t="inlineStr">
        <is>
          <t>MRKU2962250</t>
        </is>
      </c>
      <c r="J12" s="245" t="inlineStr">
        <is>
          <t>40FT</t>
        </is>
      </c>
      <c r="K12" s="245" t="inlineStr">
        <is>
          <t>8IN GREEN TEA MF MATTRESS FL</t>
        </is>
      </c>
      <c r="L12" s="245" t="inlineStr">
        <is>
          <t>WMC-FMN-8F</t>
        </is>
      </c>
      <c r="M12" s="248" t="inlineStr">
        <is>
          <t>1006422540</t>
        </is>
      </c>
      <c r="N12" s="245" t="inlineStr">
        <is>
          <t>F.MFM.08F.002.WN</t>
        </is>
      </c>
      <c r="O12" s="249" t="n">
        <v>75915.8</v>
      </c>
      <c r="P12" s="249" t="n">
        <v>62819.96</v>
      </c>
      <c r="Q12" s="250">
        <f>R12/H12</f>
        <v/>
      </c>
      <c r="R12" s="251" t="n">
        <v>4989</v>
      </c>
      <c r="S12" s="249" t="n">
        <v>18062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VANCOUVER, CA</t>
        </is>
      </c>
      <c r="X12" s="245" t="inlineStr">
        <is>
          <t>WAL-MART CANADA CORP</t>
        </is>
      </c>
      <c r="Y12" s="245" t="inlineStr">
        <is>
          <t>MAEU274246643</t>
        </is>
      </c>
      <c r="Z12" s="246" t="n">
        <v>46245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7" t="n">
        <v>100</v>
      </c>
      <c r="I13" s="245" t="inlineStr">
        <is>
          <t>HASU4052328</t>
        </is>
      </c>
      <c r="J13" s="245" t="inlineStr">
        <is>
          <t>40FT</t>
        </is>
      </c>
      <c r="K13" s="245" t="inlineStr">
        <is>
          <t>8IN GREEN TEA MF MATTRESS QN</t>
        </is>
      </c>
      <c r="L13" s="245" t="inlineStr">
        <is>
          <t>WMC-FMN-8Q</t>
        </is>
      </c>
      <c r="M13" s="248" t="inlineStr">
        <is>
          <t>1006422540</t>
        </is>
      </c>
      <c r="N13" s="245" t="inlineStr">
        <is>
          <t>F.MFM.08Q.002.WN</t>
        </is>
      </c>
      <c r="O13" s="245" t="n"/>
      <c r="P13" s="245" t="n"/>
      <c r="Q13" s="250">
        <f>R13/H13</f>
        <v/>
      </c>
      <c r="R13" s="251" t="n">
        <v>5749</v>
      </c>
      <c r="S13" s="249" t="n">
        <v>18062</v>
      </c>
      <c r="T13" s="252">
        <f>S13*R13</f>
        <v/>
      </c>
      <c r="U13" s="245" t="n"/>
      <c r="V13" s="245" t="n"/>
      <c r="W13" s="245" t="inlineStr">
        <is>
          <t>ETD : 15-08-2026</t>
        </is>
      </c>
      <c r="X13" s="245" t="n"/>
      <c r="Y13" s="245" t="n"/>
      <c r="Z13" s="245" t="n"/>
    </row>
    <row r="14" ht="16.5" customFormat="1" customHeight="1" s="244">
      <c r="A14" s="245" t="n"/>
      <c r="B14" s="245" t="n"/>
      <c r="C14" s="245" t="n"/>
      <c r="D14" s="245" t="n"/>
      <c r="E14" s="245" t="n"/>
      <c r="F14" s="245" t="n"/>
      <c r="G14" s="245" t="n"/>
      <c r="H14" s="247" t="n">
        <v>1020</v>
      </c>
      <c r="I14" s="245" t="inlineStr">
        <is>
          <t>TRHU7742145</t>
        </is>
      </c>
      <c r="J14" s="245" t="inlineStr">
        <is>
          <t>40FT</t>
        </is>
      </c>
      <c r="K14" s="245" t="inlineStr">
        <is>
          <t>6IN SP TT MSS TW</t>
        </is>
      </c>
      <c r="L14" s="245" t="inlineStr">
        <is>
          <t>WMC-BLBN-6T</t>
        </is>
      </c>
      <c r="M14" s="248" t="inlineStr">
        <is>
          <t>1006422540</t>
        </is>
      </c>
      <c r="N14" s="245" t="inlineStr">
        <is>
          <t>F.MSS.06T.002.WN</t>
        </is>
      </c>
      <c r="O14" s="245" t="n"/>
      <c r="P14" s="245" t="n"/>
      <c r="Q14" s="250">
        <f>R14/H14</f>
        <v/>
      </c>
      <c r="R14" s="251" t="n">
        <v>27356.4</v>
      </c>
      <c r="S14" s="249" t="n">
        <v>18062</v>
      </c>
      <c r="T14" s="252">
        <f>S14*R14</f>
        <v/>
      </c>
      <c r="U14" s="245" t="n"/>
      <c r="V14" s="245" t="n"/>
      <c r="W14" s="245" t="n"/>
      <c r="X14" s="245" t="n"/>
      <c r="Y14" s="245" t="n"/>
      <c r="Z14" s="245" t="n"/>
    </row>
    <row r="15" ht="16.5" customFormat="1" customHeight="1" s="244">
      <c r="A15" s="245" t="n"/>
      <c r="B15" s="245" t="n"/>
      <c r="C15" s="245" t="n"/>
      <c r="D15" s="245" t="n"/>
      <c r="E15" s="245" t="n"/>
      <c r="F15" s="245" t="n"/>
      <c r="G15" s="245" t="n"/>
      <c r="H15" s="247" t="n">
        <v>620</v>
      </c>
      <c r="I15" s="245" t="inlineStr">
        <is>
          <t>MNBU4439905</t>
        </is>
      </c>
      <c r="J15" s="245" t="inlineStr">
        <is>
          <t>40FT</t>
        </is>
      </c>
      <c r="K15" s="245" t="inlineStr">
        <is>
          <t>8IN TIGHT TOP POCKET FL</t>
        </is>
      </c>
      <c r="L15" s="245" t="inlineStr">
        <is>
          <t>WMC-SMT-8F</t>
        </is>
      </c>
      <c r="M15" s="248" t="inlineStr">
        <is>
          <t>CKET</t>
        </is>
      </c>
      <c r="N15" s="245" t="inlineStr">
        <is>
          <t>F.MSS.08F.002.WN</t>
        </is>
      </c>
      <c r="O15" s="245" t="n"/>
      <c r="P15" s="245" t="n"/>
      <c r="Q15" s="250">
        <f>R15/H15</f>
        <v/>
      </c>
      <c r="R15" s="251" t="n">
        <v>29443.8</v>
      </c>
      <c r="S15" s="249" t="n">
        <v>18062</v>
      </c>
      <c r="T15" s="252">
        <f>S15*R15</f>
        <v/>
      </c>
      <c r="U15" s="245" t="n"/>
      <c r="V15" s="245" t="n"/>
      <c r="W15" s="245" t="n"/>
      <c r="X15" s="245" t="n"/>
      <c r="Y15" s="245" t="n"/>
      <c r="Z15" s="245" t="n"/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7" t="n">
        <v>618</v>
      </c>
      <c r="I16" s="245" t="inlineStr">
        <is>
          <t>TLLU1220726</t>
        </is>
      </c>
      <c r="J16" s="245" t="inlineStr">
        <is>
          <t>40FT</t>
        </is>
      </c>
      <c r="K16" s="245" t="inlineStr">
        <is>
          <t>8IN TIGHT TOP POCKET QN</t>
        </is>
      </c>
      <c r="L16" s="245" t="inlineStr">
        <is>
          <t>WMC-SMT-8Q</t>
        </is>
      </c>
      <c r="M16" s="248" t="inlineStr">
        <is>
          <t>CKET</t>
        </is>
      </c>
      <c r="N16" s="245" t="inlineStr">
        <is>
          <t>F.MSS.08Q.002.WN</t>
        </is>
      </c>
      <c r="O16" s="245" t="n"/>
      <c r="P16" s="245" t="n"/>
      <c r="Q16" s="250">
        <f>R16/H16</f>
        <v/>
      </c>
      <c r="R16" s="251" t="n">
        <v>32859.06</v>
      </c>
      <c r="S16" s="249" t="n">
        <v>18062</v>
      </c>
      <c r="T16" s="252">
        <f>S16*R16</f>
        <v/>
      </c>
      <c r="U16" s="245" t="n"/>
      <c r="V16" s="245" t="n"/>
      <c r="W16" s="245" t="n"/>
      <c r="X16" s="245" t="n"/>
      <c r="Y16" s="245" t="n"/>
      <c r="Z16" s="245" t="n"/>
    </row>
    <row r="17" ht="16.5" customFormat="1" customHeight="1" s="253">
      <c r="A17" s="245" t="n"/>
      <c r="B17" s="245" t="n"/>
      <c r="C17" s="245" t="n"/>
      <c r="D17" s="245" t="n"/>
      <c r="E17" s="245" t="n"/>
      <c r="F17" s="245" t="n"/>
      <c r="G17" s="245" t="n"/>
      <c r="H17" s="247" t="n">
        <v>616</v>
      </c>
      <c r="I17" s="245" t="inlineStr"/>
      <c r="J17" s="245" t="inlineStr"/>
      <c r="K17" s="245" t="inlineStr">
        <is>
          <t>8IN TIGHT TOP POCKET TW</t>
        </is>
      </c>
      <c r="L17" s="245" t="inlineStr">
        <is>
          <t>WMC-SMT-8T</t>
        </is>
      </c>
      <c r="M17" s="248" t="inlineStr">
        <is>
          <t>CKET</t>
        </is>
      </c>
      <c r="N17" s="245" t="inlineStr">
        <is>
          <t>F.MSS.08T.002.WN</t>
        </is>
      </c>
      <c r="O17" s="245" t="n"/>
      <c r="P17" s="245" t="n"/>
      <c r="Q17" s="250">
        <f>R17/H17</f>
        <v/>
      </c>
      <c r="R17" s="251" t="n">
        <v>22040.48</v>
      </c>
      <c r="S17" s="249" t="n">
        <v>18062</v>
      </c>
      <c r="T17" s="252">
        <f>S17*R17</f>
        <v/>
      </c>
      <c r="U17" s="245" t="n"/>
      <c r="V17" s="245" t="n"/>
      <c r="W17" s="245" t="n"/>
      <c r="X17" s="245" t="n"/>
      <c r="Y17" s="245" t="n"/>
      <c r="Z17" s="245" t="n"/>
    </row>
    <row r="18" ht="17.1" customHeight="1" s="202" thickBot="1">
      <c r="A18" s="254" t="n"/>
      <c r="B18" s="254" t="n"/>
      <c r="C18" s="254" t="n"/>
      <c r="D18" s="254" t="n"/>
      <c r="E18" s="254" t="n"/>
      <c r="F18" s="254" t="n"/>
      <c r="G18" s="254" t="n"/>
      <c r="H18" s="255">
        <f>SUM(H12:H17)</f>
        <v/>
      </c>
      <c r="I18" s="254">
        <f>COUNTA(I12:I17)</f>
        <v/>
      </c>
      <c r="J18" s="254" t="n"/>
      <c r="K18" s="254" t="n"/>
      <c r="L18" s="254" t="n"/>
      <c r="M18" s="254" t="n"/>
      <c r="N18" s="254" t="n"/>
      <c r="O18" s="256">
        <f>SUM(O12:O17)</f>
        <v/>
      </c>
      <c r="P18" s="256">
        <f>SUM(P12:P17)</f>
        <v/>
      </c>
      <c r="Q18" s="254" t="n"/>
      <c r="R18" s="257">
        <f>SUM(R12:R17)</f>
        <v/>
      </c>
      <c r="S18" s="254" t="n"/>
      <c r="T18" s="258">
        <f>SUM(T12:T17)</f>
        <v/>
      </c>
      <c r="U18" s="254" t="n"/>
      <c r="V18" s="254" t="n"/>
      <c r="W18" s="254" t="n"/>
      <c r="X18" s="254" t="n"/>
      <c r="Y18" s="254" t="n"/>
      <c r="Z18" s="254" t="n"/>
    </row>
    <row r="19" ht="8.1" customFormat="1" customHeight="1" s="218" thickBot="1"/>
    <row r="20" ht="20.1" customHeight="1" s="202">
      <c r="A20" s="259">
        <f>COUNT(A12:A19)</f>
        <v/>
      </c>
      <c r="B20" s="260" t="n"/>
      <c r="C20" s="260" t="n"/>
      <c r="D20" s="260" t="n"/>
      <c r="E20" s="260" t="n"/>
      <c r="F20" s="260" t="n"/>
      <c r="G20" s="260" t="n"/>
      <c r="H20" s="261">
        <f>H18</f>
        <v/>
      </c>
      <c r="I20" s="261">
        <f>I18</f>
        <v/>
      </c>
      <c r="J20" s="260" t="n"/>
      <c r="K20" s="260" t="n"/>
      <c r="L20" s="260" t="n"/>
      <c r="M20" s="260" t="n"/>
      <c r="N20" s="260" t="n"/>
      <c r="O20" s="262">
        <f>O18</f>
        <v/>
      </c>
      <c r="P20" s="262">
        <f>P18</f>
        <v/>
      </c>
      <c r="Q20" s="260" t="n"/>
      <c r="R20" s="263">
        <f>R18</f>
        <v/>
      </c>
      <c r="S20" s="260" t="n"/>
      <c r="T20" s="264">
        <f>T18</f>
        <v/>
      </c>
      <c r="U20" s="260" t="n"/>
      <c r="V20" s="260" t="n"/>
      <c r="W20" s="260" t="n"/>
      <c r="X20" s="260" t="n"/>
      <c r="Y20" s="260" t="n"/>
      <c r="Z20" s="260" t="n"/>
    </row>
    <row r="21" ht="17.1" customHeight="1" s="202"/>
    <row r="22" ht="17.1" customHeight="1" s="202">
      <c r="B22" s="265" t="inlineStr">
        <is>
          <t>Total Qty Export :</t>
        </is>
      </c>
      <c r="C22" s="266">
        <f>H20-C23</f>
        <v/>
      </c>
    </row>
    <row r="23" ht="17.1" customHeight="1" s="202" thickBot="1">
      <c r="B23" s="267" t="inlineStr">
        <is>
          <t>Total Qty Export Sample :</t>
        </is>
      </c>
      <c r="C23" s="268" t="inlineStr"/>
    </row>
    <row r="24" ht="17.1" customHeight="1" s="202" thickTop="1"/>
    <row r="25" ht="17.1" customHeight="1" s="202">
      <c r="A25" s="269" t="n"/>
      <c r="B25" s="270" t="n"/>
      <c r="C25" s="270" t="n"/>
      <c r="D25" s="271" t="n"/>
      <c r="U25" s="272" t="inlineStr">
        <is>
          <t>Tangerang, 19 August 2026</t>
        </is>
      </c>
    </row>
    <row r="26" ht="17.1" customHeight="1" s="202">
      <c r="A26" s="273" t="inlineStr">
        <is>
          <t>Total Document</t>
        </is>
      </c>
      <c r="C26" s="274">
        <f>A20</f>
        <v/>
      </c>
      <c r="D26" s="275" t="n"/>
      <c r="U26" s="272" t="inlineStr">
        <is>
          <t>Kasubsi Hanggar Pabean dan Cukai</t>
        </is>
      </c>
    </row>
    <row r="27" ht="17.1" customHeight="1" s="202">
      <c r="A27" s="273" t="inlineStr">
        <is>
          <t>Gross Weight</t>
        </is>
      </c>
      <c r="C27" s="276">
        <f>O20</f>
        <v/>
      </c>
      <c r="D27" s="275" t="n"/>
    </row>
    <row r="28" ht="17.1" customHeight="1" s="202">
      <c r="A28" s="273" t="inlineStr">
        <is>
          <t>Nett Weight</t>
        </is>
      </c>
      <c r="C28" s="276">
        <f>P20</f>
        <v/>
      </c>
      <c r="D28" s="275" t="n"/>
    </row>
    <row r="29" ht="17.1" customHeight="1" s="202">
      <c r="A29" s="273" t="inlineStr">
        <is>
          <t>Amount</t>
        </is>
      </c>
      <c r="C29" s="277">
        <f>R20</f>
        <v/>
      </c>
      <c r="D29" s="275" t="n"/>
    </row>
    <row r="30" ht="17.1" customHeight="1" s="202">
      <c r="A30" s="273" t="inlineStr">
        <is>
          <t>Jumlah Container</t>
        </is>
      </c>
      <c r="C30" s="278">
        <f>I20-C31</f>
        <v/>
      </c>
      <c r="D30" s="275" t="n"/>
    </row>
    <row r="31" ht="17.1" customHeight="1" s="202">
      <c r="A31" s="279" t="n"/>
      <c r="C31" s="280" t="inlineStr"/>
      <c r="D31" s="275" t="n"/>
    </row>
    <row r="32" ht="17.1" customHeight="1" s="202" thickBot="1">
      <c r="A32" s="279" t="n"/>
      <c r="C32" s="281">
        <f>C30*2+C31</f>
        <v/>
      </c>
      <c r="D32" s="275" t="n"/>
    </row>
    <row r="33" ht="16.2" customFormat="1" customHeight="1" s="17" thickTop="1">
      <c r="A33" s="282" t="n"/>
      <c r="B33" s="283" t="n"/>
      <c r="C33" s="283" t="n"/>
      <c r="D33" s="284" t="n"/>
    </row>
  </sheetData>
  <autoFilter ref="A10:Z11">
    <filterColumn colId="2" hiddenButton="0" showButton="0"/>
    <filterColumn colId="8" hiddenButton="0" showButton="0"/>
  </autoFilter>
  <mergeCells count="26">
    <mergeCell ref="C30:D30"/>
    <mergeCell ref="C26:D26"/>
    <mergeCell ref="E10:E11"/>
    <mergeCell ref="G10:G11"/>
    <mergeCell ref="M10:M11"/>
    <mergeCell ref="Y10:Y11"/>
    <mergeCell ref="Q10:Q11"/>
    <mergeCell ref="C29:D29"/>
    <mergeCell ref="C10:D10"/>
    <mergeCell ref="I10:J11"/>
    <mergeCell ref="A6:Z6"/>
    <mergeCell ref="B10:B11"/>
    <mergeCell ref="C31:D31"/>
    <mergeCell ref="A7:Z7"/>
    <mergeCell ref="L10:L11"/>
    <mergeCell ref="X10:X11"/>
    <mergeCell ref="N10:N11"/>
    <mergeCell ref="Z10:Z11"/>
    <mergeCell ref="C27:D27"/>
    <mergeCell ref="A10:A11"/>
    <mergeCell ref="K10:K11"/>
    <mergeCell ref="C32:D32"/>
    <mergeCell ref="A8:Z8"/>
    <mergeCell ref="C28:D2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2026-08-19T03:45:01Z</dcterms:modified>
  <cp:lastModifiedBy>Chiswa Dian Hermansyah(ZINUS ZDI)</cp:lastModifiedBy>
</cp:coreProperties>
</file>