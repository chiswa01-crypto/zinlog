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SEPTEMBER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000030ZIK48020260831000729</t>
        </is>
      </c>
      <c r="C12" s="245" t="n">
        <v>551321</v>
      </c>
      <c r="D12" s="245" t="n">
        <v>551274</v>
      </c>
      <c r="E12" s="246" t="n">
        <v>46266</v>
      </c>
      <c r="F12" s="245" t="inlineStr">
        <is>
          <t>ID2608-8296</t>
        </is>
      </c>
      <c r="G12" s="246" t="n">
        <v>46261</v>
      </c>
      <c r="H12" s="247" t="n">
        <v>1744</v>
      </c>
      <c r="I12" s="245" t="inlineStr">
        <is>
          <t>HAMU1277606</t>
        </is>
      </c>
      <c r="J12" s="245" t="inlineStr">
        <is>
          <t>40FT</t>
        </is>
      </c>
      <c r="K12" s="245" t="inlineStr">
        <is>
          <t>6IN MSS24-6TW</t>
        </is>
      </c>
      <c r="L12" s="245" t="inlineStr">
        <is>
          <t>MS24-6T</t>
        </is>
      </c>
      <c r="M12" s="248" t="inlineStr">
        <is>
          <t>0005610775</t>
        </is>
      </c>
      <c r="N12" s="245" t="inlineStr">
        <is>
          <t>F.MSS.06T.002.WS</t>
        </is>
      </c>
      <c r="O12" s="249" t="n">
        <v>31252.48</v>
      </c>
      <c r="P12" s="249" t="n">
        <v>27904</v>
      </c>
      <c r="Q12" s="250">
        <f>R12/H12</f>
        <v/>
      </c>
      <c r="R12" s="251" t="n">
        <v>63063.04</v>
      </c>
      <c r="S12" s="249" t="n">
        <v>17796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LOS ANGELES, US</t>
        </is>
      </c>
      <c r="X12" s="245" t="inlineStr">
        <is>
          <t>WALMART, INC.</t>
        </is>
      </c>
      <c r="Y12" s="245" t="inlineStr">
        <is>
          <t>HLCUJK1260861499</t>
        </is>
      </c>
      <c r="Z12" s="246" t="n">
        <v>46266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UACU5895694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05-09-2026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000030ZIK48020260831000730</t>
        </is>
      </c>
      <c r="C15" s="245" t="n">
        <v>551347</v>
      </c>
      <c r="D15" s="245" t="n">
        <v>551300</v>
      </c>
      <c r="E15" s="246" t="n">
        <v>46266</v>
      </c>
      <c r="F15" s="245" t="inlineStr">
        <is>
          <t>ID2608-8324</t>
        </is>
      </c>
      <c r="G15" s="246" t="n">
        <v>46265</v>
      </c>
      <c r="H15" s="247" t="n">
        <v>84</v>
      </c>
      <c r="I15" s="245" t="inlineStr">
        <is>
          <t>TCNU4934829</t>
        </is>
      </c>
      <c r="J15" s="245" t="inlineStr">
        <is>
          <t>40FT</t>
        </is>
      </c>
      <c r="K15" s="245" t="inlineStr">
        <is>
          <t>10IN MEDIUM MFM FL</t>
        </is>
      </c>
      <c r="L15" s="245" t="inlineStr">
        <is>
          <t>WA-MMF-10F-IN</t>
        </is>
      </c>
      <c r="M15" s="248" t="inlineStr">
        <is>
          <t>MIWU00216</t>
        </is>
      </c>
      <c r="N15" s="245" t="inlineStr">
        <is>
          <t>F.MFM.10F.005.BU</t>
        </is>
      </c>
      <c r="O15" s="249" t="n">
        <v>12135.68</v>
      </c>
      <c r="P15" s="249" t="n">
        <v>10914.42</v>
      </c>
      <c r="Q15" s="250">
        <f>R15/H15</f>
        <v/>
      </c>
      <c r="R15" s="251" t="n">
        <v>5071.92</v>
      </c>
      <c r="S15" s="249" t="n">
        <v>17796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VANCOUVER, CA</t>
        </is>
      </c>
      <c r="X15" s="245" t="inlineStr">
        <is>
          <t>MELLOW INC</t>
        </is>
      </c>
      <c r="Y15" s="245" t="inlineStr">
        <is>
          <t>ONEYJKTG67276900</t>
        </is>
      </c>
      <c r="Z15" s="246" t="n">
        <v>46266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47</v>
      </c>
      <c r="I16" s="245" t="inlineStr"/>
      <c r="J16" s="245" t="inlineStr"/>
      <c r="K16" s="245" t="inlineStr">
        <is>
          <t>10IN MEDIUM MFM EK</t>
        </is>
      </c>
      <c r="L16" s="245" t="inlineStr">
        <is>
          <t>WA-MMF-10K-IN</t>
        </is>
      </c>
      <c r="M16" s="248" t="inlineStr">
        <is>
          <t>MIWU00216</t>
        </is>
      </c>
      <c r="N16" s="245" t="inlineStr">
        <is>
          <t>F.MFM.10K.005.BU</t>
        </is>
      </c>
      <c r="O16" s="245" t="n"/>
      <c r="P16" s="245" t="n"/>
      <c r="Q16" s="250">
        <f>R16/H16</f>
        <v/>
      </c>
      <c r="R16" s="251" t="n">
        <v>4111.09</v>
      </c>
      <c r="S16" s="249" t="n">
        <v>17796</v>
      </c>
      <c r="T16" s="252">
        <f>S16*R16</f>
        <v/>
      </c>
      <c r="U16" s="245" t="n"/>
      <c r="V16" s="245" t="n"/>
      <c r="W16" s="245" t="inlineStr">
        <is>
          <t>ETD : 08-09-2026</t>
        </is>
      </c>
      <c r="X16" s="245" t="n"/>
      <c r="Y16" s="245" t="n"/>
      <c r="Z16" s="245" t="n"/>
    </row>
    <row r="17" ht="16.5" customFormat="1" customHeight="1" s="258">
      <c r="A17" s="245" t="n"/>
      <c r="B17" s="245" t="n"/>
      <c r="C17" s="245" t="n"/>
      <c r="D17" s="245" t="n"/>
      <c r="E17" s="245" t="n"/>
      <c r="F17" s="245" t="n"/>
      <c r="G17" s="245" t="n"/>
      <c r="H17" s="247" t="n">
        <v>88</v>
      </c>
      <c r="I17" s="245" t="inlineStr"/>
      <c r="J17" s="245" t="inlineStr"/>
      <c r="K17" s="245" t="inlineStr">
        <is>
          <t>10IN MEDIUM MFM QN</t>
        </is>
      </c>
      <c r="L17" s="245" t="inlineStr">
        <is>
          <t>WA-MMF-10Q-IN</t>
        </is>
      </c>
      <c r="M17" s="248" t="inlineStr">
        <is>
          <t>MIWU00216</t>
        </is>
      </c>
      <c r="N17" s="245" t="inlineStr">
        <is>
          <t>F.MFM.10Q.005.BU</t>
        </is>
      </c>
      <c r="O17" s="245" t="n"/>
      <c r="P17" s="245" t="n"/>
      <c r="Q17" s="250">
        <f>R17/H17</f>
        <v/>
      </c>
      <c r="R17" s="251" t="n">
        <v>6297.28</v>
      </c>
      <c r="S17" s="249" t="n">
        <v>17796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46</v>
      </c>
      <c r="I18" s="245" t="inlineStr"/>
      <c r="J18" s="245" t="inlineStr"/>
      <c r="K18" s="245" t="inlineStr">
        <is>
          <t>10IN MEDIUM MFM TW</t>
        </is>
      </c>
      <c r="L18" s="245" t="inlineStr">
        <is>
          <t>WA-MMF-10T-IN</t>
        </is>
      </c>
      <c r="M18" s="248" t="inlineStr">
        <is>
          <t>MIWU00216</t>
        </is>
      </c>
      <c r="N18" s="245" t="inlineStr">
        <is>
          <t>F.MFM.10T.005.BU</t>
        </is>
      </c>
      <c r="O18" s="245" t="n"/>
      <c r="P18" s="245" t="n"/>
      <c r="Q18" s="250">
        <f>R18/H18</f>
        <v/>
      </c>
      <c r="R18" s="251" t="n">
        <v>2116.92</v>
      </c>
      <c r="S18" s="249" t="n">
        <v>17796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52</v>
      </c>
      <c r="I19" s="245" t="inlineStr"/>
      <c r="J19" s="245" t="inlineStr"/>
      <c r="K19" s="245" t="inlineStr">
        <is>
          <t>10IN MEDIUM MFM TX</t>
        </is>
      </c>
      <c r="L19" s="245" t="inlineStr">
        <is>
          <t>WA-MMF-10TXL-IN</t>
        </is>
      </c>
      <c r="M19" s="248" t="inlineStr">
        <is>
          <t>MIWU00216</t>
        </is>
      </c>
      <c r="N19" s="245" t="inlineStr">
        <is>
          <t>F.MFM.10X.005.BU</t>
        </is>
      </c>
      <c r="O19" s="245" t="n"/>
      <c r="P19" s="245" t="n"/>
      <c r="Q19" s="250">
        <f>R19/H19</f>
        <v/>
      </c>
      <c r="R19" s="251" t="n">
        <v>2529.8</v>
      </c>
      <c r="S19" s="249" t="n">
        <v>17796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40</v>
      </c>
      <c r="I20" s="245" t="inlineStr"/>
      <c r="J20" s="245" t="inlineStr"/>
      <c r="K20" s="245" t="inlineStr">
        <is>
          <t>12IN MEDIUM MFM FL</t>
        </is>
      </c>
      <c r="L20" s="245" t="inlineStr">
        <is>
          <t>WA-MMF-12F-IN</t>
        </is>
      </c>
      <c r="M20" s="248" t="inlineStr">
        <is>
          <t>MIWU00216</t>
        </is>
      </c>
      <c r="N20" s="245" t="inlineStr">
        <is>
          <t>F.MFM.12F.005.BU</t>
        </is>
      </c>
      <c r="O20" s="245" t="n"/>
      <c r="P20" s="245" t="n"/>
      <c r="Q20" s="250">
        <f>R20/H20</f>
        <v/>
      </c>
      <c r="R20" s="251" t="n">
        <v>2786</v>
      </c>
      <c r="S20" s="249" t="n">
        <v>17796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40</v>
      </c>
      <c r="I21" s="245" t="inlineStr"/>
      <c r="J21" s="245" t="inlineStr"/>
      <c r="K21" s="245" t="inlineStr">
        <is>
          <t>6IN MEDIUM MFM FL</t>
        </is>
      </c>
      <c r="L21" s="245" t="inlineStr">
        <is>
          <t>WA-MMF-6F-IN</t>
        </is>
      </c>
      <c r="M21" s="248" t="inlineStr">
        <is>
          <t>MIWU00216</t>
        </is>
      </c>
      <c r="N21" s="245" t="inlineStr">
        <is>
          <t>F.MFM.06F.002.BU</t>
        </is>
      </c>
      <c r="O21" s="245" t="n"/>
      <c r="P21" s="245" t="n"/>
      <c r="Q21" s="250">
        <f>R21/H21</f>
        <v/>
      </c>
      <c r="R21" s="251" t="n">
        <v>1704.8</v>
      </c>
      <c r="S21" s="249" t="n">
        <v>17796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69</v>
      </c>
      <c r="I22" s="245" t="inlineStr"/>
      <c r="J22" s="245" t="inlineStr"/>
      <c r="K22" s="245" t="inlineStr">
        <is>
          <t>6IN MEDIUM MFM TW</t>
        </is>
      </c>
      <c r="L22" s="245" t="inlineStr">
        <is>
          <t>WA-MMF-6T-IN</t>
        </is>
      </c>
      <c r="M22" s="248" t="inlineStr">
        <is>
          <t>MIWU00216</t>
        </is>
      </c>
      <c r="N22" s="245" t="inlineStr">
        <is>
          <t>F.MFM.06T.002.BU</t>
        </is>
      </c>
      <c r="O22" s="245" t="n"/>
      <c r="P22" s="245" t="n"/>
      <c r="Q22" s="250">
        <f>R22/H22</f>
        <v/>
      </c>
      <c r="R22" s="251" t="n">
        <v>2214.9</v>
      </c>
      <c r="S22" s="249" t="n">
        <v>17796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40</v>
      </c>
      <c r="I23" s="245" t="inlineStr"/>
      <c r="J23" s="245" t="inlineStr"/>
      <c r="K23" s="245" t="inlineStr">
        <is>
          <t>8IN MEDIUM MFM FL</t>
        </is>
      </c>
      <c r="L23" s="245" t="inlineStr">
        <is>
          <t>WA-MMF-8F-IN</t>
        </is>
      </c>
      <c r="M23" s="248" t="inlineStr">
        <is>
          <t>MIWU00216</t>
        </is>
      </c>
      <c r="N23" s="245" t="inlineStr">
        <is>
          <t>F.MFM.08F.005.BU</t>
        </is>
      </c>
      <c r="O23" s="245" t="n"/>
      <c r="P23" s="245" t="n"/>
      <c r="Q23" s="250">
        <f>R23/H23</f>
        <v/>
      </c>
      <c r="R23" s="251" t="n">
        <v>2084</v>
      </c>
      <c r="S23" s="249" t="n">
        <v>17796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35</v>
      </c>
      <c r="I24" s="245" t="inlineStr"/>
      <c r="J24" s="245" t="inlineStr"/>
      <c r="K24" s="245" t="inlineStr">
        <is>
          <t>8IN MEDIUM MFM QN</t>
        </is>
      </c>
      <c r="L24" s="245" t="inlineStr">
        <is>
          <t>WA-MMF-8Q-IN</t>
        </is>
      </c>
      <c r="M24" s="248" t="inlineStr">
        <is>
          <t>MIWU00216</t>
        </is>
      </c>
      <c r="N24" s="245" t="inlineStr">
        <is>
          <t>F.MFM.08Q.005.BU</t>
        </is>
      </c>
      <c r="O24" s="245" t="n"/>
      <c r="P24" s="245" t="n"/>
      <c r="Q24" s="250">
        <f>R24/H24</f>
        <v/>
      </c>
      <c r="R24" s="251" t="n">
        <v>2159.15</v>
      </c>
      <c r="S24" s="249" t="n">
        <v>17796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65</v>
      </c>
      <c r="I25" s="245" t="inlineStr"/>
      <c r="J25" s="245" t="inlineStr"/>
      <c r="K25" s="245" t="inlineStr">
        <is>
          <t>8IN MEDIUM MFM TW</t>
        </is>
      </c>
      <c r="L25" s="245" t="inlineStr">
        <is>
          <t>WA-MMF-8T-IN</t>
        </is>
      </c>
      <c r="M25" s="248" t="inlineStr">
        <is>
          <t>MIWU00216</t>
        </is>
      </c>
      <c r="N25" s="245" t="inlineStr">
        <is>
          <t>F.MFM.08T.005.BU</t>
        </is>
      </c>
      <c r="O25" s="245" t="n"/>
      <c r="P25" s="245" t="n"/>
      <c r="Q25" s="250">
        <f>R25/H25</f>
        <v/>
      </c>
      <c r="R25" s="251" t="n">
        <v>2527.2</v>
      </c>
      <c r="S25" s="249" t="n">
        <v>17796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7.1" customHeight="1" s="202">
      <c r="A26" s="253" t="n"/>
      <c r="B26" s="253" t="n"/>
      <c r="C26" s="253" t="n"/>
      <c r="D26" s="253" t="n"/>
      <c r="E26" s="253" t="n"/>
      <c r="F26" s="253" t="n"/>
      <c r="G26" s="253" t="n"/>
      <c r="H26" s="254">
        <f>SUM(H15:H25)</f>
        <v/>
      </c>
      <c r="I26" s="253">
        <f>COUNTA(I15:I25)</f>
        <v/>
      </c>
      <c r="J26" s="253" t="n"/>
      <c r="K26" s="253" t="n"/>
      <c r="L26" s="253" t="n"/>
      <c r="M26" s="253" t="n"/>
      <c r="N26" s="253" t="n"/>
      <c r="O26" s="255">
        <f>SUM(O15:O25)</f>
        <v/>
      </c>
      <c r="P26" s="255">
        <f>SUM(P15:P25)</f>
        <v/>
      </c>
      <c r="Q26" s="253" t="n"/>
      <c r="R26" s="256">
        <f>SUM(R15:R25)</f>
        <v/>
      </c>
      <c r="S26" s="253" t="n"/>
      <c r="T26" s="257">
        <f>SUM(T15:T25)</f>
        <v/>
      </c>
      <c r="U26" s="253" t="n"/>
      <c r="V26" s="253" t="n"/>
      <c r="W26" s="253" t="n"/>
      <c r="X26" s="253" t="n"/>
      <c r="Y26" s="253" t="n"/>
      <c r="Z26" s="253" t="n"/>
    </row>
    <row r="27" ht="16.5" customHeight="1" s="202">
      <c r="A27" s="245" t="n">
        <v>3</v>
      </c>
      <c r="B27" s="245" t="inlineStr">
        <is>
          <t>000030ZIK48020260901000731</t>
        </is>
      </c>
      <c r="C27" s="245" t="n">
        <v>555565</v>
      </c>
      <c r="D27" s="245" t="n">
        <v>555512</v>
      </c>
      <c r="E27" s="246" t="n">
        <v>46267</v>
      </c>
      <c r="F27" s="245" t="inlineStr">
        <is>
          <t>ID2608-8243</t>
        </is>
      </c>
      <c r="G27" s="246" t="n">
        <v>46260</v>
      </c>
      <c r="H27" s="247" t="n">
        <v>108</v>
      </c>
      <c r="I27" s="245" t="inlineStr">
        <is>
          <t>FFAU5597870</t>
        </is>
      </c>
      <c r="J27" s="245" t="inlineStr">
        <is>
          <t>40FT</t>
        </is>
      </c>
      <c r="K27" s="245" t="inlineStr">
        <is>
          <t>12IN MYGEL FOAM MATTRESS TW</t>
        </is>
      </c>
      <c r="L27" s="245" t="inlineStr">
        <is>
          <t>ZU-MFGN1YZI-12T</t>
        </is>
      </c>
      <c r="M27" s="248" t="inlineStr">
        <is>
          <t>13QQ1NFY</t>
        </is>
      </c>
      <c r="N27" s="245" t="inlineStr">
        <is>
          <t>F.MFG.12T.002.AD</t>
        </is>
      </c>
      <c r="O27" s="249" t="n">
        <v>69765.53999999999</v>
      </c>
      <c r="P27" s="249" t="n">
        <v>60055.11</v>
      </c>
      <c r="Q27" s="250">
        <f>R27/H27</f>
        <v/>
      </c>
      <c r="R27" s="251" t="n">
        <v>6551.28</v>
      </c>
      <c r="S27" s="249" t="n">
        <v>17722</v>
      </c>
      <c r="T27" s="252">
        <f>S27*R27</f>
        <v/>
      </c>
      <c r="U27" s="245" t="inlineStr">
        <is>
          <t>040300/KPPBC</t>
        </is>
      </c>
      <c r="V27" s="245" t="inlineStr">
        <is>
          <t>TG. PRIOK</t>
        </is>
      </c>
      <c r="W27" s="245" t="inlineStr">
        <is>
          <t>LONG BEACH, US</t>
        </is>
      </c>
      <c r="X27" s="245" t="inlineStr">
        <is>
          <t>AMAZON.COM SERVICES LLC</t>
        </is>
      </c>
      <c r="Y27" s="245" t="inlineStr">
        <is>
          <t>MEDUKU632239</t>
        </is>
      </c>
      <c r="Z27" s="246" t="n">
        <v>46267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214</v>
      </c>
      <c r="I28" s="245" t="inlineStr">
        <is>
          <t>MSDU8939130</t>
        </is>
      </c>
      <c r="J28" s="245" t="inlineStr">
        <is>
          <t>40FT</t>
        </is>
      </c>
      <c r="K28" s="245" t="inlineStr">
        <is>
          <t>8IN GREEN TEA MF MATTRESS SQ</t>
        </is>
      </c>
      <c r="L28" s="245" t="inlineStr">
        <is>
          <t>ZU-MFMA1FZI-08S</t>
        </is>
      </c>
      <c r="M28" s="248" t="inlineStr">
        <is>
          <t>13QQ1NFY</t>
        </is>
      </c>
      <c r="N28" s="245" t="inlineStr">
        <is>
          <t>F.MFM.08S.012.AD</t>
        </is>
      </c>
      <c r="O28" s="245" t="n"/>
      <c r="P28" s="245" t="n"/>
      <c r="Q28" s="250">
        <f>R28/H28</f>
        <v/>
      </c>
      <c r="R28" s="251" t="n">
        <v>13300.1</v>
      </c>
      <c r="S28" s="249" t="n">
        <v>17722</v>
      </c>
      <c r="T28" s="252">
        <f>S28*R28</f>
        <v/>
      </c>
      <c r="U28" s="245" t="n"/>
      <c r="V28" s="245" t="n"/>
      <c r="W28" s="245" t="inlineStr">
        <is>
          <t>ETD : 09-09-2026</t>
        </is>
      </c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408</v>
      </c>
      <c r="I29" s="245" t="inlineStr">
        <is>
          <t>MEDU8897211</t>
        </is>
      </c>
      <c r="J29" s="245" t="inlineStr">
        <is>
          <t>40FT</t>
        </is>
      </c>
      <c r="K29" s="245" t="inlineStr">
        <is>
          <t>8IN OPP HD TW</t>
        </is>
      </c>
      <c r="L29" s="245" t="inlineStr">
        <is>
          <t>ZU-MFMA1OZI-08T</t>
        </is>
      </c>
      <c r="M29" s="248" t="inlineStr">
        <is>
          <t>13QQ1NFY</t>
        </is>
      </c>
      <c r="N29" s="245" t="inlineStr">
        <is>
          <t>F.MFM.08T.013.AD</t>
        </is>
      </c>
      <c r="O29" s="245" t="n"/>
      <c r="P29" s="245" t="n"/>
      <c r="Q29" s="250">
        <f>R29/H29</f>
        <v/>
      </c>
      <c r="R29" s="251" t="n">
        <v>12215.52</v>
      </c>
      <c r="S29" s="249" t="n">
        <v>17722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48</v>
      </c>
      <c r="I30" s="245" t="inlineStr">
        <is>
          <t>MSMU7793936</t>
        </is>
      </c>
      <c r="J30" s="245" t="inlineStr">
        <is>
          <t>40FT</t>
        </is>
      </c>
      <c r="K30" s="245" t="inlineStr">
        <is>
          <t>6IN MYGEL FOAM MATTRESS TW</t>
        </is>
      </c>
      <c r="L30" s="245" t="inlineStr">
        <is>
          <t>ZU-MFGN1YZI-06T</t>
        </is>
      </c>
      <c r="M30" s="248" t="inlineStr">
        <is>
          <t>45P53X7G</t>
        </is>
      </c>
      <c r="N30" s="245" t="inlineStr">
        <is>
          <t>F.MFG.06T.002.AD</t>
        </is>
      </c>
      <c r="O30" s="245" t="n"/>
      <c r="P30" s="245" t="n"/>
      <c r="Q30" s="250">
        <f>R30/H30</f>
        <v/>
      </c>
      <c r="R30" s="251" t="n">
        <v>1592.16</v>
      </c>
      <c r="S30" s="249" t="n">
        <v>17722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757</v>
      </c>
      <c r="I31" s="245" t="inlineStr">
        <is>
          <t>MSMU6699859</t>
        </is>
      </c>
      <c r="J31" s="245" t="inlineStr">
        <is>
          <t>40FT</t>
        </is>
      </c>
      <c r="K31" s="245" t="inlineStr">
        <is>
          <t>8IN OPP HD TW</t>
        </is>
      </c>
      <c r="L31" s="245" t="inlineStr">
        <is>
          <t>ZU-MFMA1OZI-08T</t>
        </is>
      </c>
      <c r="M31" s="248" t="inlineStr">
        <is>
          <t>45P53X7G</t>
        </is>
      </c>
      <c r="N31" s="245" t="inlineStr">
        <is>
          <t>F.MFM.08T.013.AD</t>
        </is>
      </c>
      <c r="O31" s="245" t="n"/>
      <c r="P31" s="245" t="n"/>
      <c r="Q31" s="250">
        <f>R31/H31</f>
        <v/>
      </c>
      <c r="R31" s="251" t="n">
        <v>22664.58</v>
      </c>
      <c r="S31" s="249" t="n">
        <v>17722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82</v>
      </c>
      <c r="I32" s="245" t="inlineStr">
        <is>
          <t>MSDU8551416</t>
        </is>
      </c>
      <c r="J32" s="245" t="inlineStr">
        <is>
          <t>40FT</t>
        </is>
      </c>
      <c r="K32" s="245" t="inlineStr">
        <is>
          <t>6IN OPP HD QN</t>
        </is>
      </c>
      <c r="L32" s="245" t="inlineStr">
        <is>
          <t>ZU-MFMA1OZI-06Q</t>
        </is>
      </c>
      <c r="M32" s="248" t="inlineStr">
        <is>
          <t>4TASCHLQ</t>
        </is>
      </c>
      <c r="N32" s="245" t="inlineStr">
        <is>
          <t>F.MFM.06Q.008.AD</t>
        </is>
      </c>
      <c r="O32" s="245" t="n"/>
      <c r="P32" s="245" t="n"/>
      <c r="Q32" s="250">
        <f>R32/H32</f>
        <v/>
      </c>
      <c r="R32" s="251" t="n">
        <v>3756.42</v>
      </c>
      <c r="S32" s="249" t="n">
        <v>17722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630</v>
      </c>
      <c r="I33" s="245" t="inlineStr"/>
      <c r="J33" s="245" t="inlineStr"/>
      <c r="K33" s="245" t="inlineStr">
        <is>
          <t>6IN GREEN TEA MF MATTRESS TW</t>
        </is>
      </c>
      <c r="L33" s="245" t="inlineStr">
        <is>
          <t>ZU-MFMA1ZZI-06T</t>
        </is>
      </c>
      <c r="M33" s="248" t="inlineStr">
        <is>
          <t>4TASCHLQ</t>
        </is>
      </c>
      <c r="N33" s="245" t="inlineStr">
        <is>
          <t>F.MFM.06T.007.AD</t>
        </is>
      </c>
      <c r="O33" s="245" t="n"/>
      <c r="P33" s="245" t="n"/>
      <c r="Q33" s="250">
        <f>R33/H33</f>
        <v/>
      </c>
      <c r="R33" s="251" t="n">
        <v>19221.3</v>
      </c>
      <c r="S33" s="249" t="n">
        <v>17722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73</v>
      </c>
      <c r="I34" s="245" t="inlineStr"/>
      <c r="J34" s="245" t="inlineStr"/>
      <c r="K34" s="245" t="inlineStr">
        <is>
          <t>12IN MYGEL FOAM MATTRESS TW</t>
        </is>
      </c>
      <c r="L34" s="245" t="inlineStr">
        <is>
          <t>ZU-MFGN1YZI-12T</t>
        </is>
      </c>
      <c r="M34" s="248" t="inlineStr">
        <is>
          <t>665GA22Y</t>
        </is>
      </c>
      <c r="N34" s="245" t="inlineStr">
        <is>
          <t>F.MFG.12T.002.AD</t>
        </is>
      </c>
      <c r="O34" s="245" t="n"/>
      <c r="P34" s="245" t="n"/>
      <c r="Q34" s="250">
        <f>R34/H34</f>
        <v/>
      </c>
      <c r="R34" s="251" t="n">
        <v>4428.18</v>
      </c>
      <c r="S34" s="249" t="n">
        <v>17722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239</v>
      </c>
      <c r="I35" s="245" t="inlineStr"/>
      <c r="J35" s="245" t="inlineStr"/>
      <c r="K35" s="245" t="inlineStr">
        <is>
          <t>6IN OPP HD FL</t>
        </is>
      </c>
      <c r="L35" s="245" t="inlineStr">
        <is>
          <t>ZU-MFMA1OZI-06F</t>
        </is>
      </c>
      <c r="M35" s="248" t="inlineStr">
        <is>
          <t>665GA22Y</t>
        </is>
      </c>
      <c r="N35" s="245" t="inlineStr">
        <is>
          <t>F.MFM.06F.008.AD</t>
        </is>
      </c>
      <c r="O35" s="245" t="n"/>
      <c r="P35" s="245" t="n"/>
      <c r="Q35" s="250">
        <f>R35/H35</f>
        <v/>
      </c>
      <c r="R35" s="251" t="n">
        <v>9189.549999999999</v>
      </c>
      <c r="S35" s="249" t="n">
        <v>17722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274</v>
      </c>
      <c r="I36" s="245" t="inlineStr"/>
      <c r="J36" s="245" t="inlineStr"/>
      <c r="K36" s="245" t="inlineStr">
        <is>
          <t>8IN OPP HD TW</t>
        </is>
      </c>
      <c r="L36" s="245" t="inlineStr">
        <is>
          <t>ZU-MFMA1OZI-08T</t>
        </is>
      </c>
      <c r="M36" s="248" t="inlineStr">
        <is>
          <t>665GA22Y</t>
        </is>
      </c>
      <c r="N36" s="245" t="inlineStr">
        <is>
          <t>F.MFM.08T.013.AD</t>
        </is>
      </c>
      <c r="O36" s="245" t="n"/>
      <c r="P36" s="245" t="n"/>
      <c r="Q36" s="250">
        <f>R36/H36</f>
        <v/>
      </c>
      <c r="R36" s="251" t="n">
        <v>8203.559999999999</v>
      </c>
      <c r="S36" s="249" t="n">
        <v>17722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160</v>
      </c>
      <c r="I37" s="245" t="inlineStr"/>
      <c r="J37" s="245" t="inlineStr"/>
      <c r="K37" s="245" t="inlineStr">
        <is>
          <t>12IN GREEN TEA MF MATTRESS TX</t>
        </is>
      </c>
      <c r="L37" s="245" t="inlineStr">
        <is>
          <t>ZU-MFMA1ZZI-12X</t>
        </is>
      </c>
      <c r="M37" s="248" t="inlineStr">
        <is>
          <t>665GA22Y</t>
        </is>
      </c>
      <c r="N37" s="245" t="inlineStr">
        <is>
          <t>F.MFM.12X.006.AD</t>
        </is>
      </c>
      <c r="O37" s="245" t="n"/>
      <c r="P37" s="245" t="n"/>
      <c r="Q37" s="250">
        <f>R37/H37</f>
        <v/>
      </c>
      <c r="R37" s="251" t="n">
        <v>9328</v>
      </c>
      <c r="S37" s="249" t="n">
        <v>17722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41</v>
      </c>
      <c r="I38" s="245" t="inlineStr"/>
      <c r="J38" s="245" t="inlineStr"/>
      <c r="K38" s="245" t="inlineStr">
        <is>
          <t>12IN MYGEL FOAM MATTRESS TW</t>
        </is>
      </c>
      <c r="L38" s="245" t="inlineStr">
        <is>
          <t>ZU-MFGN1YZI-12T</t>
        </is>
      </c>
      <c r="M38" s="248" t="inlineStr">
        <is>
          <t>69OJ16HC</t>
        </is>
      </c>
      <c r="N38" s="245" t="inlineStr">
        <is>
          <t>F.MFG.12T.002.AD</t>
        </is>
      </c>
      <c r="O38" s="245" t="n"/>
      <c r="P38" s="245" t="n"/>
      <c r="Q38" s="250">
        <f>R38/H38</f>
        <v/>
      </c>
      <c r="R38" s="251" t="n">
        <v>2487.06</v>
      </c>
      <c r="S38" s="249" t="n">
        <v>17722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348</v>
      </c>
      <c r="I39" s="245" t="inlineStr"/>
      <c r="J39" s="245" t="inlineStr"/>
      <c r="K39" s="245" t="inlineStr">
        <is>
          <t>8IN GREEN TEA MF MATTRESS SQ</t>
        </is>
      </c>
      <c r="L39" s="245" t="inlineStr">
        <is>
          <t>ZU-MFMA1FZI-08S</t>
        </is>
      </c>
      <c r="M39" s="248" t="inlineStr">
        <is>
          <t>69OJ16HC</t>
        </is>
      </c>
      <c r="N39" s="245" t="inlineStr">
        <is>
          <t>F.MFM.08S.012.AD</t>
        </is>
      </c>
      <c r="O39" s="245" t="n"/>
      <c r="P39" s="245" t="n"/>
      <c r="Q39" s="250">
        <f>R39/H39</f>
        <v/>
      </c>
      <c r="R39" s="251" t="n">
        <v>21628.2</v>
      </c>
      <c r="S39" s="249" t="n">
        <v>17722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234</v>
      </c>
      <c r="I40" s="245" t="inlineStr"/>
      <c r="J40" s="245" t="inlineStr"/>
      <c r="K40" s="245" t="inlineStr">
        <is>
          <t>8IN GREEN TEA MF MATTRESS SQ</t>
        </is>
      </c>
      <c r="L40" s="245" t="inlineStr">
        <is>
          <t>ZU-MFMA1FZI-08S</t>
        </is>
      </c>
      <c r="M40" s="248" t="inlineStr">
        <is>
          <t>82BRJEMD</t>
        </is>
      </c>
      <c r="N40" s="245" t="inlineStr">
        <is>
          <t>F.MFM.08S.012.AD</t>
        </is>
      </c>
      <c r="O40" s="245" t="n"/>
      <c r="P40" s="245" t="n"/>
      <c r="Q40" s="250">
        <f>R40/H40</f>
        <v/>
      </c>
      <c r="R40" s="251" t="n">
        <v>14543.1</v>
      </c>
      <c r="S40" s="249" t="n">
        <v>17722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270</v>
      </c>
      <c r="I41" s="245" t="inlineStr"/>
      <c r="J41" s="245" t="inlineStr"/>
      <c r="K41" s="245" t="inlineStr">
        <is>
          <t>8IN OPP HD TW</t>
        </is>
      </c>
      <c r="L41" s="245" t="inlineStr">
        <is>
          <t>ZU-MFMA1OZI-08T</t>
        </is>
      </c>
      <c r="M41" s="248" t="inlineStr">
        <is>
          <t>82BRJEMD</t>
        </is>
      </c>
      <c r="N41" s="245" t="inlineStr">
        <is>
          <t>F.MFM.08T.013.AD</t>
        </is>
      </c>
      <c r="O41" s="245" t="n"/>
      <c r="P41" s="245" t="n"/>
      <c r="Q41" s="250">
        <f>R41/H41</f>
        <v/>
      </c>
      <c r="R41" s="251" t="n">
        <v>8083.8</v>
      </c>
      <c r="S41" s="249" t="n">
        <v>17722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64</v>
      </c>
      <c r="I42" s="245" t="inlineStr"/>
      <c r="J42" s="245" t="inlineStr"/>
      <c r="K42" s="245" t="inlineStr">
        <is>
          <t>12IN GREEN TEA MF MATTRESS TX</t>
        </is>
      </c>
      <c r="L42" s="245" t="inlineStr">
        <is>
          <t>ZU-MFMA1ZZI-12X</t>
        </is>
      </c>
      <c r="M42" s="248" t="inlineStr">
        <is>
          <t>82BRJEMD</t>
        </is>
      </c>
      <c r="N42" s="245" t="inlineStr">
        <is>
          <t>F.MFM.12X.006.AD</t>
        </is>
      </c>
      <c r="O42" s="245" t="n"/>
      <c r="P42" s="245" t="n"/>
      <c r="Q42" s="250">
        <f>R42/H42</f>
        <v/>
      </c>
      <c r="R42" s="251" t="n">
        <v>3731.2</v>
      </c>
      <c r="S42" s="249" t="n">
        <v>17722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23</v>
      </c>
      <c r="I43" s="245" t="inlineStr"/>
      <c r="J43" s="245" t="inlineStr"/>
      <c r="K43" s="245" t="inlineStr">
        <is>
          <t>10IN AIRFLOW GEL FOAM MATT FL</t>
        </is>
      </c>
      <c r="L43" s="245" t="inlineStr">
        <is>
          <t>ZU-MFMA1RZI-10F</t>
        </is>
      </c>
      <c r="M43" s="248" t="inlineStr">
        <is>
          <t>8ZRS338Q</t>
        </is>
      </c>
      <c r="N43" s="245" t="inlineStr">
        <is>
          <t>F.MFM.10F.014.AD</t>
        </is>
      </c>
      <c r="O43" s="245" t="n"/>
      <c r="P43" s="245" t="n"/>
      <c r="Q43" s="250">
        <f>R43/H43</f>
        <v/>
      </c>
      <c r="R43" s="251" t="n">
        <v>1101.93</v>
      </c>
      <c r="S43" s="249" t="n">
        <v>17722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280</v>
      </c>
      <c r="I44" s="245" t="inlineStr"/>
      <c r="J44" s="245" t="inlineStr"/>
      <c r="K44" s="245" t="inlineStr">
        <is>
          <t>12IN GREEN TEA MF MATTRESS TW</t>
        </is>
      </c>
      <c r="L44" s="245" t="inlineStr">
        <is>
          <t>ZU-MFMA1ZZI-12T</t>
        </is>
      </c>
      <c r="M44" s="248" t="inlineStr">
        <is>
          <t>8ZRS338Q</t>
        </is>
      </c>
      <c r="N44" s="245" t="inlineStr">
        <is>
          <t>F.MFM.12T.006.AD</t>
        </is>
      </c>
      <c r="O44" s="245" t="n"/>
      <c r="P44" s="245" t="n"/>
      <c r="Q44" s="250">
        <f>R44/H44</f>
        <v/>
      </c>
      <c r="R44" s="251" t="n">
        <v>17696</v>
      </c>
      <c r="S44" s="249" t="n">
        <v>17722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7.1" customHeight="1" s="202">
      <c r="A45" s="253" t="n"/>
      <c r="B45" s="253" t="n"/>
      <c r="C45" s="253" t="n"/>
      <c r="D45" s="253" t="n"/>
      <c r="E45" s="253" t="n"/>
      <c r="F45" s="253" t="n"/>
      <c r="G45" s="253" t="n"/>
      <c r="H45" s="254">
        <f>SUM(H27:H44)</f>
        <v/>
      </c>
      <c r="I45" s="253">
        <f>COUNTA(I27:I44)</f>
        <v/>
      </c>
      <c r="J45" s="253" t="n"/>
      <c r="K45" s="253" t="n"/>
      <c r="L45" s="253" t="n"/>
      <c r="M45" s="253" t="n"/>
      <c r="N45" s="253" t="n"/>
      <c r="O45" s="255">
        <f>SUM(O27:O44)</f>
        <v/>
      </c>
      <c r="P45" s="255">
        <f>SUM(P27:P44)</f>
        <v/>
      </c>
      <c r="Q45" s="253" t="n"/>
      <c r="R45" s="256">
        <f>SUM(R27:R44)</f>
        <v/>
      </c>
      <c r="S45" s="253" t="n"/>
      <c r="T45" s="257">
        <f>SUM(T27:T44)</f>
        <v/>
      </c>
      <c r="U45" s="253" t="n"/>
      <c r="V45" s="253" t="n"/>
      <c r="W45" s="253" t="n"/>
      <c r="X45" s="253" t="n"/>
      <c r="Y45" s="253" t="n"/>
      <c r="Z45" s="253" t="n"/>
    </row>
    <row r="46" ht="16.5" customHeight="1" s="202">
      <c r="A46" s="245" t="n">
        <v>4</v>
      </c>
      <c r="B46" s="245" t="inlineStr">
        <is>
          <t>000030ZIK48020260901000732</t>
        </is>
      </c>
      <c r="C46" s="245" t="n">
        <v>554112</v>
      </c>
      <c r="D46" s="245" t="n">
        <v>554059</v>
      </c>
      <c r="E46" s="246" t="n">
        <v>46267</v>
      </c>
      <c r="F46" s="245" t="inlineStr">
        <is>
          <t>ID2608-8244</t>
        </is>
      </c>
      <c r="G46" s="246" t="n">
        <v>46260</v>
      </c>
      <c r="H46" s="247" t="n">
        <v>25</v>
      </c>
      <c r="I46" s="245" t="inlineStr">
        <is>
          <t>MSMU5305919</t>
        </is>
      </c>
      <c r="J46" s="245" t="inlineStr">
        <is>
          <t>40FT</t>
        </is>
      </c>
      <c r="K46" s="245" t="inlineStr">
        <is>
          <t>12IN MYGEL FOAM MATTRESS TW</t>
        </is>
      </c>
      <c r="L46" s="245" t="inlineStr">
        <is>
          <t>ZU-MFGN1YZI-12T</t>
        </is>
      </c>
      <c r="M46" s="248" t="inlineStr">
        <is>
          <t>1JMKPYXX</t>
        </is>
      </c>
      <c r="N46" s="245" t="inlineStr">
        <is>
          <t>F.MFG.12T.002.AD</t>
        </is>
      </c>
      <c r="O46" s="249" t="n">
        <v>47613.24</v>
      </c>
      <c r="P46" s="249" t="n">
        <v>40787.38</v>
      </c>
      <c r="Q46" s="250">
        <f>R46/H46</f>
        <v/>
      </c>
      <c r="R46" s="251" t="n">
        <v>1516.5</v>
      </c>
      <c r="S46" s="249" t="n">
        <v>17722</v>
      </c>
      <c r="T46" s="252">
        <f>S46*R46</f>
        <v/>
      </c>
      <c r="U46" s="245" t="inlineStr">
        <is>
          <t>040300/KPPBC</t>
        </is>
      </c>
      <c r="V46" s="245" t="inlineStr">
        <is>
          <t>TG. PRIOK</t>
        </is>
      </c>
      <c r="W46" s="245" t="inlineStr">
        <is>
          <t>LONG BEACH, US</t>
        </is>
      </c>
      <c r="X46" s="245" t="inlineStr">
        <is>
          <t>AMAZON.COM SERVICES LLC</t>
        </is>
      </c>
      <c r="Y46" s="245" t="inlineStr">
        <is>
          <t>MEDUKU632189</t>
        </is>
      </c>
      <c r="Z46" s="246" t="n">
        <v>46267</v>
      </c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216</v>
      </c>
      <c r="I47" s="245" t="inlineStr">
        <is>
          <t>MSDU7178890</t>
        </is>
      </c>
      <c r="J47" s="245" t="inlineStr">
        <is>
          <t>40FT</t>
        </is>
      </c>
      <c r="K47" s="245" t="inlineStr">
        <is>
          <t>6IN OPP HD FL</t>
        </is>
      </c>
      <c r="L47" s="245" t="inlineStr">
        <is>
          <t>ZU-MFMA1OZI-06F</t>
        </is>
      </c>
      <c r="M47" s="248" t="inlineStr">
        <is>
          <t>1JMKPYXX</t>
        </is>
      </c>
      <c r="N47" s="245" t="inlineStr">
        <is>
          <t>F.MFM.06F.008.AD</t>
        </is>
      </c>
      <c r="O47" s="245" t="n"/>
      <c r="P47" s="245" t="n"/>
      <c r="Q47" s="250">
        <f>R47/H47</f>
        <v/>
      </c>
      <c r="R47" s="251" t="n">
        <v>8305.200000000001</v>
      </c>
      <c r="S47" s="249" t="n">
        <v>17722</v>
      </c>
      <c r="T47" s="252">
        <f>S47*R47</f>
        <v/>
      </c>
      <c r="U47" s="245" t="n"/>
      <c r="V47" s="245" t="n"/>
      <c r="W47" s="245" t="inlineStr">
        <is>
          <t>ETD : 09-09-2026</t>
        </is>
      </c>
      <c r="X47" s="245" t="n"/>
      <c r="Y47" s="245" t="n"/>
      <c r="Z47" s="245" t="n"/>
    </row>
    <row r="48" ht="16.5" customHeight="1" s="202">
      <c r="A48" s="245" t="n"/>
      <c r="B48" s="245" t="n"/>
      <c r="C48" s="245" t="n"/>
      <c r="D48" s="245" t="n"/>
      <c r="E48" s="245" t="n"/>
      <c r="F48" s="245" t="n"/>
      <c r="G48" s="245" t="n"/>
      <c r="H48" s="247" t="n">
        <v>375</v>
      </c>
      <c r="I48" s="245" t="inlineStr">
        <is>
          <t>UETU7781289</t>
        </is>
      </c>
      <c r="J48" s="245" t="inlineStr">
        <is>
          <t>40FT</t>
        </is>
      </c>
      <c r="K48" s="245" t="inlineStr">
        <is>
          <t>8IN OPP HD TW</t>
        </is>
      </c>
      <c r="L48" s="245" t="inlineStr">
        <is>
          <t>ZU-MFMA1OZI-08T</t>
        </is>
      </c>
      <c r="M48" s="248" t="inlineStr">
        <is>
          <t>1JMKPYXX</t>
        </is>
      </c>
      <c r="N48" s="245" t="inlineStr">
        <is>
          <t>F.MFM.08T.013.AD</t>
        </is>
      </c>
      <c r="O48" s="245" t="n"/>
      <c r="P48" s="245" t="n"/>
      <c r="Q48" s="250">
        <f>R48/H48</f>
        <v/>
      </c>
      <c r="R48" s="251" t="n">
        <v>11227.5</v>
      </c>
      <c r="S48" s="249" t="n">
        <v>17722</v>
      </c>
      <c r="T48" s="252">
        <f>S48*R48</f>
        <v/>
      </c>
      <c r="U48" s="245" t="n"/>
      <c r="V48" s="245" t="n"/>
      <c r="W48" s="245" t="n"/>
      <c r="X48" s="245" t="n"/>
      <c r="Y48" s="245" t="n"/>
      <c r="Z48" s="245" t="n"/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7" t="n">
        <v>16</v>
      </c>
      <c r="I49" s="245" t="inlineStr">
        <is>
          <t>MSNU9073517</t>
        </is>
      </c>
      <c r="J49" s="245" t="inlineStr">
        <is>
          <t>40FT</t>
        </is>
      </c>
      <c r="K49" s="245" t="inlineStr">
        <is>
          <t>10IN OPP HD EK</t>
        </is>
      </c>
      <c r="L49" s="245" t="inlineStr">
        <is>
          <t>ZU-MFMA1OZI-10K</t>
        </is>
      </c>
      <c r="M49" s="248" t="inlineStr">
        <is>
          <t>1JMKPYXX</t>
        </is>
      </c>
      <c r="N49" s="245" t="inlineStr">
        <is>
          <t>F.MFM.10K.013.AD</t>
        </is>
      </c>
      <c r="O49" s="245" t="n"/>
      <c r="P49" s="245" t="n"/>
      <c r="Q49" s="250">
        <f>R49/H49</f>
        <v/>
      </c>
      <c r="R49" s="251" t="n">
        <v>1054.08</v>
      </c>
      <c r="S49" s="249" t="n">
        <v>17722</v>
      </c>
      <c r="T49" s="252">
        <f>S49*R49</f>
        <v/>
      </c>
      <c r="U49" s="245" t="n"/>
      <c r="V49" s="245" t="n"/>
      <c r="W49" s="245" t="n"/>
      <c r="X49" s="245" t="n"/>
      <c r="Y49" s="245" t="n"/>
      <c r="Z49" s="245" t="n"/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31</v>
      </c>
      <c r="I50" s="245" t="inlineStr"/>
      <c r="J50" s="245" t="inlineStr"/>
      <c r="K50" s="245" t="inlineStr">
        <is>
          <t>6IN MYGEL FOAM MATTRESS TW</t>
        </is>
      </c>
      <c r="L50" s="245" t="inlineStr">
        <is>
          <t>ZU-MFGN1YZI-06T</t>
        </is>
      </c>
      <c r="M50" s="248" t="inlineStr">
        <is>
          <t>1VCOM7ZP</t>
        </is>
      </c>
      <c r="N50" s="245" t="inlineStr">
        <is>
          <t>F.MFG.06T.002.AD</t>
        </is>
      </c>
      <c r="O50" s="245" t="n"/>
      <c r="P50" s="245" t="n"/>
      <c r="Q50" s="250">
        <f>R50/H50</f>
        <v/>
      </c>
      <c r="R50" s="251" t="n">
        <v>1028.27</v>
      </c>
      <c r="S50" s="249" t="n">
        <v>17722</v>
      </c>
      <c r="T50" s="252">
        <f>S50*R50</f>
        <v/>
      </c>
      <c r="U50" s="245" t="n"/>
      <c r="V50" s="245" t="n"/>
      <c r="W50" s="245" t="n"/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230</v>
      </c>
      <c r="I51" s="245" t="inlineStr"/>
      <c r="J51" s="245" t="inlineStr"/>
      <c r="K51" s="245" t="inlineStr">
        <is>
          <t>8IN GREEN TEA MF MATTRESS SQ</t>
        </is>
      </c>
      <c r="L51" s="245" t="inlineStr">
        <is>
          <t>ZU-MFMA1FZI-08S</t>
        </is>
      </c>
      <c r="M51" s="248" t="inlineStr">
        <is>
          <t>1VCOM7ZP</t>
        </is>
      </c>
      <c r="N51" s="245" t="inlineStr">
        <is>
          <t>F.MFM.08S.012.AD</t>
        </is>
      </c>
      <c r="O51" s="245" t="n"/>
      <c r="P51" s="245" t="n"/>
      <c r="Q51" s="250">
        <f>R51/H51</f>
        <v/>
      </c>
      <c r="R51" s="251" t="n">
        <v>14294.5</v>
      </c>
      <c r="S51" s="249" t="n">
        <v>17722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35</v>
      </c>
      <c r="I52" s="245" t="inlineStr"/>
      <c r="J52" s="245" t="inlineStr"/>
      <c r="K52" s="245" t="inlineStr">
        <is>
          <t>6IN OPP HD QN</t>
        </is>
      </c>
      <c r="L52" s="245" t="inlineStr">
        <is>
          <t>ZU-MFMA1OZI-06Q</t>
        </is>
      </c>
      <c r="M52" s="248" t="inlineStr">
        <is>
          <t>1VCOM7ZP</t>
        </is>
      </c>
      <c r="N52" s="245" t="inlineStr">
        <is>
          <t>F.MFM.06Q.008.AD</t>
        </is>
      </c>
      <c r="O52" s="245" t="n"/>
      <c r="P52" s="245" t="n"/>
      <c r="Q52" s="250">
        <f>R52/H52</f>
        <v/>
      </c>
      <c r="R52" s="251" t="n">
        <v>1603.35</v>
      </c>
      <c r="S52" s="249" t="n">
        <v>17722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90</v>
      </c>
      <c r="I53" s="245" t="inlineStr"/>
      <c r="J53" s="245" t="inlineStr"/>
      <c r="K53" s="245" t="inlineStr">
        <is>
          <t>10IN OPP HD TW</t>
        </is>
      </c>
      <c r="L53" s="245" t="inlineStr">
        <is>
          <t>ZU-MFMA1OZI-10T</t>
        </is>
      </c>
      <c r="M53" s="248" t="inlineStr">
        <is>
          <t>1VCOM7ZP</t>
        </is>
      </c>
      <c r="N53" s="245" t="inlineStr">
        <is>
          <t>F.MFM.10T.013.AD</t>
        </is>
      </c>
      <c r="O53" s="245" t="n"/>
      <c r="P53" s="245" t="n"/>
      <c r="Q53" s="250">
        <f>R53/H53</f>
        <v/>
      </c>
      <c r="R53" s="251" t="n">
        <v>3503.7</v>
      </c>
      <c r="S53" s="249" t="n">
        <v>17722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34</v>
      </c>
      <c r="I54" s="245" t="inlineStr"/>
      <c r="J54" s="245" t="inlineStr"/>
      <c r="K54" s="245" t="inlineStr">
        <is>
          <t>12IN OPP HD FL</t>
        </is>
      </c>
      <c r="L54" s="245" t="inlineStr">
        <is>
          <t>ZU-MFMA1OZI-12F</t>
        </is>
      </c>
      <c r="M54" s="248" t="inlineStr">
        <is>
          <t>1VCOM7ZP</t>
        </is>
      </c>
      <c r="N54" s="245" t="inlineStr">
        <is>
          <t>F.MFM.12F.010.AD</t>
        </is>
      </c>
      <c r="O54" s="245" t="n"/>
      <c r="P54" s="245" t="n"/>
      <c r="Q54" s="250">
        <f>R54/H54</f>
        <v/>
      </c>
      <c r="R54" s="251" t="n">
        <v>2197.42</v>
      </c>
      <c r="S54" s="249" t="n">
        <v>17722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554</v>
      </c>
      <c r="I55" s="245" t="inlineStr"/>
      <c r="J55" s="245" t="inlineStr"/>
      <c r="K55" s="245" t="inlineStr">
        <is>
          <t>6IN GREEN TEA MF MATTRESS TW</t>
        </is>
      </c>
      <c r="L55" s="245" t="inlineStr">
        <is>
          <t>ZU-MFMA1ZZI-06T</t>
        </is>
      </c>
      <c r="M55" s="248" t="inlineStr">
        <is>
          <t>4LKYS9PF</t>
        </is>
      </c>
      <c r="N55" s="245" t="inlineStr">
        <is>
          <t>F.MFM.06T.007.AD</t>
        </is>
      </c>
      <c r="O55" s="245" t="n"/>
      <c r="P55" s="245" t="n"/>
      <c r="Q55" s="250">
        <f>R55/H55</f>
        <v/>
      </c>
      <c r="R55" s="251" t="n">
        <v>16902.54</v>
      </c>
      <c r="S55" s="249" t="n">
        <v>17722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113</v>
      </c>
      <c r="I56" s="245" t="inlineStr"/>
      <c r="J56" s="245" t="inlineStr"/>
      <c r="K56" s="245" t="inlineStr">
        <is>
          <t>12IN GREEN TEA MF MATTRESS TW</t>
        </is>
      </c>
      <c r="L56" s="245" t="inlineStr">
        <is>
          <t>ZU-MFMA1ZZI-12T</t>
        </is>
      </c>
      <c r="M56" s="248" t="inlineStr">
        <is>
          <t>4LKYS9PF</t>
        </is>
      </c>
      <c r="N56" s="245" t="inlineStr">
        <is>
          <t>F.MFM.12T.006.AD</t>
        </is>
      </c>
      <c r="O56" s="245" t="n"/>
      <c r="P56" s="245" t="n"/>
      <c r="Q56" s="250">
        <f>R56/H56</f>
        <v/>
      </c>
      <c r="R56" s="251" t="n">
        <v>7141.6</v>
      </c>
      <c r="S56" s="249" t="n">
        <v>17722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111</v>
      </c>
      <c r="I57" s="245" t="inlineStr"/>
      <c r="J57" s="245" t="inlineStr"/>
      <c r="K57" s="245" t="inlineStr">
        <is>
          <t>8IN OPP HD TW</t>
        </is>
      </c>
      <c r="L57" s="245" t="inlineStr">
        <is>
          <t>ZU-MFMA1OZI-08T</t>
        </is>
      </c>
      <c r="M57" s="248" t="inlineStr">
        <is>
          <t>67TRF2MN</t>
        </is>
      </c>
      <c r="N57" s="245" t="inlineStr">
        <is>
          <t>F.MFM.08T.013.AD</t>
        </is>
      </c>
      <c r="O57" s="245" t="n"/>
      <c r="P57" s="245" t="n"/>
      <c r="Q57" s="250">
        <f>R57/H57</f>
        <v/>
      </c>
      <c r="R57" s="251" t="n">
        <v>3323.34</v>
      </c>
      <c r="S57" s="249" t="n">
        <v>17722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5</v>
      </c>
      <c r="I58" s="245" t="inlineStr"/>
      <c r="J58" s="245" t="inlineStr"/>
      <c r="K58" s="245" t="inlineStr">
        <is>
          <t>10IN OPP HD EK</t>
        </is>
      </c>
      <c r="L58" s="245" t="inlineStr">
        <is>
          <t>ZU-MFMA1OZI-10K</t>
        </is>
      </c>
      <c r="M58" s="248" t="inlineStr">
        <is>
          <t>67TRF2MN</t>
        </is>
      </c>
      <c r="N58" s="245" t="inlineStr">
        <is>
          <t>F.MFM.10K.013.AD</t>
        </is>
      </c>
      <c r="O58" s="245" t="n"/>
      <c r="P58" s="245" t="n"/>
      <c r="Q58" s="250">
        <f>R58/H58</f>
        <v/>
      </c>
      <c r="R58" s="251" t="n">
        <v>329.4</v>
      </c>
      <c r="S58" s="249" t="n">
        <v>17722</v>
      </c>
      <c r="T58" s="252">
        <f>S58*R58</f>
        <v/>
      </c>
      <c r="U58" s="245" t="n"/>
      <c r="V58" s="245" t="n"/>
      <c r="W58" s="245" t="n"/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214</v>
      </c>
      <c r="I59" s="245" t="inlineStr"/>
      <c r="J59" s="245" t="inlineStr"/>
      <c r="K59" s="245" t="inlineStr">
        <is>
          <t>10IN OPP HD TW</t>
        </is>
      </c>
      <c r="L59" s="245" t="inlineStr">
        <is>
          <t>ZU-MFMA1OZI-10T</t>
        </is>
      </c>
      <c r="M59" s="248" t="inlineStr">
        <is>
          <t>67TRF2MN</t>
        </is>
      </c>
      <c r="N59" s="245" t="inlineStr">
        <is>
          <t>F.MFM.10T.013.AD</t>
        </is>
      </c>
      <c r="O59" s="245" t="n"/>
      <c r="P59" s="245" t="n"/>
      <c r="Q59" s="250">
        <f>R59/H59</f>
        <v/>
      </c>
      <c r="R59" s="251" t="n">
        <v>8331.02</v>
      </c>
      <c r="S59" s="249" t="n">
        <v>17722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101</v>
      </c>
      <c r="I60" s="245" t="inlineStr"/>
      <c r="J60" s="245" t="inlineStr"/>
      <c r="K60" s="245" t="inlineStr">
        <is>
          <t>10IN AIRFLOW GEL FOAM MATT TW</t>
        </is>
      </c>
      <c r="L60" s="245" t="inlineStr">
        <is>
          <t>ZU-MFMA1RZI-10T</t>
        </is>
      </c>
      <c r="M60" s="248" t="inlineStr">
        <is>
          <t>67TRF2MN</t>
        </is>
      </c>
      <c r="N60" s="245" t="inlineStr">
        <is>
          <t>F.MFM.10T.014.AD</t>
        </is>
      </c>
      <c r="O60" s="245" t="n"/>
      <c r="P60" s="245" t="n"/>
      <c r="Q60" s="250">
        <f>R60/H60</f>
        <v/>
      </c>
      <c r="R60" s="251" t="n">
        <v>3931.93</v>
      </c>
      <c r="S60" s="249" t="n">
        <v>17722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92</v>
      </c>
      <c r="I61" s="245" t="inlineStr"/>
      <c r="J61" s="245" t="inlineStr"/>
      <c r="K61" s="245" t="inlineStr">
        <is>
          <t>10IN OPP HD TW</t>
        </is>
      </c>
      <c r="L61" s="245" t="inlineStr">
        <is>
          <t>ZU-MFMA1OZI-10T</t>
        </is>
      </c>
      <c r="M61" s="248" t="inlineStr">
        <is>
          <t>7WGWO7VH</t>
        </is>
      </c>
      <c r="N61" s="245" t="inlineStr">
        <is>
          <t>F.MFM.10T.013.AD</t>
        </is>
      </c>
      <c r="O61" s="245" t="n"/>
      <c r="P61" s="245" t="n"/>
      <c r="Q61" s="250">
        <f>R61/H61</f>
        <v/>
      </c>
      <c r="R61" s="251" t="n">
        <v>3581.56</v>
      </c>
      <c r="S61" s="249" t="n">
        <v>17722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85</v>
      </c>
      <c r="I62" s="245" t="inlineStr"/>
      <c r="J62" s="245" t="inlineStr"/>
      <c r="K62" s="245" t="inlineStr">
        <is>
          <t>10IN AIRFLOW GEL FOAM MATT QN</t>
        </is>
      </c>
      <c r="L62" s="245" t="inlineStr">
        <is>
          <t>ZU-MFMA1RZI-10Q</t>
        </is>
      </c>
      <c r="M62" s="248" t="inlineStr">
        <is>
          <t>7WGWO7VH</t>
        </is>
      </c>
      <c r="N62" s="245" t="inlineStr">
        <is>
          <t>F.MFM.10Q.014.AD</t>
        </is>
      </c>
      <c r="O62" s="245" t="n"/>
      <c r="P62" s="245" t="n"/>
      <c r="Q62" s="250">
        <f>R62/H62</f>
        <v/>
      </c>
      <c r="R62" s="251" t="n">
        <v>4581.5</v>
      </c>
      <c r="S62" s="249" t="n">
        <v>17722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140</v>
      </c>
      <c r="I63" s="245" t="inlineStr"/>
      <c r="J63" s="245" t="inlineStr"/>
      <c r="K63" s="245" t="inlineStr">
        <is>
          <t>8IN GREEN TEA MF MATTRESS FL</t>
        </is>
      </c>
      <c r="L63" s="245" t="inlineStr">
        <is>
          <t>ZU-MFMA1ZZI-08F</t>
        </is>
      </c>
      <c r="M63" s="248" t="inlineStr">
        <is>
          <t>7WGWO7VH</t>
        </is>
      </c>
      <c r="N63" s="245" t="inlineStr">
        <is>
          <t>F.MFM.08F.008.AD</t>
        </is>
      </c>
      <c r="O63" s="245" t="n"/>
      <c r="P63" s="245" t="n"/>
      <c r="Q63" s="250">
        <f>R63/H63</f>
        <v/>
      </c>
      <c r="R63" s="251" t="n">
        <v>7838.6</v>
      </c>
      <c r="S63" s="249" t="n">
        <v>17722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44</v>
      </c>
      <c r="I64" s="245" t="inlineStr"/>
      <c r="J64" s="245" t="inlineStr"/>
      <c r="K64" s="245" t="inlineStr">
        <is>
          <t>12IN GREEN TEA MF MATTRESS TW</t>
        </is>
      </c>
      <c r="L64" s="245" t="inlineStr">
        <is>
          <t>ZU-MFMA1ZZI-12T</t>
        </is>
      </c>
      <c r="M64" s="248" t="inlineStr">
        <is>
          <t>7WGWO7VH</t>
        </is>
      </c>
      <c r="N64" s="245" t="inlineStr">
        <is>
          <t>F.MFM.12T.006.AD</t>
        </is>
      </c>
      <c r="O64" s="245" t="n"/>
      <c r="P64" s="245" t="n"/>
      <c r="Q64" s="250">
        <f>R64/H64</f>
        <v/>
      </c>
      <c r="R64" s="251" t="n">
        <v>2780.8</v>
      </c>
      <c r="S64" s="249" t="n">
        <v>17722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70</v>
      </c>
      <c r="I65" s="245" t="inlineStr"/>
      <c r="J65" s="245" t="inlineStr"/>
      <c r="K65" s="245" t="inlineStr">
        <is>
          <t>12IN GREEN TEA MF MATTRESS TX</t>
        </is>
      </c>
      <c r="L65" s="245" t="inlineStr">
        <is>
          <t>ZU-MFMA1ZZI-12X</t>
        </is>
      </c>
      <c r="M65" s="248" t="inlineStr">
        <is>
          <t>7WGWO7VH</t>
        </is>
      </c>
      <c r="N65" s="245" t="inlineStr">
        <is>
          <t>F.MFM.12X.006.AD</t>
        </is>
      </c>
      <c r="O65" s="245" t="n"/>
      <c r="P65" s="245" t="n"/>
      <c r="Q65" s="250">
        <f>R65/H65</f>
        <v/>
      </c>
      <c r="R65" s="251" t="n">
        <v>4081</v>
      </c>
      <c r="S65" s="249" t="n">
        <v>17722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310</v>
      </c>
      <c r="I66" s="245" t="inlineStr"/>
      <c r="J66" s="245" t="inlineStr"/>
      <c r="K66" s="245" t="inlineStr">
        <is>
          <t>10IN OPP HD TW</t>
        </is>
      </c>
      <c r="L66" s="245" t="inlineStr">
        <is>
          <t>ZU-MFMA1OZI-10T</t>
        </is>
      </c>
      <c r="M66" s="248" t="inlineStr">
        <is>
          <t>8YE92U4E</t>
        </is>
      </c>
      <c r="N66" s="245" t="inlineStr">
        <is>
          <t>F.MFM.10T.013.AD</t>
        </is>
      </c>
      <c r="O66" s="245" t="n"/>
      <c r="P66" s="245" t="n"/>
      <c r="Q66" s="250">
        <f>R66/H66</f>
        <v/>
      </c>
      <c r="R66" s="251" t="n">
        <v>12068.3</v>
      </c>
      <c r="S66" s="249" t="n">
        <v>17722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7.1" customHeight="1" s="202">
      <c r="A67" s="253" t="n"/>
      <c r="B67" s="253" t="n"/>
      <c r="C67" s="253" t="n"/>
      <c r="D67" s="253" t="n"/>
      <c r="E67" s="253" t="n"/>
      <c r="F67" s="253" t="n"/>
      <c r="G67" s="253" t="n"/>
      <c r="H67" s="254">
        <f>SUM(H46:H66)</f>
        <v/>
      </c>
      <c r="I67" s="253">
        <f>COUNTA(I46:I66)</f>
        <v/>
      </c>
      <c r="J67" s="253" t="n"/>
      <c r="K67" s="253" t="n"/>
      <c r="L67" s="253" t="n"/>
      <c r="M67" s="253" t="n"/>
      <c r="N67" s="253" t="n"/>
      <c r="O67" s="255">
        <f>SUM(O46:O66)</f>
        <v/>
      </c>
      <c r="P67" s="255">
        <f>SUM(P46:P66)</f>
        <v/>
      </c>
      <c r="Q67" s="253" t="n"/>
      <c r="R67" s="256">
        <f>SUM(R46:R66)</f>
        <v/>
      </c>
      <c r="S67" s="253" t="n"/>
      <c r="T67" s="257">
        <f>SUM(T46:T66)</f>
        <v/>
      </c>
      <c r="U67" s="253" t="n"/>
      <c r="V67" s="253" t="n"/>
      <c r="W67" s="253" t="n"/>
      <c r="X67" s="253" t="n"/>
      <c r="Y67" s="253" t="n"/>
      <c r="Z67" s="253" t="n"/>
    </row>
    <row r="68" ht="16.5" customHeight="1" s="202">
      <c r="A68" s="245" t="n">
        <v>5</v>
      </c>
      <c r="B68" s="245" t="inlineStr">
        <is>
          <t>000030ZIK48020260901000733</t>
        </is>
      </c>
      <c r="C68" s="245" t="n">
        <v>554181</v>
      </c>
      <c r="D68" s="245" t="n">
        <v>554128</v>
      </c>
      <c r="E68" s="246" t="n">
        <v>46267</v>
      </c>
      <c r="F68" s="245" t="inlineStr">
        <is>
          <t>ID2609-8327</t>
        </is>
      </c>
      <c r="G68" s="246" t="n">
        <v>46266</v>
      </c>
      <c r="H68" s="247" t="n">
        <v>86</v>
      </c>
      <c r="I68" s="245" t="inlineStr">
        <is>
          <t>FANU1093426</t>
        </is>
      </c>
      <c r="J68" s="245" t="inlineStr">
        <is>
          <t>40FT</t>
        </is>
      </c>
      <c r="K68" s="245" t="inlineStr">
        <is>
          <t>10IN MEDIUM MFM FL</t>
        </is>
      </c>
      <c r="L68" s="245" t="inlineStr">
        <is>
          <t>WA-MMF-10F-IN</t>
        </is>
      </c>
      <c r="M68" s="248" t="inlineStr">
        <is>
          <t>MIWU00213</t>
        </is>
      </c>
      <c r="N68" s="245" t="inlineStr">
        <is>
          <t>F.MFM.10F.005.BU</t>
        </is>
      </c>
      <c r="O68" s="249" t="n">
        <v>11906.4</v>
      </c>
      <c r="P68" s="249" t="n">
        <v>10793.8</v>
      </c>
      <c r="Q68" s="250">
        <f>R68/H68</f>
        <v/>
      </c>
      <c r="R68" s="251" t="n">
        <v>5192.68</v>
      </c>
      <c r="S68" s="249" t="n">
        <v>17722</v>
      </c>
      <c r="T68" s="252">
        <f>S68*R68</f>
        <v/>
      </c>
      <c r="U68" s="245" t="inlineStr">
        <is>
          <t>040300/KPPBC</t>
        </is>
      </c>
      <c r="V68" s="245" t="inlineStr">
        <is>
          <t>TG. PRIOK</t>
        </is>
      </c>
      <c r="W68" s="245" t="inlineStr">
        <is>
          <t>SAVANNAH, US</t>
        </is>
      </c>
      <c r="X68" s="245" t="inlineStr">
        <is>
          <t>MELLOW INC</t>
        </is>
      </c>
      <c r="Y68" s="245" t="inlineStr">
        <is>
          <t>HLCUJK1260876031</t>
        </is>
      </c>
      <c r="Z68" s="246" t="n">
        <v>46267</v>
      </c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75</v>
      </c>
      <c r="I69" s="245" t="inlineStr"/>
      <c r="J69" s="245" t="inlineStr"/>
      <c r="K69" s="245" t="inlineStr">
        <is>
          <t>10IN MEDIUM MFM EK</t>
        </is>
      </c>
      <c r="L69" s="245" t="inlineStr">
        <is>
          <t>WA-MMF-10K-IN</t>
        </is>
      </c>
      <c r="M69" s="248" t="inlineStr">
        <is>
          <t>MIWU00213</t>
        </is>
      </c>
      <c r="N69" s="245" t="inlineStr">
        <is>
          <t>F.MFM.10K.005.BU</t>
        </is>
      </c>
      <c r="O69" s="245" t="n"/>
      <c r="P69" s="245" t="n"/>
      <c r="Q69" s="250">
        <f>R69/H69</f>
        <v/>
      </c>
      <c r="R69" s="251" t="n">
        <v>6560.25</v>
      </c>
      <c r="S69" s="249" t="n">
        <v>17722</v>
      </c>
      <c r="T69" s="252">
        <f>S69*R69</f>
        <v/>
      </c>
      <c r="U69" s="245" t="n"/>
      <c r="V69" s="245" t="n"/>
      <c r="W69" s="245" t="inlineStr">
        <is>
          <t>ETD : 08-09-2026</t>
        </is>
      </c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88</v>
      </c>
      <c r="I70" s="245" t="inlineStr"/>
      <c r="J70" s="245" t="inlineStr"/>
      <c r="K70" s="245" t="inlineStr">
        <is>
          <t>10IN MEDIUM MFM QN</t>
        </is>
      </c>
      <c r="L70" s="245" t="inlineStr">
        <is>
          <t>WA-MMF-10Q-IN</t>
        </is>
      </c>
      <c r="M70" s="248" t="inlineStr">
        <is>
          <t>MIWU00213</t>
        </is>
      </c>
      <c r="N70" s="245" t="inlineStr">
        <is>
          <t>F.MFM.10Q.005.BU</t>
        </is>
      </c>
      <c r="O70" s="245" t="n"/>
      <c r="P70" s="245" t="n"/>
      <c r="Q70" s="250">
        <f>R70/H70</f>
        <v/>
      </c>
      <c r="R70" s="251" t="n">
        <v>6297.28</v>
      </c>
      <c r="S70" s="249" t="n">
        <v>17722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40</v>
      </c>
      <c r="I71" s="245" t="inlineStr"/>
      <c r="J71" s="245" t="inlineStr"/>
      <c r="K71" s="245" t="inlineStr">
        <is>
          <t>10IN MEDIUM MFM TW</t>
        </is>
      </c>
      <c r="L71" s="245" t="inlineStr">
        <is>
          <t>WA-MMF-10T-IN</t>
        </is>
      </c>
      <c r="M71" s="248" t="inlineStr">
        <is>
          <t>MIWU00213</t>
        </is>
      </c>
      <c r="N71" s="245" t="inlineStr">
        <is>
          <t>F.MFM.10T.005.BU</t>
        </is>
      </c>
      <c r="O71" s="245" t="n"/>
      <c r="P71" s="245" t="n"/>
      <c r="Q71" s="250">
        <f>R71/H71</f>
        <v/>
      </c>
      <c r="R71" s="251" t="n">
        <v>1840.8</v>
      </c>
      <c r="S71" s="249" t="n">
        <v>17722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40</v>
      </c>
      <c r="I72" s="245" t="inlineStr"/>
      <c r="J72" s="245" t="inlineStr"/>
      <c r="K72" s="245" t="inlineStr">
        <is>
          <t>6IN MEDIUM MFM FL</t>
        </is>
      </c>
      <c r="L72" s="245" t="inlineStr">
        <is>
          <t>WA-MMF-6F-IN</t>
        </is>
      </c>
      <c r="M72" s="248" t="inlineStr">
        <is>
          <t>MIWU00213</t>
        </is>
      </c>
      <c r="N72" s="245" t="inlineStr">
        <is>
          <t>F.MFM.06F.002.BU</t>
        </is>
      </c>
      <c r="O72" s="245" t="n"/>
      <c r="P72" s="245" t="n"/>
      <c r="Q72" s="250">
        <f>R72/H72</f>
        <v/>
      </c>
      <c r="R72" s="251" t="n">
        <v>1704.8</v>
      </c>
      <c r="S72" s="249" t="n">
        <v>17722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7" t="n">
        <v>67</v>
      </c>
      <c r="I73" s="245" t="inlineStr"/>
      <c r="J73" s="245" t="inlineStr"/>
      <c r="K73" s="245" t="inlineStr">
        <is>
          <t>6IN MEDIUM MFM TW</t>
        </is>
      </c>
      <c r="L73" s="245" t="inlineStr">
        <is>
          <t>WA-MMF-6T-IN</t>
        </is>
      </c>
      <c r="M73" s="248" t="inlineStr">
        <is>
          <t>MIWU00213</t>
        </is>
      </c>
      <c r="N73" s="245" t="inlineStr">
        <is>
          <t>F.MFM.06T.002.BU</t>
        </is>
      </c>
      <c r="O73" s="245" t="n"/>
      <c r="P73" s="245" t="n"/>
      <c r="Q73" s="250">
        <f>R73/H73</f>
        <v/>
      </c>
      <c r="R73" s="251" t="n">
        <v>2150.7</v>
      </c>
      <c r="S73" s="249" t="n">
        <v>17722</v>
      </c>
      <c r="T73" s="252">
        <f>S73*R73</f>
        <v/>
      </c>
      <c r="U73" s="245" t="n"/>
      <c r="V73" s="245" t="n"/>
      <c r="W73" s="245" t="n"/>
      <c r="X73" s="245" t="n"/>
      <c r="Y73" s="245" t="n"/>
      <c r="Z73" s="245" t="n"/>
    </row>
    <row r="74" ht="16.5" customHeight="1" s="202">
      <c r="A74" s="245" t="n"/>
      <c r="B74" s="245" t="n"/>
      <c r="C74" s="245" t="n"/>
      <c r="D74" s="245" t="n"/>
      <c r="E74" s="245" t="n"/>
      <c r="F74" s="245" t="n"/>
      <c r="G74" s="245" t="n"/>
      <c r="H74" s="247" t="n">
        <v>21</v>
      </c>
      <c r="I74" s="245" t="inlineStr"/>
      <c r="J74" s="245" t="inlineStr"/>
      <c r="K74" s="245" t="inlineStr">
        <is>
          <t>6IN MEDIUM MFM TX</t>
        </is>
      </c>
      <c r="L74" s="245" t="inlineStr">
        <is>
          <t>WA-MMF-6TXL-IN</t>
        </is>
      </c>
      <c r="M74" s="248" t="inlineStr">
        <is>
          <t>MIWU00213</t>
        </is>
      </c>
      <c r="N74" s="245" t="inlineStr">
        <is>
          <t>F.MFM.06X.002.BU</t>
        </is>
      </c>
      <c r="O74" s="245" t="n"/>
      <c r="P74" s="245" t="n"/>
      <c r="Q74" s="250">
        <f>R74/H74</f>
        <v/>
      </c>
      <c r="R74" s="251" t="n">
        <v>714.21</v>
      </c>
      <c r="S74" s="249" t="n">
        <v>17722</v>
      </c>
      <c r="T74" s="252">
        <f>S74*R74</f>
        <v/>
      </c>
      <c r="U74" s="245" t="n"/>
      <c r="V74" s="245" t="n"/>
      <c r="W74" s="245" t="n"/>
      <c r="X74" s="245" t="n"/>
      <c r="Y74" s="245" t="n"/>
      <c r="Z74" s="245" t="n"/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45</v>
      </c>
      <c r="I75" s="245" t="inlineStr"/>
      <c r="J75" s="245" t="inlineStr"/>
      <c r="K75" s="245" t="inlineStr">
        <is>
          <t>8IN MEDIUM MFM FL</t>
        </is>
      </c>
      <c r="L75" s="245" t="inlineStr">
        <is>
          <t>WA-MMF-8F-IN</t>
        </is>
      </c>
      <c r="M75" s="248" t="inlineStr">
        <is>
          <t>MIWU00213</t>
        </is>
      </c>
      <c r="N75" s="245" t="inlineStr">
        <is>
          <t>F.MFM.08F.005.BU</t>
        </is>
      </c>
      <c r="O75" s="245" t="n"/>
      <c r="P75" s="245" t="n"/>
      <c r="Q75" s="250">
        <f>R75/H75</f>
        <v/>
      </c>
      <c r="R75" s="251" t="n">
        <v>2344.5</v>
      </c>
      <c r="S75" s="249" t="n">
        <v>17722</v>
      </c>
      <c r="T75" s="252">
        <f>S75*R75</f>
        <v/>
      </c>
      <c r="U75" s="245" t="n"/>
      <c r="V75" s="245" t="n"/>
      <c r="W75" s="245" t="n"/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42</v>
      </c>
      <c r="I76" s="245" t="inlineStr"/>
      <c r="J76" s="245" t="inlineStr"/>
      <c r="K76" s="245" t="inlineStr">
        <is>
          <t>8IN MEDIUM MFM QN</t>
        </is>
      </c>
      <c r="L76" s="245" t="inlineStr">
        <is>
          <t>WA-MMF-8Q-IN</t>
        </is>
      </c>
      <c r="M76" s="248" t="inlineStr">
        <is>
          <t>MIWU00213</t>
        </is>
      </c>
      <c r="N76" s="245" t="inlineStr">
        <is>
          <t>F.MFM.08Q.005.BU</t>
        </is>
      </c>
      <c r="O76" s="245" t="n"/>
      <c r="P76" s="245" t="n"/>
      <c r="Q76" s="250">
        <f>R76/H76</f>
        <v/>
      </c>
      <c r="R76" s="251" t="n">
        <v>2590.98</v>
      </c>
      <c r="S76" s="249" t="n">
        <v>17722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55</v>
      </c>
      <c r="I77" s="245" t="inlineStr"/>
      <c r="J77" s="245" t="inlineStr"/>
      <c r="K77" s="245" t="inlineStr">
        <is>
          <t>8IN MEDIUM MFM TW</t>
        </is>
      </c>
      <c r="L77" s="245" t="inlineStr">
        <is>
          <t>WA-MMF-8T-IN</t>
        </is>
      </c>
      <c r="M77" s="248" t="inlineStr">
        <is>
          <t>MIWU00213</t>
        </is>
      </c>
      <c r="N77" s="245" t="inlineStr">
        <is>
          <t>F.MFM.08T.005.BU</t>
        </is>
      </c>
      <c r="O77" s="245" t="n"/>
      <c r="P77" s="245" t="n"/>
      <c r="Q77" s="250">
        <f>R77/H77</f>
        <v/>
      </c>
      <c r="R77" s="251" t="n">
        <v>2138.4</v>
      </c>
      <c r="S77" s="249" t="n">
        <v>17722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40</v>
      </c>
      <c r="I78" s="245" t="inlineStr"/>
      <c r="J78" s="245" t="inlineStr"/>
      <c r="K78" s="245" t="inlineStr">
        <is>
          <t>8IN MEDIUM MFM TX</t>
        </is>
      </c>
      <c r="L78" s="245" t="inlineStr">
        <is>
          <t>WA-MMF-8TXL-IN</t>
        </is>
      </c>
      <c r="M78" s="248" t="inlineStr">
        <is>
          <t>MIWU00213</t>
        </is>
      </c>
      <c r="N78" s="245" t="inlineStr">
        <is>
          <t>F.MFM.08X.005.BU</t>
        </is>
      </c>
      <c r="O78" s="245" t="n"/>
      <c r="P78" s="245" t="n"/>
      <c r="Q78" s="250">
        <f>R78/H78</f>
        <v/>
      </c>
      <c r="R78" s="251" t="n">
        <v>1637.2</v>
      </c>
      <c r="S78" s="249" t="n">
        <v>17722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7.1" customHeight="1" s="202">
      <c r="A79" s="253" t="n"/>
      <c r="B79" s="253" t="n"/>
      <c r="C79" s="253" t="n"/>
      <c r="D79" s="253" t="n"/>
      <c r="E79" s="253" t="n"/>
      <c r="F79" s="253" t="n"/>
      <c r="G79" s="253" t="n"/>
      <c r="H79" s="254">
        <f>SUM(H68:H78)</f>
        <v/>
      </c>
      <c r="I79" s="253">
        <f>COUNTA(I68:I78)</f>
        <v/>
      </c>
      <c r="J79" s="253" t="n"/>
      <c r="K79" s="253" t="n"/>
      <c r="L79" s="253" t="n"/>
      <c r="M79" s="253" t="n"/>
      <c r="N79" s="253" t="n"/>
      <c r="O79" s="255">
        <f>SUM(O68:O78)</f>
        <v/>
      </c>
      <c r="P79" s="255">
        <f>SUM(P68:P78)</f>
        <v/>
      </c>
      <c r="Q79" s="253" t="n"/>
      <c r="R79" s="256">
        <f>SUM(R68:R78)</f>
        <v/>
      </c>
      <c r="S79" s="253" t="n"/>
      <c r="T79" s="257">
        <f>SUM(T68:T78)</f>
        <v/>
      </c>
      <c r="U79" s="253" t="n"/>
      <c r="V79" s="253" t="n"/>
      <c r="W79" s="253" t="n"/>
      <c r="X79" s="253" t="n"/>
      <c r="Y79" s="253" t="n"/>
      <c r="Z79" s="253" t="n"/>
    </row>
    <row r="80" ht="16.5" customHeight="1" s="202">
      <c r="A80" s="245" t="n">
        <v>6</v>
      </c>
      <c r="B80" s="245" t="inlineStr">
        <is>
          <t>000030ZIK48020260901000734</t>
        </is>
      </c>
      <c r="C80" s="245" t="n">
        <v>554238</v>
      </c>
      <c r="D80" s="245" t="n">
        <v>554185</v>
      </c>
      <c r="E80" s="246" t="n">
        <v>46267</v>
      </c>
      <c r="F80" s="245" t="inlineStr">
        <is>
          <t>ID2609-8328</t>
        </is>
      </c>
      <c r="G80" s="246" t="n">
        <v>46266</v>
      </c>
      <c r="H80" s="247" t="n">
        <v>110</v>
      </c>
      <c r="I80" s="245" t="inlineStr">
        <is>
          <t>FANU3396550</t>
        </is>
      </c>
      <c r="J80" s="245" t="inlineStr">
        <is>
          <t>40FT</t>
        </is>
      </c>
      <c r="K80" s="245" t="inlineStr">
        <is>
          <t>10IN MEDIUM MFM FL</t>
        </is>
      </c>
      <c r="L80" s="245" t="inlineStr">
        <is>
          <t>WA-MMF-10F-IN</t>
        </is>
      </c>
      <c r="M80" s="248" t="inlineStr">
        <is>
          <t>MIWU00220</t>
        </is>
      </c>
      <c r="N80" s="245" t="inlineStr">
        <is>
          <t>F.MFM.10F.005.BU</t>
        </is>
      </c>
      <c r="O80" s="249" t="n">
        <v>12807.8</v>
      </c>
      <c r="P80" s="249" t="n">
        <v>11511.9</v>
      </c>
      <c r="Q80" s="250">
        <f>R80/H80</f>
        <v/>
      </c>
      <c r="R80" s="251" t="n">
        <v>6641.8</v>
      </c>
      <c r="S80" s="249" t="n">
        <v>17722</v>
      </c>
      <c r="T80" s="252">
        <f>S80*R80</f>
        <v/>
      </c>
      <c r="U80" s="245" t="inlineStr">
        <is>
          <t>040300/KPPBC</t>
        </is>
      </c>
      <c r="V80" s="245" t="inlineStr">
        <is>
          <t>TG. PRIOK</t>
        </is>
      </c>
      <c r="W80" s="245" t="inlineStr">
        <is>
          <t>SAVANNAH, US</t>
        </is>
      </c>
      <c r="X80" s="245" t="inlineStr">
        <is>
          <t>MELLOW INC</t>
        </is>
      </c>
      <c r="Y80" s="245" t="inlineStr">
        <is>
          <t>HLCUJK1260876064</t>
        </is>
      </c>
      <c r="Z80" s="246" t="n">
        <v>46267</v>
      </c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24</v>
      </c>
      <c r="I81" s="245" t="inlineStr"/>
      <c r="J81" s="245" t="inlineStr"/>
      <c r="K81" s="245" t="inlineStr">
        <is>
          <t>10IN MEDIUM MFM EK</t>
        </is>
      </c>
      <c r="L81" s="245" t="inlineStr">
        <is>
          <t>WA-MMF-10K-IN</t>
        </is>
      </c>
      <c r="M81" s="248" t="inlineStr">
        <is>
          <t>MIWU00220</t>
        </is>
      </c>
      <c r="N81" s="245" t="inlineStr">
        <is>
          <t>F.MFM.10K.005.BU</t>
        </is>
      </c>
      <c r="O81" s="245" t="n"/>
      <c r="P81" s="245" t="n"/>
      <c r="Q81" s="250">
        <f>R81/H81</f>
        <v/>
      </c>
      <c r="R81" s="251" t="n">
        <v>2099.28</v>
      </c>
      <c r="S81" s="249" t="n">
        <v>17722</v>
      </c>
      <c r="T81" s="252">
        <f>S81*R81</f>
        <v/>
      </c>
      <c r="U81" s="245" t="n"/>
      <c r="V81" s="245" t="n"/>
      <c r="W81" s="245" t="inlineStr">
        <is>
          <t>ETD : 08-09-2026</t>
        </is>
      </c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86</v>
      </c>
      <c r="I82" s="245" t="inlineStr"/>
      <c r="J82" s="245" t="inlineStr"/>
      <c r="K82" s="245" t="inlineStr">
        <is>
          <t>10IN MEDIUM MFM QN</t>
        </is>
      </c>
      <c r="L82" s="245" t="inlineStr">
        <is>
          <t>WA-MMF-10Q-IN</t>
        </is>
      </c>
      <c r="M82" s="248" t="inlineStr">
        <is>
          <t>MIWU00220</t>
        </is>
      </c>
      <c r="N82" s="245" t="inlineStr">
        <is>
          <t>F.MFM.10Q.005.BU</t>
        </is>
      </c>
      <c r="O82" s="245" t="n"/>
      <c r="P82" s="245" t="n"/>
      <c r="Q82" s="250">
        <f>R82/H82</f>
        <v/>
      </c>
      <c r="R82" s="251" t="n">
        <v>6154.16</v>
      </c>
      <c r="S82" s="249" t="n">
        <v>17722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30</v>
      </c>
      <c r="I83" s="245" t="inlineStr"/>
      <c r="J83" s="245" t="inlineStr"/>
      <c r="K83" s="245" t="inlineStr">
        <is>
          <t>10IN MEDIUM MFM TW</t>
        </is>
      </c>
      <c r="L83" s="245" t="inlineStr">
        <is>
          <t>WA-MMF-10T-IN</t>
        </is>
      </c>
      <c r="M83" s="248" t="inlineStr">
        <is>
          <t>MIWU00220</t>
        </is>
      </c>
      <c r="N83" s="245" t="inlineStr">
        <is>
          <t>F.MFM.10T.005.BU</t>
        </is>
      </c>
      <c r="O83" s="245" t="n"/>
      <c r="P83" s="245" t="n"/>
      <c r="Q83" s="250">
        <f>R83/H83</f>
        <v/>
      </c>
      <c r="R83" s="251" t="n">
        <v>1380.6</v>
      </c>
      <c r="S83" s="249" t="n">
        <v>17722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50</v>
      </c>
      <c r="I84" s="245" t="inlineStr"/>
      <c r="J84" s="245" t="inlineStr"/>
      <c r="K84" s="245" t="inlineStr">
        <is>
          <t>10IN MEDIUM MFM TX</t>
        </is>
      </c>
      <c r="L84" s="245" t="inlineStr">
        <is>
          <t>WA-MMF-10TXL-IN</t>
        </is>
      </c>
      <c r="M84" s="248" t="inlineStr">
        <is>
          <t>MIWU00220</t>
        </is>
      </c>
      <c r="N84" s="245" t="inlineStr">
        <is>
          <t>F.MFM.10X.005.BU</t>
        </is>
      </c>
      <c r="O84" s="245" t="n"/>
      <c r="P84" s="245" t="n"/>
      <c r="Q84" s="250">
        <f>R84/H84</f>
        <v/>
      </c>
      <c r="R84" s="251" t="n">
        <v>2432.5</v>
      </c>
      <c r="S84" s="249" t="n">
        <v>17722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40</v>
      </c>
      <c r="I85" s="245" t="inlineStr"/>
      <c r="J85" s="245" t="inlineStr"/>
      <c r="K85" s="245" t="inlineStr">
        <is>
          <t>12IN MEDIUM MFM FL</t>
        </is>
      </c>
      <c r="L85" s="245" t="inlineStr">
        <is>
          <t>WA-MMF-12F-IN</t>
        </is>
      </c>
      <c r="M85" s="248" t="inlineStr">
        <is>
          <t>MIWU00220</t>
        </is>
      </c>
      <c r="N85" s="245" t="inlineStr">
        <is>
          <t>F.MFM.12F.005.BU</t>
        </is>
      </c>
      <c r="O85" s="245" t="n"/>
      <c r="P85" s="245" t="n"/>
      <c r="Q85" s="250">
        <f>R85/H85</f>
        <v/>
      </c>
      <c r="R85" s="251" t="n">
        <v>2786</v>
      </c>
      <c r="S85" s="249" t="n">
        <v>17722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40</v>
      </c>
      <c r="I86" s="245" t="inlineStr"/>
      <c r="J86" s="245" t="inlineStr"/>
      <c r="K86" s="245" t="inlineStr">
        <is>
          <t>12IN MEDIUM MFM EK</t>
        </is>
      </c>
      <c r="L86" s="245" t="inlineStr">
        <is>
          <t>WA-MMF-12K-IN</t>
        </is>
      </c>
      <c r="M86" s="248" t="inlineStr">
        <is>
          <t>MIWU00220</t>
        </is>
      </c>
      <c r="N86" s="245" t="inlineStr">
        <is>
          <t>F.MFM.12K.005.BU</t>
        </is>
      </c>
      <c r="O86" s="245" t="n"/>
      <c r="P86" s="245" t="n"/>
      <c r="Q86" s="250">
        <f>R86/H86</f>
        <v/>
      </c>
      <c r="R86" s="251" t="n">
        <v>3954.4</v>
      </c>
      <c r="S86" s="249" t="n">
        <v>17722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71</v>
      </c>
      <c r="I87" s="245" t="inlineStr"/>
      <c r="J87" s="245" t="inlineStr"/>
      <c r="K87" s="245" t="inlineStr">
        <is>
          <t>6IN MEDIUM MFM FL</t>
        </is>
      </c>
      <c r="L87" s="245" t="inlineStr">
        <is>
          <t>WA-MMF-6F-IN</t>
        </is>
      </c>
      <c r="M87" s="248" t="inlineStr">
        <is>
          <t>MIWU00220</t>
        </is>
      </c>
      <c r="N87" s="245" t="inlineStr">
        <is>
          <t>F.MFM.06F.002.BU</t>
        </is>
      </c>
      <c r="O87" s="245" t="n"/>
      <c r="P87" s="245" t="n"/>
      <c r="Q87" s="250">
        <f>R87/H87</f>
        <v/>
      </c>
      <c r="R87" s="251" t="n">
        <v>3026.02</v>
      </c>
      <c r="S87" s="249" t="n">
        <v>17722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6.5" customHeight="1" s="202">
      <c r="A88" s="245" t="n"/>
      <c r="B88" s="245" t="n"/>
      <c r="C88" s="245" t="n"/>
      <c r="D88" s="245" t="n"/>
      <c r="E88" s="245" t="n"/>
      <c r="F88" s="245" t="n"/>
      <c r="G88" s="245" t="n"/>
      <c r="H88" s="247" t="n">
        <v>69</v>
      </c>
      <c r="I88" s="245" t="inlineStr"/>
      <c r="J88" s="245" t="inlineStr"/>
      <c r="K88" s="245" t="inlineStr">
        <is>
          <t>6IN MEDIUM MFM TW</t>
        </is>
      </c>
      <c r="L88" s="245" t="inlineStr">
        <is>
          <t>WA-MMF-6T-IN</t>
        </is>
      </c>
      <c r="M88" s="248" t="inlineStr">
        <is>
          <t>MIWU00220</t>
        </is>
      </c>
      <c r="N88" s="245" t="inlineStr">
        <is>
          <t>F.MFM.06T.002.BU</t>
        </is>
      </c>
      <c r="O88" s="245" t="n"/>
      <c r="P88" s="245" t="n"/>
      <c r="Q88" s="250">
        <f>R88/H88</f>
        <v/>
      </c>
      <c r="R88" s="251" t="n">
        <v>2214.9</v>
      </c>
      <c r="S88" s="249" t="n">
        <v>17722</v>
      </c>
      <c r="T88" s="252">
        <f>S88*R88</f>
        <v/>
      </c>
      <c r="U88" s="245" t="n"/>
      <c r="V88" s="245" t="n"/>
      <c r="W88" s="245" t="n"/>
      <c r="X88" s="245" t="n"/>
      <c r="Y88" s="245" t="n"/>
      <c r="Z88" s="245" t="n"/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7" t="n">
        <v>25</v>
      </c>
      <c r="I89" s="245" t="inlineStr"/>
      <c r="J89" s="245" t="inlineStr"/>
      <c r="K89" s="245" t="inlineStr">
        <is>
          <t>8IN MEDIUM MFM FL</t>
        </is>
      </c>
      <c r="L89" s="245" t="inlineStr">
        <is>
          <t>WA-MMF-8F-IN</t>
        </is>
      </c>
      <c r="M89" s="248" t="inlineStr">
        <is>
          <t>MIWU00220</t>
        </is>
      </c>
      <c r="N89" s="245" t="inlineStr">
        <is>
          <t>F.MFM.08F.005.BU</t>
        </is>
      </c>
      <c r="O89" s="245" t="n"/>
      <c r="P89" s="245" t="n"/>
      <c r="Q89" s="250">
        <f>R89/H89</f>
        <v/>
      </c>
      <c r="R89" s="251" t="n">
        <v>1302.5</v>
      </c>
      <c r="S89" s="249" t="n">
        <v>17722</v>
      </c>
      <c r="T89" s="252">
        <f>S89*R89</f>
        <v/>
      </c>
      <c r="U89" s="245" t="n"/>
      <c r="V89" s="245" t="n"/>
      <c r="W89" s="245" t="n"/>
      <c r="X89" s="245" t="n"/>
      <c r="Y89" s="245" t="n"/>
      <c r="Z89" s="245" t="n"/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24</v>
      </c>
      <c r="I90" s="245" t="inlineStr"/>
      <c r="J90" s="245" t="inlineStr"/>
      <c r="K90" s="245" t="inlineStr">
        <is>
          <t>8IN MEDIUM MFM QN</t>
        </is>
      </c>
      <c r="L90" s="245" t="inlineStr">
        <is>
          <t>WA-MMF-8Q-IN</t>
        </is>
      </c>
      <c r="M90" s="248" t="inlineStr">
        <is>
          <t>MIWU00220</t>
        </is>
      </c>
      <c r="N90" s="245" t="inlineStr">
        <is>
          <t>F.MFM.08Q.005.BU</t>
        </is>
      </c>
      <c r="O90" s="245" t="n"/>
      <c r="P90" s="245" t="n"/>
      <c r="Q90" s="250">
        <f>R90/H90</f>
        <v/>
      </c>
      <c r="R90" s="251" t="n">
        <v>1480.56</v>
      </c>
      <c r="S90" s="249" t="n">
        <v>17722</v>
      </c>
      <c r="T90" s="252">
        <f>S90*R90</f>
        <v/>
      </c>
      <c r="U90" s="245" t="n"/>
      <c r="V90" s="245" t="n"/>
      <c r="W90" s="245" t="n"/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27</v>
      </c>
      <c r="I91" s="245" t="inlineStr"/>
      <c r="J91" s="245" t="inlineStr"/>
      <c r="K91" s="245" t="inlineStr">
        <is>
          <t>8IN MEDIUM MFM TW</t>
        </is>
      </c>
      <c r="L91" s="245" t="inlineStr">
        <is>
          <t>WA-MMF-8T-IN</t>
        </is>
      </c>
      <c r="M91" s="248" t="inlineStr">
        <is>
          <t>MIWU00220</t>
        </is>
      </c>
      <c r="N91" s="245" t="inlineStr">
        <is>
          <t>F.MFM.08T.005.BU</t>
        </is>
      </c>
      <c r="O91" s="245" t="n"/>
      <c r="P91" s="245" t="n"/>
      <c r="Q91" s="250">
        <f>R91/H91</f>
        <v/>
      </c>
      <c r="R91" s="251" t="n">
        <v>1049.76</v>
      </c>
      <c r="S91" s="249" t="n">
        <v>17722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20</v>
      </c>
      <c r="I92" s="245" t="inlineStr"/>
      <c r="J92" s="245" t="inlineStr"/>
      <c r="K92" s="245" t="inlineStr">
        <is>
          <t>8IN MEDIUM MFM TX</t>
        </is>
      </c>
      <c r="L92" s="245" t="inlineStr">
        <is>
          <t>WA-MMF-8TXL-IN</t>
        </is>
      </c>
      <c r="M92" s="248" t="inlineStr">
        <is>
          <t>MIWU00220</t>
        </is>
      </c>
      <c r="N92" s="245" t="inlineStr">
        <is>
          <t>F.MFM.08X.005.BU</t>
        </is>
      </c>
      <c r="O92" s="245" t="n"/>
      <c r="P92" s="245" t="n"/>
      <c r="Q92" s="250">
        <f>R92/H92</f>
        <v/>
      </c>
      <c r="R92" s="251" t="n">
        <v>818.6</v>
      </c>
      <c r="S92" s="249" t="n">
        <v>17722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7.1" customHeight="1" s="202">
      <c r="A93" s="253" t="n"/>
      <c r="B93" s="253" t="n"/>
      <c r="C93" s="253" t="n"/>
      <c r="D93" s="253" t="n"/>
      <c r="E93" s="253" t="n"/>
      <c r="F93" s="253" t="n"/>
      <c r="G93" s="253" t="n"/>
      <c r="H93" s="254">
        <f>SUM(H80:H92)</f>
        <v/>
      </c>
      <c r="I93" s="253">
        <f>COUNTA(I80:I92)</f>
        <v/>
      </c>
      <c r="J93" s="253" t="n"/>
      <c r="K93" s="253" t="n"/>
      <c r="L93" s="253" t="n"/>
      <c r="M93" s="253" t="n"/>
      <c r="N93" s="253" t="n"/>
      <c r="O93" s="255">
        <f>SUM(O80:O92)</f>
        <v/>
      </c>
      <c r="P93" s="255">
        <f>SUM(P80:P92)</f>
        <v/>
      </c>
      <c r="Q93" s="253" t="n"/>
      <c r="R93" s="256">
        <f>SUM(R80:R92)</f>
        <v/>
      </c>
      <c r="S93" s="253" t="n"/>
      <c r="T93" s="257">
        <f>SUM(T80:T92)</f>
        <v/>
      </c>
      <c r="U93" s="253" t="n"/>
      <c r="V93" s="253" t="n"/>
      <c r="W93" s="253" t="n"/>
      <c r="X93" s="253" t="n"/>
      <c r="Y93" s="253" t="n"/>
      <c r="Z93" s="253" t="n"/>
    </row>
    <row r="94" ht="16.5" customHeight="1" s="202">
      <c r="A94" s="245" t="n">
        <v>7</v>
      </c>
      <c r="B94" s="245" t="inlineStr">
        <is>
          <t>000030ZIK48020260901000735</t>
        </is>
      </c>
      <c r="C94" s="245" t="n">
        <v>554311</v>
      </c>
      <c r="D94" s="245" t="n">
        <v>554258</v>
      </c>
      <c r="E94" s="246" t="n">
        <v>46267</v>
      </c>
      <c r="F94" s="245" t="inlineStr">
        <is>
          <t>ID2609-8334</t>
        </is>
      </c>
      <c r="G94" s="246" t="n">
        <v>46266</v>
      </c>
      <c r="H94" s="247" t="n">
        <v>2616</v>
      </c>
      <c r="I94" s="245" t="inlineStr">
        <is>
          <t>CMAU8985546</t>
        </is>
      </c>
      <c r="J94" s="245" t="inlineStr">
        <is>
          <t>40FT</t>
        </is>
      </c>
      <c r="K94" s="245" t="inlineStr">
        <is>
          <t>6IN MSS24-6TW</t>
        </is>
      </c>
      <c r="L94" s="245" t="inlineStr">
        <is>
          <t>MS24-6T</t>
        </is>
      </c>
      <c r="M94" s="248" t="inlineStr">
        <is>
          <t>0003752358</t>
        </is>
      </c>
      <c r="N94" s="245" t="inlineStr">
        <is>
          <t>F.MSS.06T.002.WS</t>
        </is>
      </c>
      <c r="O94" s="249" t="n">
        <v>46878.72</v>
      </c>
      <c r="P94" s="249" t="n">
        <v>41856</v>
      </c>
      <c r="Q94" s="250">
        <f>R94/H94</f>
        <v/>
      </c>
      <c r="R94" s="251" t="n">
        <v>94594.56</v>
      </c>
      <c r="S94" s="249" t="n">
        <v>17722</v>
      </c>
      <c r="T94" s="252">
        <f>S94*R94</f>
        <v/>
      </c>
      <c r="U94" s="245" t="inlineStr">
        <is>
          <t>040300/KPPBC</t>
        </is>
      </c>
      <c r="V94" s="245" t="inlineStr">
        <is>
          <t>TG. PRIOK</t>
        </is>
      </c>
      <c r="W94" s="245" t="inlineStr">
        <is>
          <t>HOUSTON, US</t>
        </is>
      </c>
      <c r="X94" s="245" t="inlineStr">
        <is>
          <t>WALMART, INC.</t>
        </is>
      </c>
      <c r="Y94" s="245" t="inlineStr">
        <is>
          <t>CMDUDJA1532726</t>
        </is>
      </c>
      <c r="Z94" s="246" t="n">
        <v>46267</v>
      </c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5" t="n"/>
      <c r="I95" s="245" t="inlineStr">
        <is>
          <t>CMAU9930065</t>
        </is>
      </c>
      <c r="J95" s="245" t="inlineStr">
        <is>
          <t>40FT</t>
        </is>
      </c>
      <c r="K95" s="245" t="n"/>
      <c r="L95" s="245" t="n"/>
      <c r="M95" s="245" t="n"/>
      <c r="N95" s="245" t="n"/>
      <c r="O95" s="245" t="n"/>
      <c r="P95" s="245" t="n"/>
      <c r="Q95" s="245" t="n"/>
      <c r="R95" s="245" t="n"/>
      <c r="S95" s="245" t="n"/>
      <c r="T95" s="245" t="n"/>
      <c r="U95" s="245" t="n"/>
      <c r="V95" s="245" t="n"/>
      <c r="W95" s="245" t="inlineStr">
        <is>
          <t>ETD : 05-09-2026</t>
        </is>
      </c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5" t="n"/>
      <c r="I96" s="245" t="inlineStr">
        <is>
          <t>CAAU5982893</t>
        </is>
      </c>
      <c r="J96" s="245" t="inlineStr">
        <is>
          <t>40FT</t>
        </is>
      </c>
      <c r="K96" s="245" t="n"/>
      <c r="L96" s="245" t="n"/>
      <c r="M96" s="245" t="n"/>
      <c r="N96" s="245" t="n"/>
      <c r="O96" s="245" t="n"/>
      <c r="P96" s="245" t="n"/>
      <c r="Q96" s="245" t="n"/>
      <c r="R96" s="245" t="n"/>
      <c r="S96" s="245" t="n"/>
      <c r="T96" s="245" t="n"/>
      <c r="U96" s="245" t="n"/>
      <c r="V96" s="245" t="n"/>
      <c r="W96" s="245" t="n"/>
      <c r="X96" s="245" t="n"/>
      <c r="Y96" s="245" t="n"/>
      <c r="Z96" s="245" t="n"/>
    </row>
    <row r="97" ht="17.1" customHeight="1" s="202">
      <c r="A97" s="253" t="n"/>
      <c r="B97" s="253" t="n"/>
      <c r="C97" s="253" t="n"/>
      <c r="D97" s="253" t="n"/>
      <c r="E97" s="253" t="n"/>
      <c r="F97" s="253" t="n"/>
      <c r="G97" s="253" t="n"/>
      <c r="H97" s="254">
        <f>SUM(H94:H96)</f>
        <v/>
      </c>
      <c r="I97" s="253">
        <f>COUNTA(I94:I96)</f>
        <v/>
      </c>
      <c r="J97" s="253" t="n"/>
      <c r="K97" s="253" t="n"/>
      <c r="L97" s="253" t="n"/>
      <c r="M97" s="253" t="n"/>
      <c r="N97" s="253" t="n"/>
      <c r="O97" s="255">
        <f>SUM(O94:O96)</f>
        <v/>
      </c>
      <c r="P97" s="255">
        <f>SUM(P94:P96)</f>
        <v/>
      </c>
      <c r="Q97" s="253" t="n"/>
      <c r="R97" s="256">
        <f>SUM(R94:R96)</f>
        <v/>
      </c>
      <c r="S97" s="253" t="n"/>
      <c r="T97" s="257">
        <f>SUM(T94:T96)</f>
        <v/>
      </c>
      <c r="U97" s="253" t="n"/>
      <c r="V97" s="253" t="n"/>
      <c r="W97" s="253" t="n"/>
      <c r="X97" s="253" t="n"/>
      <c r="Y97" s="253" t="n"/>
      <c r="Z97" s="253" t="n"/>
    </row>
    <row r="98" ht="16.5" customHeight="1" s="202">
      <c r="A98" s="245" t="n">
        <v>8</v>
      </c>
      <c r="B98" s="245" t="inlineStr">
        <is>
          <t>000030ZIK48020260901000736</t>
        </is>
      </c>
      <c r="C98" s="245" t="n">
        <v>555656</v>
      </c>
      <c r="D98" s="245" t="n">
        <v>555604</v>
      </c>
      <c r="E98" s="246" t="n">
        <v>46267</v>
      </c>
      <c r="F98" s="245" t="inlineStr">
        <is>
          <t>ID2609-8325</t>
        </is>
      </c>
      <c r="G98" s="246" t="n">
        <v>46266</v>
      </c>
      <c r="H98" s="247" t="n">
        <v>86</v>
      </c>
      <c r="I98" s="245" t="inlineStr">
        <is>
          <t>TCNU6347538</t>
        </is>
      </c>
      <c r="J98" s="245" t="inlineStr">
        <is>
          <t>40FT</t>
        </is>
      </c>
      <c r="K98" s="245" t="inlineStr">
        <is>
          <t>10IN MEDIUM MFM FL</t>
        </is>
      </c>
      <c r="L98" s="245" t="inlineStr">
        <is>
          <t>WA-MMF-10F-IN</t>
        </is>
      </c>
      <c r="M98" s="248" t="inlineStr">
        <is>
          <t>MIWU00211</t>
        </is>
      </c>
      <c r="N98" s="245" t="inlineStr">
        <is>
          <t>F.MFM.10F.005.BU</t>
        </is>
      </c>
      <c r="O98" s="249" t="n">
        <v>11906.4</v>
      </c>
      <c r="P98" s="249" t="n">
        <v>10793.8</v>
      </c>
      <c r="Q98" s="250">
        <f>R98/H98</f>
        <v/>
      </c>
      <c r="R98" s="251" t="n">
        <v>5192.68</v>
      </c>
      <c r="S98" s="249" t="n">
        <v>17722</v>
      </c>
      <c r="T98" s="252">
        <f>S98*R98</f>
        <v/>
      </c>
      <c r="U98" s="245" t="inlineStr">
        <is>
          <t>040300/KPPBC</t>
        </is>
      </c>
      <c r="V98" s="245" t="inlineStr">
        <is>
          <t>TG. PRIOK</t>
        </is>
      </c>
      <c r="W98" s="245" t="inlineStr">
        <is>
          <t>VANCOUVER, CA</t>
        </is>
      </c>
      <c r="X98" s="245" t="inlineStr">
        <is>
          <t>MELLOW INC</t>
        </is>
      </c>
      <c r="Y98" s="245" t="inlineStr">
        <is>
          <t>ONEYJKTG73711700</t>
        </is>
      </c>
      <c r="Z98" s="246" t="n">
        <v>46267</v>
      </c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75</v>
      </c>
      <c r="I99" s="245" t="inlineStr"/>
      <c r="J99" s="245" t="inlineStr"/>
      <c r="K99" s="245" t="inlineStr">
        <is>
          <t>10IN MEDIUM MFM EK</t>
        </is>
      </c>
      <c r="L99" s="245" t="inlineStr">
        <is>
          <t>WA-MMF-10K-IN</t>
        </is>
      </c>
      <c r="M99" s="248" t="inlineStr">
        <is>
          <t>MIWU00211</t>
        </is>
      </c>
      <c r="N99" s="245" t="inlineStr">
        <is>
          <t>F.MFM.10K.005.BU</t>
        </is>
      </c>
      <c r="O99" s="245" t="n"/>
      <c r="P99" s="245" t="n"/>
      <c r="Q99" s="250">
        <f>R99/H99</f>
        <v/>
      </c>
      <c r="R99" s="251" t="n">
        <v>6560.25</v>
      </c>
      <c r="S99" s="249" t="n">
        <v>17722</v>
      </c>
      <c r="T99" s="252">
        <f>S99*R99</f>
        <v/>
      </c>
      <c r="U99" s="245" t="n"/>
      <c r="V99" s="245" t="n"/>
      <c r="W99" s="245" t="inlineStr">
        <is>
          <t>ETD : 09-09-2026</t>
        </is>
      </c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88</v>
      </c>
      <c r="I100" s="245" t="inlineStr"/>
      <c r="J100" s="245" t="inlineStr"/>
      <c r="K100" s="245" t="inlineStr">
        <is>
          <t>10IN MEDIUM MFM QN</t>
        </is>
      </c>
      <c r="L100" s="245" t="inlineStr">
        <is>
          <t>WA-MMF-10Q-IN</t>
        </is>
      </c>
      <c r="M100" s="248" t="inlineStr">
        <is>
          <t>MIWU00211</t>
        </is>
      </c>
      <c r="N100" s="245" t="inlineStr">
        <is>
          <t>F.MFM.10Q.005.BU</t>
        </is>
      </c>
      <c r="O100" s="245" t="n"/>
      <c r="P100" s="245" t="n"/>
      <c r="Q100" s="250">
        <f>R100/H100</f>
        <v/>
      </c>
      <c r="R100" s="251" t="n">
        <v>6297.28</v>
      </c>
      <c r="S100" s="249" t="n">
        <v>17722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7" t="n">
        <v>40</v>
      </c>
      <c r="I101" s="245" t="inlineStr"/>
      <c r="J101" s="245" t="inlineStr"/>
      <c r="K101" s="245" t="inlineStr">
        <is>
          <t>10IN MEDIUM MFM TW</t>
        </is>
      </c>
      <c r="L101" s="245" t="inlineStr">
        <is>
          <t>WA-MMF-10T-IN</t>
        </is>
      </c>
      <c r="M101" s="248" t="inlineStr">
        <is>
          <t>MIWU00211</t>
        </is>
      </c>
      <c r="N101" s="245" t="inlineStr">
        <is>
          <t>F.MFM.10T.005.BU</t>
        </is>
      </c>
      <c r="O101" s="245" t="n"/>
      <c r="P101" s="245" t="n"/>
      <c r="Q101" s="250">
        <f>R101/H101</f>
        <v/>
      </c>
      <c r="R101" s="251" t="n">
        <v>1840.8</v>
      </c>
      <c r="S101" s="249" t="n">
        <v>17722</v>
      </c>
      <c r="T101" s="252">
        <f>S101*R101</f>
        <v/>
      </c>
      <c r="U101" s="245" t="n"/>
      <c r="V101" s="245" t="n"/>
      <c r="W101" s="245" t="n"/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40</v>
      </c>
      <c r="I102" s="245" t="inlineStr"/>
      <c r="J102" s="245" t="inlineStr"/>
      <c r="K102" s="245" t="inlineStr">
        <is>
          <t>6IN MEDIUM MFM FL</t>
        </is>
      </c>
      <c r="L102" s="245" t="inlineStr">
        <is>
          <t>WA-MMF-6F-IN</t>
        </is>
      </c>
      <c r="M102" s="248" t="inlineStr">
        <is>
          <t>MIWU00211</t>
        </is>
      </c>
      <c r="N102" s="245" t="inlineStr">
        <is>
          <t>F.MFM.06F.002.BU</t>
        </is>
      </c>
      <c r="O102" s="245" t="n"/>
      <c r="P102" s="245" t="n"/>
      <c r="Q102" s="250">
        <f>R102/H102</f>
        <v/>
      </c>
      <c r="R102" s="251" t="n">
        <v>1704.8</v>
      </c>
      <c r="S102" s="249" t="n">
        <v>17722</v>
      </c>
      <c r="T102" s="252">
        <f>S102*R102</f>
        <v/>
      </c>
      <c r="U102" s="245" t="n"/>
      <c r="V102" s="245" t="n"/>
      <c r="W102" s="245" t="n"/>
      <c r="X102" s="245" t="n"/>
      <c r="Y102" s="245" t="n"/>
      <c r="Z102" s="245" t="n"/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67</v>
      </c>
      <c r="I103" s="245" t="inlineStr"/>
      <c r="J103" s="245" t="inlineStr"/>
      <c r="K103" s="245" t="inlineStr">
        <is>
          <t>6IN MEDIUM MFM TW</t>
        </is>
      </c>
      <c r="L103" s="245" t="inlineStr">
        <is>
          <t>WA-MMF-6T-IN</t>
        </is>
      </c>
      <c r="M103" s="248" t="inlineStr">
        <is>
          <t>MIWU00211</t>
        </is>
      </c>
      <c r="N103" s="245" t="inlineStr">
        <is>
          <t>F.MFM.06T.002.BU</t>
        </is>
      </c>
      <c r="O103" s="245" t="n"/>
      <c r="P103" s="245" t="n"/>
      <c r="Q103" s="250">
        <f>R103/H103</f>
        <v/>
      </c>
      <c r="R103" s="251" t="n">
        <v>2150.7</v>
      </c>
      <c r="S103" s="249" t="n">
        <v>17722</v>
      </c>
      <c r="T103" s="252">
        <f>S103*R103</f>
        <v/>
      </c>
      <c r="U103" s="245" t="n"/>
      <c r="V103" s="245" t="n"/>
      <c r="W103" s="245" t="n"/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21</v>
      </c>
      <c r="I104" s="245" t="inlineStr"/>
      <c r="J104" s="245" t="inlineStr"/>
      <c r="K104" s="245" t="inlineStr">
        <is>
          <t>6IN MEDIUM MFM TX</t>
        </is>
      </c>
      <c r="L104" s="245" t="inlineStr">
        <is>
          <t>WA-MMF-6TXL-IN</t>
        </is>
      </c>
      <c r="M104" s="248" t="inlineStr">
        <is>
          <t>MIWU00211</t>
        </is>
      </c>
      <c r="N104" s="245" t="inlineStr">
        <is>
          <t>F.MFM.06X.002.BU</t>
        </is>
      </c>
      <c r="O104" s="245" t="n"/>
      <c r="P104" s="245" t="n"/>
      <c r="Q104" s="250">
        <f>R104/H104</f>
        <v/>
      </c>
      <c r="R104" s="251" t="n">
        <v>714.21</v>
      </c>
      <c r="S104" s="249" t="n">
        <v>17722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45</v>
      </c>
      <c r="I105" s="245" t="inlineStr"/>
      <c r="J105" s="245" t="inlineStr"/>
      <c r="K105" s="245" t="inlineStr">
        <is>
          <t>8IN MEDIUM MFM FL</t>
        </is>
      </c>
      <c r="L105" s="245" t="inlineStr">
        <is>
          <t>WA-MMF-8F-IN</t>
        </is>
      </c>
      <c r="M105" s="248" t="inlineStr">
        <is>
          <t>MIWU00211</t>
        </is>
      </c>
      <c r="N105" s="245" t="inlineStr">
        <is>
          <t>F.MFM.08F.005.BU</t>
        </is>
      </c>
      <c r="O105" s="245" t="n"/>
      <c r="P105" s="245" t="n"/>
      <c r="Q105" s="250">
        <f>R105/H105</f>
        <v/>
      </c>
      <c r="R105" s="251" t="n">
        <v>2344.5</v>
      </c>
      <c r="S105" s="249" t="n">
        <v>17722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42</v>
      </c>
      <c r="I106" s="245" t="inlineStr"/>
      <c r="J106" s="245" t="inlineStr"/>
      <c r="K106" s="245" t="inlineStr">
        <is>
          <t>8IN MEDIUM MFM QN</t>
        </is>
      </c>
      <c r="L106" s="245" t="inlineStr">
        <is>
          <t>WA-MMF-8Q-IN</t>
        </is>
      </c>
      <c r="M106" s="248" t="inlineStr">
        <is>
          <t>MIWU00211</t>
        </is>
      </c>
      <c r="N106" s="245" t="inlineStr">
        <is>
          <t>F.MFM.08Q.005.BU</t>
        </is>
      </c>
      <c r="O106" s="245" t="n"/>
      <c r="P106" s="245" t="n"/>
      <c r="Q106" s="250">
        <f>R106/H106</f>
        <v/>
      </c>
      <c r="R106" s="251" t="n">
        <v>2590.98</v>
      </c>
      <c r="S106" s="249" t="n">
        <v>17722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55</v>
      </c>
      <c r="I107" s="245" t="inlineStr"/>
      <c r="J107" s="245" t="inlineStr"/>
      <c r="K107" s="245" t="inlineStr">
        <is>
          <t>8IN MEDIUM MFM TW</t>
        </is>
      </c>
      <c r="L107" s="245" t="inlineStr">
        <is>
          <t>WA-MMF-8T-IN</t>
        </is>
      </c>
      <c r="M107" s="248" t="inlineStr">
        <is>
          <t>MIWU00211</t>
        </is>
      </c>
      <c r="N107" s="245" t="inlineStr">
        <is>
          <t>F.MFM.08T.005.BU</t>
        </is>
      </c>
      <c r="O107" s="245" t="n"/>
      <c r="P107" s="245" t="n"/>
      <c r="Q107" s="250">
        <f>R107/H107</f>
        <v/>
      </c>
      <c r="R107" s="251" t="n">
        <v>2138.4</v>
      </c>
      <c r="S107" s="249" t="n">
        <v>17722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40</v>
      </c>
      <c r="I108" s="245" t="inlineStr"/>
      <c r="J108" s="245" t="inlineStr"/>
      <c r="K108" s="245" t="inlineStr">
        <is>
          <t>8IN MEDIUM MFM TX</t>
        </is>
      </c>
      <c r="L108" s="245" t="inlineStr">
        <is>
          <t>WA-MMF-8TXL-IN</t>
        </is>
      </c>
      <c r="M108" s="248" t="inlineStr">
        <is>
          <t>MIWU00211</t>
        </is>
      </c>
      <c r="N108" s="245" t="inlineStr">
        <is>
          <t>F.MFM.08X.005.BU</t>
        </is>
      </c>
      <c r="O108" s="245" t="n"/>
      <c r="P108" s="245" t="n"/>
      <c r="Q108" s="250">
        <f>R108/H108</f>
        <v/>
      </c>
      <c r="R108" s="251" t="n">
        <v>1637.2</v>
      </c>
      <c r="S108" s="249" t="n">
        <v>17722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7.1" customHeight="1" s="202">
      <c r="A109" s="253" t="n"/>
      <c r="B109" s="253" t="n"/>
      <c r="C109" s="253" t="n"/>
      <c r="D109" s="253" t="n"/>
      <c r="E109" s="253" t="n"/>
      <c r="F109" s="253" t="n"/>
      <c r="G109" s="253" t="n"/>
      <c r="H109" s="254">
        <f>SUM(H98:H108)</f>
        <v/>
      </c>
      <c r="I109" s="253">
        <f>COUNTA(I98:I108)</f>
        <v/>
      </c>
      <c r="J109" s="253" t="n"/>
      <c r="K109" s="253" t="n"/>
      <c r="L109" s="253" t="n"/>
      <c r="M109" s="253" t="n"/>
      <c r="N109" s="253" t="n"/>
      <c r="O109" s="255">
        <f>SUM(O98:O108)</f>
        <v/>
      </c>
      <c r="P109" s="255">
        <f>SUM(P98:P108)</f>
        <v/>
      </c>
      <c r="Q109" s="253" t="n"/>
      <c r="R109" s="256">
        <f>SUM(R98:R108)</f>
        <v/>
      </c>
      <c r="S109" s="253" t="n"/>
      <c r="T109" s="257">
        <f>SUM(T98:T108)</f>
        <v/>
      </c>
      <c r="U109" s="253" t="n"/>
      <c r="V109" s="253" t="n"/>
      <c r="W109" s="253" t="n"/>
      <c r="X109" s="253" t="n"/>
      <c r="Y109" s="253" t="n"/>
      <c r="Z109" s="253" t="n"/>
    </row>
    <row r="110" ht="16.5" customHeight="1" s="202">
      <c r="A110" s="245" t="n">
        <v>9</v>
      </c>
      <c r="B110" s="245" t="inlineStr">
        <is>
          <t>000030ZIK48020260901000737</t>
        </is>
      </c>
      <c r="C110" s="245" t="n">
        <v>555591</v>
      </c>
      <c r="D110" s="245" t="n">
        <v>555538</v>
      </c>
      <c r="E110" s="246" t="n">
        <v>46267</v>
      </c>
      <c r="F110" s="245" t="inlineStr">
        <is>
          <t>ID2609-8326</t>
        </is>
      </c>
      <c r="G110" s="246" t="n">
        <v>46266</v>
      </c>
      <c r="H110" s="247" t="n">
        <v>84</v>
      </c>
      <c r="I110" s="245" t="inlineStr">
        <is>
          <t>ONEU1375477</t>
        </is>
      </c>
      <c r="J110" s="245" t="inlineStr">
        <is>
          <t>40FT</t>
        </is>
      </c>
      <c r="K110" s="245" t="inlineStr">
        <is>
          <t>10IN MEDIUM MFM FL</t>
        </is>
      </c>
      <c r="L110" s="245" t="inlineStr">
        <is>
          <t>WA-MMF-10F-IN</t>
        </is>
      </c>
      <c r="M110" s="248" t="inlineStr">
        <is>
          <t>MIWU00218</t>
        </is>
      </c>
      <c r="N110" s="245" t="inlineStr">
        <is>
          <t>F.MFM.10F.005.BU</t>
        </is>
      </c>
      <c r="O110" s="249" t="n">
        <v>12135.68</v>
      </c>
      <c r="P110" s="249" t="n">
        <v>10914.42</v>
      </c>
      <c r="Q110" s="250">
        <f>R110/H110</f>
        <v/>
      </c>
      <c r="R110" s="251" t="n">
        <v>5071.92</v>
      </c>
      <c r="S110" s="249" t="n">
        <v>17722</v>
      </c>
      <c r="T110" s="252">
        <f>S110*R110</f>
        <v/>
      </c>
      <c r="U110" s="245" t="inlineStr">
        <is>
          <t>040300/KPPBC</t>
        </is>
      </c>
      <c r="V110" s="245" t="inlineStr">
        <is>
          <t>TG. PRIOK</t>
        </is>
      </c>
      <c r="W110" s="245" t="inlineStr">
        <is>
          <t>SAVANNAH, US</t>
        </is>
      </c>
      <c r="X110" s="245" t="inlineStr">
        <is>
          <t>MELLOW INC</t>
        </is>
      </c>
      <c r="Y110" s="245" t="inlineStr">
        <is>
          <t>ONEYJKTG70195300</t>
        </is>
      </c>
      <c r="Z110" s="246" t="n">
        <v>46267</v>
      </c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47</v>
      </c>
      <c r="I111" s="245" t="inlineStr"/>
      <c r="J111" s="245" t="inlineStr"/>
      <c r="K111" s="245" t="inlineStr">
        <is>
          <t>10IN MEDIUM MFM EK</t>
        </is>
      </c>
      <c r="L111" s="245" t="inlineStr">
        <is>
          <t>WA-MMF-10K-IN</t>
        </is>
      </c>
      <c r="M111" s="248" t="inlineStr">
        <is>
          <t>MIWU00218</t>
        </is>
      </c>
      <c r="N111" s="245" t="inlineStr">
        <is>
          <t>F.MFM.10K.005.BU</t>
        </is>
      </c>
      <c r="O111" s="245" t="n"/>
      <c r="P111" s="245" t="n"/>
      <c r="Q111" s="250">
        <f>R111/H111</f>
        <v/>
      </c>
      <c r="R111" s="251" t="n">
        <v>4111.09</v>
      </c>
      <c r="S111" s="249" t="n">
        <v>17722</v>
      </c>
      <c r="T111" s="252">
        <f>S111*R111</f>
        <v/>
      </c>
      <c r="U111" s="245" t="n"/>
      <c r="V111" s="245" t="n"/>
      <c r="W111" s="245" t="inlineStr">
        <is>
          <t>ETD : 09-09-2026</t>
        </is>
      </c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88</v>
      </c>
      <c r="I112" s="245" t="inlineStr"/>
      <c r="J112" s="245" t="inlineStr"/>
      <c r="K112" s="245" t="inlineStr">
        <is>
          <t>10IN MEDIUM MFM QN</t>
        </is>
      </c>
      <c r="L112" s="245" t="inlineStr">
        <is>
          <t>WA-MMF-10Q-IN</t>
        </is>
      </c>
      <c r="M112" s="248" t="inlineStr">
        <is>
          <t>MIWU00218</t>
        </is>
      </c>
      <c r="N112" s="245" t="inlineStr">
        <is>
          <t>F.MFM.10Q.005.BU</t>
        </is>
      </c>
      <c r="O112" s="245" t="n"/>
      <c r="P112" s="245" t="n"/>
      <c r="Q112" s="250">
        <f>R112/H112</f>
        <v/>
      </c>
      <c r="R112" s="251" t="n">
        <v>6297.28</v>
      </c>
      <c r="S112" s="249" t="n">
        <v>17722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7" t="n">
        <v>46</v>
      </c>
      <c r="I113" s="245" t="inlineStr"/>
      <c r="J113" s="245" t="inlineStr"/>
      <c r="K113" s="245" t="inlineStr">
        <is>
          <t>10IN MEDIUM MFM TW</t>
        </is>
      </c>
      <c r="L113" s="245" t="inlineStr">
        <is>
          <t>WA-MMF-10T-IN</t>
        </is>
      </c>
      <c r="M113" s="248" t="inlineStr">
        <is>
          <t>MIWU00218</t>
        </is>
      </c>
      <c r="N113" s="245" t="inlineStr">
        <is>
          <t>F.MFM.10T.005.BU</t>
        </is>
      </c>
      <c r="O113" s="245" t="n"/>
      <c r="P113" s="245" t="n"/>
      <c r="Q113" s="250">
        <f>R113/H113</f>
        <v/>
      </c>
      <c r="R113" s="251" t="n">
        <v>2116.92</v>
      </c>
      <c r="S113" s="249" t="n">
        <v>17722</v>
      </c>
      <c r="T113" s="252">
        <f>S113*R113</f>
        <v/>
      </c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52</v>
      </c>
      <c r="I114" s="245" t="inlineStr"/>
      <c r="J114" s="245" t="inlineStr"/>
      <c r="K114" s="245" t="inlineStr">
        <is>
          <t>10IN MEDIUM MFM TX</t>
        </is>
      </c>
      <c r="L114" s="245" t="inlineStr">
        <is>
          <t>WA-MMF-10TXL-IN</t>
        </is>
      </c>
      <c r="M114" s="248" t="inlineStr">
        <is>
          <t>MIWU00218</t>
        </is>
      </c>
      <c r="N114" s="245" t="inlineStr">
        <is>
          <t>F.MFM.10X.005.BU</t>
        </is>
      </c>
      <c r="O114" s="245" t="n"/>
      <c r="P114" s="245" t="n"/>
      <c r="Q114" s="250">
        <f>R114/H114</f>
        <v/>
      </c>
      <c r="R114" s="251" t="n">
        <v>2529.8</v>
      </c>
      <c r="S114" s="249" t="n">
        <v>17722</v>
      </c>
      <c r="T114" s="252">
        <f>S114*R114</f>
        <v/>
      </c>
      <c r="U114" s="245" t="n"/>
      <c r="V114" s="245" t="n"/>
      <c r="W114" s="245" t="n"/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40</v>
      </c>
      <c r="I115" s="245" t="inlineStr"/>
      <c r="J115" s="245" t="inlineStr"/>
      <c r="K115" s="245" t="inlineStr">
        <is>
          <t>12IN MEDIUM MFM FL</t>
        </is>
      </c>
      <c r="L115" s="245" t="inlineStr">
        <is>
          <t>WA-MMF-12F-IN</t>
        </is>
      </c>
      <c r="M115" s="248" t="inlineStr">
        <is>
          <t>MIWU00218</t>
        </is>
      </c>
      <c r="N115" s="245" t="inlineStr">
        <is>
          <t>F.MFM.12F.005.BU</t>
        </is>
      </c>
      <c r="O115" s="245" t="n"/>
      <c r="P115" s="245" t="n"/>
      <c r="Q115" s="250">
        <f>R115/H115</f>
        <v/>
      </c>
      <c r="R115" s="251" t="n">
        <v>2786</v>
      </c>
      <c r="S115" s="249" t="n">
        <v>17722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40</v>
      </c>
      <c r="I116" s="245" t="inlineStr"/>
      <c r="J116" s="245" t="inlineStr"/>
      <c r="K116" s="245" t="inlineStr">
        <is>
          <t>6IN MEDIUM MFM FL</t>
        </is>
      </c>
      <c r="L116" s="245" t="inlineStr">
        <is>
          <t>WA-MMF-6F-IN</t>
        </is>
      </c>
      <c r="M116" s="248" t="inlineStr">
        <is>
          <t>MIWU00218</t>
        </is>
      </c>
      <c r="N116" s="245" t="inlineStr">
        <is>
          <t>F.MFM.06F.002.BU</t>
        </is>
      </c>
      <c r="O116" s="245" t="n"/>
      <c r="P116" s="245" t="n"/>
      <c r="Q116" s="250">
        <f>R116/H116</f>
        <v/>
      </c>
      <c r="R116" s="251" t="n">
        <v>1704.8</v>
      </c>
      <c r="S116" s="249" t="n">
        <v>17722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69</v>
      </c>
      <c r="I117" s="245" t="inlineStr"/>
      <c r="J117" s="245" t="inlineStr"/>
      <c r="K117" s="245" t="inlineStr">
        <is>
          <t>6IN MEDIUM MFM TW</t>
        </is>
      </c>
      <c r="L117" s="245" t="inlineStr">
        <is>
          <t>WA-MMF-6T-IN</t>
        </is>
      </c>
      <c r="M117" s="248" t="inlineStr">
        <is>
          <t>MIWU00218</t>
        </is>
      </c>
      <c r="N117" s="245" t="inlineStr">
        <is>
          <t>F.MFM.06T.002.BU</t>
        </is>
      </c>
      <c r="O117" s="245" t="n"/>
      <c r="P117" s="245" t="n"/>
      <c r="Q117" s="250">
        <f>R117/H117</f>
        <v/>
      </c>
      <c r="R117" s="251" t="n">
        <v>2214.9</v>
      </c>
      <c r="S117" s="249" t="n">
        <v>17722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40</v>
      </c>
      <c r="I118" s="245" t="inlineStr"/>
      <c r="J118" s="245" t="inlineStr"/>
      <c r="K118" s="245" t="inlineStr">
        <is>
          <t>8IN MEDIUM MFM FL</t>
        </is>
      </c>
      <c r="L118" s="245" t="inlineStr">
        <is>
          <t>WA-MMF-8F-IN</t>
        </is>
      </c>
      <c r="M118" s="248" t="inlineStr">
        <is>
          <t>MIWU00218</t>
        </is>
      </c>
      <c r="N118" s="245" t="inlineStr">
        <is>
          <t>F.MFM.08F.005.BU</t>
        </is>
      </c>
      <c r="O118" s="245" t="n"/>
      <c r="P118" s="245" t="n"/>
      <c r="Q118" s="250">
        <f>R118/H118</f>
        <v/>
      </c>
      <c r="R118" s="251" t="n">
        <v>2084</v>
      </c>
      <c r="S118" s="249" t="n">
        <v>17722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6.5" customHeight="1" s="202">
      <c r="A119" s="245" t="n"/>
      <c r="B119" s="245" t="n"/>
      <c r="C119" s="245" t="n"/>
      <c r="D119" s="245" t="n"/>
      <c r="E119" s="245" t="n"/>
      <c r="F119" s="245" t="n"/>
      <c r="G119" s="245" t="n"/>
      <c r="H119" s="247" t="n">
        <v>35</v>
      </c>
      <c r="I119" s="245" t="inlineStr"/>
      <c r="J119" s="245" t="inlineStr"/>
      <c r="K119" s="245" t="inlineStr">
        <is>
          <t>8IN MEDIUM MFM QN</t>
        </is>
      </c>
      <c r="L119" s="245" t="inlineStr">
        <is>
          <t>WA-MMF-8Q-IN</t>
        </is>
      </c>
      <c r="M119" s="248" t="inlineStr">
        <is>
          <t>MIWU00218</t>
        </is>
      </c>
      <c r="N119" s="245" t="inlineStr">
        <is>
          <t>F.MFM.08Q.005.BU</t>
        </is>
      </c>
      <c r="O119" s="245" t="n"/>
      <c r="P119" s="245" t="n"/>
      <c r="Q119" s="250">
        <f>R119/H119</f>
        <v/>
      </c>
      <c r="R119" s="251" t="n">
        <v>2159.15</v>
      </c>
      <c r="S119" s="249" t="n">
        <v>17722</v>
      </c>
      <c r="T119" s="252">
        <f>S119*R119</f>
        <v/>
      </c>
      <c r="U119" s="245" t="n"/>
      <c r="V119" s="245" t="n"/>
      <c r="W119" s="245" t="n"/>
      <c r="X119" s="245" t="n"/>
      <c r="Y119" s="245" t="n"/>
      <c r="Z119" s="245" t="n"/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65</v>
      </c>
      <c r="I120" s="245" t="inlineStr"/>
      <c r="J120" s="245" t="inlineStr"/>
      <c r="K120" s="245" t="inlineStr">
        <is>
          <t>8IN MEDIUM MFM TW</t>
        </is>
      </c>
      <c r="L120" s="245" t="inlineStr">
        <is>
          <t>WA-MMF-8T-IN</t>
        </is>
      </c>
      <c r="M120" s="248" t="inlineStr">
        <is>
          <t>MIWU00218</t>
        </is>
      </c>
      <c r="N120" s="245" t="inlineStr">
        <is>
          <t>F.MFM.08T.005.BU</t>
        </is>
      </c>
      <c r="O120" s="245" t="n"/>
      <c r="P120" s="245" t="n"/>
      <c r="Q120" s="250">
        <f>R120/H120</f>
        <v/>
      </c>
      <c r="R120" s="251" t="n">
        <v>2527.2</v>
      </c>
      <c r="S120" s="249" t="n">
        <v>17722</v>
      </c>
      <c r="T120" s="252">
        <f>S120*R120</f>
        <v/>
      </c>
      <c r="U120" s="245" t="n"/>
      <c r="V120" s="245" t="n"/>
      <c r="W120" s="245" t="n"/>
      <c r="X120" s="245" t="n"/>
      <c r="Y120" s="245" t="n"/>
      <c r="Z120" s="245" t="n"/>
    </row>
    <row r="121" ht="17.1" customHeight="1" s="202">
      <c r="A121" s="253" t="n"/>
      <c r="B121" s="253" t="n"/>
      <c r="C121" s="253" t="n"/>
      <c r="D121" s="253" t="n"/>
      <c r="E121" s="253" t="n"/>
      <c r="F121" s="253" t="n"/>
      <c r="G121" s="253" t="n"/>
      <c r="H121" s="254">
        <f>SUM(H110:H120)</f>
        <v/>
      </c>
      <c r="I121" s="253">
        <f>COUNTA(I110:I120)</f>
        <v/>
      </c>
      <c r="J121" s="253" t="n"/>
      <c r="K121" s="253" t="n"/>
      <c r="L121" s="253" t="n"/>
      <c r="M121" s="253" t="n"/>
      <c r="N121" s="253" t="n"/>
      <c r="O121" s="255">
        <f>SUM(O110:O120)</f>
        <v/>
      </c>
      <c r="P121" s="255">
        <f>SUM(P110:P120)</f>
        <v/>
      </c>
      <c r="Q121" s="253" t="n"/>
      <c r="R121" s="256">
        <f>SUM(R110:R120)</f>
        <v/>
      </c>
      <c r="S121" s="253" t="n"/>
      <c r="T121" s="257">
        <f>SUM(T110:T120)</f>
        <v/>
      </c>
      <c r="U121" s="253" t="n"/>
      <c r="V121" s="253" t="n"/>
      <c r="W121" s="253" t="n"/>
      <c r="X121" s="253" t="n"/>
      <c r="Y121" s="253" t="n"/>
      <c r="Z121" s="253" t="n"/>
    </row>
    <row r="122" ht="16.5" customHeight="1" s="202">
      <c r="A122" s="245" t="n">
        <v>10</v>
      </c>
      <c r="B122" s="245" t="inlineStr">
        <is>
          <t>000030ZIK48020260902000738</t>
        </is>
      </c>
      <c r="C122" s="245" t="n">
        <v>559584</v>
      </c>
      <c r="D122" s="245" t="n">
        <v>559524</v>
      </c>
      <c r="E122" s="246" t="n">
        <v>46268</v>
      </c>
      <c r="F122" s="245" t="inlineStr">
        <is>
          <t>ID2609-8335</t>
        </is>
      </c>
      <c r="G122" s="246" t="n">
        <v>46267</v>
      </c>
      <c r="H122" s="247" t="n">
        <v>811</v>
      </c>
      <c r="I122" s="245" t="inlineStr">
        <is>
          <t>MSNU9024467</t>
        </is>
      </c>
      <c r="J122" s="245" t="inlineStr">
        <is>
          <t>40FT</t>
        </is>
      </c>
      <c r="K122" s="245" t="inlineStr">
        <is>
          <t>8IN OPP HD TW</t>
        </is>
      </c>
      <c r="L122" s="245" t="inlineStr">
        <is>
          <t>ZU-MFMA1OZI-08T</t>
        </is>
      </c>
      <c r="M122" s="248" t="inlineStr">
        <is>
          <t>1W4OCV7V</t>
        </is>
      </c>
      <c r="N122" s="245" t="inlineStr">
        <is>
          <t>F.MFM.08T.013.AD</t>
        </is>
      </c>
      <c r="O122" s="249" t="n">
        <v>67504.96000000001</v>
      </c>
      <c r="P122" s="249" t="n">
        <v>56321.26</v>
      </c>
      <c r="Q122" s="250">
        <f>R122/H122</f>
        <v/>
      </c>
      <c r="R122" s="251" t="n">
        <v>24281.34</v>
      </c>
      <c r="S122" s="249" t="n">
        <v>17722</v>
      </c>
      <c r="T122" s="252">
        <f>S122*R122</f>
        <v/>
      </c>
      <c r="U122" s="245" t="inlineStr">
        <is>
          <t>040300/KPPBC</t>
        </is>
      </c>
      <c r="V122" s="245" t="inlineStr">
        <is>
          <t>TG. PRIOK</t>
        </is>
      </c>
      <c r="W122" s="245" t="inlineStr">
        <is>
          <t>LONG BEACH, US</t>
        </is>
      </c>
      <c r="X122" s="245" t="inlineStr">
        <is>
          <t>AMAZON.COM SERVICES LLC</t>
        </is>
      </c>
      <c r="Y122" s="245" t="inlineStr">
        <is>
          <t>MEDUKU644127</t>
        </is>
      </c>
      <c r="Z122" s="246" t="n">
        <v>46268</v>
      </c>
    </row>
    <row r="123" ht="16.5" customHeight="1" s="202">
      <c r="A123" s="245" t="n"/>
      <c r="B123" s="245" t="n"/>
      <c r="C123" s="245" t="n"/>
      <c r="D123" s="245" t="n"/>
      <c r="E123" s="245" t="n"/>
      <c r="F123" s="245" t="n"/>
      <c r="G123" s="245" t="n"/>
      <c r="H123" s="247" t="n">
        <v>44</v>
      </c>
      <c r="I123" s="245" t="inlineStr">
        <is>
          <t>TXGU6504769</t>
        </is>
      </c>
      <c r="J123" s="245" t="inlineStr">
        <is>
          <t>40FT</t>
        </is>
      </c>
      <c r="K123" s="245" t="inlineStr">
        <is>
          <t>10IN AIRFLOW GEL FOAM MATT FL</t>
        </is>
      </c>
      <c r="L123" s="245" t="inlineStr">
        <is>
          <t>ZU-MFMA1RZI-10F</t>
        </is>
      </c>
      <c r="M123" s="248" t="inlineStr">
        <is>
          <t>1W4OCV7V</t>
        </is>
      </c>
      <c r="N123" s="245" t="inlineStr">
        <is>
          <t>F.MFM.10F.014.AD</t>
        </is>
      </c>
      <c r="O123" s="245" t="n"/>
      <c r="P123" s="245" t="n"/>
      <c r="Q123" s="250">
        <f>R123/H123</f>
        <v/>
      </c>
      <c r="R123" s="251" t="n">
        <v>2108.04</v>
      </c>
      <c r="S123" s="249" t="n">
        <v>17722</v>
      </c>
      <c r="T123" s="252">
        <f>S123*R123</f>
        <v/>
      </c>
      <c r="U123" s="245" t="n"/>
      <c r="V123" s="245" t="n"/>
      <c r="W123" s="245" t="inlineStr">
        <is>
          <t>ETD : 10-09-2026</t>
        </is>
      </c>
      <c r="X123" s="245" t="n"/>
      <c r="Y123" s="245" t="n"/>
      <c r="Z123" s="245" t="n"/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60</v>
      </c>
      <c r="I124" s="245" t="inlineStr">
        <is>
          <t>TGBU6389600</t>
        </is>
      </c>
      <c r="J124" s="245" t="inlineStr">
        <is>
          <t>40FT</t>
        </is>
      </c>
      <c r="K124" s="245" t="inlineStr">
        <is>
          <t>8IN OPP HD TW</t>
        </is>
      </c>
      <c r="L124" s="245" t="inlineStr">
        <is>
          <t>ZU-MFMA1OZI-08T</t>
        </is>
      </c>
      <c r="M124" s="248" t="inlineStr">
        <is>
          <t>4EXX4HHD</t>
        </is>
      </c>
      <c r="N124" s="245" t="inlineStr">
        <is>
          <t>F.MFM.08T.013.AD</t>
        </is>
      </c>
      <c r="O124" s="245" t="n"/>
      <c r="P124" s="245" t="n"/>
      <c r="Q124" s="250">
        <f>R124/H124</f>
        <v/>
      </c>
      <c r="R124" s="251" t="n">
        <v>1796.4</v>
      </c>
      <c r="S124" s="249" t="n">
        <v>17722</v>
      </c>
      <c r="T124" s="252">
        <f>S124*R124</f>
        <v/>
      </c>
      <c r="U124" s="245" t="n"/>
      <c r="V124" s="245" t="n"/>
      <c r="W124" s="245" t="n"/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1060</v>
      </c>
      <c r="I125" s="245" t="inlineStr">
        <is>
          <t>MSMU7771243</t>
        </is>
      </c>
      <c r="J125" s="245" t="inlineStr">
        <is>
          <t>40FT</t>
        </is>
      </c>
      <c r="K125" s="245" t="inlineStr">
        <is>
          <t>6IN GREEN TEA MF MATTRESS TW</t>
        </is>
      </c>
      <c r="L125" s="245" t="inlineStr">
        <is>
          <t>ZU-MFMA1ZZI-06T</t>
        </is>
      </c>
      <c r="M125" s="248" t="inlineStr">
        <is>
          <t>4EXX4HHD</t>
        </is>
      </c>
      <c r="N125" s="245" t="inlineStr">
        <is>
          <t>F.MFM.06T.007.AD</t>
        </is>
      </c>
      <c r="O125" s="245" t="n"/>
      <c r="P125" s="245" t="n"/>
      <c r="Q125" s="250">
        <f>R125/H125</f>
        <v/>
      </c>
      <c r="R125" s="251" t="n">
        <v>32340.6</v>
      </c>
      <c r="S125" s="249" t="n">
        <v>17722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420</v>
      </c>
      <c r="I126" s="245" t="inlineStr">
        <is>
          <t>MSMU7115707</t>
        </is>
      </c>
      <c r="J126" s="245" t="inlineStr">
        <is>
          <t>40FT</t>
        </is>
      </c>
      <c r="K126" s="245" t="inlineStr">
        <is>
          <t>6IN OPP HD FL</t>
        </is>
      </c>
      <c r="L126" s="245" t="inlineStr">
        <is>
          <t>ZU-MFMA1OZI-06F</t>
        </is>
      </c>
      <c r="M126" s="248" t="inlineStr">
        <is>
          <t>6255X1VR</t>
        </is>
      </c>
      <c r="N126" s="245" t="inlineStr">
        <is>
          <t>F.MFM.06F.008.AD</t>
        </is>
      </c>
      <c r="O126" s="245" t="n"/>
      <c r="P126" s="245" t="n"/>
      <c r="Q126" s="250">
        <f>R126/H126</f>
        <v/>
      </c>
      <c r="R126" s="251" t="n">
        <v>16149</v>
      </c>
      <c r="S126" s="249" t="n">
        <v>17722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7" t="n">
        <v>60</v>
      </c>
      <c r="I127" s="245" t="inlineStr">
        <is>
          <t>TRHU5012174</t>
        </is>
      </c>
      <c r="J127" s="245" t="inlineStr">
        <is>
          <t>40FT</t>
        </is>
      </c>
      <c r="K127" s="245" t="inlineStr">
        <is>
          <t>12IN GREEN TEA MF MATTRESS CK</t>
        </is>
      </c>
      <c r="L127" s="245" t="inlineStr">
        <is>
          <t>ZU-MFMA1ZZI-12C</t>
        </is>
      </c>
      <c r="M127" s="248" t="inlineStr">
        <is>
          <t>6255X1VR</t>
        </is>
      </c>
      <c r="N127" s="245" t="inlineStr">
        <is>
          <t>F.MFM.12C.006.AD</t>
        </is>
      </c>
      <c r="O127" s="245" t="n"/>
      <c r="P127" s="245" t="n"/>
      <c r="Q127" s="250">
        <f>R127/H127</f>
        <v/>
      </c>
      <c r="R127" s="251" t="n">
        <v>6031.2</v>
      </c>
      <c r="S127" s="249" t="n">
        <v>17722</v>
      </c>
      <c r="T127" s="252">
        <f>S127*R127</f>
        <v/>
      </c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7" t="n">
        <v>2</v>
      </c>
      <c r="I128" s="245" t="inlineStr"/>
      <c r="J128" s="245" t="inlineStr"/>
      <c r="K128" s="245" t="inlineStr">
        <is>
          <t>8IN MYGEL FOAM MATTRESS SQ</t>
        </is>
      </c>
      <c r="L128" s="245" t="inlineStr">
        <is>
          <t>ZU-MFGN1YZI-08S</t>
        </is>
      </c>
      <c r="M128" s="248" t="inlineStr">
        <is>
          <t>68WN2WET</t>
        </is>
      </c>
      <c r="N128" s="245" t="inlineStr">
        <is>
          <t>F.MFG.08S.003.AD</t>
        </is>
      </c>
      <c r="O128" s="245" t="n"/>
      <c r="P128" s="245" t="n"/>
      <c r="Q128" s="250">
        <f>R128/H128</f>
        <v/>
      </c>
      <c r="R128" s="251" t="n">
        <v>118.12</v>
      </c>
      <c r="S128" s="249" t="n">
        <v>17722</v>
      </c>
      <c r="T128" s="252">
        <f>S128*R128</f>
        <v/>
      </c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7" t="n">
        <v>787</v>
      </c>
      <c r="I129" s="245" t="inlineStr"/>
      <c r="J129" s="245" t="inlineStr"/>
      <c r="K129" s="245" t="inlineStr">
        <is>
          <t>8IN OPP HD TW</t>
        </is>
      </c>
      <c r="L129" s="245" t="inlineStr">
        <is>
          <t>ZU-MFMA1OZI-08T</t>
        </is>
      </c>
      <c r="M129" s="248" t="inlineStr">
        <is>
          <t>68WN2WET</t>
        </is>
      </c>
      <c r="N129" s="245" t="inlineStr">
        <is>
          <t>F.MFM.08T.013.AD</t>
        </is>
      </c>
      <c r="O129" s="245" t="n"/>
      <c r="P129" s="245" t="n"/>
      <c r="Q129" s="250">
        <f>R129/H129</f>
        <v/>
      </c>
      <c r="R129" s="251" t="n">
        <v>23562.78</v>
      </c>
      <c r="S129" s="249" t="n">
        <v>17722</v>
      </c>
      <c r="T129" s="252">
        <f>S129*R129</f>
        <v/>
      </c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7" t="n">
        <v>903</v>
      </c>
      <c r="I130" s="245" t="inlineStr"/>
      <c r="J130" s="245" t="inlineStr"/>
      <c r="K130" s="245" t="inlineStr">
        <is>
          <t>8IN OPP HD TW</t>
        </is>
      </c>
      <c r="L130" s="245" t="inlineStr">
        <is>
          <t>ZU-MFMA1OZI-08T</t>
        </is>
      </c>
      <c r="M130" s="248" t="inlineStr">
        <is>
          <t>6BOQ3DMR</t>
        </is>
      </c>
      <c r="N130" s="245" t="inlineStr">
        <is>
          <t>F.MFM.08T.013.AD</t>
        </is>
      </c>
      <c r="O130" s="245" t="n"/>
      <c r="P130" s="245" t="n"/>
      <c r="Q130" s="250">
        <f>R130/H130</f>
        <v/>
      </c>
      <c r="R130" s="251" t="n">
        <v>27035.82</v>
      </c>
      <c r="S130" s="249" t="n">
        <v>17722</v>
      </c>
      <c r="T130" s="252">
        <f>S130*R130</f>
        <v/>
      </c>
      <c r="U130" s="245" t="n"/>
      <c r="V130" s="245" t="n"/>
      <c r="W130" s="245" t="n"/>
      <c r="X130" s="245" t="n"/>
      <c r="Y130" s="245" t="n"/>
      <c r="Z130" s="245" t="n"/>
    </row>
    <row r="131" ht="16.5" customHeight="1" s="202">
      <c r="A131" s="245" t="n"/>
      <c r="B131" s="245" t="n"/>
      <c r="C131" s="245" t="n"/>
      <c r="D131" s="245" t="n"/>
      <c r="E131" s="245" t="n"/>
      <c r="F131" s="245" t="n"/>
      <c r="G131" s="245" t="n"/>
      <c r="H131" s="247" t="n">
        <v>681</v>
      </c>
      <c r="I131" s="245" t="inlineStr"/>
      <c r="J131" s="245" t="inlineStr"/>
      <c r="K131" s="245" t="inlineStr">
        <is>
          <t>8IN OPP HD TW</t>
        </is>
      </c>
      <c r="L131" s="245" t="inlineStr">
        <is>
          <t>ZU-MFMA1OZI-08T</t>
        </is>
      </c>
      <c r="M131" s="248" t="inlineStr">
        <is>
          <t>8FA3R6ME</t>
        </is>
      </c>
      <c r="N131" s="245" t="inlineStr">
        <is>
          <t>F.MFM.08T.013.AD</t>
        </is>
      </c>
      <c r="O131" s="245" t="n"/>
      <c r="P131" s="245" t="n"/>
      <c r="Q131" s="250">
        <f>R131/H131</f>
        <v/>
      </c>
      <c r="R131" s="251" t="n">
        <v>20389.14</v>
      </c>
      <c r="S131" s="249" t="n">
        <v>17722</v>
      </c>
      <c r="T131" s="252">
        <f>S131*R131</f>
        <v/>
      </c>
      <c r="U131" s="245" t="n"/>
      <c r="V131" s="245" t="n"/>
      <c r="W131" s="245" t="n"/>
      <c r="X131" s="245" t="n"/>
      <c r="Y131" s="245" t="n"/>
      <c r="Z131" s="245" t="n"/>
    </row>
    <row r="132" ht="17.1" customHeight="1" s="202">
      <c r="A132" s="253" t="n"/>
      <c r="B132" s="253" t="n"/>
      <c r="C132" s="253" t="n"/>
      <c r="D132" s="253" t="n"/>
      <c r="E132" s="253" t="n"/>
      <c r="F132" s="253" t="n"/>
      <c r="G132" s="253" t="n"/>
      <c r="H132" s="254">
        <f>SUM(H122:H131)</f>
        <v/>
      </c>
      <c r="I132" s="253">
        <f>COUNTA(I122:I131)</f>
        <v/>
      </c>
      <c r="J132" s="253" t="n"/>
      <c r="K132" s="253" t="n"/>
      <c r="L132" s="253" t="n"/>
      <c r="M132" s="253" t="n"/>
      <c r="N132" s="253" t="n"/>
      <c r="O132" s="255">
        <f>SUM(O122:O131)</f>
        <v/>
      </c>
      <c r="P132" s="255">
        <f>SUM(P122:P131)</f>
        <v/>
      </c>
      <c r="Q132" s="253" t="n"/>
      <c r="R132" s="256">
        <f>SUM(R122:R131)</f>
        <v/>
      </c>
      <c r="S132" s="253" t="n"/>
      <c r="T132" s="257">
        <f>SUM(T122:T131)</f>
        <v/>
      </c>
      <c r="U132" s="253" t="n"/>
      <c r="V132" s="253" t="n"/>
      <c r="W132" s="253" t="n"/>
      <c r="X132" s="253" t="n"/>
      <c r="Y132" s="253" t="n"/>
      <c r="Z132" s="253" t="n"/>
    </row>
    <row r="133" ht="16.5" customHeight="1" s="202">
      <c r="A133" s="245" t="n">
        <v>11</v>
      </c>
      <c r="B133" s="245" t="inlineStr">
        <is>
          <t>000030ZIK48020260902000739</t>
        </is>
      </c>
      <c r="C133" s="245" t="n">
        <v>557360</v>
      </c>
      <c r="D133" s="245" t="n">
        <v>557311</v>
      </c>
      <c r="E133" s="246" t="n">
        <v>46268</v>
      </c>
      <c r="F133" s="245" t="inlineStr">
        <is>
          <t>ID2609-8336</t>
        </is>
      </c>
      <c r="G133" s="246" t="n">
        <v>46267</v>
      </c>
      <c r="H133" s="247" t="n">
        <v>86</v>
      </c>
      <c r="I133" s="245" t="inlineStr">
        <is>
          <t>NYKU0729162</t>
        </is>
      </c>
      <c r="J133" s="245" t="inlineStr">
        <is>
          <t>40FT</t>
        </is>
      </c>
      <c r="K133" s="245" t="inlineStr">
        <is>
          <t>10IN MEDIUM MFM FL</t>
        </is>
      </c>
      <c r="L133" s="245" t="inlineStr">
        <is>
          <t>WA-MMF-10F-IN</t>
        </is>
      </c>
      <c r="M133" s="248" t="inlineStr">
        <is>
          <t>MIWU00222</t>
        </is>
      </c>
      <c r="N133" s="245" t="inlineStr">
        <is>
          <t>F.MFM.10F.005.BU</t>
        </is>
      </c>
      <c r="O133" s="249" t="n">
        <v>12658.3</v>
      </c>
      <c r="P133" s="249" t="n">
        <v>11424.5</v>
      </c>
      <c r="Q133" s="250">
        <f>R133/H133</f>
        <v/>
      </c>
      <c r="R133" s="251" t="n">
        <v>5192.68</v>
      </c>
      <c r="S133" s="249" t="n">
        <v>17722</v>
      </c>
      <c r="T133" s="252">
        <f>S133*R133</f>
        <v/>
      </c>
      <c r="U133" s="245" t="inlineStr">
        <is>
          <t>040300/KPPBC</t>
        </is>
      </c>
      <c r="V133" s="245" t="inlineStr">
        <is>
          <t>TG. PRIOK</t>
        </is>
      </c>
      <c r="W133" s="245" t="inlineStr">
        <is>
          <t>SAVANNAH, US</t>
        </is>
      </c>
      <c r="X133" s="245" t="inlineStr">
        <is>
          <t>MELLOW INC</t>
        </is>
      </c>
      <c r="Y133" s="245" t="inlineStr">
        <is>
          <t>ONEYJKTG70233300</t>
        </is>
      </c>
      <c r="Z133" s="246" t="n">
        <v>46268</v>
      </c>
    </row>
    <row r="134" ht="16.5" customHeight="1" s="202">
      <c r="A134" s="245" t="n"/>
      <c r="B134" s="245" t="n"/>
      <c r="C134" s="245" t="n"/>
      <c r="D134" s="245" t="n"/>
      <c r="E134" s="245" t="n"/>
      <c r="F134" s="245" t="n"/>
      <c r="G134" s="245" t="n"/>
      <c r="H134" s="247" t="n">
        <v>40</v>
      </c>
      <c r="I134" s="245" t="inlineStr"/>
      <c r="J134" s="245" t="inlineStr"/>
      <c r="K134" s="245" t="inlineStr">
        <is>
          <t>10IN MEDIUM MFM EK</t>
        </is>
      </c>
      <c r="L134" s="245" t="inlineStr">
        <is>
          <t>WA-MMF-10K-IN</t>
        </is>
      </c>
      <c r="M134" s="248" t="inlineStr">
        <is>
          <t>MIWU00222</t>
        </is>
      </c>
      <c r="N134" s="245" t="inlineStr">
        <is>
          <t>F.MFM.10K.005.BU</t>
        </is>
      </c>
      <c r="O134" s="245" t="n"/>
      <c r="P134" s="245" t="n"/>
      <c r="Q134" s="250">
        <f>R134/H134</f>
        <v/>
      </c>
      <c r="R134" s="251" t="n">
        <v>3498.8</v>
      </c>
      <c r="S134" s="249" t="n">
        <v>17722</v>
      </c>
      <c r="T134" s="252">
        <f>S134*R134</f>
        <v/>
      </c>
      <c r="U134" s="245" t="n"/>
      <c r="V134" s="245" t="n"/>
      <c r="W134" s="245" t="inlineStr">
        <is>
          <t>ETD : 09-09-2026</t>
        </is>
      </c>
      <c r="X134" s="245" t="n"/>
      <c r="Y134" s="245" t="n"/>
      <c r="Z134" s="245" t="n"/>
    </row>
    <row r="135" ht="16.5" customHeight="1" s="202">
      <c r="A135" s="245" t="n"/>
      <c r="B135" s="245" t="n"/>
      <c r="C135" s="245" t="n"/>
      <c r="D135" s="245" t="n"/>
      <c r="E135" s="245" t="n"/>
      <c r="F135" s="245" t="n"/>
      <c r="G135" s="245" t="n"/>
      <c r="H135" s="247" t="n">
        <v>92</v>
      </c>
      <c r="I135" s="245" t="inlineStr"/>
      <c r="J135" s="245" t="inlineStr"/>
      <c r="K135" s="245" t="inlineStr">
        <is>
          <t>10IN MEDIUM MFM QN</t>
        </is>
      </c>
      <c r="L135" s="245" t="inlineStr">
        <is>
          <t>WA-MMF-10Q-IN</t>
        </is>
      </c>
      <c r="M135" s="248" t="inlineStr">
        <is>
          <t>MIWU00222</t>
        </is>
      </c>
      <c r="N135" s="245" t="inlineStr">
        <is>
          <t>F.MFM.10Q.005.BU</t>
        </is>
      </c>
      <c r="O135" s="245" t="n"/>
      <c r="P135" s="245" t="n"/>
      <c r="Q135" s="250">
        <f>R135/H135</f>
        <v/>
      </c>
      <c r="R135" s="251" t="n">
        <v>6583.52</v>
      </c>
      <c r="S135" s="249" t="n">
        <v>17722</v>
      </c>
      <c r="T135" s="252">
        <f>S135*R135</f>
        <v/>
      </c>
      <c r="U135" s="245" t="n"/>
      <c r="V135" s="245" t="n"/>
      <c r="W135" s="245" t="n"/>
      <c r="X135" s="245" t="n"/>
      <c r="Y135" s="245" t="n"/>
      <c r="Z135" s="245" t="n"/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7" t="n">
        <v>40</v>
      </c>
      <c r="I136" s="245" t="inlineStr"/>
      <c r="J136" s="245" t="inlineStr"/>
      <c r="K136" s="245" t="inlineStr">
        <is>
          <t>10IN MEDIUM MFM TW</t>
        </is>
      </c>
      <c r="L136" s="245" t="inlineStr">
        <is>
          <t>WA-MMF-10T-IN</t>
        </is>
      </c>
      <c r="M136" s="248" t="inlineStr">
        <is>
          <t>MIWU00222</t>
        </is>
      </c>
      <c r="N136" s="245" t="inlineStr">
        <is>
          <t>F.MFM.10T.005.BU</t>
        </is>
      </c>
      <c r="O136" s="245" t="n"/>
      <c r="P136" s="245" t="n"/>
      <c r="Q136" s="250">
        <f>R136/H136</f>
        <v/>
      </c>
      <c r="R136" s="251" t="n">
        <v>1840.8</v>
      </c>
      <c r="S136" s="249" t="n">
        <v>17722</v>
      </c>
      <c r="T136" s="252">
        <f>S136*R136</f>
        <v/>
      </c>
      <c r="U136" s="245" t="n"/>
      <c r="V136" s="245" t="n"/>
      <c r="W136" s="245" t="n"/>
      <c r="X136" s="245" t="n"/>
      <c r="Y136" s="245" t="n"/>
      <c r="Z136" s="245" t="n"/>
    </row>
    <row r="137" ht="16.5" customHeight="1" s="202">
      <c r="A137" s="245" t="n"/>
      <c r="B137" s="245" t="n"/>
      <c r="C137" s="245" t="n"/>
      <c r="D137" s="245" t="n"/>
      <c r="E137" s="245" t="n"/>
      <c r="F137" s="245" t="n"/>
      <c r="G137" s="245" t="n"/>
      <c r="H137" s="247" t="n">
        <v>40</v>
      </c>
      <c r="I137" s="245" t="inlineStr"/>
      <c r="J137" s="245" t="inlineStr"/>
      <c r="K137" s="245" t="inlineStr">
        <is>
          <t>10IN MEDIUM MFM TX</t>
        </is>
      </c>
      <c r="L137" s="245" t="inlineStr">
        <is>
          <t>WA-MMF-10TXL-IN</t>
        </is>
      </c>
      <c r="M137" s="248" t="inlineStr">
        <is>
          <t>MIWU00222</t>
        </is>
      </c>
      <c r="N137" s="245" t="inlineStr">
        <is>
          <t>F.MFM.10X.005.BU</t>
        </is>
      </c>
      <c r="O137" s="245" t="n"/>
      <c r="P137" s="245" t="n"/>
      <c r="Q137" s="250">
        <f>R137/H137</f>
        <v/>
      </c>
      <c r="R137" s="251" t="n">
        <v>1946</v>
      </c>
      <c r="S137" s="249" t="n">
        <v>17722</v>
      </c>
      <c r="T137" s="252">
        <f>S137*R137</f>
        <v/>
      </c>
      <c r="U137" s="245" t="n"/>
      <c r="V137" s="245" t="n"/>
      <c r="W137" s="245" t="n"/>
      <c r="X137" s="245" t="n"/>
      <c r="Y137" s="245" t="n"/>
      <c r="Z137" s="245" t="n"/>
    </row>
    <row r="138" ht="16.5" customHeight="1" s="202">
      <c r="A138" s="245" t="n"/>
      <c r="B138" s="245" t="n"/>
      <c r="C138" s="245" t="n"/>
      <c r="D138" s="245" t="n"/>
      <c r="E138" s="245" t="n"/>
      <c r="F138" s="245" t="n"/>
      <c r="G138" s="245" t="n"/>
      <c r="H138" s="247" t="n">
        <v>30</v>
      </c>
      <c r="I138" s="245" t="inlineStr"/>
      <c r="J138" s="245" t="inlineStr"/>
      <c r="K138" s="245" t="inlineStr">
        <is>
          <t>12IN MEDIUM MFM FL</t>
        </is>
      </c>
      <c r="L138" s="245" t="inlineStr">
        <is>
          <t>WA-MMF-12F-IN</t>
        </is>
      </c>
      <c r="M138" s="248" t="inlineStr">
        <is>
          <t>MIWU00222</t>
        </is>
      </c>
      <c r="N138" s="245" t="inlineStr">
        <is>
          <t>F.MFM.12F.005.BU</t>
        </is>
      </c>
      <c r="O138" s="245" t="n"/>
      <c r="P138" s="245" t="n"/>
      <c r="Q138" s="250">
        <f>R138/H138</f>
        <v/>
      </c>
      <c r="R138" s="251" t="n">
        <v>2089.5</v>
      </c>
      <c r="S138" s="249" t="n">
        <v>17722</v>
      </c>
      <c r="T138" s="252">
        <f>S138*R138</f>
        <v/>
      </c>
      <c r="U138" s="245" t="n"/>
      <c r="V138" s="245" t="n"/>
      <c r="W138" s="245" t="n"/>
      <c r="X138" s="245" t="n"/>
      <c r="Y138" s="245" t="n"/>
      <c r="Z138" s="245" t="n"/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7" t="n">
        <v>32</v>
      </c>
      <c r="I139" s="245" t="inlineStr"/>
      <c r="J139" s="245" t="inlineStr"/>
      <c r="K139" s="245" t="inlineStr">
        <is>
          <t>12IN MEDIUM MFM EK</t>
        </is>
      </c>
      <c r="L139" s="245" t="inlineStr">
        <is>
          <t>WA-MMF-12K-IN</t>
        </is>
      </c>
      <c r="M139" s="248" t="inlineStr">
        <is>
          <t>MIWU00222</t>
        </is>
      </c>
      <c r="N139" s="245" t="inlineStr">
        <is>
          <t>F.MFM.12K.005.BU</t>
        </is>
      </c>
      <c r="O139" s="245" t="n"/>
      <c r="P139" s="245" t="n"/>
      <c r="Q139" s="250">
        <f>R139/H139</f>
        <v/>
      </c>
      <c r="R139" s="251" t="n">
        <v>3163.52</v>
      </c>
      <c r="S139" s="249" t="n">
        <v>17722</v>
      </c>
      <c r="T139" s="252">
        <f>S139*R139</f>
        <v/>
      </c>
      <c r="U139" s="245" t="n"/>
      <c r="V139" s="245" t="n"/>
      <c r="W139" s="245" t="n"/>
      <c r="X139" s="245" t="n"/>
      <c r="Y139" s="245" t="n"/>
      <c r="Z139" s="245" t="n"/>
    </row>
    <row r="140" ht="16.5" customHeight="1" s="202">
      <c r="A140" s="245" t="n"/>
      <c r="B140" s="245" t="n"/>
      <c r="C140" s="245" t="n"/>
      <c r="D140" s="245" t="n"/>
      <c r="E140" s="245" t="n"/>
      <c r="F140" s="245" t="n"/>
      <c r="G140" s="245" t="n"/>
      <c r="H140" s="247" t="n">
        <v>67</v>
      </c>
      <c r="I140" s="245" t="inlineStr"/>
      <c r="J140" s="245" t="inlineStr"/>
      <c r="K140" s="245" t="inlineStr">
        <is>
          <t>12IN MEDIUM MFM QN</t>
        </is>
      </c>
      <c r="L140" s="245" t="inlineStr">
        <is>
          <t>WA-MMF-12Q-IN</t>
        </is>
      </c>
      <c r="M140" s="248" t="inlineStr">
        <is>
          <t>MIWU00222</t>
        </is>
      </c>
      <c r="N140" s="245" t="inlineStr">
        <is>
          <t>F.MFM.12Q.005.BU</t>
        </is>
      </c>
      <c r="O140" s="245" t="n"/>
      <c r="P140" s="245" t="n"/>
      <c r="Q140" s="250">
        <f>R140/H140</f>
        <v/>
      </c>
      <c r="R140" s="251" t="n">
        <v>5424.99</v>
      </c>
      <c r="S140" s="249" t="n">
        <v>17722</v>
      </c>
      <c r="T140" s="252">
        <f>S140*R140</f>
        <v/>
      </c>
      <c r="U140" s="245" t="n"/>
      <c r="V140" s="245" t="n"/>
      <c r="W140" s="245" t="n"/>
      <c r="X140" s="245" t="n"/>
      <c r="Y140" s="245" t="n"/>
      <c r="Z140" s="245" t="n"/>
    </row>
    <row r="141" ht="16.5" customHeight="1" s="202">
      <c r="A141" s="245" t="n"/>
      <c r="B141" s="245" t="n"/>
      <c r="C141" s="245" t="n"/>
      <c r="D141" s="245" t="n"/>
      <c r="E141" s="245" t="n"/>
      <c r="F141" s="245" t="n"/>
      <c r="G141" s="245" t="n"/>
      <c r="H141" s="247" t="n">
        <v>30</v>
      </c>
      <c r="I141" s="245" t="inlineStr"/>
      <c r="J141" s="245" t="inlineStr"/>
      <c r="K141" s="245" t="inlineStr">
        <is>
          <t>12IN MEDIUM MFM TW</t>
        </is>
      </c>
      <c r="L141" s="245" t="inlineStr">
        <is>
          <t>WA-MMF-12T-IN</t>
        </is>
      </c>
      <c r="M141" s="248" t="inlineStr">
        <is>
          <t>MIWU00222</t>
        </is>
      </c>
      <c r="N141" s="245" t="inlineStr">
        <is>
          <t>F.MFM.12T.005.BU</t>
        </is>
      </c>
      <c r="O141" s="245" t="n"/>
      <c r="P141" s="245" t="n"/>
      <c r="Q141" s="250">
        <f>R141/H141</f>
        <v/>
      </c>
      <c r="R141" s="251" t="n">
        <v>1563</v>
      </c>
      <c r="S141" s="249" t="n">
        <v>17722</v>
      </c>
      <c r="T141" s="252">
        <f>S141*R141</f>
        <v/>
      </c>
      <c r="U141" s="245" t="n"/>
      <c r="V141" s="245" t="n"/>
      <c r="W141" s="245" t="n"/>
      <c r="X141" s="245" t="n"/>
      <c r="Y141" s="245" t="n"/>
      <c r="Z141" s="245" t="n"/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69</v>
      </c>
      <c r="I142" s="245" t="inlineStr"/>
      <c r="J142" s="245" t="inlineStr"/>
      <c r="K142" s="245" t="inlineStr">
        <is>
          <t>6IN MEDIUM MFM TW</t>
        </is>
      </c>
      <c r="L142" s="245" t="inlineStr">
        <is>
          <t>WA-MMF-6T-IN</t>
        </is>
      </c>
      <c r="M142" s="248" t="inlineStr">
        <is>
          <t>MIWU00222</t>
        </is>
      </c>
      <c r="N142" s="245" t="inlineStr">
        <is>
          <t>F.MFM.06T.002.BU</t>
        </is>
      </c>
      <c r="O142" s="245" t="n"/>
      <c r="P142" s="245" t="n"/>
      <c r="Q142" s="250">
        <f>R142/H142</f>
        <v/>
      </c>
      <c r="R142" s="251" t="n">
        <v>2214.9</v>
      </c>
      <c r="S142" s="249" t="n">
        <v>17722</v>
      </c>
      <c r="T142" s="252">
        <f>S142*R142</f>
        <v/>
      </c>
      <c r="U142" s="245" t="n"/>
      <c r="V142" s="245" t="n"/>
      <c r="W142" s="245" t="n"/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26</v>
      </c>
      <c r="I143" s="245" t="inlineStr"/>
      <c r="J143" s="245" t="inlineStr"/>
      <c r="K143" s="245" t="inlineStr">
        <is>
          <t>8IN MEDIUM MFM TW</t>
        </is>
      </c>
      <c r="L143" s="245" t="inlineStr">
        <is>
          <t>WA-MMF-8T-IN</t>
        </is>
      </c>
      <c r="M143" s="248" t="inlineStr">
        <is>
          <t>MIWU00222</t>
        </is>
      </c>
      <c r="N143" s="245" t="inlineStr">
        <is>
          <t>F.MFM.08T.005.BU</t>
        </is>
      </c>
      <c r="O143" s="245" t="n"/>
      <c r="P143" s="245" t="n"/>
      <c r="Q143" s="250">
        <f>R143/H143</f>
        <v/>
      </c>
      <c r="R143" s="251" t="n">
        <v>1010.88</v>
      </c>
      <c r="S143" s="249" t="n">
        <v>17722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7.1" customHeight="1" s="202">
      <c r="A144" s="253" t="n"/>
      <c r="B144" s="253" t="n"/>
      <c r="C144" s="253" t="n"/>
      <c r="D144" s="253" t="n"/>
      <c r="E144" s="253" t="n"/>
      <c r="F144" s="253" t="n"/>
      <c r="G144" s="253" t="n"/>
      <c r="H144" s="254">
        <f>SUM(H133:H143)</f>
        <v/>
      </c>
      <c r="I144" s="253">
        <f>COUNTA(I133:I143)</f>
        <v/>
      </c>
      <c r="J144" s="253" t="n"/>
      <c r="K144" s="253" t="n"/>
      <c r="L144" s="253" t="n"/>
      <c r="M144" s="253" t="n"/>
      <c r="N144" s="253" t="n"/>
      <c r="O144" s="255">
        <f>SUM(O133:O143)</f>
        <v/>
      </c>
      <c r="P144" s="255">
        <f>SUM(P133:P143)</f>
        <v/>
      </c>
      <c r="Q144" s="253" t="n"/>
      <c r="R144" s="256">
        <f>SUM(R133:R143)</f>
        <v/>
      </c>
      <c r="S144" s="253" t="n"/>
      <c r="T144" s="257">
        <f>SUM(T133:T143)</f>
        <v/>
      </c>
      <c r="U144" s="253" t="n"/>
      <c r="V144" s="253" t="n"/>
      <c r="W144" s="253" t="n"/>
      <c r="X144" s="253" t="n"/>
      <c r="Y144" s="253" t="n"/>
      <c r="Z144" s="253" t="n"/>
    </row>
    <row r="145" ht="16.5" customHeight="1" s="202">
      <c r="A145" s="245" t="n">
        <v>12</v>
      </c>
      <c r="B145" s="245" t="inlineStr">
        <is>
          <t>000030ZIK48020260902000740</t>
        </is>
      </c>
      <c r="C145" s="245" t="n">
        <v>557385</v>
      </c>
      <c r="D145" s="245" t="n">
        <v>557336</v>
      </c>
      <c r="E145" s="246" t="n">
        <v>46268</v>
      </c>
      <c r="F145" s="245" t="inlineStr">
        <is>
          <t>ID2608-8275</t>
        </is>
      </c>
      <c r="G145" s="246" t="n">
        <v>46261</v>
      </c>
      <c r="H145" s="247" t="n">
        <v>450</v>
      </c>
      <c r="I145" s="245" t="inlineStr">
        <is>
          <t>FFAU3160685</t>
        </is>
      </c>
      <c r="J145" s="245" t="inlineStr">
        <is>
          <t>40FT</t>
        </is>
      </c>
      <c r="K145" s="245" t="inlineStr">
        <is>
          <t>8IN GREEN TEA MF MATTRESS QN</t>
        </is>
      </c>
      <c r="L145" s="245" t="inlineStr">
        <is>
          <t>SCF-STR-800Q</t>
        </is>
      </c>
      <c r="M145" s="248" t="inlineStr">
        <is>
          <t>0993630496</t>
        </is>
      </c>
      <c r="N145" s="245" t="inlineStr">
        <is>
          <t>F.MFM.08Q.000.WS</t>
        </is>
      </c>
      <c r="O145" s="249" t="n">
        <v>10755</v>
      </c>
      <c r="P145" s="249" t="n">
        <v>9594</v>
      </c>
      <c r="Q145" s="250">
        <f>R145/H145</f>
        <v/>
      </c>
      <c r="R145" s="251" t="n">
        <v>42286.5</v>
      </c>
      <c r="S145" s="249" t="n">
        <v>17722</v>
      </c>
      <c r="T145" s="252">
        <f>S145*R145</f>
        <v/>
      </c>
      <c r="U145" s="245" t="inlineStr">
        <is>
          <t>040300/KPPBC</t>
        </is>
      </c>
      <c r="V145" s="245" t="inlineStr">
        <is>
          <t>TG. PRIOK</t>
        </is>
      </c>
      <c r="W145" s="245" t="inlineStr">
        <is>
          <t>LONG BEACH, US</t>
        </is>
      </c>
      <c r="X145" s="245" t="inlineStr">
        <is>
          <t>WALMART, INC.</t>
        </is>
      </c>
      <c r="Y145" s="245" t="inlineStr">
        <is>
          <t>COSU6463295370</t>
        </is>
      </c>
      <c r="Z145" s="246" t="n">
        <v>46268</v>
      </c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5" t="n"/>
      <c r="I146" s="245" t="n"/>
      <c r="J146" s="245" t="n"/>
      <c r="K146" s="245" t="n"/>
      <c r="L146" s="245" t="n"/>
      <c r="M146" s="245" t="n"/>
      <c r="N146" s="245" t="n"/>
      <c r="O146" s="245" t="n"/>
      <c r="P146" s="245" t="n"/>
      <c r="Q146" s="245" t="n"/>
      <c r="R146" s="245" t="n"/>
      <c r="S146" s="245" t="n"/>
      <c r="T146" s="245" t="n"/>
      <c r="U146" s="245" t="n"/>
      <c r="V146" s="245" t="n"/>
      <c r="W146" s="245" t="inlineStr">
        <is>
          <t>ETD : 08-09-2026</t>
        </is>
      </c>
      <c r="X146" s="245" t="n"/>
      <c r="Y146" s="245" t="n"/>
      <c r="Z146" s="245" t="n"/>
    </row>
    <row r="147" ht="17.1" customHeight="1" s="202">
      <c r="A147" s="253" t="n"/>
      <c r="B147" s="253" t="n"/>
      <c r="C147" s="253" t="n"/>
      <c r="D147" s="253" t="n"/>
      <c r="E147" s="253" t="n"/>
      <c r="F147" s="253" t="n"/>
      <c r="G147" s="253" t="n"/>
      <c r="H147" s="254">
        <f>SUM(H145:H146)</f>
        <v/>
      </c>
      <c r="I147" s="253">
        <f>COUNTA(I145:I146)</f>
        <v/>
      </c>
      <c r="J147" s="253" t="n"/>
      <c r="K147" s="253" t="n"/>
      <c r="L147" s="253" t="n"/>
      <c r="M147" s="253" t="n"/>
      <c r="N147" s="253" t="n"/>
      <c r="O147" s="255">
        <f>SUM(O145:O146)</f>
        <v/>
      </c>
      <c r="P147" s="255">
        <f>SUM(P145:P146)</f>
        <v/>
      </c>
      <c r="Q147" s="253" t="n"/>
      <c r="R147" s="256">
        <f>SUM(R145:R146)</f>
        <v/>
      </c>
      <c r="S147" s="253" t="n"/>
      <c r="T147" s="257">
        <f>SUM(T145:T146)</f>
        <v/>
      </c>
      <c r="U147" s="253" t="n"/>
      <c r="V147" s="253" t="n"/>
      <c r="W147" s="253" t="n"/>
      <c r="X147" s="253" t="n"/>
      <c r="Y147" s="253" t="n"/>
      <c r="Z147" s="253" t="n"/>
    </row>
    <row r="148" ht="16.5" customHeight="1" s="202">
      <c r="A148" s="245" t="n">
        <v>13</v>
      </c>
      <c r="B148" s="245" t="inlineStr">
        <is>
          <t>000030ZIK48020260902000741</t>
        </is>
      </c>
      <c r="C148" s="245" t="n">
        <v>557295</v>
      </c>
      <c r="D148" s="245" t="n">
        <v>557246</v>
      </c>
      <c r="E148" s="246" t="n">
        <v>46268</v>
      </c>
      <c r="F148" s="245" t="inlineStr">
        <is>
          <t>ID2608-8276</t>
        </is>
      </c>
      <c r="G148" s="246" t="n">
        <v>46261</v>
      </c>
      <c r="H148" s="247" t="n">
        <v>1040</v>
      </c>
      <c r="I148" s="245" t="inlineStr">
        <is>
          <t>FFAU6067730</t>
        </is>
      </c>
      <c r="J148" s="245" t="inlineStr">
        <is>
          <t>40FT</t>
        </is>
      </c>
      <c r="K148" s="245" t="inlineStr">
        <is>
          <t>8IN GREEN TEA MF MATTRESS FL</t>
        </is>
      </c>
      <c r="L148" s="245" t="inlineStr">
        <is>
          <t>SCF-STR-800F</t>
        </is>
      </c>
      <c r="M148" s="248" t="inlineStr">
        <is>
          <t>0993630601</t>
        </is>
      </c>
      <c r="N148" s="245" t="inlineStr">
        <is>
          <t>F.MFM.08F.000.WS</t>
        </is>
      </c>
      <c r="O148" s="249" t="n">
        <v>21236.8</v>
      </c>
      <c r="P148" s="249" t="n">
        <v>18740.8</v>
      </c>
      <c r="Q148" s="250">
        <f>R148/H148</f>
        <v/>
      </c>
      <c r="R148" s="251" t="n">
        <v>82960.8</v>
      </c>
      <c r="S148" s="249" t="n">
        <v>17722</v>
      </c>
      <c r="T148" s="252">
        <f>S148*R148</f>
        <v/>
      </c>
      <c r="U148" s="245" t="inlineStr">
        <is>
          <t>040300/KPPBC</t>
        </is>
      </c>
      <c r="V148" s="245" t="inlineStr">
        <is>
          <t>TG. PRIOK</t>
        </is>
      </c>
      <c r="W148" s="245" t="inlineStr">
        <is>
          <t>LONG BEACH, US</t>
        </is>
      </c>
      <c r="X148" s="245" t="inlineStr">
        <is>
          <t>WALMART, INC.</t>
        </is>
      </c>
      <c r="Y148" s="245" t="inlineStr">
        <is>
          <t>COSU6462018890</t>
        </is>
      </c>
      <c r="Z148" s="246" t="n">
        <v>46268</v>
      </c>
    </row>
    <row r="149" ht="16.5" customHeight="1" s="202">
      <c r="A149" s="245" t="n"/>
      <c r="B149" s="245" t="n"/>
      <c r="C149" s="245" t="n"/>
      <c r="D149" s="245" t="n"/>
      <c r="E149" s="245" t="n"/>
      <c r="F149" s="245" t="n"/>
      <c r="G149" s="245" t="n"/>
      <c r="H149" s="245" t="n"/>
      <c r="I149" s="245" t="inlineStr">
        <is>
          <t>CSNU8276675</t>
        </is>
      </c>
      <c r="J149" s="245" t="inlineStr">
        <is>
          <t>40FT</t>
        </is>
      </c>
      <c r="K149" s="245" t="n"/>
      <c r="L149" s="245" t="n"/>
      <c r="M149" s="245" t="n"/>
      <c r="N149" s="245" t="n"/>
      <c r="O149" s="245" t="n"/>
      <c r="P149" s="245" t="n"/>
      <c r="Q149" s="245" t="n"/>
      <c r="R149" s="245" t="n"/>
      <c r="S149" s="245" t="n"/>
      <c r="T149" s="245" t="n"/>
      <c r="U149" s="245" t="n"/>
      <c r="V149" s="245" t="n"/>
      <c r="W149" s="245" t="inlineStr">
        <is>
          <t>ETD : 08-09-2026</t>
        </is>
      </c>
      <c r="X149" s="245" t="n"/>
      <c r="Y149" s="245" t="n"/>
      <c r="Z149" s="245" t="n"/>
    </row>
    <row r="150" ht="17.1" customHeight="1" s="202">
      <c r="A150" s="253" t="n"/>
      <c r="B150" s="253" t="n"/>
      <c r="C150" s="253" t="n"/>
      <c r="D150" s="253" t="n"/>
      <c r="E150" s="253" t="n"/>
      <c r="F150" s="253" t="n"/>
      <c r="G150" s="253" t="n"/>
      <c r="H150" s="254">
        <f>SUM(H148:H149)</f>
        <v/>
      </c>
      <c r="I150" s="253">
        <f>COUNTA(I148:I149)</f>
        <v/>
      </c>
      <c r="J150" s="253" t="n"/>
      <c r="K150" s="253" t="n"/>
      <c r="L150" s="253" t="n"/>
      <c r="M150" s="253" t="n"/>
      <c r="N150" s="253" t="n"/>
      <c r="O150" s="255">
        <f>SUM(O148:O149)</f>
        <v/>
      </c>
      <c r="P150" s="255">
        <f>SUM(P148:P149)</f>
        <v/>
      </c>
      <c r="Q150" s="253" t="n"/>
      <c r="R150" s="256">
        <f>SUM(R148:R149)</f>
        <v/>
      </c>
      <c r="S150" s="253" t="n"/>
      <c r="T150" s="257">
        <f>SUM(T148:T149)</f>
        <v/>
      </c>
      <c r="U150" s="253" t="n"/>
      <c r="V150" s="253" t="n"/>
      <c r="W150" s="253" t="n"/>
      <c r="X150" s="253" t="n"/>
      <c r="Y150" s="253" t="n"/>
      <c r="Z150" s="253" t="n"/>
    </row>
    <row r="151" ht="16.5" customHeight="1" s="202">
      <c r="A151" s="245" t="n">
        <v>14</v>
      </c>
      <c r="B151" s="245" t="inlineStr">
        <is>
          <t>000030ZIK48020260902000742</t>
        </is>
      </c>
      <c r="C151" s="245" t="n">
        <v>557326</v>
      </c>
      <c r="D151" s="245" t="n">
        <v>557277</v>
      </c>
      <c r="E151" s="246" t="n">
        <v>46268</v>
      </c>
      <c r="F151" s="245" t="inlineStr">
        <is>
          <t>ID2608-8277</t>
        </is>
      </c>
      <c r="G151" s="246" t="n">
        <v>46261</v>
      </c>
      <c r="H151" s="247" t="n">
        <v>1040</v>
      </c>
      <c r="I151" s="245" t="inlineStr">
        <is>
          <t>FFAU1586748</t>
        </is>
      </c>
      <c r="J151" s="245" t="inlineStr">
        <is>
          <t>40FT</t>
        </is>
      </c>
      <c r="K151" s="245" t="inlineStr">
        <is>
          <t>8IN GREEN TEA MF MATTRESS FL</t>
        </is>
      </c>
      <c r="L151" s="245" t="inlineStr">
        <is>
          <t>SCF-STR-800F</t>
        </is>
      </c>
      <c r="M151" s="248" t="inlineStr">
        <is>
          <t>0993630633</t>
        </is>
      </c>
      <c r="N151" s="245" t="inlineStr">
        <is>
          <t>F.MFM.08F.000.WS</t>
        </is>
      </c>
      <c r="O151" s="249" t="n">
        <v>21236.8</v>
      </c>
      <c r="P151" s="249" t="n">
        <v>18740.8</v>
      </c>
      <c r="Q151" s="250">
        <f>R151/H151</f>
        <v/>
      </c>
      <c r="R151" s="251" t="n">
        <v>82960.8</v>
      </c>
      <c r="S151" s="249" t="n">
        <v>17722</v>
      </c>
      <c r="T151" s="252">
        <f>S151*R151</f>
        <v/>
      </c>
      <c r="U151" s="245" t="inlineStr">
        <is>
          <t>040300/KPPBC</t>
        </is>
      </c>
      <c r="V151" s="245" t="inlineStr">
        <is>
          <t>TG. PRIOK</t>
        </is>
      </c>
      <c r="W151" s="245" t="inlineStr">
        <is>
          <t>LONG BEACH, US</t>
        </is>
      </c>
      <c r="X151" s="245" t="inlineStr">
        <is>
          <t>WALMART, INC.</t>
        </is>
      </c>
      <c r="Y151" s="245" t="inlineStr">
        <is>
          <t>COSU6464086150</t>
        </is>
      </c>
      <c r="Z151" s="246" t="n">
        <v>46268</v>
      </c>
    </row>
    <row r="152" ht="16.5" customHeight="1" s="202">
      <c r="A152" s="245" t="n"/>
      <c r="B152" s="245" t="n"/>
      <c r="C152" s="245" t="n"/>
      <c r="D152" s="245" t="n"/>
      <c r="E152" s="245" t="n"/>
      <c r="F152" s="245" t="n"/>
      <c r="G152" s="245" t="n"/>
      <c r="H152" s="245" t="n"/>
      <c r="I152" s="245" t="inlineStr">
        <is>
          <t>CSNU7284906</t>
        </is>
      </c>
      <c r="J152" s="245" t="inlineStr">
        <is>
          <t>40FT</t>
        </is>
      </c>
      <c r="K152" s="245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inlineStr">
        <is>
          <t>ETD : 08-09-2026</t>
        </is>
      </c>
      <c r="X152" s="245" t="n"/>
      <c r="Y152" s="245" t="n"/>
      <c r="Z152" s="245" t="n"/>
    </row>
    <row r="153" ht="17.1" customHeight="1" s="202">
      <c r="A153" s="253" t="n"/>
      <c r="B153" s="253" t="n"/>
      <c r="C153" s="253" t="n"/>
      <c r="D153" s="253" t="n"/>
      <c r="E153" s="253" t="n"/>
      <c r="F153" s="253" t="n"/>
      <c r="G153" s="253" t="n"/>
      <c r="H153" s="254">
        <f>SUM(H151:H152)</f>
        <v/>
      </c>
      <c r="I153" s="253">
        <f>COUNTA(I151:I152)</f>
        <v/>
      </c>
      <c r="J153" s="253" t="n"/>
      <c r="K153" s="253" t="n"/>
      <c r="L153" s="253" t="n"/>
      <c r="M153" s="253" t="n"/>
      <c r="N153" s="253" t="n"/>
      <c r="O153" s="255">
        <f>SUM(O151:O152)</f>
        <v/>
      </c>
      <c r="P153" s="255">
        <f>SUM(P151:P152)</f>
        <v/>
      </c>
      <c r="Q153" s="253" t="n"/>
      <c r="R153" s="256">
        <f>SUM(R151:R152)</f>
        <v/>
      </c>
      <c r="S153" s="253" t="n"/>
      <c r="T153" s="257">
        <f>SUM(T151:T152)</f>
        <v/>
      </c>
      <c r="U153" s="253" t="n"/>
      <c r="V153" s="253" t="n"/>
      <c r="W153" s="253" t="n"/>
      <c r="X153" s="253" t="n"/>
      <c r="Y153" s="253" t="n"/>
      <c r="Z153" s="253" t="n"/>
    </row>
    <row r="154" ht="16.5" customHeight="1" s="202">
      <c r="A154" s="245" t="n">
        <v>15</v>
      </c>
      <c r="B154" s="245" t="inlineStr">
        <is>
          <t>000030ZIK48020260903000743</t>
        </is>
      </c>
      <c r="C154" s="245" t="n">
        <v>560212</v>
      </c>
      <c r="D154" s="245" t="n">
        <v>560153</v>
      </c>
      <c r="E154" s="246" t="n">
        <v>46269</v>
      </c>
      <c r="F154" s="245" t="inlineStr">
        <is>
          <t>ID2609-8343</t>
        </is>
      </c>
      <c r="G154" s="246" t="n">
        <v>46268</v>
      </c>
      <c r="H154" s="247" t="n">
        <v>86</v>
      </c>
      <c r="I154" s="245" t="inlineStr">
        <is>
          <t>GAOU6597390</t>
        </is>
      </c>
      <c r="J154" s="245" t="inlineStr">
        <is>
          <t>40FT</t>
        </is>
      </c>
      <c r="K154" s="245" t="inlineStr">
        <is>
          <t>10IN MEDIUM MFM FL</t>
        </is>
      </c>
      <c r="L154" s="245" t="inlineStr">
        <is>
          <t>WA-MMF-10F-IN</t>
        </is>
      </c>
      <c r="M154" s="248" t="inlineStr">
        <is>
          <t>MIWU00221</t>
        </is>
      </c>
      <c r="N154" s="245" t="inlineStr">
        <is>
          <t>F.MFM.10F.005.BU</t>
        </is>
      </c>
      <c r="O154" s="249" t="n">
        <v>12658.3</v>
      </c>
      <c r="P154" s="249" t="n">
        <v>11424.5</v>
      </c>
      <c r="Q154" s="250">
        <f>R154/H154</f>
        <v/>
      </c>
      <c r="R154" s="251" t="n">
        <v>5192.68</v>
      </c>
      <c r="S154" s="249" t="n">
        <v>17722</v>
      </c>
      <c r="T154" s="252">
        <f>S154*R154</f>
        <v/>
      </c>
      <c r="U154" s="245" t="inlineStr">
        <is>
          <t>040300/KPPBC</t>
        </is>
      </c>
      <c r="V154" s="245" t="inlineStr">
        <is>
          <t>TG. PRIOK</t>
        </is>
      </c>
      <c r="W154" s="245" t="inlineStr">
        <is>
          <t>VANCOUVER, CA</t>
        </is>
      </c>
      <c r="X154" s="245" t="inlineStr">
        <is>
          <t>MELLOW INC</t>
        </is>
      </c>
      <c r="Y154" s="245" t="inlineStr">
        <is>
          <t>ONEYJKTG73902900</t>
        </is>
      </c>
      <c r="Z154" s="246" t="n">
        <v>46269</v>
      </c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7" t="n">
        <v>40</v>
      </c>
      <c r="I155" s="245" t="inlineStr"/>
      <c r="J155" s="245" t="inlineStr"/>
      <c r="K155" s="245" t="inlineStr">
        <is>
          <t>10IN MEDIUM MFM EK</t>
        </is>
      </c>
      <c r="L155" s="245" t="inlineStr">
        <is>
          <t>WA-MMF-10K-IN</t>
        </is>
      </c>
      <c r="M155" s="248" t="inlineStr">
        <is>
          <t>MIWU00221</t>
        </is>
      </c>
      <c r="N155" s="245" t="inlineStr">
        <is>
          <t>F.MFM.10K.005.BU</t>
        </is>
      </c>
      <c r="O155" s="245" t="n"/>
      <c r="P155" s="245" t="n"/>
      <c r="Q155" s="250">
        <f>R155/H155</f>
        <v/>
      </c>
      <c r="R155" s="251" t="n">
        <v>3498.8</v>
      </c>
      <c r="S155" s="249" t="n">
        <v>17722</v>
      </c>
      <c r="T155" s="252">
        <f>S155*R155</f>
        <v/>
      </c>
      <c r="U155" s="245" t="n"/>
      <c r="V155" s="245" t="n"/>
      <c r="W155" s="245" t="inlineStr">
        <is>
          <t>ETD : 11-09-2026</t>
        </is>
      </c>
      <c r="X155" s="245" t="n"/>
      <c r="Y155" s="245" t="n"/>
      <c r="Z155" s="245" t="n"/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7" t="n">
        <v>92</v>
      </c>
      <c r="I156" s="245" t="inlineStr"/>
      <c r="J156" s="245" t="inlineStr"/>
      <c r="K156" s="245" t="inlineStr">
        <is>
          <t>10IN MEDIUM MFM QN</t>
        </is>
      </c>
      <c r="L156" s="245" t="inlineStr">
        <is>
          <t>WA-MMF-10Q-IN</t>
        </is>
      </c>
      <c r="M156" s="248" t="inlineStr">
        <is>
          <t>MIWU00221</t>
        </is>
      </c>
      <c r="N156" s="245" t="inlineStr">
        <is>
          <t>F.MFM.10Q.005.BU</t>
        </is>
      </c>
      <c r="O156" s="245" t="n"/>
      <c r="P156" s="245" t="n"/>
      <c r="Q156" s="250">
        <f>R156/H156</f>
        <v/>
      </c>
      <c r="R156" s="251" t="n">
        <v>6583.52</v>
      </c>
      <c r="S156" s="249" t="n">
        <v>17722</v>
      </c>
      <c r="T156" s="252">
        <f>S156*R156</f>
        <v/>
      </c>
      <c r="U156" s="245" t="n"/>
      <c r="V156" s="245" t="n"/>
      <c r="W156" s="245" t="n"/>
      <c r="X156" s="245" t="n"/>
      <c r="Y156" s="245" t="n"/>
      <c r="Z156" s="245" t="n"/>
    </row>
    <row r="157" ht="16.5" customHeight="1" s="202">
      <c r="A157" s="245" t="n"/>
      <c r="B157" s="245" t="n"/>
      <c r="C157" s="245" t="n"/>
      <c r="D157" s="245" t="n"/>
      <c r="E157" s="245" t="n"/>
      <c r="F157" s="245" t="n"/>
      <c r="G157" s="245" t="n"/>
      <c r="H157" s="247" t="n">
        <v>40</v>
      </c>
      <c r="I157" s="245" t="inlineStr"/>
      <c r="J157" s="245" t="inlineStr"/>
      <c r="K157" s="245" t="inlineStr">
        <is>
          <t>10IN MEDIUM MFM TW</t>
        </is>
      </c>
      <c r="L157" s="245" t="inlineStr">
        <is>
          <t>WA-MMF-10T-IN</t>
        </is>
      </c>
      <c r="M157" s="248" t="inlineStr">
        <is>
          <t>MIWU00221</t>
        </is>
      </c>
      <c r="N157" s="245" t="inlineStr">
        <is>
          <t>F.MFM.10T.005.BU</t>
        </is>
      </c>
      <c r="O157" s="245" t="n"/>
      <c r="P157" s="245" t="n"/>
      <c r="Q157" s="250">
        <f>R157/H157</f>
        <v/>
      </c>
      <c r="R157" s="251" t="n">
        <v>1840.8</v>
      </c>
      <c r="S157" s="249" t="n">
        <v>17722</v>
      </c>
      <c r="T157" s="252">
        <f>S157*R157</f>
        <v/>
      </c>
      <c r="U157" s="245" t="n"/>
      <c r="V157" s="245" t="n"/>
      <c r="W157" s="245" t="n"/>
      <c r="X157" s="245" t="n"/>
      <c r="Y157" s="245" t="n"/>
      <c r="Z157" s="245" t="n"/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7" t="n">
        <v>40</v>
      </c>
      <c r="I158" s="245" t="inlineStr"/>
      <c r="J158" s="245" t="inlineStr"/>
      <c r="K158" s="245" t="inlineStr">
        <is>
          <t>10IN MEDIUM MFM TX</t>
        </is>
      </c>
      <c r="L158" s="245" t="inlineStr">
        <is>
          <t>WA-MMF-10TXL-IN</t>
        </is>
      </c>
      <c r="M158" s="248" t="inlineStr">
        <is>
          <t>MIWU00221</t>
        </is>
      </c>
      <c r="N158" s="245" t="inlineStr">
        <is>
          <t>F.MFM.10X.005.BU</t>
        </is>
      </c>
      <c r="O158" s="245" t="n"/>
      <c r="P158" s="245" t="n"/>
      <c r="Q158" s="250">
        <f>R158/H158</f>
        <v/>
      </c>
      <c r="R158" s="251" t="n">
        <v>1946</v>
      </c>
      <c r="S158" s="249" t="n">
        <v>17722</v>
      </c>
      <c r="T158" s="252">
        <f>S158*R158</f>
        <v/>
      </c>
      <c r="U158" s="245" t="n"/>
      <c r="V158" s="245" t="n"/>
      <c r="W158" s="245" t="n"/>
      <c r="X158" s="245" t="n"/>
      <c r="Y158" s="245" t="n"/>
      <c r="Z158" s="245" t="n"/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30</v>
      </c>
      <c r="I159" s="245" t="inlineStr"/>
      <c r="J159" s="245" t="inlineStr"/>
      <c r="K159" s="245" t="inlineStr">
        <is>
          <t>12IN MEDIUM MFM FL</t>
        </is>
      </c>
      <c r="L159" s="245" t="inlineStr">
        <is>
          <t>WA-MMF-12F-IN</t>
        </is>
      </c>
      <c r="M159" s="248" t="inlineStr">
        <is>
          <t>MIWU00221</t>
        </is>
      </c>
      <c r="N159" s="245" t="inlineStr">
        <is>
          <t>F.MFM.12F.005.BU</t>
        </is>
      </c>
      <c r="O159" s="245" t="n"/>
      <c r="P159" s="245" t="n"/>
      <c r="Q159" s="250">
        <f>R159/H159</f>
        <v/>
      </c>
      <c r="R159" s="251" t="n">
        <v>2089.5</v>
      </c>
      <c r="S159" s="249" t="n">
        <v>17722</v>
      </c>
      <c r="T159" s="252">
        <f>S159*R159</f>
        <v/>
      </c>
      <c r="U159" s="245" t="n"/>
      <c r="V159" s="245" t="n"/>
      <c r="W159" s="245" t="n"/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32</v>
      </c>
      <c r="I160" s="245" t="inlineStr"/>
      <c r="J160" s="245" t="inlineStr"/>
      <c r="K160" s="245" t="inlineStr">
        <is>
          <t>12IN MEDIUM MFM EK</t>
        </is>
      </c>
      <c r="L160" s="245" t="inlineStr">
        <is>
          <t>WA-MMF-12K-IN</t>
        </is>
      </c>
      <c r="M160" s="248" t="inlineStr">
        <is>
          <t>MIWU00221</t>
        </is>
      </c>
      <c r="N160" s="245" t="inlineStr">
        <is>
          <t>F.MFM.12K.005.BU</t>
        </is>
      </c>
      <c r="O160" s="245" t="n"/>
      <c r="P160" s="245" t="n"/>
      <c r="Q160" s="250">
        <f>R160/H160</f>
        <v/>
      </c>
      <c r="R160" s="251" t="n">
        <v>3163.52</v>
      </c>
      <c r="S160" s="249" t="n">
        <v>17722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67</v>
      </c>
      <c r="I161" s="245" t="inlineStr"/>
      <c r="J161" s="245" t="inlineStr"/>
      <c r="K161" s="245" t="inlineStr">
        <is>
          <t>12IN MEDIUM MFM QN</t>
        </is>
      </c>
      <c r="L161" s="245" t="inlineStr">
        <is>
          <t>WA-MMF-12Q-IN</t>
        </is>
      </c>
      <c r="M161" s="248" t="inlineStr">
        <is>
          <t>MIWU00221</t>
        </is>
      </c>
      <c r="N161" s="245" t="inlineStr">
        <is>
          <t>F.MFM.12Q.005.BU</t>
        </is>
      </c>
      <c r="O161" s="245" t="n"/>
      <c r="P161" s="245" t="n"/>
      <c r="Q161" s="250">
        <f>R161/H161</f>
        <v/>
      </c>
      <c r="R161" s="251" t="n">
        <v>5424.99</v>
      </c>
      <c r="S161" s="249" t="n">
        <v>17722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6.5" customHeight="1" s="202">
      <c r="A162" s="245" t="n"/>
      <c r="B162" s="245" t="n"/>
      <c r="C162" s="245" t="n"/>
      <c r="D162" s="245" t="n"/>
      <c r="E162" s="245" t="n"/>
      <c r="F162" s="245" t="n"/>
      <c r="G162" s="245" t="n"/>
      <c r="H162" s="247" t="n">
        <v>30</v>
      </c>
      <c r="I162" s="245" t="inlineStr"/>
      <c r="J162" s="245" t="inlineStr"/>
      <c r="K162" s="245" t="inlineStr">
        <is>
          <t>12IN MEDIUM MFM TW</t>
        </is>
      </c>
      <c r="L162" s="245" t="inlineStr">
        <is>
          <t>WA-MMF-12T-IN</t>
        </is>
      </c>
      <c r="M162" s="248" t="inlineStr">
        <is>
          <t>MIWU00221</t>
        </is>
      </c>
      <c r="N162" s="245" t="inlineStr">
        <is>
          <t>F.MFM.12T.005.BU</t>
        </is>
      </c>
      <c r="O162" s="245" t="n"/>
      <c r="P162" s="245" t="n"/>
      <c r="Q162" s="250">
        <f>R162/H162</f>
        <v/>
      </c>
      <c r="R162" s="251" t="n">
        <v>1563</v>
      </c>
      <c r="S162" s="249" t="n">
        <v>17722</v>
      </c>
      <c r="T162" s="252">
        <f>S162*R162</f>
        <v/>
      </c>
      <c r="U162" s="245" t="n"/>
      <c r="V162" s="245" t="n"/>
      <c r="W162" s="245" t="n"/>
      <c r="X162" s="245" t="n"/>
      <c r="Y162" s="245" t="n"/>
      <c r="Z162" s="245" t="n"/>
    </row>
    <row r="163" ht="16.5" customHeight="1" s="202">
      <c r="A163" s="245" t="n"/>
      <c r="B163" s="245" t="n"/>
      <c r="C163" s="245" t="n"/>
      <c r="D163" s="245" t="n"/>
      <c r="E163" s="245" t="n"/>
      <c r="F163" s="245" t="n"/>
      <c r="G163" s="245" t="n"/>
      <c r="H163" s="247" t="n">
        <v>69</v>
      </c>
      <c r="I163" s="245" t="inlineStr"/>
      <c r="J163" s="245" t="inlineStr"/>
      <c r="K163" s="245" t="inlineStr">
        <is>
          <t>6IN MEDIUM MFM TW</t>
        </is>
      </c>
      <c r="L163" s="245" t="inlineStr">
        <is>
          <t>WA-MMF-6T-IN</t>
        </is>
      </c>
      <c r="M163" s="248" t="inlineStr">
        <is>
          <t>MIWU00221</t>
        </is>
      </c>
      <c r="N163" s="245" t="inlineStr">
        <is>
          <t>F.MFM.06T.002.BU</t>
        </is>
      </c>
      <c r="O163" s="245" t="n"/>
      <c r="P163" s="245" t="n"/>
      <c r="Q163" s="250">
        <f>R163/H163</f>
        <v/>
      </c>
      <c r="R163" s="251" t="n">
        <v>2214.9</v>
      </c>
      <c r="S163" s="249" t="n">
        <v>17722</v>
      </c>
      <c r="T163" s="252">
        <f>S163*R163</f>
        <v/>
      </c>
      <c r="U163" s="245" t="n"/>
      <c r="V163" s="245" t="n"/>
      <c r="W163" s="245" t="n"/>
      <c r="X163" s="245" t="n"/>
      <c r="Y163" s="245" t="n"/>
      <c r="Z163" s="245" t="n"/>
    </row>
    <row r="164" ht="16.5" customHeight="1" s="202">
      <c r="A164" s="245" t="n"/>
      <c r="B164" s="245" t="n"/>
      <c r="C164" s="245" t="n"/>
      <c r="D164" s="245" t="n"/>
      <c r="E164" s="245" t="n"/>
      <c r="F164" s="245" t="n"/>
      <c r="G164" s="245" t="n"/>
      <c r="H164" s="247" t="n">
        <v>26</v>
      </c>
      <c r="I164" s="245" t="inlineStr"/>
      <c r="J164" s="245" t="inlineStr"/>
      <c r="K164" s="245" t="inlineStr">
        <is>
          <t>8IN MEDIUM MFM TW</t>
        </is>
      </c>
      <c r="L164" s="245" t="inlineStr">
        <is>
          <t>WA-MMF-8T-IN</t>
        </is>
      </c>
      <c r="M164" s="248" t="inlineStr">
        <is>
          <t>MIWU00221</t>
        </is>
      </c>
      <c r="N164" s="245" t="inlineStr">
        <is>
          <t>F.MFM.08T.005.BU</t>
        </is>
      </c>
      <c r="O164" s="245" t="n"/>
      <c r="P164" s="245" t="n"/>
      <c r="Q164" s="250">
        <f>R164/H164</f>
        <v/>
      </c>
      <c r="R164" s="251" t="n">
        <v>1010.88</v>
      </c>
      <c r="S164" s="249" t="n">
        <v>17722</v>
      </c>
      <c r="T164" s="252">
        <f>S164*R164</f>
        <v/>
      </c>
      <c r="U164" s="245" t="n"/>
      <c r="V164" s="245" t="n"/>
      <c r="W164" s="245" t="n"/>
      <c r="X164" s="245" t="n"/>
      <c r="Y164" s="245" t="n"/>
      <c r="Z164" s="245" t="n"/>
    </row>
    <row r="165" ht="17.1" customHeight="1" s="202">
      <c r="A165" s="253" t="n"/>
      <c r="B165" s="253" t="n"/>
      <c r="C165" s="253" t="n"/>
      <c r="D165" s="253" t="n"/>
      <c r="E165" s="253" t="n"/>
      <c r="F165" s="253" t="n"/>
      <c r="G165" s="253" t="n"/>
      <c r="H165" s="254">
        <f>SUM(H154:H164)</f>
        <v/>
      </c>
      <c r="I165" s="253">
        <f>COUNTA(I154:I164)</f>
        <v/>
      </c>
      <c r="J165" s="253" t="n"/>
      <c r="K165" s="253" t="n"/>
      <c r="L165" s="253" t="n"/>
      <c r="M165" s="253" t="n"/>
      <c r="N165" s="253" t="n"/>
      <c r="O165" s="255">
        <f>SUM(O154:O164)</f>
        <v/>
      </c>
      <c r="P165" s="255">
        <f>SUM(P154:P164)</f>
        <v/>
      </c>
      <c r="Q165" s="253" t="n"/>
      <c r="R165" s="256">
        <f>SUM(R154:R164)</f>
        <v/>
      </c>
      <c r="S165" s="253" t="n"/>
      <c r="T165" s="257">
        <f>SUM(T154:T164)</f>
        <v/>
      </c>
      <c r="U165" s="253" t="n"/>
      <c r="V165" s="253" t="n"/>
      <c r="W165" s="253" t="n"/>
      <c r="X165" s="253" t="n"/>
      <c r="Y165" s="253" t="n"/>
      <c r="Z165" s="253" t="n"/>
    </row>
    <row r="166" ht="16.5" customHeight="1" s="202">
      <c r="A166" s="245" t="n">
        <v>16</v>
      </c>
      <c r="B166" s="245" t="inlineStr">
        <is>
          <t>000030ZIK48020260903000744</t>
        </is>
      </c>
      <c r="C166" s="245" t="n">
        <v>561850</v>
      </c>
      <c r="D166" s="245" t="n">
        <v>561790</v>
      </c>
      <c r="E166" s="246" t="n">
        <v>46269</v>
      </c>
      <c r="F166" s="245" t="inlineStr">
        <is>
          <t>ID2609-8344</t>
        </is>
      </c>
      <c r="G166" s="246" t="n">
        <v>46268</v>
      </c>
      <c r="H166" s="247" t="n">
        <v>520</v>
      </c>
      <c r="I166" s="245" t="inlineStr">
        <is>
          <t>TGBU4769998</t>
        </is>
      </c>
      <c r="J166" s="245" t="inlineStr">
        <is>
          <t>40FT</t>
        </is>
      </c>
      <c r="K166" s="245" t="inlineStr">
        <is>
          <t>8IN GREEN TEA MF MATTRESS FL</t>
        </is>
      </c>
      <c r="L166" s="245" t="inlineStr">
        <is>
          <t>SCF-STR-800F</t>
        </is>
      </c>
      <c r="M166" s="248" t="inlineStr">
        <is>
          <t>0993630764</t>
        </is>
      </c>
      <c r="N166" s="245" t="inlineStr">
        <is>
          <t>F.MFM.08F.000.WS</t>
        </is>
      </c>
      <c r="O166" s="249" t="n">
        <v>10618.4</v>
      </c>
      <c r="P166" s="249" t="n">
        <v>9370.4</v>
      </c>
      <c r="Q166" s="250">
        <f>R166/H166</f>
        <v/>
      </c>
      <c r="R166" s="251" t="n">
        <v>41480.4</v>
      </c>
      <c r="S166" s="249" t="n">
        <v>17722</v>
      </c>
      <c r="T166" s="252">
        <f>S166*R166</f>
        <v/>
      </c>
      <c r="U166" s="245" t="inlineStr">
        <is>
          <t>040300/KPPBC</t>
        </is>
      </c>
      <c r="V166" s="245" t="inlineStr">
        <is>
          <t>TG. PRIOK</t>
        </is>
      </c>
      <c r="W166" s="245" t="inlineStr">
        <is>
          <t>MOBILE, US</t>
        </is>
      </c>
      <c r="X166" s="245" t="inlineStr">
        <is>
          <t>WALMART, INC.</t>
        </is>
      </c>
      <c r="Y166" s="245" t="inlineStr">
        <is>
          <t>COSU6465265980</t>
        </is>
      </c>
      <c r="Z166" s="246" t="n">
        <v>46269</v>
      </c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5" t="n"/>
      <c r="I167" s="245" t="n"/>
      <c r="J167" s="245" t="n"/>
      <c r="K167" s="245" t="n"/>
      <c r="L167" s="245" t="n"/>
      <c r="M167" s="245" t="n"/>
      <c r="N167" s="245" t="n"/>
      <c r="O167" s="245" t="n"/>
      <c r="P167" s="245" t="n"/>
      <c r="Q167" s="245" t="n"/>
      <c r="R167" s="245" t="n"/>
      <c r="S167" s="245" t="n"/>
      <c r="T167" s="245" t="n"/>
      <c r="U167" s="245" t="n"/>
      <c r="V167" s="245" t="n"/>
      <c r="W167" s="245" t="inlineStr">
        <is>
          <t>ETD : 11-09-2026</t>
        </is>
      </c>
      <c r="X167" s="245" t="n"/>
      <c r="Y167" s="245" t="n"/>
      <c r="Z167" s="245" t="n"/>
    </row>
    <row r="168" ht="17.1" customHeight="1" s="202">
      <c r="A168" s="253" t="n"/>
      <c r="B168" s="253" t="n"/>
      <c r="C168" s="253" t="n"/>
      <c r="D168" s="253" t="n"/>
      <c r="E168" s="253" t="n"/>
      <c r="F168" s="253" t="n"/>
      <c r="G168" s="253" t="n"/>
      <c r="H168" s="254">
        <f>SUM(H166:H167)</f>
        <v/>
      </c>
      <c r="I168" s="253">
        <f>COUNTA(I166:I167)</f>
        <v/>
      </c>
      <c r="J168" s="253" t="n"/>
      <c r="K168" s="253" t="n"/>
      <c r="L168" s="253" t="n"/>
      <c r="M168" s="253" t="n"/>
      <c r="N168" s="253" t="n"/>
      <c r="O168" s="255">
        <f>SUM(O166:O167)</f>
        <v/>
      </c>
      <c r="P168" s="255">
        <f>SUM(P166:P167)</f>
        <v/>
      </c>
      <c r="Q168" s="253" t="n"/>
      <c r="R168" s="256">
        <f>SUM(R166:R167)</f>
        <v/>
      </c>
      <c r="S168" s="253" t="n"/>
      <c r="T168" s="257">
        <f>SUM(T166:T167)</f>
        <v/>
      </c>
      <c r="U168" s="253" t="n"/>
      <c r="V168" s="253" t="n"/>
      <c r="W168" s="253" t="n"/>
      <c r="X168" s="253" t="n"/>
      <c r="Y168" s="253" t="n"/>
      <c r="Z168" s="253" t="n"/>
    </row>
    <row r="169" ht="16.5" customHeight="1" s="202">
      <c r="A169" s="245" t="n">
        <v>17</v>
      </c>
      <c r="B169" s="245" t="inlineStr">
        <is>
          <t>000030ZIK48020260903000745</t>
        </is>
      </c>
      <c r="C169" s="245" t="n">
        <v>561879</v>
      </c>
      <c r="D169" s="245" t="n">
        <v>561819</v>
      </c>
      <c r="E169" s="246" t="n">
        <v>46269</v>
      </c>
      <c r="F169" s="245" t="inlineStr">
        <is>
          <t>ID2609-8345</t>
        </is>
      </c>
      <c r="G169" s="246" t="n">
        <v>46268</v>
      </c>
      <c r="H169" s="247" t="n">
        <v>900</v>
      </c>
      <c r="I169" s="245" t="inlineStr">
        <is>
          <t>CSNU8840532</t>
        </is>
      </c>
      <c r="J169" s="245" t="inlineStr">
        <is>
          <t>40FT</t>
        </is>
      </c>
      <c r="K169" s="245" t="inlineStr">
        <is>
          <t>8IN GREEN TEA MF MATTRESS QN</t>
        </is>
      </c>
      <c r="L169" s="245" t="inlineStr">
        <is>
          <t>SCF-STR-800Q</t>
        </is>
      </c>
      <c r="M169" s="248" t="inlineStr">
        <is>
          <t>0993630500</t>
        </is>
      </c>
      <c r="N169" s="245" t="inlineStr">
        <is>
          <t>F.MFM.08Q.000.WS</t>
        </is>
      </c>
      <c r="O169" s="249" t="n">
        <v>21510</v>
      </c>
      <c r="P169" s="249" t="n">
        <v>19188</v>
      </c>
      <c r="Q169" s="250">
        <f>R169/H169</f>
        <v/>
      </c>
      <c r="R169" s="251" t="n">
        <v>84573</v>
      </c>
      <c r="S169" s="249" t="n">
        <v>17722</v>
      </c>
      <c r="T169" s="252">
        <f>S169*R169</f>
        <v/>
      </c>
      <c r="U169" s="245" t="inlineStr">
        <is>
          <t>040300/KPPBC</t>
        </is>
      </c>
      <c r="V169" s="245" t="inlineStr">
        <is>
          <t>TG. PRIOK</t>
        </is>
      </c>
      <c r="W169" s="245" t="inlineStr">
        <is>
          <t>MOBILE, US</t>
        </is>
      </c>
      <c r="X169" s="245" t="inlineStr">
        <is>
          <t>WALMART, INC.</t>
        </is>
      </c>
      <c r="Y169" s="245" t="inlineStr">
        <is>
          <t>COSU6465551630</t>
        </is>
      </c>
      <c r="Z169" s="246" t="n">
        <v>46269</v>
      </c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5" t="n"/>
      <c r="I170" s="245" t="inlineStr">
        <is>
          <t>GCXU6278809</t>
        </is>
      </c>
      <c r="J170" s="245" t="inlineStr">
        <is>
          <t>40FT</t>
        </is>
      </c>
      <c r="K170" s="245" t="n"/>
      <c r="L170" s="245" t="n"/>
      <c r="M170" s="245" t="n"/>
      <c r="N170" s="245" t="n"/>
      <c r="O170" s="245" t="n"/>
      <c r="P170" s="245" t="n"/>
      <c r="Q170" s="245" t="n"/>
      <c r="R170" s="245" t="n"/>
      <c r="S170" s="245" t="n"/>
      <c r="T170" s="245" t="n"/>
      <c r="U170" s="245" t="n"/>
      <c r="V170" s="245" t="n"/>
      <c r="W170" s="245" t="inlineStr">
        <is>
          <t>ETD : 11-09-2026</t>
        </is>
      </c>
      <c r="X170" s="245" t="n"/>
      <c r="Y170" s="245" t="n"/>
      <c r="Z170" s="245" t="n"/>
    </row>
    <row r="171" ht="17.1" customHeight="1" s="202">
      <c r="A171" s="253" t="n"/>
      <c r="B171" s="253" t="n"/>
      <c r="C171" s="253" t="n"/>
      <c r="D171" s="253" t="n"/>
      <c r="E171" s="253" t="n"/>
      <c r="F171" s="253" t="n"/>
      <c r="G171" s="253" t="n"/>
      <c r="H171" s="254">
        <f>SUM(H169:H170)</f>
        <v/>
      </c>
      <c r="I171" s="253">
        <f>COUNTA(I169:I170)</f>
        <v/>
      </c>
      <c r="J171" s="253" t="n"/>
      <c r="K171" s="253" t="n"/>
      <c r="L171" s="253" t="n"/>
      <c r="M171" s="253" t="n"/>
      <c r="N171" s="253" t="n"/>
      <c r="O171" s="255">
        <f>SUM(O169:O170)</f>
        <v/>
      </c>
      <c r="P171" s="255">
        <f>SUM(P169:P170)</f>
        <v/>
      </c>
      <c r="Q171" s="253" t="n"/>
      <c r="R171" s="256">
        <f>SUM(R169:R170)</f>
        <v/>
      </c>
      <c r="S171" s="253" t="n"/>
      <c r="T171" s="257">
        <f>SUM(T169:T170)</f>
        <v/>
      </c>
      <c r="U171" s="253" t="n"/>
      <c r="V171" s="253" t="n"/>
      <c r="W171" s="253" t="n"/>
      <c r="X171" s="253" t="n"/>
      <c r="Y171" s="253" t="n"/>
      <c r="Z171" s="253" t="n"/>
    </row>
    <row r="172" ht="16.5" customHeight="1" s="202">
      <c r="A172" s="245" t="n">
        <v>18</v>
      </c>
      <c r="B172" s="245" t="inlineStr">
        <is>
          <t>000030ZIK48020260904000746</t>
        </is>
      </c>
      <c r="C172" s="245" t="n">
        <v>566336</v>
      </c>
      <c r="D172" s="245" t="n">
        <v>566277</v>
      </c>
      <c r="E172" s="246" t="n">
        <v>46272</v>
      </c>
      <c r="F172" s="245" t="inlineStr">
        <is>
          <t>ID2609-8357</t>
        </is>
      </c>
      <c r="G172" s="246" t="n">
        <v>46269</v>
      </c>
      <c r="H172" s="247" t="n">
        <v>962</v>
      </c>
      <c r="I172" s="245" t="inlineStr">
        <is>
          <t>FDCU0201303</t>
        </is>
      </c>
      <c r="J172" s="245" t="inlineStr">
        <is>
          <t>40FT</t>
        </is>
      </c>
      <c r="K172" s="245" t="inlineStr">
        <is>
          <t>8IN OPP HD TW</t>
        </is>
      </c>
      <c r="L172" s="245" t="inlineStr">
        <is>
          <t>ZU-MFMA1OZI-08T</t>
        </is>
      </c>
      <c r="M172" s="248" t="inlineStr">
        <is>
          <t>6GH161ZE</t>
        </is>
      </c>
      <c r="N172" s="245" t="inlineStr">
        <is>
          <t>F.MFM.08T.013.AD</t>
        </is>
      </c>
      <c r="O172" s="249" t="n">
        <v>78283.57000000001</v>
      </c>
      <c r="P172" s="249" t="n">
        <v>65303.72</v>
      </c>
      <c r="Q172" s="250">
        <f>R172/H172</f>
        <v/>
      </c>
      <c r="R172" s="251" t="n">
        <v>28802.28</v>
      </c>
      <c r="S172" s="249" t="n">
        <v>17722</v>
      </c>
      <c r="T172" s="252">
        <f>S172*R172</f>
        <v/>
      </c>
      <c r="U172" s="245" t="inlineStr">
        <is>
          <t>040300/KPPBC</t>
        </is>
      </c>
      <c r="V172" s="245" t="inlineStr">
        <is>
          <t>TG. PRIOK</t>
        </is>
      </c>
      <c r="W172" s="245" t="inlineStr">
        <is>
          <t>LONG BEACH, US</t>
        </is>
      </c>
      <c r="X172" s="245" t="inlineStr">
        <is>
          <t>AMAZON.COM SERVICES LLC</t>
        </is>
      </c>
      <c r="Y172" s="245" t="inlineStr">
        <is>
          <t>MEDUKU670122</t>
        </is>
      </c>
      <c r="Z172" s="246" t="n">
        <v>46272</v>
      </c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962</v>
      </c>
      <c r="I173" s="245" t="inlineStr">
        <is>
          <t>MEDU7550193</t>
        </is>
      </c>
      <c r="J173" s="245" t="inlineStr">
        <is>
          <t>40FT</t>
        </is>
      </c>
      <c r="K173" s="245" t="inlineStr">
        <is>
          <t>8IN OPP HD TW</t>
        </is>
      </c>
      <c r="L173" s="245" t="inlineStr">
        <is>
          <t>ZU-MFMA1OZI-08T</t>
        </is>
      </c>
      <c r="M173" s="248" t="inlineStr">
        <is>
          <t>6GMGM5AE</t>
        </is>
      </c>
      <c r="N173" s="245" t="inlineStr">
        <is>
          <t>F.MFM.08T.013.AD</t>
        </is>
      </c>
      <c r="O173" s="245" t="n"/>
      <c r="P173" s="245" t="n"/>
      <c r="Q173" s="250">
        <f>R173/H173</f>
        <v/>
      </c>
      <c r="R173" s="251" t="n">
        <v>28802.28</v>
      </c>
      <c r="S173" s="249" t="n">
        <v>17722</v>
      </c>
      <c r="T173" s="252">
        <f>S173*R173</f>
        <v/>
      </c>
      <c r="U173" s="245" t="n"/>
      <c r="V173" s="245" t="n"/>
      <c r="W173" s="245" t="inlineStr">
        <is>
          <t>ETD : 14-09-2026</t>
        </is>
      </c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962</v>
      </c>
      <c r="I174" s="245" t="inlineStr">
        <is>
          <t>MSNU9511948</t>
        </is>
      </c>
      <c r="J174" s="245" t="inlineStr">
        <is>
          <t>40FT</t>
        </is>
      </c>
      <c r="K174" s="245" t="inlineStr">
        <is>
          <t>8IN OPP HD TW</t>
        </is>
      </c>
      <c r="L174" s="245" t="inlineStr">
        <is>
          <t>ZU-MFMA1OZI-08T</t>
        </is>
      </c>
      <c r="M174" s="248" t="inlineStr">
        <is>
          <t>7EQBDRIT</t>
        </is>
      </c>
      <c r="N174" s="245" t="inlineStr">
        <is>
          <t>F.MFM.08T.013.AD</t>
        </is>
      </c>
      <c r="O174" s="245" t="n"/>
      <c r="P174" s="245" t="n"/>
      <c r="Q174" s="250">
        <f>R174/H174</f>
        <v/>
      </c>
      <c r="R174" s="251" t="n">
        <v>28802.28</v>
      </c>
      <c r="S174" s="249" t="n">
        <v>17722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6.5" customHeight="1" s="202">
      <c r="A175" s="245" t="n"/>
      <c r="B175" s="245" t="n"/>
      <c r="C175" s="245" t="n"/>
      <c r="D175" s="245" t="n"/>
      <c r="E175" s="245" t="n"/>
      <c r="F175" s="245" t="n"/>
      <c r="G175" s="245" t="n"/>
      <c r="H175" s="247" t="n">
        <v>867</v>
      </c>
      <c r="I175" s="245" t="inlineStr">
        <is>
          <t>MSDU8887139</t>
        </is>
      </c>
      <c r="J175" s="245" t="inlineStr">
        <is>
          <t>40FT</t>
        </is>
      </c>
      <c r="K175" s="245" t="inlineStr">
        <is>
          <t>8IN OPP HD TW</t>
        </is>
      </c>
      <c r="L175" s="245" t="inlineStr">
        <is>
          <t>ZU-MFMA1OZI-08T</t>
        </is>
      </c>
      <c r="M175" s="248" t="inlineStr">
        <is>
          <t>7HD2PJKO</t>
        </is>
      </c>
      <c r="N175" s="245" t="inlineStr">
        <is>
          <t>F.MFM.08T.013.AD</t>
        </is>
      </c>
      <c r="O175" s="245" t="n"/>
      <c r="P175" s="245" t="n"/>
      <c r="Q175" s="250">
        <f>R175/H175</f>
        <v/>
      </c>
      <c r="R175" s="251" t="n">
        <v>25957.98</v>
      </c>
      <c r="S175" s="249" t="n">
        <v>17722</v>
      </c>
      <c r="T175" s="252">
        <f>S175*R175</f>
        <v/>
      </c>
      <c r="U175" s="245" t="n"/>
      <c r="V175" s="245" t="n"/>
      <c r="W175" s="245" t="n"/>
      <c r="X175" s="245" t="n"/>
      <c r="Y175" s="245" t="n"/>
      <c r="Z175" s="245" t="n"/>
    </row>
    <row r="176" ht="16.5" customHeight="1" s="202">
      <c r="A176" s="245" t="n"/>
      <c r="B176" s="245" t="n"/>
      <c r="C176" s="245" t="n"/>
      <c r="D176" s="245" t="n"/>
      <c r="E176" s="245" t="n"/>
      <c r="F176" s="245" t="n"/>
      <c r="G176" s="245" t="n"/>
      <c r="H176" s="247" t="n">
        <v>1037</v>
      </c>
      <c r="I176" s="245" t="inlineStr">
        <is>
          <t>TIIU4848252</t>
        </is>
      </c>
      <c r="J176" s="245" t="inlineStr">
        <is>
          <t>40FT</t>
        </is>
      </c>
      <c r="K176" s="245" t="inlineStr">
        <is>
          <t>6IN GREEN TEA MF MATTRESS TW</t>
        </is>
      </c>
      <c r="L176" s="245" t="inlineStr">
        <is>
          <t>ZU-MFMA1ZZI-06T</t>
        </is>
      </c>
      <c r="M176" s="248" t="inlineStr">
        <is>
          <t>8QZ7NEOW</t>
        </is>
      </c>
      <c r="N176" s="245" t="inlineStr">
        <is>
          <t>F.MFM.06T.007.AD</t>
        </is>
      </c>
      <c r="O176" s="245" t="n"/>
      <c r="P176" s="245" t="n"/>
      <c r="Q176" s="250">
        <f>R176/H176</f>
        <v/>
      </c>
      <c r="R176" s="251" t="n">
        <v>31638.87</v>
      </c>
      <c r="S176" s="249" t="n">
        <v>17722</v>
      </c>
      <c r="T176" s="252">
        <f>S176*R176</f>
        <v/>
      </c>
      <c r="U176" s="245" t="n"/>
      <c r="V176" s="245" t="n"/>
      <c r="W176" s="245" t="n"/>
      <c r="X176" s="245" t="n"/>
      <c r="Y176" s="245" t="n"/>
      <c r="Z176" s="245" t="n"/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11</v>
      </c>
      <c r="I177" s="245" t="inlineStr">
        <is>
          <t>MSMU5875450</t>
        </is>
      </c>
      <c r="J177" s="245" t="inlineStr">
        <is>
          <t>40FT</t>
        </is>
      </c>
      <c r="K177" s="245" t="inlineStr">
        <is>
          <t>12IN GREEN TEA MF MATTRESS TX</t>
        </is>
      </c>
      <c r="L177" s="245" t="inlineStr">
        <is>
          <t>ZU-MFMA1ZZI-12X</t>
        </is>
      </c>
      <c r="M177" s="248" t="inlineStr">
        <is>
          <t>8QZ7NEOW</t>
        </is>
      </c>
      <c r="N177" s="245" t="inlineStr">
        <is>
          <t>F.MFM.12X.006.AD</t>
        </is>
      </c>
      <c r="O177" s="245" t="n"/>
      <c r="P177" s="245" t="n"/>
      <c r="Q177" s="250">
        <f>R177/H177</f>
        <v/>
      </c>
      <c r="R177" s="251" t="n">
        <v>641.3</v>
      </c>
      <c r="S177" s="249" t="n">
        <v>17722</v>
      </c>
      <c r="T177" s="252">
        <f>S177*R177</f>
        <v/>
      </c>
      <c r="U177" s="245" t="n"/>
      <c r="V177" s="245" t="n"/>
      <c r="W177" s="245" t="n"/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621</v>
      </c>
      <c r="I178" s="245" t="inlineStr">
        <is>
          <t>MSNU9625581</t>
        </is>
      </c>
      <c r="J178" s="245" t="inlineStr">
        <is>
          <t>40FT</t>
        </is>
      </c>
      <c r="K178" s="245" t="inlineStr">
        <is>
          <t>8IN OPP HD TW</t>
        </is>
      </c>
      <c r="L178" s="245" t="inlineStr">
        <is>
          <t>ZU-MFMA1OZI-08T</t>
        </is>
      </c>
      <c r="M178" s="248" t="inlineStr">
        <is>
          <t>8RR7E2VC</t>
        </is>
      </c>
      <c r="N178" s="245" t="inlineStr">
        <is>
          <t>F.MFM.08T.013.AD</t>
        </is>
      </c>
      <c r="O178" s="245" t="n"/>
      <c r="P178" s="245" t="n"/>
      <c r="Q178" s="250">
        <f>R178/H178</f>
        <v/>
      </c>
      <c r="R178" s="251" t="n">
        <v>18592.74</v>
      </c>
      <c r="S178" s="249" t="n">
        <v>17722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214</v>
      </c>
      <c r="I179" s="245" t="inlineStr"/>
      <c r="J179" s="245" t="inlineStr"/>
      <c r="K179" s="245" t="inlineStr">
        <is>
          <t>12IN GREEN TEA MF MATTRESS TX</t>
        </is>
      </c>
      <c r="L179" s="245" t="inlineStr">
        <is>
          <t>ZU-MFMA1ZZI-12X</t>
        </is>
      </c>
      <c r="M179" s="248" t="inlineStr">
        <is>
          <t>8RR7E2VC</t>
        </is>
      </c>
      <c r="N179" s="245" t="inlineStr">
        <is>
          <t>F.MFM.12X.006.AD</t>
        </is>
      </c>
      <c r="O179" s="245" t="n"/>
      <c r="P179" s="245" t="n"/>
      <c r="Q179" s="250">
        <f>R179/H179</f>
        <v/>
      </c>
      <c r="R179" s="251" t="n">
        <v>12476.2</v>
      </c>
      <c r="S179" s="249" t="n">
        <v>17722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7.1" customHeight="1" s="202">
      <c r="A180" s="253" t="n"/>
      <c r="B180" s="253" t="n"/>
      <c r="C180" s="253" t="n"/>
      <c r="D180" s="253" t="n"/>
      <c r="E180" s="253" t="n"/>
      <c r="F180" s="253" t="n"/>
      <c r="G180" s="253" t="n"/>
      <c r="H180" s="254">
        <f>SUM(H172:H179)</f>
        <v/>
      </c>
      <c r="I180" s="253">
        <f>COUNTA(I172:I179)</f>
        <v/>
      </c>
      <c r="J180" s="253" t="n"/>
      <c r="K180" s="253" t="n"/>
      <c r="L180" s="253" t="n"/>
      <c r="M180" s="253" t="n"/>
      <c r="N180" s="253" t="n"/>
      <c r="O180" s="255">
        <f>SUM(O172:O179)</f>
        <v/>
      </c>
      <c r="P180" s="255">
        <f>SUM(P172:P179)</f>
        <v/>
      </c>
      <c r="Q180" s="253" t="n"/>
      <c r="R180" s="256">
        <f>SUM(R172:R179)</f>
        <v/>
      </c>
      <c r="S180" s="253" t="n"/>
      <c r="T180" s="257">
        <f>SUM(T172:T179)</f>
        <v/>
      </c>
      <c r="U180" s="253" t="n"/>
      <c r="V180" s="253" t="n"/>
      <c r="W180" s="253" t="n"/>
      <c r="X180" s="253" t="n"/>
      <c r="Y180" s="253" t="n"/>
      <c r="Z180" s="253" t="n"/>
    </row>
    <row r="181" ht="16.5" customHeight="1" s="202">
      <c r="A181" s="245" t="n">
        <v>19</v>
      </c>
      <c r="B181" s="245" t="inlineStr">
        <is>
          <t>000030ZIK48020260905000748</t>
        </is>
      </c>
      <c r="C181" s="245" t="n">
        <v>567154</v>
      </c>
      <c r="D181" s="245" t="n">
        <v>567098</v>
      </c>
      <c r="E181" s="246" t="n">
        <v>46272</v>
      </c>
      <c r="F181" s="245" t="inlineStr">
        <is>
          <t>ID2609-8354</t>
        </is>
      </c>
      <c r="G181" s="246" t="n">
        <v>46269</v>
      </c>
      <c r="H181" s="247" t="n">
        <v>381</v>
      </c>
      <c r="I181" s="245" t="inlineStr">
        <is>
          <t>MSBU4123768</t>
        </is>
      </c>
      <c r="J181" s="245" t="inlineStr">
        <is>
          <t>40FT</t>
        </is>
      </c>
      <c r="K181" s="245" t="inlineStr">
        <is>
          <t>5IN GEL FOAM MATTRESS TW</t>
        </is>
      </c>
      <c r="L181" s="245" t="inlineStr">
        <is>
          <t>GFM-5T</t>
        </is>
      </c>
      <c r="M181" s="248" t="inlineStr">
        <is>
          <t>2CDVZE2Q</t>
        </is>
      </c>
      <c r="N181" s="245" t="inlineStr">
        <is>
          <t>F.MFG.05T.000.BD</t>
        </is>
      </c>
      <c r="O181" s="249" t="n">
        <v>34658.18</v>
      </c>
      <c r="P181" s="249" t="n">
        <v>27233.52</v>
      </c>
      <c r="Q181" s="250">
        <f>R181/H181</f>
        <v/>
      </c>
      <c r="R181" s="251" t="n">
        <v>11262.36</v>
      </c>
      <c r="S181" s="249" t="n">
        <v>17722</v>
      </c>
      <c r="T181" s="252">
        <f>S181*R181</f>
        <v/>
      </c>
      <c r="U181" s="245" t="inlineStr">
        <is>
          <t>040300/KPPBC</t>
        </is>
      </c>
      <c r="V181" s="245" t="inlineStr">
        <is>
          <t>TG. PRIOK</t>
        </is>
      </c>
      <c r="W181" s="245" t="inlineStr">
        <is>
          <t>LONG BEACH, US</t>
        </is>
      </c>
      <c r="X181" s="245" t="inlineStr">
        <is>
          <t>AMAZON.COM SERVICES LLC</t>
        </is>
      </c>
      <c r="Y181" s="245" t="inlineStr">
        <is>
          <t>MEDUKU568953</t>
        </is>
      </c>
      <c r="Z181" s="246" t="n">
        <v>46272</v>
      </c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99</v>
      </c>
      <c r="I182" s="245" t="inlineStr">
        <is>
          <t>MSCU5181741</t>
        </is>
      </c>
      <c r="J182" s="245" t="inlineStr">
        <is>
          <t>40FT</t>
        </is>
      </c>
      <c r="K182" s="245" t="inlineStr">
        <is>
          <t>8IN GEL FOAM MATTRESS FL</t>
        </is>
      </c>
      <c r="L182" s="245" t="inlineStr">
        <is>
          <t>GFM-8F</t>
        </is>
      </c>
      <c r="M182" s="248" t="inlineStr">
        <is>
          <t>2CDVZE2Q</t>
        </is>
      </c>
      <c r="N182" s="245" t="inlineStr">
        <is>
          <t>F.MFG.08F.000.BD</t>
        </is>
      </c>
      <c r="O182" s="245" t="n"/>
      <c r="P182" s="245" t="n"/>
      <c r="Q182" s="250">
        <f>R182/H182</f>
        <v/>
      </c>
      <c r="R182" s="251" t="n">
        <v>5112.36</v>
      </c>
      <c r="S182" s="249" t="n">
        <v>17722</v>
      </c>
      <c r="T182" s="252">
        <f>S182*R182</f>
        <v/>
      </c>
      <c r="U182" s="245" t="n"/>
      <c r="V182" s="245" t="n"/>
      <c r="W182" s="245" t="inlineStr">
        <is>
          <t>ETD : 14-09-2026</t>
        </is>
      </c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552</v>
      </c>
      <c r="I183" s="245" t="inlineStr">
        <is>
          <t>TGBU9232830</t>
        </is>
      </c>
      <c r="J183" s="245" t="inlineStr">
        <is>
          <t>40FT</t>
        </is>
      </c>
      <c r="K183" s="245" t="inlineStr">
        <is>
          <t>8IN GEL FOAM MATTRESS TW</t>
        </is>
      </c>
      <c r="L183" s="245" t="inlineStr">
        <is>
          <t>GFM-8T</t>
        </is>
      </c>
      <c r="M183" s="248" t="inlineStr">
        <is>
          <t>59BVXYOG</t>
        </is>
      </c>
      <c r="N183" s="245" t="inlineStr">
        <is>
          <t>F.MFG.08T.000.BD</t>
        </is>
      </c>
      <c r="O183" s="245" t="n"/>
      <c r="P183" s="245" t="n"/>
      <c r="Q183" s="250">
        <f>R183/H183</f>
        <v/>
      </c>
      <c r="R183" s="251" t="n">
        <v>21461.76</v>
      </c>
      <c r="S183" s="249" t="n">
        <v>17722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55</v>
      </c>
      <c r="I184" s="245" t="inlineStr"/>
      <c r="J184" s="245" t="inlineStr"/>
      <c r="K184" s="245" t="inlineStr">
        <is>
          <t>10IN GEL FOAM MATTRESS TW</t>
        </is>
      </c>
      <c r="L184" s="245" t="inlineStr">
        <is>
          <t>GFM-10T</t>
        </is>
      </c>
      <c r="M184" s="248" t="inlineStr">
        <is>
          <t>6AHWX36V</t>
        </is>
      </c>
      <c r="N184" s="245" t="inlineStr">
        <is>
          <t>F.MFG.10T.000.BD</t>
        </is>
      </c>
      <c r="O184" s="245" t="n"/>
      <c r="P184" s="245" t="n"/>
      <c r="Q184" s="250">
        <f>R184/H184</f>
        <v/>
      </c>
      <c r="R184" s="251" t="n">
        <v>2642.2</v>
      </c>
      <c r="S184" s="249" t="n">
        <v>17722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620</v>
      </c>
      <c r="I185" s="245" t="inlineStr"/>
      <c r="J185" s="245" t="inlineStr"/>
      <c r="K185" s="245" t="inlineStr">
        <is>
          <t>6IN GREEN TEA MF MATTRESS FL</t>
        </is>
      </c>
      <c r="L185" s="245" t="inlineStr">
        <is>
          <t>EB-FMS-0600F-IN</t>
        </is>
      </c>
      <c r="M185" s="248" t="inlineStr">
        <is>
          <t>6WJLPB6T</t>
        </is>
      </c>
      <c r="N185" s="245" t="inlineStr">
        <is>
          <t>F.MFM.06F.002.BD</t>
        </is>
      </c>
      <c r="O185" s="245" t="n"/>
      <c r="P185" s="245" t="n"/>
      <c r="Q185" s="250">
        <f>R185/H185</f>
        <v/>
      </c>
      <c r="R185" s="251" t="n">
        <v>29189.6</v>
      </c>
      <c r="S185" s="249" t="n">
        <v>17722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6.5" customHeight="1" s="202">
      <c r="A186" s="245" t="n"/>
      <c r="B186" s="245" t="n"/>
      <c r="C186" s="245" t="n"/>
      <c r="D186" s="245" t="n"/>
      <c r="E186" s="245" t="n"/>
      <c r="F186" s="245" t="n"/>
      <c r="G186" s="245" t="n"/>
      <c r="H186" s="247" t="n">
        <v>96</v>
      </c>
      <c r="I186" s="245" t="inlineStr"/>
      <c r="J186" s="245" t="inlineStr"/>
      <c r="K186" s="245" t="inlineStr">
        <is>
          <t>3IN CV LAVENDER MF TOPPER TW</t>
        </is>
      </c>
      <c r="L186" s="245" t="inlineStr">
        <is>
          <t>ECMF-03TL-IN</t>
        </is>
      </c>
      <c r="M186" s="248" t="inlineStr">
        <is>
          <t>2CDVZE2Q</t>
        </is>
      </c>
      <c r="N186" s="245" t="inlineStr">
        <is>
          <t>F.TMT.03T.010.BD</t>
        </is>
      </c>
      <c r="O186" s="245" t="n"/>
      <c r="P186" s="245" t="n"/>
      <c r="Q186" s="250">
        <f>R186/H186</f>
        <v/>
      </c>
      <c r="R186" s="251" t="n">
        <v>1060.8</v>
      </c>
      <c r="S186" s="249" t="n">
        <v>17722</v>
      </c>
      <c r="T186" s="252">
        <f>S186*R186</f>
        <v/>
      </c>
      <c r="U186" s="245" t="n"/>
      <c r="V186" s="245" t="n"/>
      <c r="W186" s="245" t="n"/>
      <c r="X186" s="245" t="n"/>
      <c r="Y186" s="245" t="n"/>
      <c r="Z186" s="245" t="n"/>
    </row>
    <row r="187" ht="16.5" customHeight="1" s="202">
      <c r="A187" s="245" t="n"/>
      <c r="B187" s="245" t="n"/>
      <c r="C187" s="245" t="n"/>
      <c r="D187" s="245" t="n"/>
      <c r="E187" s="245" t="n"/>
      <c r="F187" s="245" t="n"/>
      <c r="G187" s="245" t="n"/>
      <c r="H187" s="247" t="n">
        <v>32</v>
      </c>
      <c r="I187" s="245" t="inlineStr"/>
      <c r="J187" s="245" t="inlineStr"/>
      <c r="K187" s="245" t="inlineStr">
        <is>
          <t>3IN CV LAVENDER MF TOPPER TX</t>
        </is>
      </c>
      <c r="L187" s="245" t="inlineStr">
        <is>
          <t>ECMF-03TXLL-IN</t>
        </is>
      </c>
      <c r="M187" s="248" t="inlineStr">
        <is>
          <t>2CDVZE2Q</t>
        </is>
      </c>
      <c r="N187" s="245" t="inlineStr">
        <is>
          <t>F.TMT.03X.010.BD</t>
        </is>
      </c>
      <c r="O187" s="245" t="n"/>
      <c r="P187" s="245" t="n"/>
      <c r="Q187" s="250">
        <f>R187/H187</f>
        <v/>
      </c>
      <c r="R187" s="251" t="n">
        <v>384.64</v>
      </c>
      <c r="S187" s="249" t="n">
        <v>17722</v>
      </c>
      <c r="T187" s="252">
        <f>S187*R187</f>
        <v/>
      </c>
      <c r="U187" s="245" t="n"/>
      <c r="V187" s="245" t="n"/>
      <c r="W187" s="245" t="n"/>
      <c r="X187" s="245" t="n"/>
      <c r="Y187" s="245" t="n"/>
      <c r="Z187" s="245" t="n"/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196</v>
      </c>
      <c r="I188" s="245" t="inlineStr"/>
      <c r="J188" s="245" t="inlineStr"/>
      <c r="K188" s="245" t="inlineStr">
        <is>
          <t>1.5IN VT GEL MF TOPPER TW</t>
        </is>
      </c>
      <c r="L188" s="245" t="inlineStr">
        <is>
          <t>GMT1.5T-IN</t>
        </is>
      </c>
      <c r="M188" s="248" t="inlineStr">
        <is>
          <t>2CDVZE2Q</t>
        </is>
      </c>
      <c r="N188" s="245" t="inlineStr">
        <is>
          <t>F.TGT.01T.004.BD</t>
        </is>
      </c>
      <c r="O188" s="245" t="n"/>
      <c r="P188" s="245" t="n"/>
      <c r="Q188" s="250">
        <f>R188/H188</f>
        <v/>
      </c>
      <c r="R188" s="251" t="n">
        <v>1636.6</v>
      </c>
      <c r="S188" s="249" t="n">
        <v>17722</v>
      </c>
      <c r="T188" s="252">
        <f>S188*R188</f>
        <v/>
      </c>
      <c r="U188" s="245" t="n"/>
      <c r="V188" s="245" t="n"/>
      <c r="W188" s="245" t="n"/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169</v>
      </c>
      <c r="I189" s="245" t="inlineStr"/>
      <c r="J189" s="245" t="inlineStr"/>
      <c r="K189" s="245" t="inlineStr">
        <is>
          <t>4IN VT GEL MF TOPPER QN</t>
        </is>
      </c>
      <c r="L189" s="245" t="inlineStr">
        <is>
          <t>GMT4Q-IN</t>
        </is>
      </c>
      <c r="M189" s="248" t="inlineStr">
        <is>
          <t>2CDVZE2Q</t>
        </is>
      </c>
      <c r="N189" s="245" t="inlineStr">
        <is>
          <t>F.TGT.04Q.005.BD</t>
        </is>
      </c>
      <c r="O189" s="245" t="n"/>
      <c r="P189" s="245" t="n"/>
      <c r="Q189" s="250">
        <f>R189/H189</f>
        <v/>
      </c>
      <c r="R189" s="251" t="n">
        <v>4437.94</v>
      </c>
      <c r="S189" s="249" t="n">
        <v>17722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107</v>
      </c>
      <c r="I190" s="245" t="inlineStr"/>
      <c r="J190" s="245" t="inlineStr"/>
      <c r="K190" s="245" t="inlineStr">
        <is>
          <t>3IN CV LAVENDER MF TOPPER EK</t>
        </is>
      </c>
      <c r="L190" s="245" t="inlineStr">
        <is>
          <t>ECMF-03KL-IN</t>
        </is>
      </c>
      <c r="M190" s="248" t="inlineStr">
        <is>
          <t>59BVXYOG</t>
        </is>
      </c>
      <c r="N190" s="245" t="inlineStr">
        <is>
          <t>F.TMT.03K.010.BD</t>
        </is>
      </c>
      <c r="O190" s="245" t="n"/>
      <c r="P190" s="245" t="n"/>
      <c r="Q190" s="250">
        <f>R190/H190</f>
        <v/>
      </c>
      <c r="R190" s="251" t="n">
        <v>2219.18</v>
      </c>
      <c r="S190" s="249" t="n">
        <v>17722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41</v>
      </c>
      <c r="I191" s="245" t="inlineStr"/>
      <c r="J191" s="245" t="inlineStr"/>
      <c r="K191" s="245" t="inlineStr">
        <is>
          <t>4IN CV LAVENDER MF TOPPER QN</t>
        </is>
      </c>
      <c r="L191" s="245" t="inlineStr">
        <is>
          <t>ECMF-LV4Q-IN</t>
        </is>
      </c>
      <c r="M191" s="248" t="inlineStr">
        <is>
          <t>59BVXYOG</t>
        </is>
      </c>
      <c r="N191" s="245" t="inlineStr">
        <is>
          <t>F.TMT.04Q.012.BD</t>
        </is>
      </c>
      <c r="O191" s="245" t="n"/>
      <c r="P191" s="245" t="n"/>
      <c r="Q191" s="250">
        <f>R191/H191</f>
        <v/>
      </c>
      <c r="R191" s="251" t="n">
        <v>908.15</v>
      </c>
      <c r="S191" s="249" t="n">
        <v>17722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261</v>
      </c>
      <c r="I192" s="245" t="inlineStr"/>
      <c r="J192" s="245" t="inlineStr"/>
      <c r="K192" s="245" t="inlineStr">
        <is>
          <t>3IN CV LAVENDER MF TOPPER FL</t>
        </is>
      </c>
      <c r="L192" s="245" t="inlineStr">
        <is>
          <t>ECMF-03FL-IN</t>
        </is>
      </c>
      <c r="M192" s="248" t="inlineStr">
        <is>
          <t>6AHWX36V</t>
        </is>
      </c>
      <c r="N192" s="245" t="inlineStr">
        <is>
          <t>F.TMT.03F.010.BD</t>
        </is>
      </c>
      <c r="O192" s="245" t="n"/>
      <c r="P192" s="245" t="n"/>
      <c r="Q192" s="250">
        <f>R192/H192</f>
        <v/>
      </c>
      <c r="R192" s="251" t="n">
        <v>3813.21</v>
      </c>
      <c r="S192" s="249" t="n">
        <v>17722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58</v>
      </c>
      <c r="I193" s="245" t="inlineStr"/>
      <c r="J193" s="245" t="inlineStr"/>
      <c r="K193" s="245" t="inlineStr">
        <is>
          <t>2IN CV LAVENDER MF TOPPER QN</t>
        </is>
      </c>
      <c r="L193" s="245" t="inlineStr">
        <is>
          <t>ECMF-LV2Q-IN</t>
        </is>
      </c>
      <c r="M193" s="248" t="inlineStr">
        <is>
          <t>6AHWX36V</t>
        </is>
      </c>
      <c r="N193" s="245" t="inlineStr">
        <is>
          <t>F.TMT.02Q.008.BD</t>
        </is>
      </c>
      <c r="O193" s="245" t="n"/>
      <c r="P193" s="245" t="n"/>
      <c r="Q193" s="250">
        <f>R193/H193</f>
        <v/>
      </c>
      <c r="R193" s="251" t="n">
        <v>703.54</v>
      </c>
      <c r="S193" s="249" t="n">
        <v>17722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245</v>
      </c>
      <c r="I194" s="245" t="inlineStr"/>
      <c r="J194" s="245" t="inlineStr"/>
      <c r="K194" s="245" t="inlineStr">
        <is>
          <t>1.5IN VT GEL MF TOPPER FL</t>
        </is>
      </c>
      <c r="L194" s="245" t="inlineStr">
        <is>
          <t>GMT1.5F-IN</t>
        </is>
      </c>
      <c r="M194" s="248" t="inlineStr">
        <is>
          <t>6AHWX36V</t>
        </is>
      </c>
      <c r="N194" s="245" t="inlineStr">
        <is>
          <t>F.TGT.01F.004.BD</t>
        </is>
      </c>
      <c r="O194" s="245" t="n"/>
      <c r="P194" s="245" t="n"/>
      <c r="Q194" s="250">
        <f>R194/H194</f>
        <v/>
      </c>
      <c r="R194" s="251" t="n">
        <v>2555.35</v>
      </c>
      <c r="S194" s="249" t="n">
        <v>17722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75</v>
      </c>
      <c r="I195" s="245" t="inlineStr"/>
      <c r="J195" s="245" t="inlineStr"/>
      <c r="K195" s="245" t="inlineStr">
        <is>
          <t>2IN CV LAVENDER MF TOPPER FL</t>
        </is>
      </c>
      <c r="L195" s="245" t="inlineStr">
        <is>
          <t>ECMF-LV2F-IN</t>
        </is>
      </c>
      <c r="M195" s="248" t="inlineStr">
        <is>
          <t>6WJLPB6T</t>
        </is>
      </c>
      <c r="N195" s="245" t="inlineStr">
        <is>
          <t>F.TMT.02F.008.BD</t>
        </is>
      </c>
      <c r="O195" s="245" t="n"/>
      <c r="P195" s="245" t="n"/>
      <c r="Q195" s="250">
        <f>R195/H195</f>
        <v/>
      </c>
      <c r="R195" s="251" t="n">
        <v>741.75</v>
      </c>
      <c r="S195" s="249" t="n">
        <v>17722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6.5" customHeight="1" s="202">
      <c r="A196" s="245" t="n"/>
      <c r="B196" s="245" t="n"/>
      <c r="C196" s="245" t="n"/>
      <c r="D196" s="245" t="n"/>
      <c r="E196" s="245" t="n"/>
      <c r="F196" s="245" t="n"/>
      <c r="G196" s="245" t="n"/>
      <c r="H196" s="247" t="n">
        <v>53</v>
      </c>
      <c r="I196" s="245" t="inlineStr"/>
      <c r="J196" s="245" t="inlineStr"/>
      <c r="K196" s="245" t="inlineStr">
        <is>
          <t>2IN CV LAVENDER MF TOPPER EK</t>
        </is>
      </c>
      <c r="L196" s="245" t="inlineStr">
        <is>
          <t>ECMF-LV2K-IN</t>
        </is>
      </c>
      <c r="M196" s="248" t="inlineStr">
        <is>
          <t>6WJLPB6T</t>
        </is>
      </c>
      <c r="N196" s="245" t="inlineStr">
        <is>
          <t>F.TMT.02K.008.BD</t>
        </is>
      </c>
      <c r="O196" s="245" t="n"/>
      <c r="P196" s="245" t="n"/>
      <c r="Q196" s="250">
        <f>R196/H196</f>
        <v/>
      </c>
      <c r="R196" s="251" t="n">
        <v>737.23</v>
      </c>
      <c r="S196" s="249" t="n">
        <v>17722</v>
      </c>
      <c r="T196" s="252">
        <f>S196*R196</f>
        <v/>
      </c>
      <c r="U196" s="245" t="n"/>
      <c r="V196" s="245" t="n"/>
      <c r="W196" s="245" t="n"/>
      <c r="X196" s="245" t="n"/>
      <c r="Y196" s="245" t="n"/>
      <c r="Z196" s="245" t="n"/>
    </row>
    <row r="197" ht="16.5" customHeight="1" s="202">
      <c r="A197" s="245" t="n"/>
      <c r="B197" s="245" t="n"/>
      <c r="C197" s="245" t="n"/>
      <c r="D197" s="245" t="n"/>
      <c r="E197" s="245" t="n"/>
      <c r="F197" s="245" t="n"/>
      <c r="G197" s="245" t="n"/>
      <c r="H197" s="247" t="n">
        <v>58</v>
      </c>
      <c r="I197" s="245" t="inlineStr"/>
      <c r="J197" s="245" t="inlineStr"/>
      <c r="K197" s="245" t="inlineStr">
        <is>
          <t>4IN VT GEL MF TOPPER EK</t>
        </is>
      </c>
      <c r="L197" s="245" t="inlineStr">
        <is>
          <t>GMT4K-IN</t>
        </is>
      </c>
      <c r="M197" s="248" t="inlineStr">
        <is>
          <t>6WJLPB6T</t>
        </is>
      </c>
      <c r="N197" s="245" t="inlineStr">
        <is>
          <t>F.TGT.04K.005.BD</t>
        </is>
      </c>
      <c r="O197" s="245" t="n"/>
      <c r="P197" s="245" t="n"/>
      <c r="Q197" s="250">
        <f>R197/H197</f>
        <v/>
      </c>
      <c r="R197" s="251" t="n">
        <v>1916.9</v>
      </c>
      <c r="S197" s="249" t="n">
        <v>17722</v>
      </c>
      <c r="T197" s="252">
        <f>S197*R197</f>
        <v/>
      </c>
      <c r="U197" s="245" t="n"/>
      <c r="V197" s="245" t="n"/>
      <c r="W197" s="245" t="n"/>
      <c r="X197" s="245" t="n"/>
      <c r="Y197" s="245" t="n"/>
      <c r="Z197" s="245" t="n"/>
    </row>
    <row r="198" ht="17.1" customHeight="1" s="202">
      <c r="A198" s="253" t="n"/>
      <c r="B198" s="253" t="n"/>
      <c r="C198" s="253" t="n"/>
      <c r="D198" s="253" t="n"/>
      <c r="E198" s="253" t="n"/>
      <c r="F198" s="253" t="n"/>
      <c r="G198" s="253" t="n"/>
      <c r="H198" s="254">
        <f>SUM(H181:H197)</f>
        <v/>
      </c>
      <c r="I198" s="253">
        <f>COUNTA(I181:I197)</f>
        <v/>
      </c>
      <c r="J198" s="253" t="n"/>
      <c r="K198" s="253" t="n"/>
      <c r="L198" s="253" t="n"/>
      <c r="M198" s="253" t="n"/>
      <c r="N198" s="253" t="n"/>
      <c r="O198" s="255">
        <f>SUM(O181:O197)</f>
        <v/>
      </c>
      <c r="P198" s="255">
        <f>SUM(P181:P197)</f>
        <v/>
      </c>
      <c r="Q198" s="253" t="n"/>
      <c r="R198" s="256">
        <f>SUM(R181:R197)</f>
        <v/>
      </c>
      <c r="S198" s="253" t="n"/>
      <c r="T198" s="257">
        <f>SUM(T181:T197)</f>
        <v/>
      </c>
      <c r="U198" s="253" t="n"/>
      <c r="V198" s="253" t="n"/>
      <c r="W198" s="253" t="n"/>
      <c r="X198" s="253" t="n"/>
      <c r="Y198" s="253" t="n"/>
      <c r="Z198" s="253" t="n"/>
    </row>
    <row r="199" ht="8.1" customHeight="1" s="202"/>
    <row r="200" ht="20.1" customHeight="1" s="202">
      <c r="A200" s="259">
        <f>COUNT(A12:A199)</f>
        <v/>
      </c>
      <c r="B200" s="260" t="n"/>
      <c r="C200" s="260" t="n"/>
      <c r="D200" s="260" t="n"/>
      <c r="E200" s="260" t="n"/>
      <c r="F200" s="260" t="n"/>
      <c r="G200" s="260" t="n"/>
      <c r="H200" s="261">
        <f>SUM(H14,H26,H45,H67,H79,H93,H97,H109,H121,H132,H144,H147,H150,H153,H165,H168,H171,H180,H198)</f>
        <v/>
      </c>
      <c r="I200" s="261">
        <f>SUM(I14,I26,I45,I67,I79,I93,I97,I109,I121,I132,I144,I147,I150,I153,I165,I168,I171,I180,I198)</f>
        <v/>
      </c>
      <c r="J200" s="260" t="n"/>
      <c r="K200" s="260" t="n"/>
      <c r="L200" s="260" t="n"/>
      <c r="M200" s="260" t="n"/>
      <c r="N200" s="260" t="n"/>
      <c r="O200" s="262">
        <f>SUM(O14,O26,O45,O67,O79,O93,O97,O109,O121,O132,O144,O147,O150,O153,O165,O168,O171,O180,O198)</f>
        <v/>
      </c>
      <c r="P200" s="262">
        <f>SUM(P14,P26,P45,P67,P79,P93,P97,P109,P121,P132,P144,P147,P150,P153,P165,P168,P171,P180,P198)</f>
        <v/>
      </c>
      <c r="Q200" s="260" t="n"/>
      <c r="R200" s="263">
        <f>SUM(R14,R26,R45,R67,R79,R93,R97,R109,R121,R132,R144,R147,R150,R153,R165,R168,R171,R180,R198)</f>
        <v/>
      </c>
      <c r="S200" s="260" t="n"/>
      <c r="T200" s="264">
        <f>SUM(T14,T26,T45,T67,T79,T93,T97,T109,T121,T132,T144,T147,T150,T153,T165,T168,T171,T180,T198)</f>
        <v/>
      </c>
      <c r="U200" s="260" t="n"/>
      <c r="V200" s="260" t="n"/>
      <c r="W200" s="260" t="n"/>
      <c r="X200" s="260" t="n"/>
      <c r="Y200" s="260" t="n"/>
      <c r="Z200" s="260" t="n"/>
    </row>
    <row r="201" ht="17.1" customHeight="1" s="202"/>
    <row r="202" ht="17.1" customHeight="1" s="202">
      <c r="B202" s="265" t="inlineStr">
        <is>
          <t>Total Qty Export :</t>
        </is>
      </c>
      <c r="C202" s="266">
        <f>H200-C203</f>
        <v/>
      </c>
    </row>
    <row r="203" ht="17.1" customHeight="1" s="202">
      <c r="B203" s="267" t="inlineStr">
        <is>
          <t>Total Qty Export Sample :</t>
        </is>
      </c>
      <c r="C203" s="268" t="inlineStr"/>
    </row>
    <row r="205" ht="17.1" customHeight="1" s="202">
      <c r="A205" s="269" t="n"/>
      <c r="B205" s="270" t="n"/>
      <c r="C205" s="270" t="n"/>
      <c r="D205" s="271" t="n"/>
      <c r="U205" s="272" t="inlineStr">
        <is>
          <t>Tangerang, 08 September 2026</t>
        </is>
      </c>
    </row>
    <row r="206" ht="17.1" customHeight="1" s="202">
      <c r="A206" s="273" t="inlineStr">
        <is>
          <t>Total Document</t>
        </is>
      </c>
      <c r="C206" s="274">
        <f>A200</f>
        <v/>
      </c>
      <c r="D206" s="275" t="n"/>
      <c r="U206" s="272" t="inlineStr">
        <is>
          <t>Kasubsi Hanggar Pabean dan Cukai</t>
        </is>
      </c>
    </row>
    <row r="207" ht="17.1" customHeight="1" s="202">
      <c r="A207" s="273" t="inlineStr">
        <is>
          <t>Gross Weight</t>
        </is>
      </c>
      <c r="C207" s="276">
        <f>O200</f>
        <v/>
      </c>
      <c r="D207" s="275" t="n"/>
    </row>
    <row r="208" ht="17.1" customHeight="1" s="202">
      <c r="A208" s="273" t="inlineStr">
        <is>
          <t>Nett Weight</t>
        </is>
      </c>
      <c r="C208" s="276">
        <f>P200</f>
        <v/>
      </c>
      <c r="D208" s="275" t="n"/>
    </row>
    <row r="209" ht="17.1" customHeight="1" s="202">
      <c r="A209" s="273" t="inlineStr">
        <is>
          <t>Amount</t>
        </is>
      </c>
      <c r="C209" s="277">
        <f>R200</f>
        <v/>
      </c>
      <c r="D209" s="275" t="n"/>
    </row>
    <row r="210" ht="17.1" customHeight="1" s="202">
      <c r="A210" s="273" t="inlineStr">
        <is>
          <t>Jumlah Container</t>
        </is>
      </c>
      <c r="C210" s="278">
        <f>I200-C211</f>
        <v/>
      </c>
      <c r="D210" s="275" t="n"/>
    </row>
    <row r="211" ht="17.1" customHeight="1" s="202">
      <c r="A211" s="279" t="n"/>
      <c r="C211" s="280" t="inlineStr"/>
      <c r="D211" s="275" t="n"/>
    </row>
    <row r="212" ht="17.1" customHeight="1" s="202">
      <c r="A212" s="279" t="n"/>
      <c r="C212" s="281">
        <f>C210*2+C211</f>
        <v/>
      </c>
      <c r="D212" s="275" t="n"/>
    </row>
    <row r="213" ht="16.2" customHeight="1" s="202">
      <c r="A213" s="282" t="n"/>
      <c r="B213" s="283" t="n"/>
      <c r="C213" s="283" t="n"/>
      <c r="D213" s="284" t="n"/>
    </row>
  </sheetData>
  <autoFilter ref="A10:Z11">
    <filterColumn colId="2" hiddenButton="0" showButton="0"/>
    <filterColumn colId="8" hiddenButton="0" showButton="0"/>
  </autoFilter>
  <mergeCells count="26">
    <mergeCell ref="C210:D210"/>
    <mergeCell ref="E10:E11"/>
    <mergeCell ref="G10:G11"/>
    <mergeCell ref="M10:M11"/>
    <mergeCell ref="C206:D206"/>
    <mergeCell ref="Y10:Y11"/>
    <mergeCell ref="Q10:Q11"/>
    <mergeCell ref="C10:D10"/>
    <mergeCell ref="C212:D212"/>
    <mergeCell ref="I10:J11"/>
    <mergeCell ref="A6:Z6"/>
    <mergeCell ref="C211:D211"/>
    <mergeCell ref="B10:B11"/>
    <mergeCell ref="A7:Z7"/>
    <mergeCell ref="L10:L11"/>
    <mergeCell ref="X10:X11"/>
    <mergeCell ref="N10:N11"/>
    <mergeCell ref="Z10:Z11"/>
    <mergeCell ref="C207:D207"/>
    <mergeCell ref="A10:A11"/>
    <mergeCell ref="K10:K11"/>
    <mergeCell ref="C209:D209"/>
    <mergeCell ref="A8:Z8"/>
    <mergeCell ref="C208:D20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2026-09-08T08:59:01Z</dcterms:modified>
  <cp:lastModifiedBy>Chiswa Dian Hermansyah(ZINUS ZDI)</cp:lastModifiedBy>
</cp:coreProperties>
</file>