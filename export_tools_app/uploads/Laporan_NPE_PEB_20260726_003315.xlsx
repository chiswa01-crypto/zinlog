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6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SPL/026/ZDI/VII/2026</t>
        </is>
      </c>
      <c r="G12" s="261" t="n">
        <v>46223</v>
      </c>
      <c r="H12" s="263" t="n">
        <v>1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-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58" t="n"/>
      <c r="B13" s="259" t="n"/>
      <c r="C13" s="260" t="n"/>
      <c r="D13" s="260" t="n"/>
      <c r="E13" s="261" t="n"/>
      <c r="F13" s="262" t="n"/>
      <c r="G13" s="261" t="n"/>
      <c r="H13" s="263" t="n">
        <v>1</v>
      </c>
      <c r="I13" s="263" t="inlineStr">
        <is>
          <t>TXGU583961</t>
        </is>
      </c>
      <c r="J13" s="263" t="inlineStr">
        <is>
          <t>40FT</t>
        </is>
      </c>
      <c r="K13" s="264" t="inlineStr">
        <is>
          <t>6IN GREEN TEA MF MATTRESS FL</t>
        </is>
      </c>
      <c r="L13" s="265" t="inlineStr">
        <is>
          <t>EB-FMS-0600F-IN</t>
        </is>
      </c>
      <c r="M13" s="263" t="inlineStr">
        <is>
          <t>66X4TV01</t>
        </is>
      </c>
      <c r="N13" s="264" t="inlineStr">
        <is>
          <t>-</t>
        </is>
      </c>
      <c r="O13" s="266" t="n"/>
      <c r="P13" s="266" t="n"/>
      <c r="Q13" s="267">
        <f>IFERROR(R13/H13, 0)</f>
        <v/>
      </c>
      <c r="R13" s="268" t="n">
        <v>40018</v>
      </c>
      <c r="S13" s="269" t="n">
        <v>18056</v>
      </c>
      <c r="T13" s="269">
        <f>IFERROR(S13*R13, 0)</f>
        <v/>
      </c>
      <c r="U13" s="270" t="n"/>
      <c r="V13" s="271" t="n"/>
      <c r="W13" s="272" t="inlineStr">
        <is>
          <t>ETD : 27-07-2026</t>
        </is>
      </c>
      <c r="X13" s="263" t="n"/>
      <c r="Y13" s="271" t="n"/>
      <c r="Z13" s="261" t="n"/>
    </row>
    <row r="14" ht="16.5" customFormat="1" customHeight="1" s="257">
      <c r="A14" s="273" t="n"/>
      <c r="B14" s="274" t="n"/>
      <c r="C14" s="275" t="n"/>
      <c r="D14" s="275" t="n"/>
      <c r="E14" s="276" t="n"/>
      <c r="F14" s="276" t="n"/>
      <c r="G14" s="276" t="n"/>
      <c r="H14" s="277">
        <f>SUM(H12:H13)</f>
        <v/>
      </c>
      <c r="I14" s="278">
        <f>COUNTA(I12:I13)</f>
        <v/>
      </c>
      <c r="J14" s="277" t="n"/>
      <c r="K14" s="277" t="n"/>
      <c r="L14" s="279" t="n"/>
      <c r="M14" s="277" t="n"/>
      <c r="N14" s="277" t="n"/>
      <c r="O14" s="280">
        <f>SUM(O12:O13)</f>
        <v/>
      </c>
      <c r="P14" s="280">
        <f>SUM(P12:P13)</f>
        <v/>
      </c>
      <c r="Q14" s="281" t="n"/>
      <c r="R14" s="282">
        <f>SUM(R12:R13)</f>
        <v/>
      </c>
      <c r="S14" s="283" t="n"/>
      <c r="T14" s="283">
        <f>SUM(T12:T13)</f>
        <v/>
      </c>
      <c r="U14" s="277" t="n"/>
      <c r="V14" s="284" t="n"/>
      <c r="W14" s="285" t="n"/>
      <c r="X14" s="284" t="n"/>
      <c r="Y14" s="284" t="n"/>
      <c r="Z14" s="284" t="n"/>
    </row>
    <row r="15" ht="16.5" customFormat="1" customHeight="1" s="257">
      <c r="A15" s="258" t="n">
        <v>2</v>
      </c>
      <c r="B15" s="259" t="inlineStr">
        <is>
          <t>000030ZIK4802026072100495</t>
        </is>
      </c>
      <c r="C15" s="260" t="n">
        <v>450530</v>
      </c>
      <c r="D15" s="260" t="n">
        <v>450480</v>
      </c>
      <c r="E15" s="261" t="n">
        <v>46225</v>
      </c>
      <c r="F15" s="262" t="inlineStr">
        <is>
          <t>ID2607-7881</t>
        </is>
      </c>
      <c r="G15" s="261" t="n">
        <v>46223</v>
      </c>
      <c r="H15" s="263" t="n">
        <v>900</v>
      </c>
      <c r="I15" s="263" t="inlineStr">
        <is>
          <t>TXGU583972</t>
        </is>
      </c>
      <c r="J15" s="263" t="inlineStr">
        <is>
          <t>40FT</t>
        </is>
      </c>
      <c r="K15" s="264" t="inlineStr">
        <is>
          <t>94042120 HE:0 - 900.0000 PIECE (PCE) - INDONESIA (ID) 84,573 - 8IN GREEN TEA MF MATTRESS QN</t>
        </is>
      </c>
      <c r="L15" s="265" t="inlineStr">
        <is>
          <t>SCF-STR- - 19,188.0000 Kg - KAB. TANGERANG (3603) 800Q</t>
        </is>
      </c>
      <c r="M15" s="263" t="inlineStr">
        <is>
          <t>0993631021</t>
        </is>
      </c>
      <c r="N15" s="264" t="inlineStr">
        <is>
          <t>F.MFM.08Q.000.WS</t>
        </is>
      </c>
      <c r="O15" s="266" t="n">
        <v>24598.94</v>
      </c>
      <c r="P15" s="266" t="n">
        <v>22252.54</v>
      </c>
      <c r="Q15" s="267">
        <f>IFERROR(R15/H15, 0)</f>
        <v/>
      </c>
      <c r="R15" s="268" t="n">
        <v>36097.6</v>
      </c>
      <c r="S15" s="269" t="n">
        <v>18056</v>
      </c>
      <c r="T15" s="269">
        <f>IFERROR(S15*R15, 0)</f>
        <v/>
      </c>
      <c r="U15" s="270" t="inlineStr">
        <is>
          <t>PEMUATAN</t>
        </is>
      </c>
      <c r="V15" s="271" t="inlineStr">
        <is>
          <t>TANJUNG PRIOK</t>
        </is>
      </c>
      <c r="W15" s="272" t="inlineStr">
        <is>
          <t>Ekspor</t>
        </is>
      </c>
      <c r="X15" s="263" t="inlineStr"/>
      <c r="Y15" s="271" t="inlineStr">
        <is>
          <t>EGLV080600441902</t>
        </is>
      </c>
      <c r="Z15" s="261" t="n">
        <v>46225</v>
      </c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SUM(H15:H15)</f>
        <v/>
      </c>
      <c r="I16" s="278">
        <f>COUNTA(I15:I15)</f>
        <v/>
      </c>
      <c r="J16" s="277" t="n"/>
      <c r="K16" s="277" t="n"/>
      <c r="L16" s="279" t="n"/>
      <c r="M16" s="277" t="n"/>
      <c r="N16" s="277" t="n"/>
      <c r="O16" s="280">
        <f>SUM(O15:O15)</f>
        <v/>
      </c>
      <c r="P16" s="280">
        <f>SUM(P15:P15)</f>
        <v/>
      </c>
      <c r="Q16" s="281" t="n"/>
      <c r="R16" s="282">
        <f>SUM(R15:R15)</f>
        <v/>
      </c>
      <c r="S16" s="283" t="n"/>
      <c r="T16" s="283">
        <f>SUM(T15:T15)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n">
        <v>450545</v>
      </c>
      <c r="D17" s="260" t="n">
        <v>450495</v>
      </c>
      <c r="E17" s="261" t="n">
        <v>46225</v>
      </c>
      <c r="F17" s="262" t="inlineStr">
        <is>
          <t>ID2607-7865</t>
        </is>
      </c>
      <c r="G17" s="261" t="n">
        <v>46223</v>
      </c>
      <c r="H17" s="263" t="n">
        <v>520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94042120 HE:0 - 520.0000 PIECE (PCE) - INDONESIA (ID) 41,480.4 - 8IN GREEN TEA MF MATTRESS FL</t>
        </is>
      </c>
      <c r="L17" s="265" t="inlineStr">
        <is>
          <t>SCF-STR- - 9,370.4000 Kg - KAB. TANGERANG (3603) 800F</t>
        </is>
      </c>
      <c r="M17" s="263" t="inlineStr">
        <is>
          <t>0993630656</t>
        </is>
      </c>
      <c r="N17" s="264" t="inlineStr">
        <is>
          <t>F.MFM.08F.000.WS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128">
        <f>COUNT(A12:A18)</f>
        <v/>
      </c>
      <c r="B19" s="129" t="n"/>
      <c r="C19" s="287" t="n"/>
      <c r="D19" s="288" t="n"/>
      <c r="E19" s="288" t="n"/>
      <c r="F19" s="288" t="n"/>
      <c r="G19" s="288" t="n"/>
      <c r="H19" s="132">
        <f>H14+H16+H18</f>
        <v/>
      </c>
      <c r="I19" s="132">
        <f>I14+I16+I18</f>
        <v/>
      </c>
      <c r="J19" s="133" t="n"/>
      <c r="K19" s="289" t="n"/>
      <c r="L19" s="290" t="n"/>
      <c r="M19" s="291" t="n"/>
      <c r="N19" s="292" t="n"/>
      <c r="O19" s="138">
        <f>O14+O16+O18</f>
        <v/>
      </c>
      <c r="P19" s="138">
        <f>P14+P16+P18</f>
        <v/>
      </c>
      <c r="Q19" s="293" t="n"/>
      <c r="R19" s="294">
        <f>R14+R16+R18</f>
        <v/>
      </c>
      <c r="S19" s="295" t="n"/>
      <c r="T19" s="296">
        <f>T14+T16+T18</f>
        <v/>
      </c>
      <c r="U19" s="143" t="n"/>
      <c r="V19" s="143" t="n"/>
      <c r="W19" s="143" t="n"/>
      <c r="X19" s="143" t="n"/>
      <c r="Y19" s="144" t="n"/>
      <c r="Z19" s="144" t="n"/>
    </row>
    <row r="20" ht="16.5" customFormat="1" customHeight="1" s="257">
      <c r="A20" s="145" t="n"/>
      <c r="B20" s="146" t="n"/>
      <c r="C20" s="147" t="n"/>
      <c r="E20" s="148" t="n"/>
      <c r="F20" s="149" t="n"/>
      <c r="G20" s="149" t="n"/>
      <c r="H20" s="297" t="n"/>
      <c r="I20" s="297" t="n"/>
      <c r="J20" s="298" t="n"/>
      <c r="K20" s="221" t="n"/>
      <c r="L20" s="221" t="n"/>
      <c r="M20" s="221" t="n"/>
      <c r="N20" s="299" t="n"/>
      <c r="Q20" s="300" t="n"/>
      <c r="U20" s="154" t="n"/>
      <c r="V20" s="154" t="n"/>
      <c r="W20" s="154" t="n"/>
      <c r="X20" s="154" t="n"/>
      <c r="Y20" s="154" t="n"/>
      <c r="Z20" s="154" t="n"/>
    </row>
    <row r="21" ht="16.5" customFormat="1" customHeight="1" s="257">
      <c r="A21" s="145" t="n"/>
      <c r="B21" s="155" t="inlineStr">
        <is>
          <t>Total Qty Export :</t>
        </is>
      </c>
      <c r="C21" s="156">
        <f>H19</f>
        <v/>
      </c>
      <c r="E21" s="148" t="n"/>
      <c r="F21" s="149" t="n"/>
      <c r="G21" s="149" t="n"/>
      <c r="H21" s="298" t="n"/>
      <c r="I21" s="298" t="n"/>
      <c r="J21" s="298" t="n"/>
      <c r="K21" s="221" t="n"/>
      <c r="L21" s="221" t="n"/>
      <c r="M21" s="221" t="n"/>
      <c r="N21" s="299" t="n"/>
      <c r="Q21" s="300" t="n"/>
      <c r="U21" s="154" t="n"/>
      <c r="V21" s="154" t="n"/>
      <c r="W21" s="154" t="n"/>
      <c r="X21" s="154" t="n"/>
      <c r="Y21" s="154" t="n"/>
      <c r="Z21" s="154" t="n"/>
    </row>
    <row r="22" ht="16.5" customFormat="1" customHeight="1" s="257">
      <c r="A22" s="145" t="n"/>
      <c r="B22" s="157" t="inlineStr">
        <is>
          <t>Total Qty Export Sample :</t>
        </is>
      </c>
      <c r="C22" s="158" t="n"/>
      <c r="E22" s="148" t="n"/>
      <c r="F22" s="149" t="n"/>
      <c r="G22" s="149" t="n"/>
      <c r="H22" s="301" t="n"/>
      <c r="I22" s="301" t="n"/>
      <c r="J22" s="298" t="n"/>
      <c r="T22" s="302" t="n"/>
      <c r="V22" s="154" t="n"/>
      <c r="W22" s="154" t="n"/>
      <c r="X22" s="154" t="n"/>
      <c r="Y22" s="154" t="n"/>
      <c r="Z22" s="154" t="n"/>
    </row>
    <row r="23" ht="17.1" customFormat="1" customHeight="1" s="286">
      <c r="A23" s="145" t="n"/>
      <c r="B23" s="161" t="n"/>
      <c r="C23" s="147" t="n"/>
      <c r="D23" s="147" t="n"/>
      <c r="E23" s="148" t="n"/>
      <c r="F23" s="149" t="n"/>
      <c r="G23" s="149" t="n"/>
      <c r="H23" s="298" t="n"/>
      <c r="I23" s="298" t="n"/>
      <c r="J23" s="298" t="n"/>
      <c r="K23" s="221" t="n"/>
      <c r="L23" s="221" t="n"/>
      <c r="M23" s="221" t="n"/>
      <c r="R23" s="303" t="n"/>
      <c r="S23" s="302" t="n"/>
      <c r="U23" s="163" t="n"/>
    </row>
    <row r="24" ht="17.1" customFormat="1" customHeight="1" s="286">
      <c r="A24" s="164" t="n"/>
      <c r="B24" s="165" t="n"/>
      <c r="C24" s="166" t="n"/>
      <c r="D24" s="167" t="n"/>
      <c r="E24" s="168" t="n"/>
      <c r="F24" s="169" t="n"/>
      <c r="G24" s="169" t="n"/>
      <c r="H24" s="170" t="n"/>
      <c r="I24" s="170" t="n"/>
      <c r="K24" s="221" t="n"/>
      <c r="L24" s="221" t="n"/>
      <c r="M24" s="221" t="n"/>
      <c r="N24" s="299" t="n"/>
      <c r="P24" s="304" t="n"/>
      <c r="Q24" s="305" t="n"/>
      <c r="R24" s="303" t="n"/>
      <c r="S24" s="302" t="n"/>
      <c r="T24" s="302" t="n"/>
      <c r="U24" s="173" t="inlineStr">
        <is>
          <t>Tangerang, 26 July 2026</t>
        </is>
      </c>
    </row>
    <row r="25" ht="8.1" customHeight="1" s="223" thickBot="1">
      <c r="A25" s="174" t="inlineStr">
        <is>
          <t>Total Document</t>
        </is>
      </c>
      <c r="B25" s="175" t="n"/>
      <c r="C25" s="306">
        <f>A19</f>
        <v/>
      </c>
      <c r="D25" s="307" t="n"/>
      <c r="G25" s="169" t="n"/>
      <c r="H25" s="178" t="n"/>
      <c r="I25" s="178" t="n"/>
      <c r="K25" s="221" t="n"/>
      <c r="L25" s="221" t="n"/>
      <c r="M25" s="221" t="n"/>
      <c r="N25" s="299" t="n"/>
      <c r="P25" s="304" t="n"/>
      <c r="Q25" s="305" t="n"/>
      <c r="R25" s="303" t="n"/>
      <c r="S25" s="302" t="n"/>
      <c r="T25" s="302" t="n"/>
      <c r="U25" s="173">
        <f>+[1]REKAP!X34</f>
        <v/>
      </c>
    </row>
    <row r="26" ht="20.1" customFormat="1" customHeight="1" s="231" thickBot="1">
      <c r="A26" s="174" t="inlineStr">
        <is>
          <t>Gross Weight</t>
        </is>
      </c>
      <c r="B26" s="179" t="n"/>
      <c r="C26" s="308">
        <f>O19</f>
        <v/>
      </c>
      <c r="D26" s="307" t="n"/>
      <c r="H26" s="182" t="n"/>
      <c r="I26" s="183" t="n"/>
      <c r="K26" s="221" t="n"/>
      <c r="L26" s="221" t="n"/>
      <c r="M26" s="221" t="n"/>
      <c r="N26" s="299" t="n"/>
      <c r="P26" s="309" t="n"/>
      <c r="Q26" s="310" t="n"/>
      <c r="R26" s="311" t="n"/>
      <c r="S26" s="312" t="n"/>
      <c r="T26" s="312" t="n"/>
      <c r="U26" s="4" t="n"/>
    </row>
    <row r="27" ht="17.1" customHeight="1" s="223">
      <c r="A27" s="174" t="inlineStr">
        <is>
          <t>Nett Weight</t>
        </is>
      </c>
      <c r="B27" s="179" t="n"/>
      <c r="C27" s="308">
        <f>P19</f>
        <v/>
      </c>
      <c r="D27" s="307" t="n"/>
      <c r="K27" s="221" t="n"/>
      <c r="L27" s="221" t="n"/>
      <c r="M27" s="221" t="n"/>
      <c r="N27" s="299" t="n"/>
      <c r="P27" s="309" t="n"/>
      <c r="Q27" s="310" t="n"/>
      <c r="R27" s="311" t="n"/>
      <c r="S27" s="312" t="n"/>
      <c r="T27" s="312" t="n"/>
      <c r="U27" s="4" t="n"/>
    </row>
    <row r="28" ht="17.1" customHeight="1" s="223">
      <c r="A28" s="174" t="inlineStr">
        <is>
          <t>Amount</t>
        </is>
      </c>
      <c r="B28" s="179" t="n"/>
      <c r="C28" s="313">
        <f>R19</f>
        <v/>
      </c>
      <c r="D28" s="307" t="n"/>
      <c r="K28" s="221" t="n"/>
      <c r="L28" s="221" t="n"/>
      <c r="M28" s="221" t="n"/>
      <c r="N28" s="299" t="n"/>
      <c r="P28" s="309" t="n"/>
      <c r="Q28" s="310" t="n"/>
      <c r="R28" s="311" t="n"/>
      <c r="S28" s="312" t="n"/>
      <c r="T28" s="312" t="n"/>
      <c r="U28" s="190" t="n"/>
    </row>
    <row r="29" ht="17.1" customHeight="1" s="223">
      <c r="A29" s="174" t="inlineStr">
        <is>
          <t>Jumlah Container</t>
        </is>
      </c>
      <c r="B29" s="179" t="n"/>
      <c r="C29" s="314">
        <f>I19</f>
        <v/>
      </c>
      <c r="D29" s="307" t="n"/>
      <c r="K29" s="221" t="n"/>
      <c r="L29" s="221" t="n"/>
      <c r="M29" s="221" t="n"/>
      <c r="N29" s="299" t="n"/>
      <c r="P29" s="309" t="n"/>
      <c r="Q29" s="310" t="n"/>
      <c r="R29" s="311" t="n"/>
      <c r="S29" s="312" t="n"/>
      <c r="T29" s="312" t="n"/>
      <c r="U29" s="173" t="n"/>
    </row>
    <row r="30" ht="17.1" customHeight="1" s="223" thickBot="1">
      <c r="A30" s="174" t="n"/>
      <c r="B30" s="179" t="n"/>
      <c r="C30" s="315">
        <f>I28</f>
        <v/>
      </c>
      <c r="D30" s="307" t="n"/>
      <c r="K30" s="221" t="n"/>
      <c r="L30" s="221" t="n"/>
      <c r="M30" s="221" t="n"/>
      <c r="N30" s="299" t="n"/>
      <c r="P30" s="309" t="n"/>
      <c r="Q30" s="310" t="n"/>
      <c r="R30" s="311" t="n"/>
      <c r="S30" s="312" t="n"/>
      <c r="T30" s="312" t="n"/>
      <c r="U30" s="173" t="n"/>
    </row>
    <row r="31" ht="17.1" customHeight="1" s="223" thickTop="1">
      <c r="A31" s="195" t="n"/>
      <c r="B31" s="179" t="n"/>
      <c r="C31" s="316">
        <f>C36*2+C37</f>
        <v/>
      </c>
      <c r="D31" s="307" t="n"/>
      <c r="K31" s="221" t="n"/>
      <c r="L31" s="221" t="n"/>
      <c r="M31" s="221" t="n"/>
      <c r="N31" s="299" t="n"/>
    </row>
    <row r="32" ht="17.1" customHeight="1" s="223">
      <c r="A32" s="198" t="n"/>
      <c r="B32" s="199" t="n"/>
      <c r="C32" s="200" t="n"/>
      <c r="D32" s="201" t="n"/>
    </row>
    <row r="33" ht="17.1" customHeight="1" s="223">
      <c r="B33" s="6" t="n"/>
      <c r="C33" s="3" t="n"/>
      <c r="D33" s="3" t="n"/>
      <c r="E33" s="4" t="n"/>
      <c r="F33" s="5" t="n"/>
      <c r="G33" s="5" t="n"/>
      <c r="H33" s="6" t="n"/>
      <c r="I33" s="6" t="n"/>
      <c r="J33" s="6" t="n"/>
      <c r="K33" s="215" t="n"/>
      <c r="L33" s="215" t="n"/>
      <c r="M33" s="215" t="n"/>
      <c r="N33" s="216" t="n"/>
      <c r="O33" s="217" t="n"/>
      <c r="P33" s="217" t="n"/>
      <c r="Q33" s="218" t="n"/>
      <c r="R33" s="219" t="n"/>
      <c r="S33" s="220" t="n"/>
      <c r="T33" s="220" t="n"/>
      <c r="U33" s="221" t="n"/>
      <c r="V33" s="221" t="n"/>
      <c r="W33" s="221" t="n"/>
      <c r="X33" s="221" t="n"/>
      <c r="Y33" s="221" t="n"/>
      <c r="Z33" s="221" t="n"/>
      <c r="AA33" s="222" t="n"/>
      <c r="AB33" s="222" t="n"/>
      <c r="AC33" s="222" t="n"/>
      <c r="AD33" s="222" t="n"/>
      <c r="AE33" s="222" t="n"/>
      <c r="AF33" s="222" t="n"/>
      <c r="AG33" s="222" t="n"/>
      <c r="AH33" s="222" t="n"/>
      <c r="AI33" s="222" t="n"/>
      <c r="AJ33" s="222" t="n"/>
      <c r="AK33" s="222" t="n"/>
      <c r="AL33" s="222" t="n"/>
      <c r="AM33" s="222" t="n"/>
      <c r="AN33" s="222" t="n"/>
      <c r="AO33" s="222" t="n"/>
      <c r="AP33" s="222" t="n"/>
      <c r="AQ33" s="222" t="n"/>
      <c r="AR33" s="222" t="n"/>
      <c r="AS33" s="222" t="n"/>
      <c r="AT33" s="222" t="n"/>
      <c r="AU33" s="222" t="n"/>
      <c r="AV33" s="222" t="n"/>
      <c r="AW33" s="222" t="n"/>
      <c r="AX33" s="222" t="n"/>
      <c r="AY33" s="222" t="n"/>
      <c r="AZ33" s="222" t="n"/>
      <c r="BA33" s="222" t="n"/>
      <c r="BB33" s="222" t="n"/>
      <c r="BC33" s="222" t="n"/>
      <c r="BD33" s="222" t="n"/>
      <c r="BE33" s="222" t="n"/>
      <c r="BF33" s="222" t="n"/>
      <c r="BG33" s="222" t="n"/>
      <c r="BH33" s="222" t="n"/>
      <c r="BI33" s="222" t="n"/>
      <c r="BJ33" s="222" t="n"/>
      <c r="BK33" s="222" t="n"/>
      <c r="BL33" s="222" t="n"/>
      <c r="BM33" s="222" t="n"/>
      <c r="BN33" s="222" t="n"/>
      <c r="BO33" s="222" t="n"/>
      <c r="BP33" s="222" t="n"/>
      <c r="BQ33" s="222" t="n"/>
      <c r="BR33" s="222" t="n"/>
      <c r="BS33" s="222" t="n"/>
      <c r="BT33" s="222" t="n"/>
      <c r="BU33" s="222" t="n"/>
      <c r="BV33" s="222" t="n"/>
      <c r="BW33" s="222" t="n"/>
      <c r="BX33" s="222" t="n"/>
      <c r="BY33" s="222" t="n"/>
      <c r="BZ33" s="222" t="n"/>
      <c r="CA33" s="222" t="n"/>
      <c r="CB33" s="222" t="n"/>
      <c r="CC33" s="222" t="n"/>
      <c r="CD33" s="222" t="n"/>
      <c r="CE33" s="222" t="n"/>
      <c r="CF33" s="222" t="n"/>
      <c r="CG33" s="222" t="n"/>
      <c r="CH33" s="222" t="n"/>
      <c r="CI33" s="222" t="n"/>
      <c r="CJ33" s="222" t="n"/>
      <c r="CK33" s="222" t="n"/>
      <c r="CL33" s="222" t="n"/>
      <c r="CM33" s="222" t="n"/>
      <c r="CN33" s="222" t="n"/>
      <c r="CO33" s="222" t="n"/>
      <c r="CP33" s="222" t="n"/>
      <c r="CQ33" s="222" t="n"/>
      <c r="CR33" s="222" t="n"/>
      <c r="CS33" s="222" t="n"/>
      <c r="CT33" s="222" t="n"/>
      <c r="CU33" s="222" t="n"/>
      <c r="CV33" s="222" t="n"/>
      <c r="CW33" s="222" t="n"/>
      <c r="CX33" s="222" t="n"/>
      <c r="CY33" s="222" t="n"/>
      <c r="CZ33" s="222" t="n"/>
      <c r="DA33" s="222" t="n"/>
      <c r="DB33" s="222" t="n"/>
      <c r="DC33" s="222" t="n"/>
      <c r="DD33" s="222" t="n"/>
      <c r="DE33" s="222" t="n"/>
      <c r="DF33" s="222" t="n"/>
      <c r="DG33" s="222" t="n"/>
      <c r="DH33" s="222" t="n"/>
      <c r="DI33" s="222" t="n"/>
      <c r="DJ33" s="222" t="n"/>
      <c r="DK33" s="222" t="n"/>
      <c r="DL33" s="222" t="n"/>
      <c r="DM33" s="222" t="n"/>
      <c r="DN33" s="222" t="n"/>
      <c r="DO33" s="222" t="n"/>
      <c r="DP33" s="222" t="n"/>
      <c r="DQ33" s="222" t="n"/>
      <c r="DR33" s="222" t="n"/>
      <c r="DS33" s="222" t="n"/>
      <c r="DT33" s="222" t="n"/>
      <c r="DU33" s="222" t="n"/>
      <c r="DV33" s="222" t="n"/>
      <c r="DW33" s="222" t="n"/>
      <c r="DX33" s="222" t="n"/>
      <c r="DY33" s="222" t="n"/>
      <c r="DZ33" s="222" t="n"/>
      <c r="EA33" s="222" t="n"/>
      <c r="EB33" s="222" t="n"/>
      <c r="EC33" s="222" t="n"/>
      <c r="ED33" s="222" t="n"/>
      <c r="EE33" s="222" t="n"/>
      <c r="EF33" s="222" t="n"/>
      <c r="EG33" s="222" t="n"/>
      <c r="EH33" s="222" t="n"/>
      <c r="EI33" s="222" t="n"/>
      <c r="EJ33" s="222" t="n"/>
      <c r="EK33" s="222" t="n"/>
      <c r="EL33" s="222" t="n"/>
      <c r="EM33" s="222" t="n"/>
      <c r="EN33" s="222" t="n"/>
      <c r="EO33" s="222" t="n"/>
      <c r="EP33" s="222" t="n"/>
      <c r="EQ33" s="222" t="n"/>
      <c r="ER33" s="222" t="n"/>
      <c r="ES33" s="222" t="n"/>
      <c r="ET33" s="222" t="n"/>
      <c r="EU33" s="222" t="n"/>
      <c r="EV33" s="222" t="n"/>
      <c r="EW33" s="222" t="n"/>
      <c r="EX33" s="222" t="n"/>
      <c r="EY33" s="222" t="n"/>
      <c r="EZ33" s="222" t="n"/>
      <c r="FA33" s="222" t="n"/>
      <c r="FB33" s="222" t="n"/>
      <c r="FC33" s="222" t="n"/>
      <c r="FD33" s="222" t="n"/>
      <c r="FE33" s="222" t="n"/>
      <c r="FF33" s="222" t="n"/>
      <c r="FG33" s="222" t="n"/>
      <c r="FH33" s="222" t="n"/>
      <c r="FI33" s="222" t="n"/>
      <c r="FJ33" s="222" t="n"/>
      <c r="FK33" s="222" t="n"/>
      <c r="FL33" s="222" t="n"/>
      <c r="FM33" s="222" t="n"/>
      <c r="FN33" s="222" t="n"/>
      <c r="FO33" s="222" t="n"/>
      <c r="FP33" s="222" t="n"/>
      <c r="FQ33" s="222" t="n"/>
      <c r="FR33" s="222" t="n"/>
      <c r="FS33" s="222" t="n"/>
      <c r="FT33" s="222" t="n"/>
      <c r="FU33" s="222" t="n"/>
      <c r="FV33" s="222" t="n"/>
      <c r="FW33" s="222" t="n"/>
      <c r="FX33" s="222" t="n"/>
      <c r="FY33" s="222" t="n"/>
      <c r="FZ33" s="222" t="n"/>
      <c r="GA33" s="222" t="n"/>
      <c r="GB33" s="222" t="n"/>
      <c r="GC33" s="222" t="n"/>
      <c r="GD33" s="222" t="n"/>
      <c r="GE33" s="222" t="n"/>
      <c r="GF33" s="222" t="n"/>
      <c r="GG33" s="222" t="n"/>
      <c r="GH33" s="222" t="n"/>
      <c r="GI33" s="222" t="n"/>
      <c r="GJ33" s="222" t="n"/>
      <c r="GK33" s="222" t="n"/>
      <c r="GL33" s="222" t="n"/>
      <c r="GM33" s="222" t="n"/>
      <c r="GN33" s="222" t="n"/>
      <c r="GO33" s="222" t="n"/>
      <c r="GP33" s="222" t="n"/>
      <c r="GQ33" s="222" t="n"/>
      <c r="GR33" s="222" t="n"/>
      <c r="GS33" s="222" t="n"/>
      <c r="GT33" s="222" t="n"/>
      <c r="GU33" s="222" t="n"/>
      <c r="GV33" s="222" t="n"/>
      <c r="GW33" s="222" t="n"/>
      <c r="GX33" s="222" t="n"/>
      <c r="GY33" s="222" t="n"/>
      <c r="GZ33" s="222" t="n"/>
      <c r="HA33" s="222" t="n"/>
      <c r="HB33" s="222" t="n"/>
      <c r="HC33" s="222" t="n"/>
      <c r="HD33" s="222" t="n"/>
      <c r="HE33" s="222" t="n"/>
      <c r="HF33" s="222" t="n"/>
      <c r="HG33" s="222" t="n"/>
      <c r="HH33" s="222" t="n"/>
      <c r="HI33" s="222" t="n"/>
      <c r="HJ33" s="222" t="n"/>
      <c r="HK33" s="222" t="n"/>
      <c r="HL33" s="222" t="n"/>
      <c r="HM33" s="222" t="n"/>
      <c r="HN33" s="222" t="n"/>
      <c r="HO33" s="222" t="n"/>
      <c r="HP33" s="222" t="n"/>
      <c r="HQ33" s="222" t="n"/>
      <c r="HR33" s="222" t="n"/>
      <c r="HS33" s="222" t="n"/>
      <c r="HT33" s="222" t="n"/>
      <c r="HU33" s="222" t="n"/>
      <c r="HV33" s="222" t="n"/>
      <c r="HW33" s="222" t="n"/>
      <c r="HX33" s="222" t="n"/>
      <c r="HY33" s="222" t="n"/>
      <c r="HZ33" s="222" t="n"/>
      <c r="IA33" s="222" t="n"/>
      <c r="IB33" s="222" t="n"/>
      <c r="IC33" s="222" t="n"/>
      <c r="ID33" s="222" t="n"/>
      <c r="IE33" s="222" t="n"/>
      <c r="IF33" s="222" t="n"/>
      <c r="IG33" s="222" t="n"/>
      <c r="IH33" s="222" t="n"/>
      <c r="II33" s="222" t="n"/>
      <c r="IJ33" s="222" t="n"/>
      <c r="IK33" s="222" t="n"/>
      <c r="IL33" s="222" t="n"/>
      <c r="IM33" s="222" t="n"/>
      <c r="IN33" s="222" t="n"/>
      <c r="IO33" s="222" t="n"/>
      <c r="IP33" s="222" t="n"/>
      <c r="IQ33" s="222" t="n"/>
      <c r="IR33" s="222" t="n"/>
      <c r="IS33" s="222" t="n"/>
      <c r="IT33" s="222" t="n"/>
      <c r="IU33" s="222" t="n"/>
      <c r="IV33" s="222" t="n"/>
      <c r="IW33" s="222" t="n"/>
      <c r="IX33" s="222" t="n"/>
      <c r="IY33" s="222" t="n"/>
      <c r="IZ33" s="222" t="n"/>
      <c r="JA33" s="222" t="n"/>
      <c r="JB33" s="222" t="n"/>
      <c r="JC33" s="222" t="n"/>
      <c r="JD33" s="222" t="n"/>
      <c r="JE33" s="222" t="n"/>
      <c r="JF33" s="222" t="n"/>
      <c r="JG33" s="222" t="n"/>
      <c r="JH33" s="222" t="n"/>
      <c r="JI33" s="222" t="n"/>
      <c r="JJ33" s="222" t="n"/>
      <c r="JK33" s="222" t="n"/>
      <c r="JL33" s="222" t="n"/>
      <c r="JM33" s="222" t="n"/>
      <c r="JN33" s="222" t="n"/>
      <c r="JO33" s="222" t="n"/>
      <c r="JP33" s="222" t="n"/>
      <c r="JQ33" s="222" t="n"/>
      <c r="JR33" s="222" t="n"/>
      <c r="JS33" s="222" t="n"/>
      <c r="JT33" s="222" t="n"/>
      <c r="JU33" s="222" t="n"/>
      <c r="JV33" s="222" t="n"/>
      <c r="JW33" s="222" t="n"/>
      <c r="JX33" s="222" t="n"/>
      <c r="JY33" s="222" t="n"/>
      <c r="JZ33" s="222" t="n"/>
      <c r="KA33" s="222" t="n"/>
      <c r="KB33" s="222" t="n"/>
      <c r="KC33" s="222" t="n"/>
      <c r="KD33" s="222" t="n"/>
    </row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>
      <c r="A326" s="202" t="n"/>
      <c r="B326" s="203" t="n"/>
      <c r="C326" s="204" t="n"/>
      <c r="D326" s="204" t="n"/>
      <c r="E326" s="205" t="n"/>
      <c r="F326" s="206" t="n"/>
      <c r="G326" s="206" t="n"/>
      <c r="H326" s="6" t="n"/>
      <c r="I326" s="203" t="n"/>
      <c r="J326" s="203" t="n"/>
      <c r="K326" s="317" t="n"/>
      <c r="L326" s="317" t="n"/>
      <c r="M326" s="317" t="n"/>
      <c r="N326" s="318" t="n"/>
      <c r="O326" s="319" t="n"/>
      <c r="P326" s="319" t="n"/>
      <c r="Q326" s="320" t="n"/>
      <c r="R326" s="321" t="n"/>
      <c r="S326" s="322" t="n"/>
      <c r="T326" s="322" t="n"/>
      <c r="U326" s="323" t="n"/>
      <c r="V326" s="323" t="n"/>
      <c r="W326" s="323" t="n"/>
      <c r="X326" s="323" t="n"/>
      <c r="Y326" s="323" t="n"/>
      <c r="Z326" s="323" t="n"/>
    </row>
    <row r="333" ht="15" customFormat="1" customHeight="1" s="324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2026-07-25T17:33:15Z</dcterms:modified>
  <cp:lastModifiedBy>Chiswa Dian Hermansyah(ZINUS ZDI)</cp:lastModifiedBy>
</cp:coreProperties>
</file>